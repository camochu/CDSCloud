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capgemini.sharepoint.com/sites/TelefnicaServicioCloudTIexterna/Shared Documents/General/Docs Telefonica/Procesos/Gestion de Cambios/"/>
    </mc:Choice>
  </mc:AlternateContent>
  <xr:revisionPtr revIDLastSave="1915" documentId="6_{CC5F1480-5CE4-45F8-97FB-170F3BBADAF6}" xr6:coauthVersionLast="46" xr6:coauthVersionMax="47" xr10:uidLastSave="{0A2D6868-16E8-4626-822F-3E450AB7ED0F}"/>
  <bookViews>
    <workbookView xWindow="-28140" yWindow="1560" windowWidth="28050" windowHeight="13440" tabRatio="837" firstSheet="10" activeTab="10" xr2:uid="{00000000-000D-0000-FFFF-FFFF00000000}"/>
  </bookViews>
  <sheets>
    <sheet name="BSS" sheetId="23" r:id="rId1"/>
    <sheet name="Totales 2021" sheetId="39" state="hidden" r:id="rId2"/>
    <sheet name="Guia maqs Telefonica parcheos" sheetId="40" state="hidden" r:id="rId3"/>
    <sheet name="Resp. Técnicos Telefonica" sheetId="31" state="hidden" r:id="rId4"/>
    <sheet name="Contactos Empresas Terceros" sheetId="32" state="hidden" r:id="rId5"/>
    <sheet name="Buzones actuales" sheetId="26" state="hidden" r:id="rId6"/>
    <sheet name="Buzones Modelo TO BE" sheetId="27" state="hidden" r:id="rId7"/>
    <sheet name="Grupos Implicados - TI Clientes" sheetId="28" state="hidden" r:id="rId8"/>
    <sheet name="OK Técnico" sheetId="11" state="hidden" r:id="rId9"/>
    <sheet name="Inventario" sheetId="21" state="hidden" r:id="rId10"/>
    <sheet name="CRQs 2021" sheetId="38" r:id="rId11"/>
    <sheet name="Test" sheetId="43" r:id="rId12"/>
    <sheet name="Grupos Técnicos y Matriz Resp" sheetId="37" r:id="rId13"/>
    <sheet name="GTS" sheetId="34" r:id="rId14"/>
    <sheet name="GTS - 1" sheetId="29" state="hidden" r:id="rId15"/>
    <sheet name="GTS - 2" sheetId="33" state="hidden" r:id="rId16"/>
  </sheets>
  <functionGroups builtInGroupCount="19"/>
  <definedNames>
    <definedName name="_xlnm._FilterDatabase" localSheetId="0" hidden="1">BSS!$A$1:$N$1</definedName>
    <definedName name="_xlnm._FilterDatabase" localSheetId="5" hidden="1">'Buzones actuales'!$A$1:$D$40</definedName>
    <definedName name="_xlnm._FilterDatabase" localSheetId="4" hidden="1">'Contactos Empresas Terceros'!$A$1:$C$1</definedName>
    <definedName name="_xlnm._FilterDatabase" localSheetId="10" hidden="1">'CRQs 2021'!$B$1:$V$1088</definedName>
    <definedName name="_xlnm._FilterDatabase" localSheetId="7" hidden="1">'Grupos Implicados - TI Clientes'!$A$1:$G$131</definedName>
    <definedName name="_xlnm._FilterDatabase" localSheetId="12" hidden="1">'Grupos Técnicos y Matriz Resp'!$B$1:$F$20</definedName>
    <definedName name="_xlnm._FilterDatabase" localSheetId="13" hidden="1">GTS!$A$1:$F$1006</definedName>
    <definedName name="_xlnm._FilterDatabase" localSheetId="14" hidden="1">'GTS - 1'!$A$1:$E$122</definedName>
    <definedName name="_xlnm._FilterDatabase" localSheetId="9" hidden="1">Inventario!$A$1:$C$82</definedName>
    <definedName name="_xlnm._FilterDatabase" localSheetId="8" hidden="1">'OK Técnico'!$A$1:$E$241</definedName>
    <definedName name="_xlnm._FilterDatabase" localSheetId="3" hidden="1">'Resp. Técnicos Telefonica'!$A$1:$E$1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055" i="38" l="1"/>
  <c r="R1055" i="38"/>
  <c r="S1055" i="38"/>
  <c r="T1055" i="38"/>
  <c r="U1055" i="38"/>
  <c r="V1055" i="38"/>
  <c r="O1076" i="38" l="1"/>
  <c r="R1076" i="38"/>
  <c r="S1076" i="38"/>
  <c r="T1076" i="38"/>
  <c r="U1076" i="38"/>
  <c r="V1076" i="38"/>
  <c r="O1088" i="38" l="1"/>
  <c r="R1088" i="38"/>
  <c r="S1088" i="38"/>
  <c r="T1088" i="38"/>
  <c r="U1088" i="38"/>
  <c r="V1088" i="38"/>
  <c r="O1087" i="38"/>
  <c r="R1087" i="38"/>
  <c r="S1087" i="38"/>
  <c r="T1087" i="38"/>
  <c r="U1087" i="38"/>
  <c r="V1087" i="38"/>
  <c r="O1086" i="38"/>
  <c r="R1086" i="38"/>
  <c r="S1086" i="38"/>
  <c r="T1086" i="38"/>
  <c r="U1086" i="38"/>
  <c r="V1086" i="38"/>
  <c r="O1085" i="38" l="1"/>
  <c r="R1085" i="38"/>
  <c r="S1085" i="38"/>
  <c r="T1085" i="38"/>
  <c r="U1085" i="38"/>
  <c r="V1085" i="38"/>
  <c r="O1084" i="38"/>
  <c r="R1084" i="38"/>
  <c r="S1084" i="38"/>
  <c r="T1084" i="38"/>
  <c r="U1084" i="38"/>
  <c r="V1084" i="38"/>
  <c r="O1083" i="38"/>
  <c r="R1083" i="38"/>
  <c r="S1083" i="38"/>
  <c r="T1083" i="38"/>
  <c r="U1083" i="38"/>
  <c r="V1083" i="38"/>
  <c r="O1082" i="38"/>
  <c r="R1082" i="38"/>
  <c r="S1082" i="38"/>
  <c r="T1082" i="38"/>
  <c r="U1082" i="38"/>
  <c r="V1082" i="38"/>
  <c r="O1081" i="38"/>
  <c r="R1081" i="38"/>
  <c r="S1081" i="38"/>
  <c r="T1081" i="38"/>
  <c r="U1081" i="38"/>
  <c r="V1081" i="38"/>
  <c r="O1059" i="38" l="1"/>
  <c r="R1059" i="38"/>
  <c r="S1059" i="38"/>
  <c r="T1059" i="38"/>
  <c r="U1059" i="38"/>
  <c r="V1059" i="38"/>
  <c r="O1052" i="38"/>
  <c r="R1052" i="38"/>
  <c r="S1052" i="38"/>
  <c r="T1052" i="38"/>
  <c r="U1052" i="38"/>
  <c r="V1052" i="38"/>
  <c r="O1080" i="38" l="1"/>
  <c r="R1080" i="38"/>
  <c r="S1080" i="38"/>
  <c r="T1080" i="38"/>
  <c r="U1080" i="38"/>
  <c r="V1080" i="38"/>
  <c r="O1079" i="38"/>
  <c r="R1079" i="38"/>
  <c r="S1079" i="38"/>
  <c r="T1079" i="38"/>
  <c r="U1079" i="38"/>
  <c r="V1079" i="38"/>
  <c r="O1078" i="38"/>
  <c r="R1078" i="38"/>
  <c r="S1078" i="38"/>
  <c r="T1078" i="38"/>
  <c r="U1078" i="38"/>
  <c r="V1078" i="38"/>
  <c r="O1077" i="38"/>
  <c r="R1077" i="38"/>
  <c r="S1077" i="38"/>
  <c r="T1077" i="38"/>
  <c r="U1077" i="38"/>
  <c r="V1077" i="38"/>
  <c r="O1044" i="38" l="1"/>
  <c r="R1044" i="38"/>
  <c r="S1044" i="38" s="1"/>
  <c r="T1044" i="38"/>
  <c r="U1044" i="38"/>
  <c r="V1044" i="38"/>
  <c r="O1047" i="38"/>
  <c r="R1047" i="38"/>
  <c r="S1047" i="38"/>
  <c r="T1047" i="38"/>
  <c r="U1047" i="38"/>
  <c r="V1047" i="38"/>
  <c r="O1075" i="38" l="1"/>
  <c r="R1075" i="38"/>
  <c r="S1075" i="38"/>
  <c r="T1075" i="38"/>
  <c r="U1075" i="38"/>
  <c r="V1075" i="38"/>
  <c r="O1074" i="38"/>
  <c r="R1074" i="38"/>
  <c r="S1074" i="38"/>
  <c r="T1074" i="38"/>
  <c r="U1074" i="38"/>
  <c r="V1074" i="38"/>
  <c r="O1073" i="38"/>
  <c r="R1073" i="38"/>
  <c r="S1073" i="38"/>
  <c r="T1073" i="38"/>
  <c r="U1073" i="38"/>
  <c r="V1073" i="38"/>
  <c r="O1072" i="38"/>
  <c r="R1072" i="38"/>
  <c r="S1072" i="38"/>
  <c r="T1072" i="38"/>
  <c r="U1072" i="38"/>
  <c r="V1072" i="38"/>
  <c r="O1046" i="38" l="1"/>
  <c r="R1046" i="38"/>
  <c r="S1046" i="38"/>
  <c r="T1046" i="38"/>
  <c r="U1046" i="38"/>
  <c r="V1046" i="38"/>
  <c r="O1071" i="38" l="1"/>
  <c r="R1071" i="38"/>
  <c r="S1071" i="38"/>
  <c r="T1071" i="38"/>
  <c r="U1071" i="38"/>
  <c r="V1071" i="38"/>
  <c r="O1070" i="38" l="1"/>
  <c r="R1070" i="38"/>
  <c r="S1070" i="38"/>
  <c r="T1070" i="38"/>
  <c r="U1070" i="38"/>
  <c r="V1070" i="38"/>
  <c r="O1069" i="38" l="1"/>
  <c r="R1069" i="38"/>
  <c r="S1069" i="38"/>
  <c r="T1069" i="38"/>
  <c r="U1069" i="38"/>
  <c r="V1069" i="38"/>
  <c r="O1068" i="38"/>
  <c r="R1068" i="38"/>
  <c r="S1068" i="38"/>
  <c r="T1068" i="38"/>
  <c r="U1068" i="38"/>
  <c r="V1068" i="38"/>
  <c r="O1067" i="38"/>
  <c r="R1067" i="38"/>
  <c r="S1067" i="38"/>
  <c r="T1067" i="38"/>
  <c r="U1067" i="38"/>
  <c r="V1067" i="38"/>
  <c r="O1066" i="38" l="1"/>
  <c r="R1066" i="38"/>
  <c r="S1066" i="38"/>
  <c r="T1066" i="38"/>
  <c r="U1066" i="38"/>
  <c r="V1066" i="38"/>
  <c r="O1065" i="38"/>
  <c r="R1065" i="38"/>
  <c r="S1065" i="38"/>
  <c r="T1065" i="38"/>
  <c r="U1065" i="38"/>
  <c r="V1065" i="38"/>
  <c r="O1064" i="38"/>
  <c r="R1064" i="38"/>
  <c r="S1064" i="38"/>
  <c r="T1064" i="38"/>
  <c r="U1064" i="38"/>
  <c r="V1064" i="38"/>
  <c r="O1063" i="38"/>
  <c r="R1063" i="38"/>
  <c r="S1063" i="38"/>
  <c r="T1063" i="38"/>
  <c r="U1063" i="38"/>
  <c r="V1063" i="38"/>
  <c r="O1062" i="38"/>
  <c r="R1062" i="38"/>
  <c r="S1062" i="38"/>
  <c r="T1062" i="38"/>
  <c r="U1062" i="38"/>
  <c r="V1062" i="38"/>
  <c r="O1061" i="38"/>
  <c r="R1061" i="38"/>
  <c r="S1061" i="38"/>
  <c r="T1061" i="38"/>
  <c r="U1061" i="38"/>
  <c r="V1061" i="38"/>
  <c r="O1060" i="38"/>
  <c r="R1060" i="38"/>
  <c r="S1060" i="38"/>
  <c r="T1060" i="38"/>
  <c r="U1060" i="38"/>
  <c r="V1060" i="38"/>
  <c r="O2" i="43" l="1"/>
  <c r="R2" i="43"/>
  <c r="S2" i="43"/>
  <c r="T2" i="43"/>
  <c r="U2" i="43"/>
  <c r="V2" i="43"/>
  <c r="O1039" i="38" l="1"/>
  <c r="R1039" i="38"/>
  <c r="S1039" i="38" s="1"/>
  <c r="T1039" i="38"/>
  <c r="U1039" i="38"/>
  <c r="V1039" i="38"/>
  <c r="O1058" i="38" l="1"/>
  <c r="R1058" i="38"/>
  <c r="S1058" i="38"/>
  <c r="T1058" i="38"/>
  <c r="U1058" i="38"/>
  <c r="V1058" i="38"/>
  <c r="O1057" i="38"/>
  <c r="R1057" i="38"/>
  <c r="S1057" i="38"/>
  <c r="T1057" i="38"/>
  <c r="U1057" i="38"/>
  <c r="V1057" i="38"/>
  <c r="O1056" i="38"/>
  <c r="R1056" i="38"/>
  <c r="S1056" i="38"/>
  <c r="T1056" i="38"/>
  <c r="U1056" i="38"/>
  <c r="V1056" i="38"/>
  <c r="O1054" i="38"/>
  <c r="R1054" i="38"/>
  <c r="S1054" i="38"/>
  <c r="T1054" i="38"/>
  <c r="U1054" i="38"/>
  <c r="V1054" i="38"/>
  <c r="O1053" i="38"/>
  <c r="R1053" i="38"/>
  <c r="S1053" i="38"/>
  <c r="T1053" i="38"/>
  <c r="U1053" i="38"/>
  <c r="V1053" i="38"/>
  <c r="O1051" i="38" l="1"/>
  <c r="R1051" i="38"/>
  <c r="S1051" i="38"/>
  <c r="T1051" i="38"/>
  <c r="U1051" i="38"/>
  <c r="V1051" i="38"/>
  <c r="O1050" i="38"/>
  <c r="R1050" i="38"/>
  <c r="S1050" i="38"/>
  <c r="T1050" i="38"/>
  <c r="U1050" i="38"/>
  <c r="V1050" i="38"/>
  <c r="O1049" i="38"/>
  <c r="R1049" i="38"/>
  <c r="S1049" i="38"/>
  <c r="T1049" i="38"/>
  <c r="U1049" i="38"/>
  <c r="V1049" i="38"/>
  <c r="O1048" i="38"/>
  <c r="R1048" i="38"/>
  <c r="S1048" i="38"/>
  <c r="T1048" i="38"/>
  <c r="U1048" i="38"/>
  <c r="V1048" i="38"/>
  <c r="O1041" i="38" l="1"/>
  <c r="O1043" i="38" l="1"/>
  <c r="R1043" i="38"/>
  <c r="U1043" i="38" s="1"/>
  <c r="S1043" i="38"/>
  <c r="T1043" i="38"/>
  <c r="V1043" i="38"/>
  <c r="R1041" i="38"/>
  <c r="S1041" i="38" s="1"/>
  <c r="T1041" i="38"/>
  <c r="U1041" i="38"/>
  <c r="V1041" i="38"/>
  <c r="O1035" i="38" l="1"/>
  <c r="R1035" i="38"/>
  <c r="S1035" i="38" s="1"/>
  <c r="T1035" i="38"/>
  <c r="U1035" i="38"/>
  <c r="V1035" i="38"/>
  <c r="O1045" i="38" l="1"/>
  <c r="R1045" i="38"/>
  <c r="S1045" i="38" s="1"/>
  <c r="T1045" i="38"/>
  <c r="U1045" i="38"/>
  <c r="V1045" i="38"/>
  <c r="O1042" i="38"/>
  <c r="R1042" i="38"/>
  <c r="S1042" i="38" s="1"/>
  <c r="T1042" i="38"/>
  <c r="U1042" i="38"/>
  <c r="V1042" i="38"/>
  <c r="O1032" i="38" l="1"/>
  <c r="R1032" i="38"/>
  <c r="S1032" i="38" s="1"/>
  <c r="T1032" i="38"/>
  <c r="U1032" i="38"/>
  <c r="V1032" i="38"/>
  <c r="O1034" i="38" l="1"/>
  <c r="R1034" i="38"/>
  <c r="S1034" i="38" s="1"/>
  <c r="T1034" i="38"/>
  <c r="U1034" i="38"/>
  <c r="V1034" i="38"/>
  <c r="O1031" i="38"/>
  <c r="R1031" i="38"/>
  <c r="S1031" i="38" s="1"/>
  <c r="T1031" i="38"/>
  <c r="U1031" i="38"/>
  <c r="V1031" i="38"/>
  <c r="O1026" i="38" l="1"/>
  <c r="R1026" i="38"/>
  <c r="S1026" i="38" s="1"/>
  <c r="T1026" i="38"/>
  <c r="U1026" i="38"/>
  <c r="V1026" i="38"/>
  <c r="O1025" i="38" l="1"/>
  <c r="R1025" i="38"/>
  <c r="S1025" i="38" s="1"/>
  <c r="T1025" i="38"/>
  <c r="U1025" i="38"/>
  <c r="V1025" i="38"/>
  <c r="O1029" i="38" l="1"/>
  <c r="R1029" i="38"/>
  <c r="S1029" i="38" s="1"/>
  <c r="T1029" i="38"/>
  <c r="U1029" i="38"/>
  <c r="V1029" i="38"/>
  <c r="O1028" i="38"/>
  <c r="R1028" i="38"/>
  <c r="S1028" i="38" s="1"/>
  <c r="T1028" i="38"/>
  <c r="U1028" i="38"/>
  <c r="V1028" i="38"/>
  <c r="O1019" i="38"/>
  <c r="R1019" i="38"/>
  <c r="U1019" i="38" s="1"/>
  <c r="S1019" i="38"/>
  <c r="T1019" i="38"/>
  <c r="V1019" i="38"/>
  <c r="O1040" i="38" l="1"/>
  <c r="R1040" i="38"/>
  <c r="S1040" i="38" s="1"/>
  <c r="T1040" i="38"/>
  <c r="U1040" i="38"/>
  <c r="V1040" i="38"/>
  <c r="O1023" i="38" l="1"/>
  <c r="R1023" i="38"/>
  <c r="S1023" i="38" s="1"/>
  <c r="T1023" i="38"/>
  <c r="U1023" i="38"/>
  <c r="V1023" i="38"/>
  <c r="O1038" i="38" l="1"/>
  <c r="R1038" i="38"/>
  <c r="S1038" i="38" s="1"/>
  <c r="T1038" i="38"/>
  <c r="U1038" i="38"/>
  <c r="V1038" i="38"/>
  <c r="O1037" i="38"/>
  <c r="R1037" i="38"/>
  <c r="S1037" i="38" s="1"/>
  <c r="T1037" i="38"/>
  <c r="U1037" i="38"/>
  <c r="V1037" i="38"/>
  <c r="O1036" i="38"/>
  <c r="R1036" i="38"/>
  <c r="S1036" i="38" s="1"/>
  <c r="T1036" i="38"/>
  <c r="U1036" i="38"/>
  <c r="V1036" i="38"/>
  <c r="O1033" i="38" l="1"/>
  <c r="R1033" i="38"/>
  <c r="S1033" i="38" s="1"/>
  <c r="T1033" i="38"/>
  <c r="U1033" i="38"/>
  <c r="V1033" i="38"/>
  <c r="O2" i="38"/>
  <c r="O3" i="38"/>
  <c r="O4" i="38"/>
  <c r="O5" i="38"/>
  <c r="O6" i="38"/>
  <c r="O7" i="38"/>
  <c r="O8" i="38"/>
  <c r="O9" i="38"/>
  <c r="O10" i="38"/>
  <c r="O11" i="38"/>
  <c r="O12" i="38"/>
  <c r="O13" i="38"/>
  <c r="O14" i="38"/>
  <c r="O15" i="38"/>
  <c r="O16" i="38"/>
  <c r="O17" i="38"/>
  <c r="O18" i="38"/>
  <c r="O19" i="38"/>
  <c r="O20" i="38"/>
  <c r="O21" i="38"/>
  <c r="O22" i="38"/>
  <c r="O23" i="38"/>
  <c r="O24" i="38"/>
  <c r="O25" i="38"/>
  <c r="O26" i="38"/>
  <c r="O27" i="38"/>
  <c r="O28" i="38"/>
  <c r="O29" i="38"/>
  <c r="O30" i="38"/>
  <c r="O31" i="38"/>
  <c r="O32" i="38"/>
  <c r="O33" i="38"/>
  <c r="O34" i="38"/>
  <c r="O35" i="38"/>
  <c r="O36" i="38"/>
  <c r="O37" i="38"/>
  <c r="O38" i="38"/>
  <c r="O39" i="38"/>
  <c r="O40" i="38"/>
  <c r="O41" i="38"/>
  <c r="O42" i="38"/>
  <c r="O43" i="38"/>
  <c r="O44" i="38"/>
  <c r="O45" i="38"/>
  <c r="O46" i="38"/>
  <c r="O47" i="38"/>
  <c r="O48" i="38"/>
  <c r="O49" i="38"/>
  <c r="O50" i="38"/>
  <c r="O51" i="38"/>
  <c r="O52" i="38"/>
  <c r="O53" i="38"/>
  <c r="O54" i="38"/>
  <c r="O55" i="38"/>
  <c r="O56" i="38"/>
  <c r="O57" i="38"/>
  <c r="O58" i="38"/>
  <c r="O59" i="38"/>
  <c r="O60" i="38"/>
  <c r="O61" i="38"/>
  <c r="O62" i="38"/>
  <c r="O63" i="38"/>
  <c r="O64" i="38"/>
  <c r="O65" i="38"/>
  <c r="O66" i="38"/>
  <c r="O67" i="38"/>
  <c r="O68" i="38"/>
  <c r="O69" i="38"/>
  <c r="O70" i="38"/>
  <c r="O71" i="38"/>
  <c r="O72" i="38"/>
  <c r="O73" i="38"/>
  <c r="O74" i="38"/>
  <c r="O75" i="38"/>
  <c r="O76" i="38"/>
  <c r="O77" i="38"/>
  <c r="O78" i="38"/>
  <c r="O79" i="38"/>
  <c r="O80" i="38"/>
  <c r="O81" i="38"/>
  <c r="O82" i="38"/>
  <c r="O83" i="38"/>
  <c r="O84" i="38"/>
  <c r="O85" i="38"/>
  <c r="O86" i="38"/>
  <c r="O87" i="38"/>
  <c r="O88" i="38"/>
  <c r="O89" i="38"/>
  <c r="O90" i="38"/>
  <c r="O91" i="38"/>
  <c r="O92" i="38"/>
  <c r="O93" i="38"/>
  <c r="O94" i="38"/>
  <c r="O95" i="38"/>
  <c r="O96" i="38"/>
  <c r="O97" i="38"/>
  <c r="O98" i="38"/>
  <c r="O99" i="38"/>
  <c r="O100" i="38"/>
  <c r="O101" i="38"/>
  <c r="O102" i="38"/>
  <c r="O103" i="38"/>
  <c r="O104" i="38"/>
  <c r="O105" i="38"/>
  <c r="O106" i="38"/>
  <c r="O107" i="38"/>
  <c r="O108" i="38"/>
  <c r="O109" i="38"/>
  <c r="O110" i="38"/>
  <c r="O111" i="38"/>
  <c r="O112" i="38"/>
  <c r="O113" i="38"/>
  <c r="O114" i="38"/>
  <c r="O115" i="38"/>
  <c r="O116" i="38"/>
  <c r="O117" i="38"/>
  <c r="O118" i="38"/>
  <c r="O119" i="38"/>
  <c r="O120" i="38"/>
  <c r="O121" i="38"/>
  <c r="O122" i="38"/>
  <c r="O123" i="38"/>
  <c r="O124" i="38"/>
  <c r="O125" i="38"/>
  <c r="O126" i="38"/>
  <c r="O127" i="38"/>
  <c r="O128" i="38"/>
  <c r="O129" i="38"/>
  <c r="O130" i="38"/>
  <c r="O131" i="38"/>
  <c r="O132" i="38"/>
  <c r="O133" i="38"/>
  <c r="O134" i="38"/>
  <c r="O135" i="38"/>
  <c r="O136" i="38"/>
  <c r="O137" i="38"/>
  <c r="O138" i="38"/>
  <c r="O139" i="38"/>
  <c r="O140" i="38"/>
  <c r="O141" i="38"/>
  <c r="O142" i="38"/>
  <c r="O143" i="38"/>
  <c r="O144" i="38"/>
  <c r="O145" i="38"/>
  <c r="O146" i="38"/>
  <c r="O147" i="38"/>
  <c r="O148" i="38"/>
  <c r="O149" i="38"/>
  <c r="O150" i="38"/>
  <c r="O151" i="38"/>
  <c r="O152" i="38"/>
  <c r="O153" i="38"/>
  <c r="O154" i="38"/>
  <c r="O155" i="38"/>
  <c r="O156" i="38"/>
  <c r="O157" i="38"/>
  <c r="O158" i="38"/>
  <c r="O159" i="38"/>
  <c r="O160" i="38"/>
  <c r="O161" i="38"/>
  <c r="O162" i="38"/>
  <c r="O163" i="38"/>
  <c r="O164" i="38"/>
  <c r="O165" i="38"/>
  <c r="O166" i="38"/>
  <c r="O167" i="38"/>
  <c r="O168" i="38"/>
  <c r="O169" i="38"/>
  <c r="O170" i="38"/>
  <c r="O171" i="38"/>
  <c r="O172" i="38"/>
  <c r="O173" i="38"/>
  <c r="O174" i="38"/>
  <c r="O175" i="38"/>
  <c r="O176" i="38"/>
  <c r="O177" i="38"/>
  <c r="O178" i="38"/>
  <c r="O179" i="38"/>
  <c r="O180" i="38"/>
  <c r="O181" i="38"/>
  <c r="O182" i="38"/>
  <c r="O183" i="38"/>
  <c r="O184" i="38"/>
  <c r="O185" i="38"/>
  <c r="O186" i="38"/>
  <c r="O187" i="38"/>
  <c r="O188" i="38"/>
  <c r="O189" i="38"/>
  <c r="O190" i="38"/>
  <c r="O191" i="38"/>
  <c r="O192" i="38"/>
  <c r="O193" i="38"/>
  <c r="O194" i="38"/>
  <c r="O195" i="38"/>
  <c r="O196" i="38"/>
  <c r="O197" i="38"/>
  <c r="O198" i="38"/>
  <c r="O199" i="38"/>
  <c r="O200" i="38"/>
  <c r="O201" i="38"/>
  <c r="O202" i="38"/>
  <c r="O203" i="38"/>
  <c r="O204" i="38"/>
  <c r="O205" i="38"/>
  <c r="O206" i="38"/>
  <c r="O207" i="38"/>
  <c r="O208" i="38"/>
  <c r="O209" i="38"/>
  <c r="O210" i="38"/>
  <c r="O211" i="38"/>
  <c r="O212" i="38"/>
  <c r="O213" i="38"/>
  <c r="O214" i="38"/>
  <c r="O215" i="38"/>
  <c r="O216" i="38"/>
  <c r="O217" i="38"/>
  <c r="O218" i="38"/>
  <c r="O219" i="38"/>
  <c r="O220" i="38"/>
  <c r="O221" i="38"/>
  <c r="O222" i="38"/>
  <c r="O223" i="38"/>
  <c r="O224" i="38"/>
  <c r="O225" i="38"/>
  <c r="O226" i="38"/>
  <c r="O227" i="38"/>
  <c r="O228" i="38"/>
  <c r="O229" i="38"/>
  <c r="O230" i="38"/>
  <c r="O231" i="38"/>
  <c r="O232" i="38"/>
  <c r="O233" i="38"/>
  <c r="O234" i="38"/>
  <c r="O235" i="38"/>
  <c r="O236" i="38"/>
  <c r="O237" i="38"/>
  <c r="O238" i="38"/>
  <c r="O239" i="38"/>
  <c r="O240" i="38"/>
  <c r="O241" i="38"/>
  <c r="O242" i="38"/>
  <c r="O243" i="38"/>
  <c r="O244" i="38"/>
  <c r="O245" i="38"/>
  <c r="O246" i="38"/>
  <c r="O247" i="38"/>
  <c r="O248" i="38"/>
  <c r="O249" i="38"/>
  <c r="O250" i="38"/>
  <c r="O251" i="38"/>
  <c r="O252" i="38"/>
  <c r="O253" i="38"/>
  <c r="O254" i="38"/>
  <c r="O255" i="38"/>
  <c r="O256" i="38"/>
  <c r="O257" i="38"/>
  <c r="O258" i="38"/>
  <c r="O259" i="38"/>
  <c r="O260" i="38"/>
  <c r="O261" i="38"/>
  <c r="O262" i="38"/>
  <c r="O263" i="38"/>
  <c r="O264" i="38"/>
  <c r="O265" i="38"/>
  <c r="O266" i="38"/>
  <c r="O267" i="38"/>
  <c r="O268" i="38"/>
  <c r="O269" i="38"/>
  <c r="O270" i="38"/>
  <c r="O271" i="38"/>
  <c r="O272" i="38"/>
  <c r="O273" i="38"/>
  <c r="O274" i="38"/>
  <c r="O275" i="38"/>
  <c r="O276" i="38"/>
  <c r="O277" i="38"/>
  <c r="O278" i="38"/>
  <c r="O279" i="38"/>
  <c r="O280" i="38"/>
  <c r="O281" i="38"/>
  <c r="O282" i="38"/>
  <c r="O283" i="38"/>
  <c r="O284" i="38"/>
  <c r="O285" i="38"/>
  <c r="O286" i="38"/>
  <c r="O287" i="38"/>
  <c r="O288" i="38"/>
  <c r="O289" i="38"/>
  <c r="O290" i="38"/>
  <c r="O291" i="38"/>
  <c r="O292" i="38"/>
  <c r="O293" i="38"/>
  <c r="O294" i="38"/>
  <c r="O295" i="38"/>
  <c r="O296" i="38"/>
  <c r="O297" i="38"/>
  <c r="O298" i="38"/>
  <c r="O299" i="38"/>
  <c r="O300" i="38"/>
  <c r="O301" i="38"/>
  <c r="O302" i="38"/>
  <c r="O303" i="38"/>
  <c r="O304" i="38"/>
  <c r="O305" i="38"/>
  <c r="O306" i="38"/>
  <c r="O307" i="38"/>
  <c r="O308" i="38"/>
  <c r="O309" i="38"/>
  <c r="O310" i="38"/>
  <c r="O311" i="38"/>
  <c r="O312" i="38"/>
  <c r="O313" i="38"/>
  <c r="O314" i="38"/>
  <c r="O315" i="38"/>
  <c r="O316" i="38"/>
  <c r="O317" i="38"/>
  <c r="O318" i="38"/>
  <c r="O319" i="38"/>
  <c r="O320" i="38"/>
  <c r="O321" i="38"/>
  <c r="O322" i="38"/>
  <c r="O323" i="38"/>
  <c r="O324" i="38"/>
  <c r="O325" i="38"/>
  <c r="O326" i="38"/>
  <c r="O327" i="38"/>
  <c r="O328" i="38"/>
  <c r="O329" i="38"/>
  <c r="O330" i="38"/>
  <c r="O331" i="38"/>
  <c r="O332" i="38"/>
  <c r="O333" i="38"/>
  <c r="O334" i="38"/>
  <c r="O335" i="38"/>
  <c r="O336" i="38"/>
  <c r="O337" i="38"/>
  <c r="O338" i="38"/>
  <c r="O339" i="38"/>
  <c r="O340" i="38"/>
  <c r="O341" i="38"/>
  <c r="O342" i="38"/>
  <c r="O343" i="38"/>
  <c r="O344" i="38"/>
  <c r="O345" i="38"/>
  <c r="O346" i="38"/>
  <c r="O347" i="38"/>
  <c r="O348" i="38"/>
  <c r="O349" i="38"/>
  <c r="O350" i="38"/>
  <c r="O351" i="38"/>
  <c r="O352" i="38"/>
  <c r="O353" i="38"/>
  <c r="O354" i="38"/>
  <c r="O355" i="38"/>
  <c r="O356" i="38"/>
  <c r="O357" i="38"/>
  <c r="O358" i="38"/>
  <c r="O359" i="38"/>
  <c r="O360" i="38"/>
  <c r="O361" i="38"/>
  <c r="O362" i="38"/>
  <c r="O363" i="38"/>
  <c r="O364" i="38"/>
  <c r="O365" i="38"/>
  <c r="O366" i="38"/>
  <c r="O367" i="38"/>
  <c r="O368" i="38"/>
  <c r="O369" i="38"/>
  <c r="O370" i="38"/>
  <c r="O371" i="38"/>
  <c r="O372" i="38"/>
  <c r="O373" i="38"/>
  <c r="O374" i="38"/>
  <c r="O375" i="38"/>
  <c r="O376" i="38"/>
  <c r="O377" i="38"/>
  <c r="O378" i="38"/>
  <c r="O379" i="38"/>
  <c r="O380" i="38"/>
  <c r="O381" i="38"/>
  <c r="O382" i="38"/>
  <c r="O383" i="38"/>
  <c r="O384" i="38"/>
  <c r="O385" i="38"/>
  <c r="O386" i="38"/>
  <c r="O387" i="38"/>
  <c r="O388" i="38"/>
  <c r="O389" i="38"/>
  <c r="O390" i="38"/>
  <c r="O391" i="38"/>
  <c r="O392" i="38"/>
  <c r="O393" i="38"/>
  <c r="O394" i="38"/>
  <c r="O395" i="38"/>
  <c r="O396" i="38"/>
  <c r="O397" i="38"/>
  <c r="O398" i="38"/>
  <c r="O399" i="38"/>
  <c r="O400" i="38"/>
  <c r="O401" i="38"/>
  <c r="O402" i="38"/>
  <c r="O403" i="38"/>
  <c r="O404" i="38"/>
  <c r="O405" i="38"/>
  <c r="O406" i="38"/>
  <c r="O407" i="38"/>
  <c r="O408" i="38"/>
  <c r="O409" i="38"/>
  <c r="O410" i="38"/>
  <c r="O411" i="38"/>
  <c r="O412" i="38"/>
  <c r="O413" i="38"/>
  <c r="O414" i="38"/>
  <c r="O415" i="38"/>
  <c r="O416" i="38"/>
  <c r="O417" i="38"/>
  <c r="O418" i="38"/>
  <c r="O419" i="38"/>
  <c r="O420" i="38"/>
  <c r="O421" i="38"/>
  <c r="O422" i="38"/>
  <c r="O423" i="38"/>
  <c r="O424" i="38"/>
  <c r="O425" i="38"/>
  <c r="O426" i="38"/>
  <c r="O427" i="38"/>
  <c r="O428" i="38"/>
  <c r="O429" i="38"/>
  <c r="O430" i="38"/>
  <c r="O431" i="38"/>
  <c r="O432" i="38"/>
  <c r="O433" i="38"/>
  <c r="O434" i="38"/>
  <c r="O435" i="38"/>
  <c r="O436" i="38"/>
  <c r="O437" i="38"/>
  <c r="O438" i="38"/>
  <c r="O439" i="38"/>
  <c r="O440" i="38"/>
  <c r="O441" i="38"/>
  <c r="O442" i="38"/>
  <c r="O443" i="38"/>
  <c r="O444" i="38"/>
  <c r="O445" i="38"/>
  <c r="O446" i="38"/>
  <c r="O447" i="38"/>
  <c r="O448" i="38"/>
  <c r="O449" i="38"/>
  <c r="O450" i="38"/>
  <c r="O451" i="38"/>
  <c r="O452" i="38"/>
  <c r="O453" i="38"/>
  <c r="O454" i="38"/>
  <c r="O455" i="38"/>
  <c r="O456" i="38"/>
  <c r="O457" i="38"/>
  <c r="O458" i="38"/>
  <c r="O459" i="38"/>
  <c r="O460" i="38"/>
  <c r="O461" i="38"/>
  <c r="O462" i="38"/>
  <c r="O463" i="38"/>
  <c r="O464" i="38"/>
  <c r="O465" i="38"/>
  <c r="O466" i="38"/>
  <c r="O467" i="38"/>
  <c r="O468" i="38"/>
  <c r="O469" i="38"/>
  <c r="O470" i="38"/>
  <c r="O471" i="38"/>
  <c r="O472" i="38"/>
  <c r="O473" i="38"/>
  <c r="O474" i="38"/>
  <c r="O475" i="38"/>
  <c r="O476" i="38"/>
  <c r="O477" i="38"/>
  <c r="O478" i="38"/>
  <c r="O479" i="38"/>
  <c r="O480" i="38"/>
  <c r="O481" i="38"/>
  <c r="O482" i="38"/>
  <c r="O483" i="38"/>
  <c r="O484" i="38"/>
  <c r="O485" i="38"/>
  <c r="O486" i="38"/>
  <c r="O487" i="38"/>
  <c r="O488" i="38"/>
  <c r="O489" i="38"/>
  <c r="O490" i="38"/>
  <c r="O491" i="38"/>
  <c r="O492" i="38"/>
  <c r="O493" i="38"/>
  <c r="O494" i="38"/>
  <c r="O495" i="38"/>
  <c r="O496" i="38"/>
  <c r="O497" i="38"/>
  <c r="O498" i="38"/>
  <c r="O499" i="38"/>
  <c r="O500" i="38"/>
  <c r="O501" i="38"/>
  <c r="O502" i="38"/>
  <c r="O503" i="38"/>
  <c r="O504" i="38"/>
  <c r="O505" i="38"/>
  <c r="O506" i="38"/>
  <c r="O507" i="38"/>
  <c r="O508" i="38"/>
  <c r="O509" i="38"/>
  <c r="O510" i="38"/>
  <c r="O511" i="38"/>
  <c r="O512" i="38"/>
  <c r="O513" i="38"/>
  <c r="O514" i="38"/>
  <c r="O515" i="38"/>
  <c r="O516" i="38"/>
  <c r="O517" i="38"/>
  <c r="O518" i="38"/>
  <c r="O519" i="38"/>
  <c r="O520" i="38"/>
  <c r="O521" i="38"/>
  <c r="O522" i="38"/>
  <c r="O523" i="38"/>
  <c r="O524" i="38"/>
  <c r="O525" i="38"/>
  <c r="O526" i="38"/>
  <c r="O527" i="38"/>
  <c r="O528" i="38"/>
  <c r="O529" i="38"/>
  <c r="O530" i="38"/>
  <c r="O531" i="38"/>
  <c r="O532" i="38"/>
  <c r="O533" i="38"/>
  <c r="O534" i="38"/>
  <c r="O535" i="38"/>
  <c r="O536" i="38"/>
  <c r="O537" i="38"/>
  <c r="O538" i="38"/>
  <c r="O539" i="38"/>
  <c r="O540" i="38"/>
  <c r="O541" i="38"/>
  <c r="O542" i="38"/>
  <c r="O543" i="38"/>
  <c r="O544" i="38"/>
  <c r="O545" i="38"/>
  <c r="O546" i="38"/>
  <c r="O547" i="38"/>
  <c r="O548" i="38"/>
  <c r="O549" i="38"/>
  <c r="O550" i="38"/>
  <c r="O551" i="38"/>
  <c r="O552" i="38"/>
  <c r="O553" i="38"/>
  <c r="O554" i="38"/>
  <c r="O555" i="38"/>
  <c r="O556" i="38"/>
  <c r="O557" i="38"/>
  <c r="O558" i="38"/>
  <c r="O559" i="38"/>
  <c r="O560" i="38"/>
  <c r="O561" i="38"/>
  <c r="O562" i="38"/>
  <c r="O563" i="38"/>
  <c r="O564" i="38"/>
  <c r="O565" i="38"/>
  <c r="O566" i="38"/>
  <c r="O567" i="38"/>
  <c r="O568" i="38"/>
  <c r="O569" i="38"/>
  <c r="O570" i="38"/>
  <c r="O571" i="38"/>
  <c r="O572" i="38"/>
  <c r="O573" i="38"/>
  <c r="O574" i="38"/>
  <c r="O575" i="38"/>
  <c r="O576" i="38"/>
  <c r="O577" i="38"/>
  <c r="O578" i="38"/>
  <c r="O579" i="38"/>
  <c r="O580" i="38"/>
  <c r="O581" i="38"/>
  <c r="O582" i="38"/>
  <c r="O583" i="38"/>
  <c r="O584" i="38"/>
  <c r="O585" i="38"/>
  <c r="O586" i="38"/>
  <c r="O587" i="38"/>
  <c r="O588" i="38"/>
  <c r="O589" i="38"/>
  <c r="O590" i="38"/>
  <c r="O591" i="38"/>
  <c r="O592" i="38"/>
  <c r="O593" i="38"/>
  <c r="O594" i="38"/>
  <c r="O595" i="38"/>
  <c r="O596" i="38"/>
  <c r="O597" i="38"/>
  <c r="O598" i="38"/>
  <c r="O599" i="38"/>
  <c r="O600" i="38"/>
  <c r="O601" i="38"/>
  <c r="O602" i="38"/>
  <c r="O603" i="38"/>
  <c r="O604" i="38"/>
  <c r="O605" i="38"/>
  <c r="O606" i="38"/>
  <c r="O607" i="38"/>
  <c r="O608" i="38"/>
  <c r="O609" i="38"/>
  <c r="O610" i="38"/>
  <c r="O611" i="38"/>
  <c r="O612" i="38"/>
  <c r="O613" i="38"/>
  <c r="O614" i="38"/>
  <c r="O615" i="38"/>
  <c r="O616" i="38"/>
  <c r="O617" i="38"/>
  <c r="O618" i="38"/>
  <c r="O619" i="38"/>
  <c r="O620" i="38"/>
  <c r="O621" i="38"/>
  <c r="O622" i="38"/>
  <c r="O623" i="38"/>
  <c r="O624" i="38"/>
  <c r="O625" i="38"/>
  <c r="O626" i="38"/>
  <c r="O627" i="38"/>
  <c r="O628" i="38"/>
  <c r="O629" i="38"/>
  <c r="O630" i="38"/>
  <c r="O631" i="38"/>
  <c r="O632" i="38"/>
  <c r="O633" i="38"/>
  <c r="O634" i="38"/>
  <c r="O635" i="38"/>
  <c r="O636" i="38"/>
  <c r="O637" i="38"/>
  <c r="O638" i="38"/>
  <c r="O639" i="38"/>
  <c r="O640" i="38"/>
  <c r="O641" i="38"/>
  <c r="O642" i="38"/>
  <c r="O643" i="38"/>
  <c r="O644" i="38"/>
  <c r="O645" i="38"/>
  <c r="O646" i="38"/>
  <c r="O647" i="38"/>
  <c r="O648" i="38"/>
  <c r="O649" i="38"/>
  <c r="O650" i="38"/>
  <c r="O651" i="38"/>
  <c r="O652" i="38"/>
  <c r="O653" i="38"/>
  <c r="O654" i="38"/>
  <c r="O655" i="38"/>
  <c r="O656" i="38"/>
  <c r="O657" i="38"/>
  <c r="O658" i="38"/>
  <c r="O659" i="38"/>
  <c r="O660" i="38"/>
  <c r="O661" i="38"/>
  <c r="O662" i="38"/>
  <c r="O663" i="38"/>
  <c r="O664" i="38"/>
  <c r="O665" i="38"/>
  <c r="O666" i="38"/>
  <c r="O667" i="38"/>
  <c r="O668" i="38"/>
  <c r="O669" i="38"/>
  <c r="O670" i="38"/>
  <c r="O671" i="38"/>
  <c r="O672" i="38"/>
  <c r="O673" i="38"/>
  <c r="O674" i="38"/>
  <c r="O675" i="38"/>
  <c r="O676" i="38"/>
  <c r="O677" i="38"/>
  <c r="O678" i="38"/>
  <c r="O679" i="38"/>
  <c r="O680" i="38"/>
  <c r="O681" i="38"/>
  <c r="O682" i="38"/>
  <c r="O683" i="38"/>
  <c r="O684" i="38"/>
  <c r="O685" i="38"/>
  <c r="O686" i="38"/>
  <c r="O687" i="38"/>
  <c r="O688" i="38"/>
  <c r="O689" i="38"/>
  <c r="O690" i="38"/>
  <c r="O691" i="38"/>
  <c r="O692" i="38"/>
  <c r="O693" i="38"/>
  <c r="O694" i="38"/>
  <c r="O695" i="38"/>
  <c r="O696" i="38"/>
  <c r="O697" i="38"/>
  <c r="O698" i="38"/>
  <c r="O699" i="38"/>
  <c r="O700" i="38"/>
  <c r="O701" i="38"/>
  <c r="O702" i="38"/>
  <c r="O703" i="38"/>
  <c r="O704" i="38"/>
  <c r="O705" i="38"/>
  <c r="O706" i="38"/>
  <c r="O707" i="38"/>
  <c r="O708" i="38"/>
  <c r="O709" i="38"/>
  <c r="O710" i="38"/>
  <c r="O711" i="38"/>
  <c r="O712" i="38"/>
  <c r="O713" i="38"/>
  <c r="O714" i="38"/>
  <c r="O715" i="38"/>
  <c r="O716" i="38"/>
  <c r="O717" i="38"/>
  <c r="O718" i="38"/>
  <c r="O719" i="38"/>
  <c r="O720" i="38"/>
  <c r="O721" i="38"/>
  <c r="O722" i="38"/>
  <c r="O723" i="38"/>
  <c r="O724" i="38"/>
  <c r="O725" i="38"/>
  <c r="O726" i="38"/>
  <c r="O727" i="38"/>
  <c r="O728" i="38"/>
  <c r="O729" i="38"/>
  <c r="O730" i="38"/>
  <c r="O731" i="38"/>
  <c r="O732" i="38"/>
  <c r="O733" i="38"/>
  <c r="O734" i="38"/>
  <c r="O735" i="38"/>
  <c r="O736" i="38"/>
  <c r="O737" i="38"/>
  <c r="O738" i="38"/>
  <c r="O739" i="38"/>
  <c r="O740" i="38"/>
  <c r="O741" i="38"/>
  <c r="O742" i="38"/>
  <c r="O743" i="38"/>
  <c r="O744" i="38"/>
  <c r="O745" i="38"/>
  <c r="O746" i="38"/>
  <c r="O747" i="38"/>
  <c r="O748" i="38"/>
  <c r="O749" i="38"/>
  <c r="O750" i="38"/>
  <c r="O751" i="38"/>
  <c r="O752" i="38"/>
  <c r="O753" i="38"/>
  <c r="O754" i="38"/>
  <c r="O755" i="38"/>
  <c r="O756" i="38"/>
  <c r="O757" i="38"/>
  <c r="O758" i="38"/>
  <c r="O759" i="38"/>
  <c r="O760" i="38"/>
  <c r="O761" i="38"/>
  <c r="O762" i="38"/>
  <c r="O763" i="38"/>
  <c r="O764" i="38"/>
  <c r="O765" i="38"/>
  <c r="O766" i="38"/>
  <c r="O767" i="38"/>
  <c r="O768" i="38"/>
  <c r="O769" i="38"/>
  <c r="O770" i="38"/>
  <c r="O771" i="38"/>
  <c r="O772" i="38"/>
  <c r="O773" i="38"/>
  <c r="O774" i="38"/>
  <c r="O775" i="38"/>
  <c r="O776" i="38"/>
  <c r="O777" i="38"/>
  <c r="O778" i="38"/>
  <c r="O779" i="38"/>
  <c r="O780" i="38"/>
  <c r="O781" i="38"/>
  <c r="O782" i="38"/>
  <c r="O783" i="38"/>
  <c r="O784" i="38"/>
  <c r="O785" i="38"/>
  <c r="O786" i="38"/>
  <c r="O787" i="38"/>
  <c r="O788" i="38"/>
  <c r="O789" i="38"/>
  <c r="O790" i="38"/>
  <c r="O791" i="38"/>
  <c r="O792" i="38"/>
  <c r="O793" i="38"/>
  <c r="O794" i="38"/>
  <c r="O795" i="38"/>
  <c r="O796" i="38"/>
  <c r="O797" i="38"/>
  <c r="O798" i="38"/>
  <c r="O799" i="38"/>
  <c r="O800" i="38"/>
  <c r="O801" i="38"/>
  <c r="O802" i="38"/>
  <c r="O803" i="38"/>
  <c r="O804" i="38"/>
  <c r="O805" i="38"/>
  <c r="O806" i="38"/>
  <c r="O807" i="38"/>
  <c r="O808" i="38"/>
  <c r="O809" i="38"/>
  <c r="O810" i="38"/>
  <c r="O811" i="38"/>
  <c r="O812" i="38"/>
  <c r="O813" i="38"/>
  <c r="O814" i="38"/>
  <c r="O815" i="38"/>
  <c r="O816" i="38"/>
  <c r="O817" i="38"/>
  <c r="O818" i="38"/>
  <c r="O819" i="38"/>
  <c r="O820" i="38"/>
  <c r="O821" i="38"/>
  <c r="O822" i="38"/>
  <c r="O823" i="38"/>
  <c r="O824" i="38"/>
  <c r="O825" i="38"/>
  <c r="O826" i="38"/>
  <c r="O827" i="38"/>
  <c r="O828" i="38"/>
  <c r="O829" i="38"/>
  <c r="O830" i="38"/>
  <c r="O831" i="38"/>
  <c r="O832" i="38"/>
  <c r="O833" i="38"/>
  <c r="O834" i="38"/>
  <c r="O835" i="38"/>
  <c r="O836" i="38"/>
  <c r="O837" i="38"/>
  <c r="O838" i="38"/>
  <c r="O839" i="38"/>
  <c r="O840" i="38"/>
  <c r="O841" i="38"/>
  <c r="O842" i="38"/>
  <c r="O843" i="38"/>
  <c r="O844" i="38"/>
  <c r="O845" i="38"/>
  <c r="O846" i="38"/>
  <c r="O847" i="38"/>
  <c r="O848" i="38"/>
  <c r="O849" i="38"/>
  <c r="O850" i="38"/>
  <c r="O851" i="38"/>
  <c r="O852" i="38"/>
  <c r="O853" i="38"/>
  <c r="O854" i="38"/>
  <c r="O855" i="38"/>
  <c r="O856" i="38"/>
  <c r="O857" i="38"/>
  <c r="O858" i="38"/>
  <c r="O859" i="38"/>
  <c r="O860" i="38"/>
  <c r="O861" i="38"/>
  <c r="O862" i="38"/>
  <c r="O863" i="38"/>
  <c r="O864" i="38"/>
  <c r="O865" i="38"/>
  <c r="O866" i="38"/>
  <c r="O867" i="38"/>
  <c r="O868" i="38"/>
  <c r="O869" i="38"/>
  <c r="O870" i="38"/>
  <c r="O871" i="38"/>
  <c r="O872" i="38"/>
  <c r="O873" i="38"/>
  <c r="O874" i="38"/>
  <c r="O875" i="38"/>
  <c r="O876" i="38"/>
  <c r="O877" i="38"/>
  <c r="O878" i="38"/>
  <c r="O879" i="38"/>
  <c r="O880" i="38"/>
  <c r="O881" i="38"/>
  <c r="O882" i="38"/>
  <c r="O883" i="38"/>
  <c r="O884" i="38"/>
  <c r="O885" i="38"/>
  <c r="O886" i="38"/>
  <c r="O887" i="38"/>
  <c r="O888" i="38"/>
  <c r="O889" i="38"/>
  <c r="O890" i="38"/>
  <c r="O891" i="38"/>
  <c r="O892" i="38"/>
  <c r="O893" i="38"/>
  <c r="O894" i="38"/>
  <c r="O895" i="38"/>
  <c r="O896" i="38"/>
  <c r="O897" i="38"/>
  <c r="O898" i="38"/>
  <c r="O899" i="38"/>
  <c r="O900" i="38"/>
  <c r="O901" i="38"/>
  <c r="O902" i="38"/>
  <c r="O903" i="38"/>
  <c r="O904" i="38"/>
  <c r="O905" i="38"/>
  <c r="O906" i="38"/>
  <c r="O907" i="38"/>
  <c r="O908" i="38"/>
  <c r="O909" i="38"/>
  <c r="O910" i="38"/>
  <c r="O911" i="38"/>
  <c r="O912" i="38"/>
  <c r="O913" i="38"/>
  <c r="O914" i="38"/>
  <c r="O915" i="38"/>
  <c r="O916" i="38"/>
  <c r="O917" i="38"/>
  <c r="O918" i="38"/>
  <c r="O919" i="38"/>
  <c r="O920" i="38"/>
  <c r="O921" i="38"/>
  <c r="O922" i="38"/>
  <c r="O923" i="38"/>
  <c r="O924" i="38"/>
  <c r="O925" i="38"/>
  <c r="O926" i="38"/>
  <c r="O927" i="38"/>
  <c r="O928" i="38"/>
  <c r="O929" i="38"/>
  <c r="O930" i="38"/>
  <c r="O931" i="38"/>
  <c r="O932" i="38"/>
  <c r="O933" i="38"/>
  <c r="O934" i="38"/>
  <c r="O935" i="38"/>
  <c r="O936" i="38"/>
  <c r="O937" i="38"/>
  <c r="O938" i="38"/>
  <c r="O939" i="38"/>
  <c r="O940" i="38"/>
  <c r="O941" i="38"/>
  <c r="O942" i="38"/>
  <c r="O943" i="38"/>
  <c r="O944" i="38"/>
  <c r="O945" i="38"/>
  <c r="O946" i="38"/>
  <c r="O947" i="38"/>
  <c r="O948" i="38"/>
  <c r="O949" i="38"/>
  <c r="O950" i="38"/>
  <c r="O951" i="38"/>
  <c r="O952" i="38"/>
  <c r="O953" i="38"/>
  <c r="O954" i="38"/>
  <c r="O955" i="38"/>
  <c r="O956" i="38"/>
  <c r="O957" i="38"/>
  <c r="O958" i="38"/>
  <c r="O959" i="38"/>
  <c r="O960" i="38"/>
  <c r="O961" i="38"/>
  <c r="O962" i="38"/>
  <c r="O963" i="38"/>
  <c r="O964" i="38"/>
  <c r="O965" i="38"/>
  <c r="O966" i="38"/>
  <c r="O967" i="38"/>
  <c r="O968" i="38"/>
  <c r="O969" i="38"/>
  <c r="O970" i="38"/>
  <c r="O971" i="38"/>
  <c r="O972" i="38"/>
  <c r="O973" i="38"/>
  <c r="O974" i="38"/>
  <c r="O975" i="38"/>
  <c r="O976" i="38"/>
  <c r="O977" i="38"/>
  <c r="O978" i="38"/>
  <c r="O979" i="38"/>
  <c r="O980" i="38"/>
  <c r="O981" i="38"/>
  <c r="O982" i="38"/>
  <c r="O983" i="38"/>
  <c r="O984" i="38"/>
  <c r="O985" i="38"/>
  <c r="O986" i="38"/>
  <c r="O987" i="38"/>
  <c r="O988" i="38"/>
  <c r="O989" i="38"/>
  <c r="O990" i="38"/>
  <c r="O991" i="38"/>
  <c r="O992" i="38"/>
  <c r="O993" i="38"/>
  <c r="O994" i="38"/>
  <c r="O995" i="38"/>
  <c r="O996" i="38"/>
  <c r="O997" i="38"/>
  <c r="O998" i="38"/>
  <c r="O999" i="38"/>
  <c r="O1000" i="38"/>
  <c r="O1001" i="38"/>
  <c r="O1002" i="38"/>
  <c r="O1003" i="38"/>
  <c r="O1004" i="38"/>
  <c r="O1005" i="38"/>
  <c r="O1006" i="38"/>
  <c r="O1007" i="38"/>
  <c r="O1008" i="38"/>
  <c r="O1009" i="38"/>
  <c r="O1010" i="38"/>
  <c r="O1011" i="38"/>
  <c r="O1012" i="38"/>
  <c r="O1013" i="38"/>
  <c r="O1014" i="38"/>
  <c r="O1015" i="38"/>
  <c r="O1016" i="38"/>
  <c r="O1017" i="38"/>
  <c r="O1020" i="38"/>
  <c r="O1021" i="38"/>
  <c r="O1022" i="38"/>
  <c r="O1027" i="38"/>
  <c r="O1030" i="38"/>
  <c r="O1018" i="38"/>
  <c r="O1024" i="38"/>
  <c r="R1024" i="38" l="1"/>
  <c r="S1024" i="38" s="1"/>
  <c r="R1018" i="38"/>
  <c r="S1018" i="38" s="1"/>
  <c r="T1024" i="38"/>
  <c r="T1018" i="38"/>
  <c r="U1024" i="38"/>
  <c r="U1018" i="38"/>
  <c r="V1024" i="38"/>
  <c r="V1018" i="38"/>
  <c r="R1030" i="38" l="1"/>
  <c r="S1030" i="38" s="1"/>
  <c r="T1030" i="38"/>
  <c r="U1030" i="38"/>
  <c r="V1030" i="38"/>
  <c r="R1011" i="38" l="1"/>
  <c r="S1011" i="38"/>
  <c r="T1011" i="38"/>
  <c r="U1011" i="38"/>
  <c r="V1011" i="38"/>
  <c r="R1021" i="38" l="1"/>
  <c r="S1021" i="38" s="1"/>
  <c r="T1021" i="38"/>
  <c r="U1021" i="38"/>
  <c r="V1021" i="38"/>
  <c r="R1022" i="38" l="1"/>
  <c r="S1022" i="38" s="1"/>
  <c r="T1022" i="38"/>
  <c r="U1022" i="38"/>
  <c r="V1022" i="38"/>
  <c r="R1027" i="38"/>
  <c r="S1027" i="38" s="1"/>
  <c r="T1027" i="38"/>
  <c r="U1027" i="38"/>
  <c r="V1027" i="38"/>
  <c r="R1010" i="38" l="1"/>
  <c r="S1010" i="38" s="1"/>
  <c r="T1010" i="38"/>
  <c r="U1010" i="38"/>
  <c r="V1010" i="38"/>
  <c r="R1017" i="38" l="1"/>
  <c r="S1017" i="38" s="1"/>
  <c r="T1017" i="38"/>
  <c r="U1017" i="38"/>
  <c r="V1017" i="38"/>
  <c r="R998" i="38" l="1"/>
  <c r="S998" i="38" s="1"/>
  <c r="T998" i="38"/>
  <c r="U998" i="38"/>
  <c r="V998" i="38"/>
  <c r="R1005" i="38" l="1"/>
  <c r="S1005" i="38" s="1"/>
  <c r="T1005" i="38"/>
  <c r="U1005" i="38"/>
  <c r="V1005" i="38"/>
  <c r="R997" i="38"/>
  <c r="S997" i="38" s="1"/>
  <c r="T997" i="38"/>
  <c r="U997" i="38"/>
  <c r="V997" i="38"/>
  <c r="R992" i="38" l="1"/>
  <c r="U992" i="38" s="1"/>
  <c r="S992" i="38"/>
  <c r="T992" i="38"/>
  <c r="V992" i="38"/>
  <c r="R989" i="38"/>
  <c r="S989" i="38" s="1"/>
  <c r="T989" i="38"/>
  <c r="U989" i="38"/>
  <c r="V989" i="38"/>
  <c r="R1006" i="38"/>
  <c r="S1006" i="38" s="1"/>
  <c r="R1009" i="38"/>
  <c r="S1009" i="38" s="1"/>
  <c r="T1006" i="38"/>
  <c r="T1009" i="38"/>
  <c r="U1006" i="38"/>
  <c r="U1009" i="38"/>
  <c r="V1006" i="38"/>
  <c r="V1009" i="38"/>
  <c r="R1000" i="38"/>
  <c r="S1000" i="38" s="1"/>
  <c r="R1004" i="38"/>
  <c r="S1004" i="38" s="1"/>
  <c r="T1000" i="38"/>
  <c r="T1004" i="38"/>
  <c r="U1000" i="38"/>
  <c r="U1004" i="38"/>
  <c r="V1000" i="38"/>
  <c r="V1004" i="38"/>
  <c r="R968" i="38"/>
  <c r="S968" i="38" s="1"/>
  <c r="T968" i="38"/>
  <c r="U968" i="38"/>
  <c r="V968" i="38"/>
  <c r="R979" i="38"/>
  <c r="S979" i="38" s="1"/>
  <c r="T979" i="38"/>
  <c r="U979" i="38"/>
  <c r="V979" i="38"/>
  <c r="R976" i="38" l="1"/>
  <c r="S976" i="38" s="1"/>
  <c r="T976" i="38"/>
  <c r="U976" i="38"/>
  <c r="V976" i="38"/>
  <c r="R960" i="38"/>
  <c r="S960" i="38" s="1"/>
  <c r="T960" i="38"/>
  <c r="U960" i="38"/>
  <c r="V960" i="38"/>
  <c r="R961" i="38"/>
  <c r="S961" i="38" s="1"/>
  <c r="T961" i="38"/>
  <c r="U961" i="38"/>
  <c r="V961" i="38"/>
  <c r="R1020" i="38" l="1"/>
  <c r="S1020" i="38" s="1"/>
  <c r="T1020" i="38"/>
  <c r="U1020" i="38"/>
  <c r="V1020" i="38"/>
  <c r="R1016" i="38"/>
  <c r="S1016" i="38" s="1"/>
  <c r="T1016" i="38"/>
  <c r="U1016" i="38"/>
  <c r="V1016" i="38"/>
  <c r="R1015" i="38"/>
  <c r="S1015" i="38" s="1"/>
  <c r="T1015" i="38"/>
  <c r="U1015" i="38"/>
  <c r="V1015" i="38"/>
  <c r="R953" i="38"/>
  <c r="U953" i="38" s="1"/>
  <c r="T953" i="38"/>
  <c r="V953" i="38"/>
  <c r="R1014" i="38"/>
  <c r="S1014" i="38" s="1"/>
  <c r="T1014" i="38"/>
  <c r="U1014" i="38"/>
  <c r="V1014" i="38"/>
  <c r="R1013" i="38"/>
  <c r="S1013" i="38" s="1"/>
  <c r="T1013" i="38"/>
  <c r="U1013" i="38"/>
  <c r="V1013" i="38"/>
  <c r="R1012" i="38"/>
  <c r="S1012" i="38" s="1"/>
  <c r="T1012" i="38"/>
  <c r="U1012" i="38"/>
  <c r="V1012" i="38"/>
  <c r="R1008" i="38"/>
  <c r="S1008" i="38" s="1"/>
  <c r="T1008" i="38"/>
  <c r="U1008" i="38"/>
  <c r="V1008" i="38"/>
  <c r="R1007" i="38"/>
  <c r="S1007" i="38" s="1"/>
  <c r="T1007" i="38"/>
  <c r="U1007" i="38"/>
  <c r="V1007" i="38"/>
  <c r="R1002" i="38"/>
  <c r="S1002" i="38" s="1"/>
  <c r="T1002" i="38"/>
  <c r="U1002" i="38"/>
  <c r="V1002" i="38"/>
  <c r="R1001" i="38"/>
  <c r="S1001" i="38" s="1"/>
  <c r="T1001" i="38"/>
  <c r="U1001" i="38"/>
  <c r="V1001" i="38"/>
  <c r="R1003" i="38"/>
  <c r="S1003" i="38" s="1"/>
  <c r="T1003" i="38"/>
  <c r="U1003" i="38"/>
  <c r="V1003" i="38"/>
  <c r="R999" i="38"/>
  <c r="S999" i="38" s="1"/>
  <c r="T999" i="38"/>
  <c r="U999" i="38"/>
  <c r="V999" i="38"/>
  <c r="R995" i="38"/>
  <c r="S995" i="38" s="1"/>
  <c r="T995" i="38"/>
  <c r="U995" i="38"/>
  <c r="V995" i="38"/>
  <c r="R996" i="38"/>
  <c r="S996" i="38" s="1"/>
  <c r="T996" i="38"/>
  <c r="U996" i="38"/>
  <c r="V996" i="38"/>
  <c r="R994" i="38"/>
  <c r="S994" i="38" s="1"/>
  <c r="T994" i="38"/>
  <c r="U994" i="38"/>
  <c r="V994" i="38"/>
  <c r="R958" i="38"/>
  <c r="S958" i="38" s="1"/>
  <c r="T958" i="38"/>
  <c r="U958" i="38"/>
  <c r="V958" i="38"/>
  <c r="R959" i="38"/>
  <c r="S959" i="38" s="1"/>
  <c r="T959" i="38"/>
  <c r="U959" i="38"/>
  <c r="V959" i="38"/>
  <c r="R993" i="38"/>
  <c r="S993" i="38" s="1"/>
  <c r="T993" i="38"/>
  <c r="U993" i="38"/>
  <c r="V993" i="38"/>
  <c r="R990" i="38"/>
  <c r="S990" i="38" s="1"/>
  <c r="T990" i="38"/>
  <c r="U990" i="38"/>
  <c r="V990" i="38"/>
  <c r="R991" i="38"/>
  <c r="S991" i="38" s="1"/>
  <c r="T991" i="38"/>
  <c r="U991" i="38"/>
  <c r="V991" i="38"/>
  <c r="R988" i="38"/>
  <c r="S988" i="38" s="1"/>
  <c r="T988" i="38"/>
  <c r="U988" i="38"/>
  <c r="V988" i="38"/>
  <c r="R987" i="38"/>
  <c r="S987" i="38" s="1"/>
  <c r="T987" i="38"/>
  <c r="U987" i="38"/>
  <c r="V987" i="38"/>
  <c r="R986" i="38"/>
  <c r="S986" i="38" s="1"/>
  <c r="T986" i="38"/>
  <c r="U986" i="38"/>
  <c r="V986" i="38"/>
  <c r="R985" i="38"/>
  <c r="S985" i="38" s="1"/>
  <c r="T985" i="38"/>
  <c r="U985" i="38"/>
  <c r="V985" i="38"/>
  <c r="R983" i="38"/>
  <c r="S983" i="38" s="1"/>
  <c r="T983" i="38"/>
  <c r="U983" i="38"/>
  <c r="V983" i="38"/>
  <c r="R981" i="38"/>
  <c r="S981" i="38" s="1"/>
  <c r="T981" i="38"/>
  <c r="U981" i="38"/>
  <c r="V981" i="38"/>
  <c r="R980" i="38"/>
  <c r="S980" i="38" s="1"/>
  <c r="T980" i="38"/>
  <c r="U980" i="38"/>
  <c r="V980" i="38"/>
  <c r="R978" i="38"/>
  <c r="S978" i="38" s="1"/>
  <c r="T978" i="38"/>
  <c r="U978" i="38"/>
  <c r="V978" i="38"/>
  <c r="R977" i="38"/>
  <c r="S977" i="38" s="1"/>
  <c r="T977" i="38"/>
  <c r="U977" i="38"/>
  <c r="V977" i="38"/>
  <c r="R973" i="38"/>
  <c r="S973" i="38" s="1"/>
  <c r="T973" i="38"/>
  <c r="U973" i="38"/>
  <c r="V973" i="38"/>
  <c r="R974" i="38"/>
  <c r="S974" i="38" s="1"/>
  <c r="T974" i="38"/>
  <c r="U974" i="38"/>
  <c r="V974" i="38"/>
  <c r="R984" i="38"/>
  <c r="S984" i="38" s="1"/>
  <c r="T984" i="38"/>
  <c r="U984" i="38"/>
  <c r="V984" i="38"/>
  <c r="R964" i="38"/>
  <c r="S964" i="38" s="1"/>
  <c r="T964" i="38"/>
  <c r="U964" i="38"/>
  <c r="V964" i="38"/>
  <c r="R970" i="38"/>
  <c r="S970" i="38" s="1"/>
  <c r="T970" i="38"/>
  <c r="U970" i="38"/>
  <c r="V970" i="38"/>
  <c r="R954" i="38"/>
  <c r="S954" i="38" s="1"/>
  <c r="T954" i="38"/>
  <c r="U954" i="38"/>
  <c r="V954" i="38"/>
  <c r="R972" i="38"/>
  <c r="S972" i="38" s="1"/>
  <c r="T972" i="38"/>
  <c r="U972" i="38"/>
  <c r="V972" i="38"/>
  <c r="S953" i="38" l="1"/>
  <c r="R956" i="38"/>
  <c r="S956" i="38" s="1"/>
  <c r="T956" i="38"/>
  <c r="U956" i="38"/>
  <c r="V956" i="38"/>
  <c r="R969" i="38"/>
  <c r="S969" i="38" s="1"/>
  <c r="T969" i="38"/>
  <c r="U969" i="38"/>
  <c r="V969" i="38"/>
  <c r="R967" i="38"/>
  <c r="S967" i="38" s="1"/>
  <c r="T967" i="38"/>
  <c r="U967" i="38"/>
  <c r="V967" i="38"/>
  <c r="R971" i="38"/>
  <c r="S971" i="38" s="1"/>
  <c r="T971" i="38"/>
  <c r="U971" i="38"/>
  <c r="V971" i="38"/>
  <c r="R966" i="38"/>
  <c r="S966" i="38" s="1"/>
  <c r="T966" i="38"/>
  <c r="U966" i="38"/>
  <c r="V966" i="38"/>
  <c r="R965" i="38"/>
  <c r="S965" i="38" s="1"/>
  <c r="T965" i="38"/>
  <c r="U965" i="38"/>
  <c r="V965" i="38"/>
  <c r="R963" i="38"/>
  <c r="S963" i="38" s="1"/>
  <c r="T963" i="38"/>
  <c r="U963" i="38"/>
  <c r="V963" i="38"/>
  <c r="R946" i="38" l="1"/>
  <c r="S946" i="38" s="1"/>
  <c r="T946" i="38"/>
  <c r="U946" i="38"/>
  <c r="V946" i="38"/>
  <c r="R982" i="38"/>
  <c r="S982" i="38"/>
  <c r="T982" i="38" s="1"/>
  <c r="U982" i="38"/>
  <c r="V982" i="38"/>
  <c r="R975" i="38"/>
  <c r="S975" i="38" s="1"/>
  <c r="T975" i="38"/>
  <c r="U975" i="38"/>
  <c r="V975" i="38"/>
  <c r="R962" i="38"/>
  <c r="S962" i="38" s="1"/>
  <c r="T962" i="38"/>
  <c r="U962" i="38"/>
  <c r="V962" i="38"/>
  <c r="R955" i="38"/>
  <c r="S955" i="38" s="1"/>
  <c r="T955" i="38"/>
  <c r="U955" i="38"/>
  <c r="V955" i="38"/>
  <c r="R957" i="38"/>
  <c r="S957" i="38" s="1"/>
  <c r="T957" i="38"/>
  <c r="U957" i="38"/>
  <c r="V957" i="38"/>
  <c r="R951" i="38"/>
  <c r="S951" i="38" s="1"/>
  <c r="T951" i="38"/>
  <c r="U951" i="38"/>
  <c r="V951" i="38"/>
  <c r="R947" i="38"/>
  <c r="S947" i="38" s="1"/>
  <c r="T947" i="38"/>
  <c r="U947" i="38"/>
  <c r="V947" i="38"/>
  <c r="R944" i="38"/>
  <c r="S944" i="38" s="1"/>
  <c r="T944" i="38"/>
  <c r="U944" i="38"/>
  <c r="V944" i="38"/>
  <c r="R942" i="38"/>
  <c r="S942" i="38" s="1"/>
  <c r="T942" i="38"/>
  <c r="U942" i="38"/>
  <c r="V942" i="38"/>
  <c r="R945" i="38"/>
  <c r="S945" i="38" s="1"/>
  <c r="T945" i="38"/>
  <c r="U945" i="38"/>
  <c r="V945" i="38"/>
  <c r="R950" i="38"/>
  <c r="S950" i="38" s="1"/>
  <c r="T950" i="38"/>
  <c r="U950" i="38"/>
  <c r="V950" i="38"/>
  <c r="R936" i="38"/>
  <c r="S936" i="38" s="1"/>
  <c r="T936" i="38"/>
  <c r="U936" i="38"/>
  <c r="V936" i="38"/>
  <c r="R937" i="38"/>
  <c r="S937" i="38"/>
  <c r="T937" i="38" s="1"/>
  <c r="U937" i="38"/>
  <c r="V937" i="38"/>
  <c r="R949" i="38"/>
  <c r="S949" i="38" s="1"/>
  <c r="T949" i="38"/>
  <c r="U949" i="38"/>
  <c r="V949" i="38"/>
  <c r="R952" i="38"/>
  <c r="S952" i="38" s="1"/>
  <c r="T952" i="38"/>
  <c r="U952" i="38"/>
  <c r="V952" i="38"/>
  <c r="R948" i="38"/>
  <c r="S948" i="38" s="1"/>
  <c r="T948" i="38"/>
  <c r="U948" i="38"/>
  <c r="V948" i="38"/>
  <c r="R932" i="38"/>
  <c r="S932" i="38" s="1"/>
  <c r="T932" i="38"/>
  <c r="U932" i="38"/>
  <c r="V932" i="38"/>
  <c r="R939" i="38"/>
  <c r="S939" i="38" s="1"/>
  <c r="T939" i="38"/>
  <c r="U939" i="38"/>
  <c r="V939" i="38"/>
  <c r="R933" i="38"/>
  <c r="S933" i="38" s="1"/>
  <c r="T933" i="38"/>
  <c r="U933" i="38"/>
  <c r="V933" i="38"/>
  <c r="R943" i="38"/>
  <c r="S943" i="38" s="1"/>
  <c r="T943" i="38"/>
  <c r="U943" i="38"/>
  <c r="V943" i="38"/>
  <c r="R931" i="38"/>
  <c r="S931" i="38" s="1"/>
  <c r="T931" i="38"/>
  <c r="U931" i="38"/>
  <c r="V931" i="38"/>
  <c r="R927" i="38"/>
  <c r="S927" i="38" s="1"/>
  <c r="T927" i="38"/>
  <c r="U927" i="38"/>
  <c r="V927" i="38"/>
  <c r="R938" i="38"/>
  <c r="S938" i="38" s="1"/>
  <c r="T938" i="38"/>
  <c r="U938" i="38"/>
  <c r="V938" i="38"/>
  <c r="R941" i="38"/>
  <c r="S941" i="38" s="1"/>
  <c r="T941" i="38"/>
  <c r="U941" i="38"/>
  <c r="V941" i="38"/>
  <c r="R940" i="38"/>
  <c r="S940" i="38" s="1"/>
  <c r="T940" i="38"/>
  <c r="U940" i="38"/>
  <c r="V940" i="38"/>
  <c r="R935" i="38"/>
  <c r="S935" i="38" s="1"/>
  <c r="T935" i="38"/>
  <c r="U935" i="38"/>
  <c r="V935" i="38"/>
  <c r="R934" i="38"/>
  <c r="S934" i="38" s="1"/>
  <c r="T934" i="38"/>
  <c r="U934" i="38"/>
  <c r="V934" i="38"/>
  <c r="R930" i="38"/>
  <c r="S930" i="38" s="1"/>
  <c r="T930" i="38"/>
  <c r="U930" i="38"/>
  <c r="V930" i="38"/>
  <c r="R929" i="38"/>
  <c r="S929" i="38" s="1"/>
  <c r="T929" i="38"/>
  <c r="U929" i="38"/>
  <c r="V929" i="38"/>
  <c r="R924" i="38"/>
  <c r="S924" i="38" s="1"/>
  <c r="T924" i="38"/>
  <c r="U924" i="38"/>
  <c r="V924" i="38"/>
  <c r="R928" i="38"/>
  <c r="S928" i="38" s="1"/>
  <c r="T928" i="38"/>
  <c r="U928" i="38"/>
  <c r="V928" i="38"/>
  <c r="R926" i="38"/>
  <c r="S926" i="38" s="1"/>
  <c r="T926" i="38"/>
  <c r="U926" i="38"/>
  <c r="V926" i="38"/>
  <c r="R911" i="38"/>
  <c r="S911" i="38" s="1"/>
  <c r="T911" i="38"/>
  <c r="U911" i="38"/>
  <c r="V911" i="38"/>
  <c r="R925" i="38"/>
  <c r="U925" i="38" s="1"/>
  <c r="S925" i="38"/>
  <c r="T925" i="38"/>
  <c r="V925" i="38"/>
  <c r="R905" i="38"/>
  <c r="S905" i="38" s="1"/>
  <c r="T905" i="38"/>
  <c r="U905" i="38"/>
  <c r="V905" i="38"/>
  <c r="R904" i="38"/>
  <c r="S904" i="38" s="1"/>
  <c r="T904" i="38"/>
  <c r="U904" i="38"/>
  <c r="V904" i="38"/>
  <c r="R903" i="38"/>
  <c r="S903" i="38" s="1"/>
  <c r="T903" i="38"/>
  <c r="U903" i="38"/>
  <c r="V903" i="38"/>
  <c r="R906" i="38"/>
  <c r="S906" i="38" s="1"/>
  <c r="T906" i="38"/>
  <c r="U906" i="38"/>
  <c r="V906" i="38"/>
  <c r="R913" i="38"/>
  <c r="S913" i="38" s="1"/>
  <c r="R914" i="38"/>
  <c r="S914" i="38" s="1"/>
  <c r="T913" i="38"/>
  <c r="T914" i="38"/>
  <c r="U913" i="38"/>
  <c r="U914" i="38"/>
  <c r="V913" i="38"/>
  <c r="V914" i="38"/>
  <c r="R912" i="38"/>
  <c r="S912" i="38" s="1"/>
  <c r="T912" i="38"/>
  <c r="U912" i="38"/>
  <c r="V912" i="38"/>
  <c r="R908" i="38"/>
  <c r="S908" i="38" s="1"/>
  <c r="T908" i="38"/>
  <c r="U908" i="38"/>
  <c r="V908" i="38"/>
  <c r="R902" i="38"/>
  <c r="S902" i="38" s="1"/>
  <c r="T902" i="38"/>
  <c r="U902" i="38"/>
  <c r="V902" i="38"/>
  <c r="V891" i="38"/>
  <c r="U891" i="38"/>
  <c r="T891" i="38"/>
  <c r="R891" i="38"/>
  <c r="S891" i="38" s="1"/>
  <c r="R921" i="38"/>
  <c r="S921" i="38" s="1"/>
  <c r="T921" i="38"/>
  <c r="U921" i="38"/>
  <c r="V921" i="38"/>
  <c r="R922" i="38"/>
  <c r="S922" i="38" s="1"/>
  <c r="T922" i="38"/>
  <c r="U922" i="38"/>
  <c r="V922" i="38"/>
  <c r="R919" i="38"/>
  <c r="S919" i="38" s="1"/>
  <c r="T919" i="38"/>
  <c r="U919" i="38"/>
  <c r="V919" i="38"/>
  <c r="R916" i="38"/>
  <c r="S916" i="38" s="1"/>
  <c r="T916" i="38"/>
  <c r="U916" i="38"/>
  <c r="V916" i="38"/>
  <c r="R920" i="38"/>
  <c r="S920" i="38" s="1"/>
  <c r="T920" i="38"/>
  <c r="U920" i="38"/>
  <c r="V920" i="38"/>
  <c r="R918" i="38"/>
  <c r="S918" i="38" s="1"/>
  <c r="T918" i="38"/>
  <c r="U918" i="38"/>
  <c r="V918" i="38"/>
  <c r="V869" i="38"/>
  <c r="U869" i="38"/>
  <c r="S869" i="38"/>
  <c r="T869" i="38" s="1"/>
  <c r="R869" i="38"/>
  <c r="R917" i="38"/>
  <c r="S917" i="38" s="1"/>
  <c r="T917" i="38"/>
  <c r="U917" i="38"/>
  <c r="V917" i="38"/>
  <c r="R915" i="38"/>
  <c r="S915" i="38" s="1"/>
  <c r="T915" i="38"/>
  <c r="U915" i="38"/>
  <c r="V915" i="38"/>
  <c r="R871" i="38"/>
  <c r="S871" i="38" s="1"/>
  <c r="R881" i="38"/>
  <c r="S881" i="38" s="1"/>
  <c r="T871" i="38"/>
  <c r="T881" i="38"/>
  <c r="U871" i="38"/>
  <c r="U881" i="38"/>
  <c r="V871" i="38"/>
  <c r="V881" i="38"/>
  <c r="V909" i="38"/>
  <c r="U909" i="38"/>
  <c r="T909" i="38"/>
  <c r="R909" i="38"/>
  <c r="S909" i="38" s="1"/>
  <c r="R923" i="38"/>
  <c r="S923" i="38" s="1"/>
  <c r="T923" i="38"/>
  <c r="U923" i="38"/>
  <c r="V923" i="38"/>
  <c r="V910" i="38"/>
  <c r="U910" i="38"/>
  <c r="T910" i="38"/>
  <c r="R910" i="38"/>
  <c r="S910" i="38" s="1"/>
  <c r="V900" i="38"/>
  <c r="U900" i="38"/>
  <c r="T900" i="38"/>
  <c r="R900" i="38"/>
  <c r="S900" i="38" s="1"/>
  <c r="R907" i="38"/>
  <c r="S907" i="38" s="1"/>
  <c r="T907" i="38"/>
  <c r="U907" i="38"/>
  <c r="V907" i="38"/>
  <c r="R901" i="38"/>
  <c r="S901" i="38" s="1"/>
  <c r="T901" i="38"/>
  <c r="U901" i="38"/>
  <c r="V901" i="38"/>
  <c r="R899" i="38"/>
  <c r="S899" i="38" s="1"/>
  <c r="T899" i="38"/>
  <c r="U899" i="38"/>
  <c r="V899" i="38"/>
  <c r="R898" i="38"/>
  <c r="S898" i="38" s="1"/>
  <c r="T898" i="38"/>
  <c r="U898" i="38"/>
  <c r="V898" i="38"/>
  <c r="R873" i="38"/>
  <c r="S873" i="38" s="1"/>
  <c r="R878" i="38"/>
  <c r="S878" i="38" s="1"/>
  <c r="T873" i="38"/>
  <c r="T878" i="38"/>
  <c r="U873" i="38"/>
  <c r="U878" i="38"/>
  <c r="V873" i="38"/>
  <c r="V878" i="38"/>
  <c r="R896" i="38"/>
  <c r="S896" i="38" s="1"/>
  <c r="T896" i="38"/>
  <c r="U896" i="38"/>
  <c r="V896" i="38"/>
  <c r="R897" i="38"/>
  <c r="S897" i="38" s="1"/>
  <c r="T897" i="38"/>
  <c r="U897" i="38"/>
  <c r="V897" i="38"/>
  <c r="R894" i="38"/>
  <c r="S894" i="38" s="1"/>
  <c r="T894" i="38"/>
  <c r="U894" i="38"/>
  <c r="V894" i="38"/>
  <c r="R890" i="38"/>
  <c r="S890" i="38" s="1"/>
  <c r="T890" i="38"/>
  <c r="U890" i="38"/>
  <c r="V890" i="38"/>
  <c r="R892" i="38"/>
  <c r="S892" i="38" s="1"/>
  <c r="T892" i="38"/>
  <c r="U892" i="38"/>
  <c r="V892" i="38"/>
  <c r="V893" i="38"/>
  <c r="U893" i="38"/>
  <c r="T893" i="38"/>
  <c r="R893" i="38"/>
  <c r="S893" i="38" s="1"/>
  <c r="R895" i="38"/>
  <c r="S895" i="38" s="1"/>
  <c r="T895" i="38"/>
  <c r="U895" i="38"/>
  <c r="V895" i="38"/>
  <c r="R885" i="38"/>
  <c r="S885" i="38" s="1"/>
  <c r="T885" i="38"/>
  <c r="U885" i="38"/>
  <c r="V885" i="38"/>
  <c r="R887" i="38"/>
  <c r="S887" i="38" s="1"/>
  <c r="T887" i="38"/>
  <c r="U887" i="38"/>
  <c r="V887" i="38"/>
  <c r="R889" i="38"/>
  <c r="S889" i="38"/>
  <c r="T889" i="38" s="1"/>
  <c r="U889" i="38"/>
  <c r="V889" i="38"/>
  <c r="R884" i="38"/>
  <c r="S884" i="38" s="1"/>
  <c r="T884" i="38"/>
  <c r="U884" i="38"/>
  <c r="V884" i="38"/>
  <c r="R888" i="38"/>
  <c r="S888" i="38" s="1"/>
  <c r="T888" i="38"/>
  <c r="U888" i="38"/>
  <c r="V888" i="38"/>
  <c r="R886" i="38" l="1"/>
  <c r="S886" i="38" s="1"/>
  <c r="T886" i="38"/>
  <c r="U886" i="38"/>
  <c r="V886" i="38"/>
  <c r="R883" i="38"/>
  <c r="S883" i="38" s="1"/>
  <c r="T883" i="38"/>
  <c r="U883" i="38"/>
  <c r="V883" i="38"/>
  <c r="R877" i="38"/>
  <c r="S877" i="38" s="1"/>
  <c r="T877" i="38"/>
  <c r="U877" i="38"/>
  <c r="V877" i="38"/>
  <c r="R879" i="38"/>
  <c r="S879" i="38" s="1"/>
  <c r="T879" i="38"/>
  <c r="U879" i="38"/>
  <c r="V879" i="38"/>
  <c r="R882" i="38"/>
  <c r="S882" i="38" s="1"/>
  <c r="T882" i="38"/>
  <c r="U882" i="38"/>
  <c r="V882" i="38"/>
  <c r="R880" i="38"/>
  <c r="S880" i="38" s="1"/>
  <c r="T880" i="38"/>
  <c r="U880" i="38"/>
  <c r="V880" i="38"/>
  <c r="R866" i="38"/>
  <c r="S866" i="38" s="1"/>
  <c r="R868" i="38"/>
  <c r="S868" i="38" s="1"/>
  <c r="T866" i="38"/>
  <c r="T868" i="38"/>
  <c r="U866" i="38"/>
  <c r="U868" i="38"/>
  <c r="V866" i="38"/>
  <c r="V868" i="38"/>
  <c r="R863" i="38"/>
  <c r="S863" i="38" s="1"/>
  <c r="T863" i="38"/>
  <c r="U863" i="38"/>
  <c r="V863" i="38"/>
  <c r="R876" i="38"/>
  <c r="S876" i="38" s="1"/>
  <c r="T876" i="38"/>
  <c r="U876" i="38"/>
  <c r="V876" i="38"/>
  <c r="R874" i="38"/>
  <c r="S874" i="38" s="1"/>
  <c r="T874" i="38"/>
  <c r="U874" i="38"/>
  <c r="V874" i="38"/>
  <c r="R875" i="38"/>
  <c r="S875" i="38" s="1"/>
  <c r="T875" i="38"/>
  <c r="U875" i="38"/>
  <c r="V875" i="38"/>
  <c r="R872" i="38"/>
  <c r="S872" i="38" s="1"/>
  <c r="T872" i="38"/>
  <c r="U872" i="38"/>
  <c r="V872" i="38"/>
  <c r="R870" i="38"/>
  <c r="S870" i="38" s="1"/>
  <c r="T870" i="38"/>
  <c r="U870" i="38"/>
  <c r="V870" i="38"/>
  <c r="R858" i="38"/>
  <c r="S858" i="38" s="1"/>
  <c r="T858" i="38"/>
  <c r="U858" i="38"/>
  <c r="V858" i="38"/>
  <c r="R867" i="38"/>
  <c r="S867" i="38" s="1"/>
  <c r="T867" i="38"/>
  <c r="U867" i="38"/>
  <c r="V867" i="38"/>
  <c r="R865" i="38"/>
  <c r="S865" i="38" s="1"/>
  <c r="T865" i="38"/>
  <c r="U865" i="38"/>
  <c r="V865" i="38"/>
  <c r="R864" i="38" l="1"/>
  <c r="S864" i="38" s="1"/>
  <c r="T864" i="38"/>
  <c r="U864" i="38"/>
  <c r="V864" i="38"/>
  <c r="R862" i="38"/>
  <c r="S862" i="38" s="1"/>
  <c r="T862" i="38"/>
  <c r="U862" i="38"/>
  <c r="V862" i="38"/>
  <c r="R855" i="38"/>
  <c r="S855" i="38" s="1"/>
  <c r="R857" i="38"/>
  <c r="S857" i="38" s="1"/>
  <c r="T855" i="38"/>
  <c r="T857" i="38"/>
  <c r="U855" i="38"/>
  <c r="U857" i="38"/>
  <c r="V855" i="38"/>
  <c r="V857" i="38"/>
  <c r="R854" i="38" l="1"/>
  <c r="S854" i="38" s="1"/>
  <c r="T854" i="38"/>
  <c r="U854" i="38"/>
  <c r="V854" i="38"/>
  <c r="R851" i="38"/>
  <c r="S851" i="38" s="1"/>
  <c r="T851" i="38"/>
  <c r="U851" i="38"/>
  <c r="V851" i="38"/>
  <c r="R852" i="38"/>
  <c r="S852" i="38" s="1"/>
  <c r="T852" i="38"/>
  <c r="U852" i="38"/>
  <c r="V852" i="38"/>
  <c r="R861" i="38"/>
  <c r="S861" i="38" s="1"/>
  <c r="T861" i="38"/>
  <c r="U861" i="38"/>
  <c r="V861" i="38"/>
  <c r="R860" i="38"/>
  <c r="S860" i="38" s="1"/>
  <c r="T860" i="38"/>
  <c r="U860" i="38"/>
  <c r="V860" i="38"/>
  <c r="R850" i="38"/>
  <c r="S850" i="38" s="1"/>
  <c r="T850" i="38"/>
  <c r="U850" i="38"/>
  <c r="V850" i="38"/>
  <c r="R859" i="38"/>
  <c r="S859" i="38" s="1"/>
  <c r="T859" i="38"/>
  <c r="U859" i="38"/>
  <c r="V859" i="38"/>
  <c r="R856" i="38"/>
  <c r="S856" i="38" s="1"/>
  <c r="T856" i="38"/>
  <c r="U856" i="38"/>
  <c r="V856" i="38"/>
  <c r="R847" i="38"/>
  <c r="S847" i="38" s="1"/>
  <c r="T847" i="38"/>
  <c r="U847" i="38"/>
  <c r="V847" i="38"/>
  <c r="R853" i="38" l="1"/>
  <c r="S853" i="38" s="1"/>
  <c r="T853" i="38"/>
  <c r="U853" i="38"/>
  <c r="V853" i="38"/>
  <c r="R845" i="38"/>
  <c r="S845" i="38" s="1"/>
  <c r="T845" i="38"/>
  <c r="U845" i="38"/>
  <c r="V845" i="38"/>
  <c r="R846" i="38"/>
  <c r="S846" i="38" s="1"/>
  <c r="T846" i="38"/>
  <c r="U846" i="38"/>
  <c r="V846" i="38"/>
  <c r="R849" i="38"/>
  <c r="S849" i="38" s="1"/>
  <c r="T849" i="38"/>
  <c r="U849" i="38"/>
  <c r="V849" i="38"/>
  <c r="R844" i="38"/>
  <c r="U844" i="38" s="1"/>
  <c r="S844" i="38"/>
  <c r="T844" i="38"/>
  <c r="V844" i="38"/>
  <c r="R838" i="38" l="1"/>
  <c r="S838" i="38" s="1"/>
  <c r="T838" i="38"/>
  <c r="U838" i="38"/>
  <c r="V838" i="38"/>
  <c r="R848" i="38" l="1"/>
  <c r="S848" i="38" s="1"/>
  <c r="T848" i="38"/>
  <c r="U848" i="38"/>
  <c r="V848" i="38"/>
  <c r="R843" i="38" l="1"/>
  <c r="S843" i="38" s="1"/>
  <c r="T843" i="38"/>
  <c r="U843" i="38"/>
  <c r="V843" i="38"/>
  <c r="R842" i="38" l="1"/>
  <c r="S842" i="38" s="1"/>
  <c r="T842" i="38"/>
  <c r="U842" i="38"/>
  <c r="V842" i="38"/>
  <c r="R841" i="38" l="1"/>
  <c r="S841" i="38" s="1"/>
  <c r="T841" i="38"/>
  <c r="U841" i="38"/>
  <c r="V841" i="38"/>
  <c r="R840" i="38" l="1"/>
  <c r="S840" i="38" s="1"/>
  <c r="T840" i="38"/>
  <c r="U840" i="38"/>
  <c r="V840" i="38"/>
  <c r="R835" i="38"/>
  <c r="V835" i="38" s="1"/>
  <c r="S835" i="38"/>
  <c r="T835" i="38"/>
  <c r="U835" i="38"/>
  <c r="R839" i="38"/>
  <c r="S839" i="38" s="1"/>
  <c r="T839" i="38"/>
  <c r="U839" i="38"/>
  <c r="V839" i="38"/>
  <c r="R837" i="38" l="1"/>
  <c r="S837" i="38" s="1"/>
  <c r="T837" i="38"/>
  <c r="U837" i="38"/>
  <c r="V837" i="38"/>
  <c r="R833" i="38"/>
  <c r="S833" i="38" s="1"/>
  <c r="T833" i="38"/>
  <c r="U833" i="38"/>
  <c r="V833" i="38"/>
  <c r="R832" i="38"/>
  <c r="S832" i="38" s="1"/>
  <c r="T832" i="38"/>
  <c r="U832" i="38"/>
  <c r="V832" i="38"/>
  <c r="R836" i="38"/>
  <c r="S836" i="38" s="1"/>
  <c r="T836" i="38"/>
  <c r="U836" i="38"/>
  <c r="V836" i="38"/>
  <c r="R834" i="38"/>
  <c r="S834" i="38"/>
  <c r="T834" i="38" s="1"/>
  <c r="U834" i="38"/>
  <c r="V834" i="38"/>
  <c r="R828" i="38"/>
  <c r="S828" i="38" s="1"/>
  <c r="T828" i="38"/>
  <c r="U828" i="38"/>
  <c r="V828" i="38"/>
  <c r="R827" i="38"/>
  <c r="S827" i="38" s="1"/>
  <c r="T827" i="38"/>
  <c r="U827" i="38"/>
  <c r="V827" i="38"/>
  <c r="R831" i="38"/>
  <c r="U831" i="38" s="1"/>
  <c r="S831" i="38"/>
  <c r="T831" i="38"/>
  <c r="V831" i="38"/>
  <c r="R829" i="38"/>
  <c r="S829" i="38" s="1"/>
  <c r="T829" i="38"/>
  <c r="U829" i="38"/>
  <c r="V829" i="38"/>
  <c r="R830" i="38"/>
  <c r="S830" i="38" s="1"/>
  <c r="T830" i="38"/>
  <c r="U830" i="38"/>
  <c r="V830" i="38"/>
  <c r="R826" i="38"/>
  <c r="S826" i="38" s="1"/>
  <c r="T826" i="38"/>
  <c r="U826" i="38"/>
  <c r="V826" i="38"/>
  <c r="R825" i="38"/>
  <c r="S825" i="38" s="1"/>
  <c r="T825" i="38"/>
  <c r="U825" i="38"/>
  <c r="V825" i="38"/>
  <c r="R824" i="38"/>
  <c r="S824" i="38" s="1"/>
  <c r="T824" i="38"/>
  <c r="U824" i="38"/>
  <c r="V824" i="38"/>
  <c r="R823" i="38"/>
  <c r="S823" i="38" s="1"/>
  <c r="T823" i="38"/>
  <c r="U823" i="38"/>
  <c r="V823" i="38"/>
  <c r="R822" i="38"/>
  <c r="S822" i="38" s="1"/>
  <c r="T822" i="38"/>
  <c r="U822" i="38"/>
  <c r="V822" i="38"/>
  <c r="R819" i="38"/>
  <c r="S819" i="38" s="1"/>
  <c r="T819" i="38"/>
  <c r="U819" i="38"/>
  <c r="V819" i="38"/>
  <c r="R813" i="38"/>
  <c r="S813" i="38" s="1"/>
  <c r="T813" i="38"/>
  <c r="U813" i="38"/>
  <c r="V813" i="38"/>
  <c r="R821" i="38"/>
  <c r="S821" i="38" s="1"/>
  <c r="T821" i="38"/>
  <c r="U821" i="38"/>
  <c r="V821" i="38"/>
  <c r="R820" i="38"/>
  <c r="S820" i="38" s="1"/>
  <c r="T820" i="38"/>
  <c r="U820" i="38"/>
  <c r="V820" i="38"/>
  <c r="R818" i="38"/>
  <c r="S818" i="38"/>
  <c r="T818" i="38" s="1"/>
  <c r="U818" i="38"/>
  <c r="V818" i="38"/>
  <c r="R815" i="38"/>
  <c r="S815" i="38" s="1"/>
  <c r="T815" i="38"/>
  <c r="U815" i="38"/>
  <c r="V815" i="38"/>
  <c r="R808" i="38"/>
  <c r="S808" i="38" s="1"/>
  <c r="T808" i="38"/>
  <c r="U808" i="38"/>
  <c r="V808" i="38"/>
  <c r="R804" i="38"/>
  <c r="S804" i="38" s="1"/>
  <c r="T804" i="38"/>
  <c r="U804" i="38"/>
  <c r="V804" i="38"/>
  <c r="R803" i="38"/>
  <c r="S803" i="38" s="1"/>
  <c r="T803" i="38"/>
  <c r="U803" i="38"/>
  <c r="V803" i="38"/>
  <c r="R817" i="38"/>
  <c r="S817" i="38" s="1"/>
  <c r="T817" i="38"/>
  <c r="U817" i="38"/>
  <c r="V817" i="38"/>
  <c r="R794" i="38"/>
  <c r="S794" i="38" s="1"/>
  <c r="T794" i="38"/>
  <c r="U794" i="38"/>
  <c r="V794" i="38"/>
  <c r="R788" i="38"/>
  <c r="S788" i="38" s="1"/>
  <c r="T788" i="38"/>
  <c r="U788" i="38"/>
  <c r="V788" i="38"/>
  <c r="R816" i="38"/>
  <c r="S816" i="38" s="1"/>
  <c r="T816" i="38"/>
  <c r="U816" i="38"/>
  <c r="V816" i="38"/>
  <c r="R814" i="38"/>
  <c r="S814" i="38" s="1"/>
  <c r="T814" i="38"/>
  <c r="U814" i="38"/>
  <c r="V814" i="38"/>
  <c r="R795" i="38"/>
  <c r="S795" i="38" s="1"/>
  <c r="T795" i="38"/>
  <c r="U795" i="38"/>
  <c r="V795" i="38"/>
  <c r="R798" i="38"/>
  <c r="S798" i="38" s="1"/>
  <c r="T798" i="38"/>
  <c r="U798" i="38"/>
  <c r="V798" i="38"/>
  <c r="R791" i="38"/>
  <c r="S791" i="38" s="1"/>
  <c r="T791" i="38"/>
  <c r="U791" i="38"/>
  <c r="V791" i="38"/>
  <c r="R812" i="38"/>
  <c r="S812" i="38" s="1"/>
  <c r="T812" i="38"/>
  <c r="U812" i="38"/>
  <c r="V812" i="38"/>
  <c r="R811" i="38"/>
  <c r="S811" i="38" s="1"/>
  <c r="T811" i="38"/>
  <c r="U811" i="38"/>
  <c r="V811" i="38"/>
  <c r="R807" i="38"/>
  <c r="S807" i="38" s="1"/>
  <c r="T807" i="38"/>
  <c r="U807" i="38"/>
  <c r="V807" i="38"/>
  <c r="R801" i="38"/>
  <c r="S801" i="38" s="1"/>
  <c r="T801" i="38"/>
  <c r="U801" i="38"/>
  <c r="V801" i="38"/>
  <c r="R802" i="38"/>
  <c r="S802" i="38" s="1"/>
  <c r="T802" i="38"/>
  <c r="U802" i="38"/>
  <c r="V802" i="38"/>
  <c r="R810" i="38"/>
  <c r="S810" i="38" s="1"/>
  <c r="T810" i="38"/>
  <c r="U810" i="38"/>
  <c r="V810" i="38"/>
  <c r="R809" i="38"/>
  <c r="S809" i="38" s="1"/>
  <c r="T809" i="38"/>
  <c r="U809" i="38"/>
  <c r="V809" i="38"/>
  <c r="R805" i="38"/>
  <c r="S805" i="38" s="1"/>
  <c r="T805" i="38"/>
  <c r="U805" i="38"/>
  <c r="V805" i="38"/>
  <c r="R806" i="38"/>
  <c r="S806" i="38" s="1"/>
  <c r="T806" i="38"/>
  <c r="U806" i="38"/>
  <c r="V806" i="38"/>
  <c r="R800" i="38"/>
  <c r="S800" i="38" s="1"/>
  <c r="T800" i="38"/>
  <c r="U800" i="38"/>
  <c r="V800" i="38"/>
  <c r="R792" i="38"/>
  <c r="S792" i="38" s="1"/>
  <c r="T792" i="38"/>
  <c r="U792" i="38"/>
  <c r="V792" i="38"/>
  <c r="R799" i="38"/>
  <c r="S799" i="38" s="1"/>
  <c r="T799" i="38"/>
  <c r="U799" i="38"/>
  <c r="V799" i="38"/>
  <c r="R796" i="38"/>
  <c r="S796" i="38" s="1"/>
  <c r="T796" i="38"/>
  <c r="U796" i="38"/>
  <c r="V796" i="38"/>
  <c r="R793" i="38"/>
  <c r="S793" i="38" s="1"/>
  <c r="T793" i="38"/>
  <c r="U793" i="38"/>
  <c r="V793" i="38"/>
  <c r="R797" i="38"/>
  <c r="S797" i="38" s="1"/>
  <c r="T797" i="38"/>
  <c r="U797" i="38"/>
  <c r="V797" i="38"/>
  <c r="R789" i="38"/>
  <c r="S789" i="38" s="1"/>
  <c r="T789" i="38"/>
  <c r="U789" i="38"/>
  <c r="V789" i="38"/>
  <c r="R790" i="38"/>
  <c r="S790" i="38" s="1"/>
  <c r="T790" i="38"/>
  <c r="U790" i="38"/>
  <c r="V790" i="38"/>
  <c r="R787" i="38"/>
  <c r="S787" i="38" s="1"/>
  <c r="T787" i="38"/>
  <c r="U787" i="38"/>
  <c r="V787" i="38"/>
  <c r="R779" i="38"/>
  <c r="S779" i="38"/>
  <c r="T779" i="38"/>
  <c r="U779" i="38"/>
  <c r="V779" i="38"/>
  <c r="R785" i="38"/>
  <c r="S785" i="38" s="1"/>
  <c r="T785" i="38"/>
  <c r="U785" i="38"/>
  <c r="V785" i="38"/>
  <c r="R784" i="38"/>
  <c r="U784" i="38" s="1"/>
  <c r="S784" i="38"/>
  <c r="T784" i="38"/>
  <c r="V784" i="38"/>
  <c r="R782" i="38"/>
  <c r="U782" i="38" s="1"/>
  <c r="S782" i="38"/>
  <c r="T782" i="38"/>
  <c r="V782" i="38"/>
  <c r="R783" i="38"/>
  <c r="S783" i="38" s="1"/>
  <c r="T783" i="38"/>
  <c r="U783" i="38"/>
  <c r="V783" i="38"/>
  <c r="R780" i="38"/>
  <c r="S780" i="38" s="1"/>
  <c r="T780" i="38"/>
  <c r="U780" i="38"/>
  <c r="V780" i="38"/>
  <c r="R774" i="38"/>
  <c r="S774" i="38" s="1"/>
  <c r="T774" i="38"/>
  <c r="U774" i="38"/>
  <c r="V774" i="38"/>
  <c r="R765" i="38"/>
  <c r="S765" i="38" s="1"/>
  <c r="T765" i="38"/>
  <c r="U765" i="38"/>
  <c r="V765" i="38"/>
  <c r="R776" i="38"/>
  <c r="S776" i="38" s="1"/>
  <c r="T776" i="38"/>
  <c r="U776" i="38"/>
  <c r="V776" i="38"/>
  <c r="R762" i="38"/>
  <c r="S762" i="38" s="1"/>
  <c r="T762" i="38"/>
  <c r="U762" i="38"/>
  <c r="V762" i="38"/>
  <c r="R764" i="38"/>
  <c r="S764" i="38" s="1"/>
  <c r="T764" i="38"/>
  <c r="U764" i="38"/>
  <c r="V764" i="38"/>
  <c r="R775" i="38"/>
  <c r="S775" i="38" s="1"/>
  <c r="T775" i="38"/>
  <c r="U775" i="38"/>
  <c r="V775" i="38"/>
  <c r="R773" i="38"/>
  <c r="S773" i="38" s="1"/>
  <c r="T773" i="38"/>
  <c r="U773" i="38"/>
  <c r="V773" i="38"/>
  <c r="R770" i="38"/>
  <c r="S770" i="38" s="1"/>
  <c r="T770" i="38"/>
  <c r="U770" i="38"/>
  <c r="V770" i="38"/>
  <c r="R777" i="38"/>
  <c r="S777" i="38" s="1"/>
  <c r="T777" i="38"/>
  <c r="U777" i="38"/>
  <c r="V777" i="38"/>
  <c r="R772" i="38"/>
  <c r="S772" i="38" s="1"/>
  <c r="T772" i="38"/>
  <c r="U772" i="38"/>
  <c r="V772" i="38"/>
  <c r="R786" i="38"/>
  <c r="S786" i="38" s="1"/>
  <c r="T786" i="38"/>
  <c r="U786" i="38"/>
  <c r="V786" i="38"/>
  <c r="R781" i="38"/>
  <c r="S781" i="38" s="1"/>
  <c r="T781" i="38"/>
  <c r="U781" i="38"/>
  <c r="V781" i="38"/>
  <c r="R761" i="38"/>
  <c r="S761" i="38" s="1"/>
  <c r="T761" i="38"/>
  <c r="U761" i="38"/>
  <c r="V761" i="38"/>
  <c r="R759" i="38"/>
  <c r="S759" i="38" s="1"/>
  <c r="T759" i="38"/>
  <c r="U759" i="38"/>
  <c r="V759" i="38"/>
  <c r="R778" i="38"/>
  <c r="S778" i="38" s="1"/>
  <c r="T778" i="38"/>
  <c r="U778" i="38"/>
  <c r="V778" i="38"/>
  <c r="R771" i="38"/>
  <c r="S771" i="38" s="1"/>
  <c r="T771" i="38"/>
  <c r="U771" i="38"/>
  <c r="V771" i="38"/>
  <c r="R768" i="38"/>
  <c r="S768" i="38" s="1"/>
  <c r="T768" i="38"/>
  <c r="U768" i="38"/>
  <c r="V768" i="38"/>
  <c r="R767" i="38"/>
  <c r="S767" i="38" s="1"/>
  <c r="T767" i="38"/>
  <c r="U767" i="38"/>
  <c r="V767" i="38"/>
  <c r="R766" i="38"/>
  <c r="S766" i="38" s="1"/>
  <c r="T766" i="38"/>
  <c r="U766" i="38"/>
  <c r="V766" i="38"/>
  <c r="R763" i="38"/>
  <c r="S763" i="38" s="1"/>
  <c r="T763" i="38"/>
  <c r="U763" i="38"/>
  <c r="V763" i="38"/>
  <c r="R760" i="38"/>
  <c r="S760" i="38" s="1"/>
  <c r="T760" i="38"/>
  <c r="U760" i="38"/>
  <c r="V760" i="38"/>
  <c r="R758" i="38"/>
  <c r="S758" i="38" s="1"/>
  <c r="T758" i="38"/>
  <c r="U758" i="38"/>
  <c r="V758" i="38"/>
  <c r="R757" i="38"/>
  <c r="S757" i="38" s="1"/>
  <c r="T757" i="38"/>
  <c r="U757" i="38"/>
  <c r="V757" i="38"/>
  <c r="R756" i="38"/>
  <c r="S756" i="38" s="1"/>
  <c r="T756" i="38"/>
  <c r="U756" i="38"/>
  <c r="V756" i="38"/>
  <c r="R755" i="38"/>
  <c r="S755" i="38" s="1"/>
  <c r="T755" i="38"/>
  <c r="U755" i="38"/>
  <c r="V755" i="38"/>
  <c r="R754" i="38"/>
  <c r="S754" i="38" s="1"/>
  <c r="T754" i="38"/>
  <c r="U754" i="38"/>
  <c r="V754" i="38"/>
  <c r="R752" i="38"/>
  <c r="S752" i="38" s="1"/>
  <c r="T752" i="38"/>
  <c r="U752" i="38"/>
  <c r="V752" i="38"/>
  <c r="R749" i="38"/>
  <c r="S749" i="38" s="1"/>
  <c r="T749" i="38"/>
  <c r="U749" i="38"/>
  <c r="V749" i="38"/>
  <c r="R751" i="38"/>
  <c r="S751" i="38" s="1"/>
  <c r="T751" i="38"/>
  <c r="U751" i="38"/>
  <c r="V751" i="38"/>
  <c r="R750" i="38"/>
  <c r="S750" i="38" s="1"/>
  <c r="T750" i="38"/>
  <c r="U750" i="38"/>
  <c r="V750" i="38"/>
  <c r="R769" i="38"/>
  <c r="S769" i="38" s="1"/>
  <c r="T769" i="38"/>
  <c r="U769" i="38"/>
  <c r="V769" i="38"/>
  <c r="R753" i="38"/>
  <c r="S753" i="38" s="1"/>
  <c r="T753" i="38"/>
  <c r="U753" i="38"/>
  <c r="V753" i="38"/>
  <c r="R745" i="38"/>
  <c r="S745" i="38" s="1"/>
  <c r="T745" i="38"/>
  <c r="U745" i="38"/>
  <c r="V745" i="38"/>
  <c r="R747" i="38"/>
  <c r="S747" i="38" s="1"/>
  <c r="T747" i="38"/>
  <c r="U747" i="38"/>
  <c r="V747" i="38"/>
  <c r="R746" i="38"/>
  <c r="U746" i="38" s="1"/>
  <c r="S746" i="38"/>
  <c r="T746" i="38"/>
  <c r="V746" i="38"/>
  <c r="R748" i="38"/>
  <c r="S748" i="38" s="1"/>
  <c r="T748" i="38"/>
  <c r="U748" i="38"/>
  <c r="V748" i="38"/>
  <c r="R744" i="38"/>
  <c r="S744" i="38" s="1"/>
  <c r="T744" i="38"/>
  <c r="U744" i="38"/>
  <c r="V744" i="38"/>
  <c r="R743" i="38"/>
  <c r="S743" i="38" s="1"/>
  <c r="T743" i="38"/>
  <c r="U743" i="38"/>
  <c r="V743" i="38"/>
  <c r="R741" i="38"/>
  <c r="S741" i="38" s="1"/>
  <c r="T741" i="38"/>
  <c r="U741" i="38"/>
  <c r="V741" i="38"/>
  <c r="R738" i="38"/>
  <c r="S738" i="38" s="1"/>
  <c r="T738" i="38"/>
  <c r="U738" i="38"/>
  <c r="V738" i="38"/>
  <c r="R734" i="38"/>
  <c r="S734" i="38" s="1"/>
  <c r="T734" i="38"/>
  <c r="U734" i="38"/>
  <c r="V734" i="38"/>
  <c r="R739" i="38"/>
  <c r="S739" i="38" s="1"/>
  <c r="T739" i="38"/>
  <c r="U739" i="38"/>
  <c r="V739" i="38"/>
  <c r="R736" i="38"/>
  <c r="S736" i="38" s="1"/>
  <c r="T736" i="38"/>
  <c r="U736" i="38"/>
  <c r="V736" i="38"/>
  <c r="R737" i="38"/>
  <c r="S737" i="38" s="1"/>
  <c r="T737" i="38"/>
  <c r="U737" i="38"/>
  <c r="V737" i="38"/>
  <c r="R733" i="38"/>
  <c r="S733" i="38" s="1"/>
  <c r="T733" i="38"/>
  <c r="U733" i="38"/>
  <c r="V733" i="38"/>
  <c r="R740" i="38"/>
  <c r="S740" i="38" s="1"/>
  <c r="T740" i="38"/>
  <c r="U740" i="38"/>
  <c r="V740" i="38"/>
  <c r="R735" i="38"/>
  <c r="S735" i="38" s="1"/>
  <c r="T735" i="38"/>
  <c r="U735" i="38"/>
  <c r="V735" i="38"/>
  <c r="R732" i="38"/>
  <c r="S732" i="38" s="1"/>
  <c r="T732" i="38"/>
  <c r="U732" i="38"/>
  <c r="V732" i="38"/>
  <c r="R731" i="38"/>
  <c r="S731" i="38" s="1"/>
  <c r="T731" i="38"/>
  <c r="U731" i="38"/>
  <c r="V731" i="38"/>
  <c r="R727" i="38"/>
  <c r="S727" i="38" s="1"/>
  <c r="T727" i="38"/>
  <c r="U727" i="38"/>
  <c r="V727" i="38"/>
  <c r="R730" i="38"/>
  <c r="S730" i="38" s="1"/>
  <c r="T730" i="38"/>
  <c r="U730" i="38"/>
  <c r="V730" i="38"/>
  <c r="R729" i="38"/>
  <c r="S729" i="38" s="1"/>
  <c r="T729" i="38"/>
  <c r="U729" i="38"/>
  <c r="V729" i="38"/>
  <c r="R728" i="38"/>
  <c r="S728" i="38" s="1"/>
  <c r="T728" i="38"/>
  <c r="U728" i="38"/>
  <c r="V728" i="38"/>
  <c r="R723" i="38"/>
  <c r="S723" i="38" s="1"/>
  <c r="T723" i="38"/>
  <c r="U723" i="38"/>
  <c r="V723" i="38"/>
  <c r="R722" i="38"/>
  <c r="S722" i="38" s="1"/>
  <c r="T722" i="38"/>
  <c r="U722" i="38"/>
  <c r="V722" i="38"/>
  <c r="R721" i="38"/>
  <c r="S721" i="38" s="1"/>
  <c r="T721" i="38"/>
  <c r="U721" i="38"/>
  <c r="V721" i="38"/>
  <c r="R719" i="38"/>
  <c r="S719" i="38" s="1"/>
  <c r="T719" i="38"/>
  <c r="U719" i="38"/>
  <c r="V719" i="38"/>
  <c r="R720" i="38"/>
  <c r="S720" i="38"/>
  <c r="T720" i="38"/>
  <c r="U720" i="38"/>
  <c r="V720" i="38"/>
  <c r="R718" i="38"/>
  <c r="S718" i="38" s="1"/>
  <c r="T718" i="38"/>
  <c r="U718" i="38"/>
  <c r="V718" i="38"/>
  <c r="R724" i="38"/>
  <c r="S724" i="38" s="1"/>
  <c r="T724" i="38"/>
  <c r="U724" i="38"/>
  <c r="V724" i="38"/>
  <c r="R725" i="38"/>
  <c r="S725" i="38" s="1"/>
  <c r="T725" i="38"/>
  <c r="U725" i="38"/>
  <c r="V725" i="38"/>
  <c r="R716" i="38"/>
  <c r="S716" i="38" s="1"/>
  <c r="T716" i="38"/>
  <c r="U716" i="38"/>
  <c r="V716" i="38"/>
  <c r="R717" i="38"/>
  <c r="S717" i="38" s="1"/>
  <c r="T717" i="38"/>
  <c r="U717" i="38"/>
  <c r="V717" i="38"/>
  <c r="R726" i="38"/>
  <c r="S726" i="38" s="1"/>
  <c r="T726" i="38"/>
  <c r="U726" i="38"/>
  <c r="V726" i="38"/>
  <c r="R742" i="38"/>
  <c r="S742" i="38" s="1"/>
  <c r="T742" i="38"/>
  <c r="U742" i="38"/>
  <c r="V742" i="38"/>
  <c r="R711" i="38"/>
  <c r="S711" i="38" s="1"/>
  <c r="T711" i="38"/>
  <c r="U711" i="38"/>
  <c r="V711" i="38"/>
  <c r="R706" i="38"/>
  <c r="S706" i="38" s="1"/>
  <c r="T706" i="38"/>
  <c r="U706" i="38"/>
  <c r="V706" i="38"/>
  <c r="R715" i="38"/>
  <c r="S715" i="38" s="1"/>
  <c r="T715" i="38"/>
  <c r="U715" i="38"/>
  <c r="V715" i="38"/>
  <c r="R710" i="38"/>
  <c r="S710" i="38" s="1"/>
  <c r="T710" i="38"/>
  <c r="U710" i="38"/>
  <c r="V710" i="38"/>
  <c r="R709" i="38"/>
  <c r="S709" i="38" s="1"/>
  <c r="T709" i="38"/>
  <c r="U709" i="38"/>
  <c r="V709" i="38"/>
  <c r="R714" i="38"/>
  <c r="S714" i="38" s="1"/>
  <c r="T714" i="38"/>
  <c r="U714" i="38"/>
  <c r="V714" i="38"/>
  <c r="R712" i="38"/>
  <c r="S712" i="38" s="1"/>
  <c r="T712" i="38"/>
  <c r="U712" i="38"/>
  <c r="V712" i="38"/>
  <c r="R713" i="38"/>
  <c r="S713" i="38" s="1"/>
  <c r="T713" i="38"/>
  <c r="U713" i="38"/>
  <c r="V713" i="38"/>
  <c r="R707" i="38"/>
  <c r="S707" i="38" s="1"/>
  <c r="T707" i="38"/>
  <c r="U707" i="38"/>
  <c r="V707" i="38"/>
  <c r="R705" i="38"/>
  <c r="S705" i="38" s="1"/>
  <c r="T705" i="38"/>
  <c r="U705" i="38"/>
  <c r="V705" i="38"/>
  <c r="R704" i="38"/>
  <c r="S704" i="38" s="1"/>
  <c r="T704" i="38"/>
  <c r="U704" i="38"/>
  <c r="V704" i="38"/>
  <c r="R702" i="38"/>
  <c r="S702" i="38" s="1"/>
  <c r="T702" i="38"/>
  <c r="U702" i="38"/>
  <c r="V702" i="38"/>
  <c r="R708" i="38"/>
  <c r="S708" i="38" s="1"/>
  <c r="T708" i="38"/>
  <c r="U708" i="38"/>
  <c r="V708" i="38"/>
  <c r="V703" i="38"/>
  <c r="U703" i="38"/>
  <c r="T703" i="38"/>
  <c r="R703" i="38"/>
  <c r="S703" i="38" s="1"/>
  <c r="V699" i="38"/>
  <c r="U699" i="38"/>
  <c r="T699" i="38"/>
  <c r="R699" i="38"/>
  <c r="S699" i="38" s="1"/>
  <c r="R700" i="38"/>
  <c r="S700" i="38" s="1"/>
  <c r="T700" i="38"/>
  <c r="U700" i="38"/>
  <c r="V700" i="38"/>
  <c r="R698" i="38"/>
  <c r="S698" i="38" s="1"/>
  <c r="T698" i="38"/>
  <c r="U698" i="38"/>
  <c r="V698" i="38"/>
  <c r="V701" i="38"/>
  <c r="U701" i="38"/>
  <c r="T701" i="38"/>
  <c r="R701" i="38"/>
  <c r="S701" i="38" s="1"/>
  <c r="R696" i="38"/>
  <c r="S696" i="38" s="1"/>
  <c r="T696" i="38"/>
  <c r="U696" i="38"/>
  <c r="V696" i="38"/>
  <c r="R697" i="38"/>
  <c r="S697" i="38" s="1"/>
  <c r="T697" i="38"/>
  <c r="U697" i="38"/>
  <c r="V697" i="38"/>
  <c r="R695" i="38"/>
  <c r="S695" i="38" s="1"/>
  <c r="T695" i="38"/>
  <c r="U695" i="38"/>
  <c r="V695" i="38"/>
  <c r="R694" i="38"/>
  <c r="S694" i="38" s="1"/>
  <c r="T694" i="38"/>
  <c r="U694" i="38"/>
  <c r="V694" i="38"/>
  <c r="R693" i="38"/>
  <c r="S693" i="38" s="1"/>
  <c r="T693" i="38"/>
  <c r="U693" i="38"/>
  <c r="V693" i="38"/>
  <c r="R692" i="38"/>
  <c r="S692" i="38" s="1"/>
  <c r="T692" i="38"/>
  <c r="U692" i="38"/>
  <c r="V692" i="38"/>
  <c r="R688" i="38"/>
  <c r="S688" i="38" s="1"/>
  <c r="T688" i="38"/>
  <c r="U688" i="38"/>
  <c r="V688" i="38"/>
  <c r="R687" i="38"/>
  <c r="S687" i="38" s="1"/>
  <c r="T687" i="38"/>
  <c r="U687" i="38"/>
  <c r="V687" i="38"/>
  <c r="R686" i="38"/>
  <c r="S686" i="38" s="1"/>
  <c r="T686" i="38"/>
  <c r="U686" i="38"/>
  <c r="V686" i="38"/>
  <c r="R685" i="38"/>
  <c r="S685" i="38" s="1"/>
  <c r="T685" i="38"/>
  <c r="U685" i="38"/>
  <c r="V685" i="38"/>
  <c r="R681" i="38"/>
  <c r="S681" i="38" s="1"/>
  <c r="T681" i="38"/>
  <c r="U681" i="38"/>
  <c r="V681" i="38"/>
  <c r="R682" i="38"/>
  <c r="S682" i="38" s="1"/>
  <c r="T682" i="38"/>
  <c r="U682" i="38"/>
  <c r="V682" i="38"/>
  <c r="R680" i="38"/>
  <c r="S680" i="38" s="1"/>
  <c r="T680" i="38"/>
  <c r="U680" i="38"/>
  <c r="V680" i="38"/>
  <c r="R679" i="38"/>
  <c r="S679" i="38" s="1"/>
  <c r="T679" i="38"/>
  <c r="U679" i="38"/>
  <c r="V679" i="38"/>
  <c r="R690" i="38"/>
  <c r="S690" i="38" s="1"/>
  <c r="T690" i="38"/>
  <c r="U690" i="38"/>
  <c r="V690" i="38"/>
  <c r="R677" i="38"/>
  <c r="S677" i="38" s="1"/>
  <c r="T677" i="38"/>
  <c r="U677" i="38"/>
  <c r="V677" i="38"/>
  <c r="R671" i="38"/>
  <c r="S671" i="38" s="1"/>
  <c r="T671" i="38"/>
  <c r="U671" i="38"/>
  <c r="V671" i="38"/>
  <c r="R672" i="38"/>
  <c r="S672" i="38" s="1"/>
  <c r="T672" i="38"/>
  <c r="U672" i="38"/>
  <c r="V672" i="38"/>
  <c r="R684" i="38"/>
  <c r="S684" i="38"/>
  <c r="T684" i="38"/>
  <c r="U684" i="38"/>
  <c r="V684" i="38"/>
  <c r="R683" i="38"/>
  <c r="S683" i="38" s="1"/>
  <c r="T683" i="38"/>
  <c r="U683" i="38"/>
  <c r="V683" i="38"/>
  <c r="R663" i="38"/>
  <c r="S663" i="38" s="1"/>
  <c r="T663" i="38"/>
  <c r="U663" i="38"/>
  <c r="V663" i="38"/>
  <c r="R669" i="38"/>
  <c r="S669" i="38" s="1"/>
  <c r="T669" i="38"/>
  <c r="U669" i="38"/>
  <c r="V669" i="38"/>
  <c r="R670" i="38"/>
  <c r="S670" i="38" s="1"/>
  <c r="T670" i="38"/>
  <c r="U670" i="38"/>
  <c r="V670" i="38"/>
  <c r="R674" i="38"/>
  <c r="S674" i="38" s="1"/>
  <c r="T674" i="38"/>
  <c r="U674" i="38"/>
  <c r="V674" i="38"/>
  <c r="R678" i="38"/>
  <c r="S678" i="38" s="1"/>
  <c r="T678" i="38"/>
  <c r="U678" i="38"/>
  <c r="V678" i="38"/>
  <c r="R667" i="38"/>
  <c r="S667" i="38" s="1"/>
  <c r="T667" i="38"/>
  <c r="U667" i="38"/>
  <c r="V667" i="38"/>
  <c r="R676" i="38"/>
  <c r="S676" i="38" s="1"/>
  <c r="T676" i="38"/>
  <c r="U676" i="38"/>
  <c r="V676" i="38"/>
  <c r="R668" i="38"/>
  <c r="S668" i="38" s="1"/>
  <c r="T668" i="38"/>
  <c r="U668" i="38"/>
  <c r="V668" i="38"/>
  <c r="R675" i="38"/>
  <c r="S675" i="38" s="1"/>
  <c r="T675" i="38"/>
  <c r="U675" i="38"/>
  <c r="V675" i="38"/>
  <c r="R673" i="38"/>
  <c r="S673" i="38" s="1"/>
  <c r="T673" i="38"/>
  <c r="U673" i="38"/>
  <c r="V673" i="38"/>
  <c r="R691" i="38"/>
  <c r="S691" i="38"/>
  <c r="T691" i="38" s="1"/>
  <c r="U691" i="38"/>
  <c r="V691" i="38"/>
  <c r="R653" i="38"/>
  <c r="S653" i="38" s="1"/>
  <c r="T653" i="38"/>
  <c r="U653" i="38"/>
  <c r="V653" i="38"/>
  <c r="R660" i="38"/>
  <c r="S660" i="38" s="1"/>
  <c r="T660" i="38"/>
  <c r="U660" i="38"/>
  <c r="V660" i="38"/>
  <c r="R661" i="38"/>
  <c r="S661" i="38" s="1"/>
  <c r="T661" i="38"/>
  <c r="U661" i="38"/>
  <c r="V661" i="38"/>
  <c r="R657" i="38"/>
  <c r="S657" i="38" s="1"/>
  <c r="T657" i="38"/>
  <c r="U657" i="38"/>
  <c r="V657" i="38"/>
  <c r="R662" i="38"/>
  <c r="S662" i="38" s="1"/>
  <c r="T662" i="38"/>
  <c r="U662" i="38"/>
  <c r="V662" i="38"/>
  <c r="R652" i="38"/>
  <c r="S652" i="38" s="1"/>
  <c r="T652" i="38"/>
  <c r="U652" i="38"/>
  <c r="V652" i="38"/>
  <c r="R666" i="38"/>
  <c r="S666" i="38" s="1"/>
  <c r="T666" i="38"/>
  <c r="U666" i="38"/>
  <c r="V666" i="38"/>
  <c r="R659" i="38"/>
  <c r="S659" i="38" s="1"/>
  <c r="T659" i="38"/>
  <c r="U659" i="38"/>
  <c r="V659" i="38"/>
  <c r="R665" i="38"/>
  <c r="S665" i="38" s="1"/>
  <c r="T665" i="38"/>
  <c r="U665" i="38"/>
  <c r="V665" i="38"/>
  <c r="R651" i="38"/>
  <c r="S651" i="38" s="1"/>
  <c r="T651" i="38"/>
  <c r="U651" i="38"/>
  <c r="V651" i="38"/>
  <c r="R664" i="38"/>
  <c r="S664" i="38" s="1"/>
  <c r="T664" i="38"/>
  <c r="U664" i="38"/>
  <c r="V664" i="38"/>
  <c r="R658" i="38"/>
  <c r="S658" i="38" s="1"/>
  <c r="T658" i="38"/>
  <c r="U658" i="38"/>
  <c r="V658" i="38"/>
  <c r="R649" i="38"/>
  <c r="S649" i="38" s="1"/>
  <c r="T649" i="38"/>
  <c r="U649" i="38"/>
  <c r="V649" i="38"/>
  <c r="R654" i="38"/>
  <c r="S654" i="38" s="1"/>
  <c r="T654" i="38"/>
  <c r="U654" i="38"/>
  <c r="V654" i="38"/>
  <c r="R655" i="38"/>
  <c r="S655" i="38" s="1"/>
  <c r="T655" i="38"/>
  <c r="U655" i="38"/>
  <c r="V655" i="38"/>
  <c r="R656" i="38"/>
  <c r="S656" i="38" s="1"/>
  <c r="T656" i="38"/>
  <c r="U656" i="38"/>
  <c r="V656" i="38"/>
  <c r="R650" i="38"/>
  <c r="S650" i="38" s="1"/>
  <c r="T650" i="38"/>
  <c r="U650" i="38"/>
  <c r="V650" i="38"/>
  <c r="R646" i="38"/>
  <c r="S646" i="38" s="1"/>
  <c r="T646" i="38"/>
  <c r="U646" i="38"/>
  <c r="V646" i="38"/>
  <c r="R647" i="38"/>
  <c r="S647" i="38" s="1"/>
  <c r="T647" i="38"/>
  <c r="U647" i="38"/>
  <c r="V647" i="38"/>
  <c r="R641" i="38"/>
  <c r="S641" i="38" s="1"/>
  <c r="T641" i="38"/>
  <c r="U641" i="38"/>
  <c r="V641" i="38"/>
  <c r="R645" i="38"/>
  <c r="S645" i="38" s="1"/>
  <c r="T645" i="38"/>
  <c r="U645" i="38"/>
  <c r="V645" i="38"/>
  <c r="R642" i="38"/>
  <c r="S642" i="38" s="1"/>
  <c r="T642" i="38"/>
  <c r="U642" i="38"/>
  <c r="V642" i="38"/>
  <c r="R643" i="38"/>
  <c r="S643" i="38" s="1"/>
  <c r="T643" i="38"/>
  <c r="U643" i="38"/>
  <c r="V643" i="38"/>
  <c r="R640" i="38"/>
  <c r="S640" i="38" s="1"/>
  <c r="T640" i="38"/>
  <c r="U640" i="38"/>
  <c r="V640" i="38"/>
  <c r="R639" i="38"/>
  <c r="S639" i="38" s="1"/>
  <c r="T639" i="38"/>
  <c r="U639" i="38"/>
  <c r="V639" i="38"/>
  <c r="R636" i="38"/>
  <c r="S636" i="38" s="1"/>
  <c r="T636" i="38"/>
  <c r="U636" i="38"/>
  <c r="V636" i="38"/>
  <c r="R631" i="38"/>
  <c r="S631" i="38" s="1"/>
  <c r="T631" i="38"/>
  <c r="U631" i="38"/>
  <c r="V631" i="38"/>
  <c r="R635" i="38"/>
  <c r="S635" i="38" s="1"/>
  <c r="T635" i="38"/>
  <c r="U635" i="38"/>
  <c r="V635" i="38"/>
  <c r="R633" i="38"/>
  <c r="S633" i="38" s="1"/>
  <c r="T633" i="38"/>
  <c r="U633" i="38"/>
  <c r="V633" i="38"/>
  <c r="R629" i="38"/>
  <c r="S629" i="38" s="1"/>
  <c r="T629" i="38"/>
  <c r="U629" i="38"/>
  <c r="V629" i="38"/>
  <c r="R624" i="38"/>
  <c r="S624" i="38" s="1"/>
  <c r="T624" i="38"/>
  <c r="U624" i="38"/>
  <c r="V624" i="38"/>
  <c r="R627" i="38"/>
  <c r="S627" i="38" s="1"/>
  <c r="T627" i="38"/>
  <c r="U627" i="38"/>
  <c r="V627" i="38"/>
  <c r="R622" i="38"/>
  <c r="S622" i="38" s="1"/>
  <c r="T622" i="38"/>
  <c r="U622" i="38"/>
  <c r="V622" i="38"/>
  <c r="R614" i="38"/>
  <c r="S614" i="38" s="1"/>
  <c r="T614" i="38"/>
  <c r="U614" i="38"/>
  <c r="V614" i="38"/>
  <c r="R620" i="38"/>
  <c r="S620" i="38" s="1"/>
  <c r="T620" i="38"/>
  <c r="U620" i="38"/>
  <c r="V620" i="38"/>
  <c r="R613" i="38"/>
  <c r="S613" i="38" s="1"/>
  <c r="T613" i="38"/>
  <c r="U613" i="38"/>
  <c r="V613" i="38"/>
  <c r="R621" i="38"/>
  <c r="S621" i="38" s="1"/>
  <c r="T621" i="38"/>
  <c r="U621" i="38"/>
  <c r="V621" i="38"/>
  <c r="R632" i="38"/>
  <c r="S632" i="38" s="1"/>
  <c r="T632" i="38"/>
  <c r="U632" i="38"/>
  <c r="V632" i="38"/>
  <c r="R626" i="38"/>
  <c r="S626" i="38" s="1"/>
  <c r="T626" i="38"/>
  <c r="U626" i="38"/>
  <c r="V626" i="38"/>
  <c r="R637" i="38"/>
  <c r="S637" i="38" s="1"/>
  <c r="T637" i="38"/>
  <c r="U637" i="38"/>
  <c r="V637" i="38"/>
  <c r="R623" i="38"/>
  <c r="S623" i="38" s="1"/>
  <c r="T623" i="38"/>
  <c r="U623" i="38"/>
  <c r="V623" i="38"/>
  <c r="R628" i="38"/>
  <c r="S628" i="38" s="1"/>
  <c r="T628" i="38"/>
  <c r="U628" i="38"/>
  <c r="V628" i="38"/>
  <c r="R634" i="38"/>
  <c r="S634" i="38" s="1"/>
  <c r="T634" i="38"/>
  <c r="U634" i="38"/>
  <c r="V634" i="38"/>
  <c r="R608" i="38"/>
  <c r="S608" i="38" s="1"/>
  <c r="T608" i="38"/>
  <c r="U608" i="38"/>
  <c r="V608" i="38"/>
  <c r="R638" i="38"/>
  <c r="S638" i="38" s="1"/>
  <c r="T638" i="38"/>
  <c r="U638" i="38"/>
  <c r="V638" i="38"/>
  <c r="R610" i="38"/>
  <c r="S610" i="38" s="1"/>
  <c r="T610" i="38"/>
  <c r="U610" i="38"/>
  <c r="V610" i="38"/>
  <c r="R612" i="38"/>
  <c r="S612" i="38" s="1"/>
  <c r="T612" i="38"/>
  <c r="U612" i="38"/>
  <c r="V612" i="38"/>
  <c r="R605" i="38"/>
  <c r="S605" i="38"/>
  <c r="T605" i="38"/>
  <c r="U605" i="38"/>
  <c r="V605" i="38"/>
  <c r="R606" i="38"/>
  <c r="S606" i="38"/>
  <c r="T606" i="38"/>
  <c r="U606" i="38"/>
  <c r="V606" i="38"/>
  <c r="R644" i="38"/>
  <c r="S644" i="38" s="1"/>
  <c r="T644" i="38"/>
  <c r="U644" i="38"/>
  <c r="V644" i="38"/>
  <c r="R630" i="38"/>
  <c r="S630" i="38" s="1"/>
  <c r="T630" i="38"/>
  <c r="U630" i="38"/>
  <c r="V630" i="38"/>
  <c r="R609" i="38"/>
  <c r="S609" i="38" s="1"/>
  <c r="T609" i="38"/>
  <c r="U609" i="38"/>
  <c r="V609" i="38"/>
  <c r="R600" i="38"/>
  <c r="S600" i="38" s="1"/>
  <c r="T600" i="38"/>
  <c r="U600" i="38"/>
  <c r="V600" i="38"/>
  <c r="R603" i="38"/>
  <c r="S603" i="38" s="1"/>
  <c r="T603" i="38"/>
  <c r="U603" i="38"/>
  <c r="V603" i="38"/>
  <c r="R648" i="38"/>
  <c r="S648" i="38" s="1"/>
  <c r="T648" i="38"/>
  <c r="U648" i="38"/>
  <c r="V648" i="38"/>
  <c r="R689" i="38"/>
  <c r="S689" i="38" s="1"/>
  <c r="T689" i="38"/>
  <c r="U689" i="38"/>
  <c r="V689" i="38"/>
  <c r="R625" i="38"/>
  <c r="S625" i="38" s="1"/>
  <c r="T625" i="38"/>
  <c r="U625" i="38"/>
  <c r="V625" i="38"/>
  <c r="R619" i="38"/>
  <c r="S619" i="38" s="1"/>
  <c r="T619" i="38"/>
  <c r="U619" i="38"/>
  <c r="V619" i="38"/>
  <c r="R601" i="38"/>
  <c r="S601" i="38" s="1"/>
  <c r="T601" i="38"/>
  <c r="U601" i="38"/>
  <c r="V601" i="38"/>
  <c r="R617" i="38"/>
  <c r="S617" i="38" s="1"/>
  <c r="T617" i="38"/>
  <c r="U617" i="38"/>
  <c r="V617" i="38"/>
  <c r="T29" i="38"/>
  <c r="R615" i="38"/>
  <c r="S615" i="38"/>
  <c r="T615" i="38"/>
  <c r="U615" i="38"/>
  <c r="V615" i="38"/>
  <c r="R611" i="38"/>
  <c r="S611" i="38" s="1"/>
  <c r="T611" i="38"/>
  <c r="U611" i="38"/>
  <c r="V611" i="38"/>
  <c r="R607" i="38"/>
  <c r="S607" i="38" s="1"/>
  <c r="T607" i="38"/>
  <c r="U607" i="38"/>
  <c r="V607" i="38"/>
  <c r="R604" i="38"/>
  <c r="S604" i="38" s="1"/>
  <c r="T604" i="38"/>
  <c r="U604" i="38"/>
  <c r="V604" i="38"/>
  <c r="R602" i="38"/>
  <c r="S602" i="38" s="1"/>
  <c r="T602" i="38"/>
  <c r="U602" i="38"/>
  <c r="V602" i="38"/>
  <c r="R595" i="38"/>
  <c r="S595" i="38" s="1"/>
  <c r="T595" i="38"/>
  <c r="U595" i="38"/>
  <c r="V595" i="38"/>
  <c r="R592" i="38"/>
  <c r="S592" i="38" s="1"/>
  <c r="T592" i="38"/>
  <c r="U592" i="38"/>
  <c r="V592" i="38"/>
  <c r="V590" i="38"/>
  <c r="U590" i="38"/>
  <c r="T590" i="38"/>
  <c r="S590" i="38"/>
  <c r="R590" i="38"/>
  <c r="R586" i="38"/>
  <c r="S586" i="38" s="1"/>
  <c r="T586" i="38"/>
  <c r="U586" i="38"/>
  <c r="V586" i="38"/>
  <c r="R583" i="38"/>
  <c r="S583" i="38" s="1"/>
  <c r="T583" i="38"/>
  <c r="U583" i="38"/>
  <c r="V583" i="38"/>
  <c r="R591" i="38"/>
  <c r="S591" i="38" s="1"/>
  <c r="T591" i="38"/>
  <c r="U591" i="38"/>
  <c r="V591" i="38"/>
  <c r="R587" i="38"/>
  <c r="S587" i="38" s="1"/>
  <c r="T587" i="38"/>
  <c r="U587" i="38"/>
  <c r="V587" i="38"/>
  <c r="R585" i="38"/>
  <c r="S585" i="38" s="1"/>
  <c r="T585" i="38"/>
  <c r="U585" i="38"/>
  <c r="V585" i="38"/>
  <c r="R581" i="38"/>
  <c r="S581" i="38" s="1"/>
  <c r="T581" i="38"/>
  <c r="U581" i="38"/>
  <c r="V581" i="38"/>
  <c r="R573" i="38"/>
  <c r="S573" i="38" s="1"/>
  <c r="T573" i="38"/>
  <c r="U573" i="38"/>
  <c r="V573" i="38"/>
  <c r="R572" i="38" l="1"/>
  <c r="S572" i="38" s="1"/>
  <c r="T572" i="38"/>
  <c r="U572" i="38"/>
  <c r="V572" i="38"/>
  <c r="R565" i="38" l="1"/>
  <c r="S565" i="38" s="1"/>
  <c r="T565" i="38"/>
  <c r="U565" i="38"/>
  <c r="V565" i="38"/>
  <c r="R550" i="38"/>
  <c r="S550" i="38" s="1"/>
  <c r="T550" i="38"/>
  <c r="U550" i="38"/>
  <c r="V550" i="38"/>
  <c r="R618" i="38" l="1"/>
  <c r="S618" i="38" s="1"/>
  <c r="T618" i="38"/>
  <c r="U618" i="38"/>
  <c r="V618" i="38"/>
  <c r="R616" i="38"/>
  <c r="S616" i="38" s="1"/>
  <c r="T616" i="38"/>
  <c r="U616" i="38"/>
  <c r="V616" i="38"/>
  <c r="R541" i="38"/>
  <c r="S541" i="38" s="1"/>
  <c r="T541" i="38"/>
  <c r="U541" i="38"/>
  <c r="V541" i="38"/>
  <c r="R566" i="38"/>
  <c r="S566" i="38" s="1"/>
  <c r="T566" i="38"/>
  <c r="U566" i="38"/>
  <c r="V566" i="38"/>
  <c r="R547" i="38"/>
  <c r="S547" i="38" s="1"/>
  <c r="T547" i="38"/>
  <c r="U547" i="38"/>
  <c r="V547" i="38"/>
  <c r="R540" i="38" l="1"/>
  <c r="S540" i="38" s="1"/>
  <c r="T540" i="38"/>
  <c r="U540" i="38"/>
  <c r="V540" i="38"/>
  <c r="R556" i="38" l="1"/>
  <c r="S556" i="38" s="1"/>
  <c r="T556" i="38"/>
  <c r="U556" i="38"/>
  <c r="V556" i="38"/>
  <c r="R538" i="38" l="1"/>
  <c r="S538" i="38" s="1"/>
  <c r="T538" i="38"/>
  <c r="U538" i="38"/>
  <c r="V538" i="38"/>
  <c r="R532" i="38"/>
  <c r="S532" i="38" s="1"/>
  <c r="T532" i="38"/>
  <c r="U532" i="38"/>
  <c r="V532" i="38"/>
  <c r="R589" i="38" l="1"/>
  <c r="S589" i="38"/>
  <c r="T589" i="38"/>
  <c r="U589" i="38"/>
  <c r="V589" i="38"/>
  <c r="R535" i="38"/>
  <c r="S535" i="38" s="1"/>
  <c r="T535" i="38"/>
  <c r="U535" i="38"/>
  <c r="V535" i="38"/>
  <c r="R530" i="38"/>
  <c r="S530" i="38" s="1"/>
  <c r="T530" i="38"/>
  <c r="U530" i="38"/>
  <c r="V530" i="38"/>
  <c r="R552" i="38"/>
  <c r="S552" i="38" s="1"/>
  <c r="T552" i="38"/>
  <c r="U552" i="38"/>
  <c r="V552" i="38"/>
  <c r="R544" i="38"/>
  <c r="S544" i="38" s="1"/>
  <c r="T544" i="38"/>
  <c r="U544" i="38"/>
  <c r="V544" i="38"/>
  <c r="R567" i="38"/>
  <c r="S567" i="38" s="1"/>
  <c r="T567" i="38"/>
  <c r="U567" i="38"/>
  <c r="V567" i="38"/>
  <c r="R557" i="38"/>
  <c r="S557" i="38" s="1"/>
  <c r="T557" i="38"/>
  <c r="U557" i="38"/>
  <c r="V557" i="38"/>
  <c r="R549" i="38" l="1"/>
  <c r="S549" i="38" s="1"/>
  <c r="T549" i="38"/>
  <c r="U549" i="38"/>
  <c r="V549" i="38"/>
  <c r="R559" i="38"/>
  <c r="S559" i="38" s="1"/>
  <c r="T559" i="38"/>
  <c r="U559" i="38"/>
  <c r="V559" i="38"/>
  <c r="R546" i="38"/>
  <c r="S546" i="38" s="1"/>
  <c r="T546" i="38"/>
  <c r="U546" i="38"/>
  <c r="V546" i="38"/>
  <c r="R568" i="38"/>
  <c r="S568" i="38" s="1"/>
  <c r="T568" i="38"/>
  <c r="U568" i="38"/>
  <c r="V568" i="38"/>
  <c r="R539" i="38"/>
  <c r="S539" i="38" s="1"/>
  <c r="T539" i="38"/>
  <c r="U539" i="38"/>
  <c r="V539" i="38"/>
  <c r="R528" i="38" l="1"/>
  <c r="S528" i="38" s="1"/>
  <c r="T528" i="38"/>
  <c r="U528" i="38"/>
  <c r="V528" i="38"/>
  <c r="R526" i="38"/>
  <c r="S526" i="38" s="1"/>
  <c r="T526" i="38"/>
  <c r="U526" i="38"/>
  <c r="V526" i="38"/>
  <c r="R558" i="38" l="1"/>
  <c r="S558" i="38" s="1"/>
  <c r="T558" i="38"/>
  <c r="U558" i="38"/>
  <c r="V558" i="38"/>
  <c r="R553" i="38"/>
  <c r="S553" i="38" s="1"/>
  <c r="T553" i="38"/>
  <c r="U553" i="38"/>
  <c r="V553" i="38"/>
  <c r="R533" i="38" l="1"/>
  <c r="S533" i="38" s="1"/>
  <c r="T533" i="38"/>
  <c r="U533" i="38"/>
  <c r="V533" i="38"/>
  <c r="R529" i="38"/>
  <c r="S529" i="38" s="1"/>
  <c r="T529" i="38"/>
  <c r="U529" i="38"/>
  <c r="V529" i="38"/>
  <c r="R599" i="38"/>
  <c r="S599" i="38" s="1"/>
  <c r="T599" i="38"/>
  <c r="U599" i="38"/>
  <c r="V599" i="38"/>
  <c r="R597" i="38" l="1"/>
  <c r="S597" i="38" s="1"/>
  <c r="T597" i="38"/>
  <c r="U597" i="38"/>
  <c r="V597" i="38"/>
  <c r="R596" i="38"/>
  <c r="S596" i="38" s="1"/>
  <c r="T596" i="38"/>
  <c r="U596" i="38"/>
  <c r="V596" i="38"/>
  <c r="R594" i="38"/>
  <c r="S594" i="38" s="1"/>
  <c r="T594" i="38"/>
  <c r="U594" i="38"/>
  <c r="V594" i="38"/>
  <c r="R593" i="38"/>
  <c r="S593" i="38" s="1"/>
  <c r="T593" i="38"/>
  <c r="U593" i="38"/>
  <c r="V593" i="38"/>
  <c r="R588" i="38" l="1"/>
  <c r="S588" i="38" s="1"/>
  <c r="T588" i="38"/>
  <c r="U588" i="38"/>
  <c r="V588" i="38"/>
  <c r="R584" i="38"/>
  <c r="S584" i="38" s="1"/>
  <c r="T584" i="38"/>
  <c r="U584" i="38"/>
  <c r="V584" i="38"/>
  <c r="R582" i="38"/>
  <c r="S582" i="38" s="1"/>
  <c r="T582" i="38"/>
  <c r="U582" i="38"/>
  <c r="V582" i="38"/>
  <c r="R580" i="38"/>
  <c r="S580" i="38" s="1"/>
  <c r="T580" i="38"/>
  <c r="U580" i="38"/>
  <c r="V580" i="38"/>
  <c r="R525" i="38"/>
  <c r="S525" i="38" s="1"/>
  <c r="T525" i="38"/>
  <c r="U525" i="38"/>
  <c r="V525" i="38"/>
  <c r="R578" i="38"/>
  <c r="S578" i="38" s="1"/>
  <c r="T578" i="38"/>
  <c r="U578" i="38"/>
  <c r="V578" i="38"/>
  <c r="R579" i="38"/>
  <c r="S579" i="38" s="1"/>
  <c r="T579" i="38"/>
  <c r="U579" i="38"/>
  <c r="V579" i="38"/>
  <c r="R598" i="38" l="1"/>
  <c r="S598" i="38" s="1"/>
  <c r="T598" i="38"/>
  <c r="U598" i="38"/>
  <c r="V598" i="38"/>
  <c r="R577" i="38"/>
  <c r="S577" i="38" s="1"/>
  <c r="T577" i="38"/>
  <c r="U577" i="38"/>
  <c r="V577" i="38"/>
  <c r="R527" i="38" l="1"/>
  <c r="S527" i="38" s="1"/>
  <c r="T527" i="38"/>
  <c r="U527" i="38"/>
  <c r="V527" i="38"/>
  <c r="R513" i="38" l="1"/>
  <c r="S513" i="38" s="1"/>
  <c r="T513" i="38"/>
  <c r="U513" i="38"/>
  <c r="V513" i="38"/>
  <c r="R575" i="38" l="1"/>
  <c r="S575" i="38" s="1"/>
  <c r="T575" i="38"/>
  <c r="U575" i="38"/>
  <c r="V575" i="38"/>
  <c r="R574" i="38"/>
  <c r="S574" i="38" s="1"/>
  <c r="T574" i="38"/>
  <c r="U574" i="38"/>
  <c r="V574" i="38"/>
  <c r="R571" i="38"/>
  <c r="S571" i="38" s="1"/>
  <c r="T571" i="38"/>
  <c r="U571" i="38"/>
  <c r="V571" i="38"/>
  <c r="R521" i="38" l="1"/>
  <c r="S521" i="38" s="1"/>
  <c r="T521" i="38"/>
  <c r="U521" i="38"/>
  <c r="V521" i="38"/>
  <c r="R517" i="38"/>
  <c r="S517" i="38" s="1"/>
  <c r="T517" i="38"/>
  <c r="U517" i="38"/>
  <c r="V517" i="38"/>
  <c r="R570" i="38"/>
  <c r="S570" i="38" s="1"/>
  <c r="T570" i="38"/>
  <c r="U570" i="38"/>
  <c r="V570" i="38"/>
  <c r="R537" i="38"/>
  <c r="U537" i="38" s="1"/>
  <c r="S537" i="38"/>
  <c r="T537" i="38"/>
  <c r="V537" i="38"/>
  <c r="R519" i="38"/>
  <c r="S519" i="38" s="1"/>
  <c r="T519" i="38"/>
  <c r="U519" i="38"/>
  <c r="V519" i="38"/>
  <c r="R564" i="38"/>
  <c r="S564" i="38" s="1"/>
  <c r="T564" i="38"/>
  <c r="U564" i="38"/>
  <c r="V564" i="38"/>
  <c r="R562" i="38"/>
  <c r="S562" i="38" s="1"/>
  <c r="T562" i="38"/>
  <c r="U562" i="38"/>
  <c r="V562" i="38"/>
  <c r="R561" i="38"/>
  <c r="S561" i="38" s="1"/>
  <c r="T561" i="38"/>
  <c r="U561" i="38"/>
  <c r="V561" i="38"/>
  <c r="R560" i="38"/>
  <c r="S560" i="38" s="1"/>
  <c r="T560" i="38"/>
  <c r="U560" i="38"/>
  <c r="V560" i="38"/>
  <c r="R555" i="38"/>
  <c r="S555" i="38" s="1"/>
  <c r="T555" i="38"/>
  <c r="U555" i="38"/>
  <c r="V555" i="38"/>
  <c r="R551" i="38"/>
  <c r="S551" i="38" s="1"/>
  <c r="T551" i="38"/>
  <c r="U551" i="38"/>
  <c r="V551" i="38"/>
  <c r="R548" i="38"/>
  <c r="S548" i="38" s="1"/>
  <c r="T548" i="38"/>
  <c r="U548" i="38"/>
  <c r="V548" i="38"/>
  <c r="R520" i="38" l="1"/>
  <c r="S520" i="38" s="1"/>
  <c r="T520" i="38"/>
  <c r="U520" i="38"/>
  <c r="V520" i="38"/>
  <c r="R545" i="38" l="1"/>
  <c r="S545" i="38" s="1"/>
  <c r="T545" i="38"/>
  <c r="U545" i="38"/>
  <c r="V545" i="38"/>
  <c r="R534" i="38"/>
  <c r="S534" i="38"/>
  <c r="T534" i="38" s="1"/>
  <c r="U534" i="38"/>
  <c r="V534" i="38"/>
  <c r="R524" i="38"/>
  <c r="S524" i="38" s="1"/>
  <c r="T524" i="38"/>
  <c r="U524" i="38"/>
  <c r="V524" i="38"/>
  <c r="R576" i="38" l="1"/>
  <c r="S576" i="38" s="1"/>
  <c r="T576" i="38"/>
  <c r="U576" i="38"/>
  <c r="V576" i="38"/>
  <c r="R569" i="38"/>
  <c r="S569" i="38" s="1"/>
  <c r="T569" i="38"/>
  <c r="U569" i="38"/>
  <c r="V569" i="38"/>
  <c r="R554" i="38"/>
  <c r="S554" i="38" s="1"/>
  <c r="T554" i="38"/>
  <c r="U554" i="38"/>
  <c r="V554" i="38"/>
  <c r="R543" i="38"/>
  <c r="S543" i="38" s="1"/>
  <c r="T543" i="38"/>
  <c r="U543" i="38"/>
  <c r="V543" i="38"/>
  <c r="R563" i="38"/>
  <c r="S563" i="38" s="1"/>
  <c r="T563" i="38"/>
  <c r="U563" i="38"/>
  <c r="V563" i="38"/>
  <c r="R542" i="38"/>
  <c r="S542" i="38" s="1"/>
  <c r="T542" i="38"/>
  <c r="U542" i="38"/>
  <c r="V542" i="38"/>
  <c r="R536" i="38" l="1"/>
  <c r="S536" i="38" s="1"/>
  <c r="T536" i="38"/>
  <c r="U536" i="38"/>
  <c r="V536" i="38"/>
  <c r="R523" i="38" l="1"/>
  <c r="S523" i="38" s="1"/>
  <c r="T523" i="38"/>
  <c r="U523" i="38"/>
  <c r="V523" i="38"/>
  <c r="R507" i="38" l="1"/>
  <c r="S507" i="38" s="1"/>
  <c r="T507" i="38"/>
  <c r="U507" i="38"/>
  <c r="V507" i="38"/>
  <c r="R512" i="38" l="1"/>
  <c r="S512" i="38" s="1"/>
  <c r="T512" i="38"/>
  <c r="U512" i="38"/>
  <c r="V512" i="38"/>
  <c r="R510" i="38"/>
  <c r="S510" i="38" s="1"/>
  <c r="T510" i="38"/>
  <c r="U510" i="38"/>
  <c r="V510" i="38"/>
  <c r="R509" i="38"/>
  <c r="S509" i="38" s="1"/>
  <c r="T509" i="38"/>
  <c r="U509" i="38"/>
  <c r="V509" i="38"/>
  <c r="R505" i="38" l="1"/>
  <c r="U505" i="38" s="1"/>
  <c r="S505" i="38"/>
  <c r="T505" i="38"/>
  <c r="V505" i="38"/>
  <c r="R504" i="38"/>
  <c r="S504" i="38" s="1"/>
  <c r="T504" i="38"/>
  <c r="U504" i="38"/>
  <c r="V504" i="38"/>
  <c r="V498" i="38" l="1"/>
  <c r="U498" i="38"/>
  <c r="T498" i="38"/>
  <c r="R498" i="38"/>
  <c r="S498" i="38" s="1"/>
  <c r="R502" i="38" l="1"/>
  <c r="S502" i="38" s="1"/>
  <c r="T502" i="38"/>
  <c r="U502" i="38"/>
  <c r="V502" i="38"/>
  <c r="R497" i="38"/>
  <c r="S497" i="38" s="1"/>
  <c r="T497" i="38"/>
  <c r="U497" i="38"/>
  <c r="V497" i="38"/>
  <c r="R493" i="38"/>
  <c r="S493" i="38" s="1"/>
  <c r="T493" i="38"/>
  <c r="U493" i="38"/>
  <c r="V493" i="38"/>
  <c r="R494" i="38" l="1"/>
  <c r="S494" i="38" s="1"/>
  <c r="T494" i="38"/>
  <c r="U494" i="38"/>
  <c r="V494" i="38"/>
  <c r="R531" i="38"/>
  <c r="S531" i="38" s="1"/>
  <c r="T531" i="38"/>
  <c r="U531" i="38"/>
  <c r="V531" i="38"/>
  <c r="R522" i="38"/>
  <c r="S522" i="38" s="1"/>
  <c r="T522" i="38"/>
  <c r="U522" i="38"/>
  <c r="V522" i="38"/>
  <c r="R518" i="38" l="1"/>
  <c r="S518" i="38" s="1"/>
  <c r="T518" i="38"/>
  <c r="U518" i="38"/>
  <c r="V518" i="38"/>
  <c r="R514" i="38"/>
  <c r="S514" i="38" s="1"/>
  <c r="T514" i="38"/>
  <c r="U514" i="38"/>
  <c r="V514" i="38"/>
  <c r="R511" i="38"/>
  <c r="S511" i="38" s="1"/>
  <c r="T511" i="38"/>
  <c r="U511" i="38"/>
  <c r="V511" i="38"/>
  <c r="R508" i="38"/>
  <c r="S508" i="38" s="1"/>
  <c r="T508" i="38"/>
  <c r="U508" i="38"/>
  <c r="V508" i="38"/>
  <c r="R506" i="38" l="1"/>
  <c r="S506" i="38" s="1"/>
  <c r="T506" i="38"/>
  <c r="U506" i="38"/>
  <c r="V506" i="38"/>
  <c r="R492" i="38"/>
  <c r="S492" i="38" s="1"/>
  <c r="T492" i="38"/>
  <c r="U492" i="38"/>
  <c r="V492" i="38"/>
  <c r="R490" i="38"/>
  <c r="S490" i="38" s="1"/>
  <c r="T490" i="38"/>
  <c r="U490" i="38"/>
  <c r="V490" i="38"/>
  <c r="R503" i="38"/>
  <c r="S503" i="38" s="1"/>
  <c r="T503" i="38"/>
  <c r="U503" i="38"/>
  <c r="V503" i="38"/>
  <c r="R484" i="38" l="1"/>
  <c r="S484" i="38" s="1"/>
  <c r="T484" i="38"/>
  <c r="U484" i="38"/>
  <c r="V484" i="38"/>
  <c r="R496" i="38" l="1"/>
  <c r="S496" i="38" s="1"/>
  <c r="T496" i="38"/>
  <c r="U496" i="38"/>
  <c r="V496" i="38"/>
  <c r="R486" i="38" l="1"/>
  <c r="S486" i="38" s="1"/>
  <c r="T486" i="38"/>
  <c r="U486" i="38"/>
  <c r="V486" i="38"/>
  <c r="R487" i="38" l="1"/>
  <c r="S487" i="38" s="1"/>
  <c r="T487" i="38"/>
  <c r="U487" i="38"/>
  <c r="V487" i="38"/>
  <c r="R482" i="38"/>
  <c r="S482" i="38" s="1"/>
  <c r="T482" i="38"/>
  <c r="U482" i="38"/>
  <c r="V482" i="38"/>
  <c r="R479" i="38" l="1"/>
  <c r="S479" i="38" s="1"/>
  <c r="T479" i="38"/>
  <c r="U479" i="38"/>
  <c r="V479" i="38"/>
  <c r="R465" i="38" l="1"/>
  <c r="S465" i="38" s="1"/>
  <c r="T465" i="38"/>
  <c r="U465" i="38"/>
  <c r="V465" i="38"/>
  <c r="R456" i="38"/>
  <c r="S456" i="38" s="1"/>
  <c r="T456" i="38"/>
  <c r="U456" i="38"/>
  <c r="V456" i="38"/>
  <c r="R471" i="38"/>
  <c r="S471" i="38" s="1"/>
  <c r="T471" i="38"/>
  <c r="U471" i="38"/>
  <c r="V471" i="38"/>
  <c r="R464" i="38"/>
  <c r="S464" i="38" s="1"/>
  <c r="T464" i="38"/>
  <c r="U464" i="38"/>
  <c r="V464" i="38"/>
  <c r="R495" i="38"/>
  <c r="S495" i="38"/>
  <c r="T495" i="38"/>
  <c r="U495" i="38"/>
  <c r="V495" i="38"/>
  <c r="R470" i="38"/>
  <c r="S470" i="38" s="1"/>
  <c r="T470" i="38"/>
  <c r="U470" i="38"/>
  <c r="V470" i="38"/>
  <c r="R469" i="38"/>
  <c r="S469" i="38" s="1"/>
  <c r="T469" i="38"/>
  <c r="U469" i="38"/>
  <c r="V469" i="38"/>
  <c r="R455" i="38" l="1"/>
  <c r="S455" i="38" s="1"/>
  <c r="T455" i="38"/>
  <c r="U455" i="38"/>
  <c r="V455" i="38"/>
  <c r="R516" i="38" l="1"/>
  <c r="S516" i="38" s="1"/>
  <c r="T516" i="38"/>
  <c r="U516" i="38"/>
  <c r="V516" i="38"/>
  <c r="R515" i="38"/>
  <c r="S515" i="38" s="1"/>
  <c r="T515" i="38"/>
  <c r="U515" i="38"/>
  <c r="V515" i="38"/>
  <c r="R457" i="38" l="1"/>
  <c r="S457" i="38" s="1"/>
  <c r="T457" i="38"/>
  <c r="U457" i="38"/>
  <c r="V457" i="38"/>
  <c r="R451" i="38" l="1"/>
  <c r="S451" i="38" s="1"/>
  <c r="T451" i="38"/>
  <c r="U451" i="38"/>
  <c r="V451" i="38"/>
  <c r="R446" i="38" l="1"/>
  <c r="S446" i="38" s="1"/>
  <c r="T446" i="38"/>
  <c r="U446" i="38"/>
  <c r="V446" i="38"/>
  <c r="R440" i="38"/>
  <c r="S440" i="38" s="1"/>
  <c r="T440" i="38"/>
  <c r="U440" i="38"/>
  <c r="V440" i="38"/>
  <c r="R442" i="38"/>
  <c r="S442" i="38" s="1"/>
  <c r="T442" i="38"/>
  <c r="U442" i="38"/>
  <c r="V442" i="38"/>
  <c r="R435" i="38" l="1"/>
  <c r="S435" i="38" s="1"/>
  <c r="T435" i="38"/>
  <c r="U435" i="38"/>
  <c r="V435" i="38"/>
  <c r="R447" i="38"/>
  <c r="S447" i="38" s="1"/>
  <c r="T447" i="38"/>
  <c r="U447" i="38"/>
  <c r="V447" i="38"/>
  <c r="R441" i="38"/>
  <c r="S441" i="38" s="1"/>
  <c r="T441" i="38"/>
  <c r="U441" i="38"/>
  <c r="V441" i="38"/>
  <c r="R450" i="38"/>
  <c r="S450" i="38" s="1"/>
  <c r="T450" i="38"/>
  <c r="U450" i="38"/>
  <c r="V450" i="38"/>
  <c r="R500" i="38" l="1"/>
  <c r="S500" i="38" s="1"/>
  <c r="T500" i="38"/>
  <c r="U500" i="38"/>
  <c r="V500" i="38"/>
  <c r="R499" i="38"/>
  <c r="S499" i="38" s="1"/>
  <c r="T499" i="38"/>
  <c r="U499" i="38"/>
  <c r="V499" i="38"/>
  <c r="R491" i="38"/>
  <c r="S491" i="38" s="1"/>
  <c r="T491" i="38"/>
  <c r="U491" i="38"/>
  <c r="V491" i="38"/>
  <c r="R489" i="38" l="1"/>
  <c r="S489" i="38" s="1"/>
  <c r="T489" i="38"/>
  <c r="U489" i="38"/>
  <c r="V489" i="38"/>
  <c r="R485" i="38"/>
  <c r="S485" i="38" s="1"/>
  <c r="T485" i="38"/>
  <c r="U485" i="38"/>
  <c r="V485" i="38"/>
  <c r="R477" i="38"/>
  <c r="S477" i="38" s="1"/>
  <c r="T477" i="38"/>
  <c r="U477" i="38"/>
  <c r="V477" i="38"/>
  <c r="R481" i="38"/>
  <c r="S481" i="38" s="1"/>
  <c r="T481" i="38"/>
  <c r="U481" i="38"/>
  <c r="V481" i="38"/>
  <c r="R437" i="38"/>
  <c r="S437" i="38" s="1"/>
  <c r="T437" i="38"/>
  <c r="U437" i="38"/>
  <c r="V437" i="38"/>
  <c r="R480" i="38" l="1"/>
  <c r="S480" i="38" s="1"/>
  <c r="T480" i="38"/>
  <c r="U480" i="38"/>
  <c r="V480" i="38"/>
  <c r="R478" i="38"/>
  <c r="S478" i="38"/>
  <c r="T478" i="38"/>
  <c r="U478" i="38"/>
  <c r="V478" i="38"/>
  <c r="R501" i="38"/>
  <c r="S501" i="38" s="1"/>
  <c r="T501" i="38"/>
  <c r="U501" i="38"/>
  <c r="V501" i="38"/>
  <c r="R476" i="38"/>
  <c r="S476" i="38" s="1"/>
  <c r="T476" i="38"/>
  <c r="U476" i="38"/>
  <c r="V476" i="38"/>
  <c r="R474" i="38"/>
  <c r="S474" i="38" s="1"/>
  <c r="T474" i="38"/>
  <c r="U474" i="38"/>
  <c r="V474" i="38"/>
  <c r="R473" i="38"/>
  <c r="S473" i="38" s="1"/>
  <c r="T473" i="38"/>
  <c r="U473" i="38"/>
  <c r="V473" i="38"/>
  <c r="R472" i="38"/>
  <c r="S472" i="38" s="1"/>
  <c r="T472" i="38"/>
  <c r="U472" i="38"/>
  <c r="V472" i="38"/>
  <c r="R468" i="38"/>
  <c r="S468" i="38" s="1"/>
  <c r="T468" i="38"/>
  <c r="U468" i="38"/>
  <c r="V468" i="38"/>
  <c r="R432" i="38"/>
  <c r="S432" i="38" s="1"/>
  <c r="T432" i="38"/>
  <c r="U432" i="38"/>
  <c r="V432" i="38"/>
  <c r="R467" i="38"/>
  <c r="S467" i="38" s="1"/>
  <c r="T467" i="38"/>
  <c r="U467" i="38"/>
  <c r="V467" i="38"/>
  <c r="R463" i="38"/>
  <c r="S463" i="38" s="1"/>
  <c r="T463" i="38"/>
  <c r="U463" i="38"/>
  <c r="V463" i="38"/>
  <c r="R433" i="38" l="1"/>
  <c r="S433" i="38" s="1"/>
  <c r="T433" i="38"/>
  <c r="U433" i="38"/>
  <c r="V433" i="38"/>
  <c r="R462" i="38" l="1"/>
  <c r="S462" i="38" s="1"/>
  <c r="T462" i="38"/>
  <c r="U462" i="38"/>
  <c r="V462" i="38"/>
  <c r="R460" i="38" l="1"/>
  <c r="S460" i="38" s="1"/>
  <c r="T460" i="38"/>
  <c r="U460" i="38"/>
  <c r="V460" i="38"/>
  <c r="R459" i="38"/>
  <c r="S459" i="38" s="1"/>
  <c r="T459" i="38"/>
  <c r="U459" i="38"/>
  <c r="V459" i="38"/>
  <c r="R458" i="38"/>
  <c r="S458" i="38" s="1"/>
  <c r="T458" i="38"/>
  <c r="U458" i="38"/>
  <c r="V458" i="38"/>
  <c r="R453" i="38"/>
  <c r="S453" i="38" s="1"/>
  <c r="T453" i="38"/>
  <c r="U453" i="38"/>
  <c r="V453" i="38"/>
  <c r="R449" i="38"/>
  <c r="S449" i="38" s="1"/>
  <c r="T449" i="38"/>
  <c r="U449" i="38"/>
  <c r="V449" i="38"/>
  <c r="R431" i="38"/>
  <c r="S431" i="38" s="1"/>
  <c r="T431" i="38"/>
  <c r="U431" i="38"/>
  <c r="V431" i="38"/>
  <c r="R448" i="38"/>
  <c r="S448" i="38" s="1"/>
  <c r="T448" i="38"/>
  <c r="U448" i="38"/>
  <c r="V448" i="38"/>
  <c r="R427" i="38"/>
  <c r="S427" i="38" s="1"/>
  <c r="T427" i="38"/>
  <c r="U427" i="38"/>
  <c r="V427" i="38"/>
  <c r="R429" i="38"/>
  <c r="S429" i="38" s="1"/>
  <c r="T429" i="38"/>
  <c r="U429" i="38"/>
  <c r="V429" i="38"/>
  <c r="R445" i="38"/>
  <c r="S445" i="38" s="1"/>
  <c r="T445" i="38"/>
  <c r="U445" i="38"/>
  <c r="V445" i="38"/>
  <c r="R475" i="38"/>
  <c r="S475" i="38" s="1"/>
  <c r="T475" i="38"/>
  <c r="U475" i="38"/>
  <c r="V475" i="38"/>
  <c r="R466" i="38"/>
  <c r="S466" i="38" s="1"/>
  <c r="T466" i="38"/>
  <c r="U466" i="38"/>
  <c r="V466" i="38"/>
  <c r="R452" i="38"/>
  <c r="S452" i="38" s="1"/>
  <c r="T452" i="38"/>
  <c r="U452" i="38"/>
  <c r="V452" i="38"/>
  <c r="R444" i="38"/>
  <c r="S444" i="38" s="1"/>
  <c r="T444" i="38"/>
  <c r="U444" i="38"/>
  <c r="V444" i="38"/>
  <c r="R454" i="38" l="1"/>
  <c r="U454" i="38" s="1"/>
  <c r="S454" i="38"/>
  <c r="T454" i="38"/>
  <c r="V454" i="38"/>
  <c r="R439" i="38"/>
  <c r="U439" i="38" s="1"/>
  <c r="S439" i="38"/>
  <c r="T439" i="38"/>
  <c r="V439" i="38"/>
  <c r="R421" i="38" l="1"/>
  <c r="S421" i="38" s="1"/>
  <c r="T421" i="38"/>
  <c r="U421" i="38"/>
  <c r="V421" i="38"/>
  <c r="R461" i="38" l="1"/>
  <c r="S461" i="38" s="1"/>
  <c r="T461" i="38"/>
  <c r="U461" i="38"/>
  <c r="V461" i="38"/>
  <c r="R443" i="38"/>
  <c r="S443" i="38" s="1"/>
  <c r="T443" i="38"/>
  <c r="U443" i="38"/>
  <c r="V443" i="38"/>
  <c r="R438" i="38" l="1"/>
  <c r="S438" i="38" s="1"/>
  <c r="T438" i="38"/>
  <c r="U438" i="38"/>
  <c r="V438" i="38"/>
  <c r="R417" i="38"/>
  <c r="S417" i="38"/>
  <c r="T417" i="38" s="1"/>
  <c r="U417" i="38"/>
  <c r="V417" i="38"/>
  <c r="R419" i="38" l="1"/>
  <c r="S419" i="38" s="1"/>
  <c r="T419" i="38"/>
  <c r="U419" i="38"/>
  <c r="V419" i="38"/>
  <c r="V423" i="38" l="1"/>
  <c r="V424" i="38"/>
  <c r="U423" i="38"/>
  <c r="U424" i="38"/>
  <c r="T423" i="38"/>
  <c r="T424" i="38"/>
  <c r="R423" i="38"/>
  <c r="S423" i="38" s="1"/>
  <c r="R424" i="38"/>
  <c r="S424" i="38" s="1"/>
  <c r="V412" i="38"/>
  <c r="U412" i="38"/>
  <c r="T412" i="38"/>
  <c r="R412" i="38"/>
  <c r="S412" i="38" s="1"/>
  <c r="R422" i="38"/>
  <c r="S422" i="38" s="1"/>
  <c r="T422" i="38"/>
  <c r="U422" i="38"/>
  <c r="V422" i="38"/>
  <c r="R434" i="38" l="1"/>
  <c r="S434" i="38" s="1"/>
  <c r="T434" i="38"/>
  <c r="U434" i="38"/>
  <c r="V434" i="38"/>
  <c r="R426" i="38"/>
  <c r="S426" i="38" s="1"/>
  <c r="T426" i="38"/>
  <c r="U426" i="38"/>
  <c r="V426" i="38"/>
  <c r="R411" i="38"/>
  <c r="S411" i="38" s="1"/>
  <c r="T411" i="38"/>
  <c r="U411" i="38"/>
  <c r="V411" i="38"/>
  <c r="R414" i="38"/>
  <c r="S414" i="38" s="1"/>
  <c r="T414" i="38"/>
  <c r="U414" i="38"/>
  <c r="V414" i="38"/>
  <c r="R413" i="38"/>
  <c r="S413" i="38" s="1"/>
  <c r="T413" i="38"/>
  <c r="U413" i="38"/>
  <c r="V413" i="38"/>
  <c r="R409" i="38" l="1"/>
  <c r="S409" i="38" s="1"/>
  <c r="T409" i="38"/>
  <c r="U409" i="38"/>
  <c r="V409" i="38"/>
  <c r="V418" i="38" l="1"/>
  <c r="U418" i="38"/>
  <c r="T418" i="38"/>
  <c r="R418" i="38"/>
  <c r="S418" i="38" s="1"/>
  <c r="V3" i="38"/>
  <c r="V4" i="38"/>
  <c r="V5" i="38"/>
  <c r="V6" i="38"/>
  <c r="V7" i="38"/>
  <c r="V8" i="38"/>
  <c r="V9" i="38"/>
  <c r="V10" i="38"/>
  <c r="V11" i="38"/>
  <c r="V12" i="38"/>
  <c r="V13" i="38"/>
  <c r="V14" i="38"/>
  <c r="V15" i="38"/>
  <c r="V16" i="38"/>
  <c r="V17" i="38"/>
  <c r="V18" i="38"/>
  <c r="V19" i="38"/>
  <c r="V20" i="38"/>
  <c r="V21" i="38"/>
  <c r="V22" i="38"/>
  <c r="V23" i="38"/>
  <c r="V24" i="38"/>
  <c r="V25" i="38"/>
  <c r="V26" i="38"/>
  <c r="V28" i="38"/>
  <c r="V27" i="38"/>
  <c r="V29" i="38"/>
  <c r="V30" i="38"/>
  <c r="V31" i="38"/>
  <c r="V32" i="38"/>
  <c r="V33" i="38"/>
  <c r="V34" i="38"/>
  <c r="V36" i="38"/>
  <c r="V35" i="38"/>
  <c r="V37" i="38"/>
  <c r="V38" i="38"/>
  <c r="V39" i="38"/>
  <c r="V40" i="38"/>
  <c r="V41" i="38"/>
  <c r="V42" i="38"/>
  <c r="V43" i="38"/>
  <c r="V44" i="38"/>
  <c r="V45" i="38"/>
  <c r="V46" i="38"/>
  <c r="V47" i="38"/>
  <c r="V49" i="38"/>
  <c r="V48" i="38"/>
  <c r="V50" i="38"/>
  <c r="V52" i="38"/>
  <c r="V51" i="38"/>
  <c r="V53" i="38"/>
  <c r="V54" i="38"/>
  <c r="V55" i="38"/>
  <c r="V57" i="38"/>
  <c r="V56" i="38"/>
  <c r="V58" i="38"/>
  <c r="V59" i="38"/>
  <c r="V60" i="38"/>
  <c r="V61" i="38"/>
  <c r="V64" i="38"/>
  <c r="V63" i="38"/>
  <c r="V62"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V109" i="38"/>
  <c r="V108" i="38"/>
  <c r="V110" i="38"/>
  <c r="V111" i="38"/>
  <c r="V112" i="38"/>
  <c r="V114" i="38"/>
  <c r="V113" i="38"/>
  <c r="V115" i="38"/>
  <c r="V116" i="38"/>
  <c r="V117" i="38"/>
  <c r="V118" i="38"/>
  <c r="V119" i="38"/>
  <c r="V120" i="38"/>
  <c r="V121" i="38"/>
  <c r="V122" i="38"/>
  <c r="V123" i="38"/>
  <c r="V124" i="38"/>
  <c r="V125" i="38"/>
  <c r="V126" i="38"/>
  <c r="V127" i="38"/>
  <c r="V128" i="38"/>
  <c r="V129" i="38"/>
  <c r="V130" i="38"/>
  <c r="V132" i="38"/>
  <c r="V131" i="38"/>
  <c r="V133" i="38"/>
  <c r="V134" i="38"/>
  <c r="V135" i="38"/>
  <c r="V136" i="38"/>
  <c r="V137" i="38"/>
  <c r="V138" i="38"/>
  <c r="V140" i="38"/>
  <c r="V141" i="38"/>
  <c r="V139" i="38"/>
  <c r="V142" i="38"/>
  <c r="V143" i="38"/>
  <c r="V144" i="38"/>
  <c r="V145" i="38"/>
  <c r="V146" i="38"/>
  <c r="V147" i="38"/>
  <c r="V148" i="38"/>
  <c r="V149" i="38"/>
  <c r="V150" i="38"/>
  <c r="V151" i="38"/>
  <c r="V152" i="38"/>
  <c r="V154" i="38"/>
  <c r="V156" i="38"/>
  <c r="V155" i="38"/>
  <c r="V157" i="38"/>
  <c r="V158" i="38"/>
  <c r="V159" i="38"/>
  <c r="V160" i="38"/>
  <c r="V161" i="38"/>
  <c r="V162" i="38"/>
  <c r="V163" i="38"/>
  <c r="V164" i="38"/>
  <c r="V165" i="38"/>
  <c r="V166" i="38"/>
  <c r="V167" i="38"/>
  <c r="V168" i="38"/>
  <c r="V169" i="38"/>
  <c r="V170" i="38"/>
  <c r="V171" i="38"/>
  <c r="V172" i="38"/>
  <c r="V173" i="38"/>
  <c r="V174" i="38"/>
  <c r="V175" i="38"/>
  <c r="V176" i="38"/>
  <c r="V177" i="38"/>
  <c r="V178" i="38"/>
  <c r="V179" i="38"/>
  <c r="V180" i="38"/>
  <c r="V181" i="38"/>
  <c r="V182" i="38"/>
  <c r="V183" i="38"/>
  <c r="V185" i="38"/>
  <c r="V184" i="38"/>
  <c r="V186" i="38"/>
  <c r="V189" i="38"/>
  <c r="V188" i="38"/>
  <c r="V187" i="38"/>
  <c r="V190" i="38"/>
  <c r="V191" i="38"/>
  <c r="V192" i="38"/>
  <c r="V193" i="38"/>
  <c r="V194" i="38"/>
  <c r="V195" i="38"/>
  <c r="V196" i="38"/>
  <c r="V197" i="38"/>
  <c r="V198" i="38"/>
  <c r="V199" i="38"/>
  <c r="V201" i="38"/>
  <c r="V200" i="38"/>
  <c r="V202" i="38"/>
  <c r="V203" i="38"/>
  <c r="V204" i="38"/>
  <c r="V205" i="38"/>
  <c r="V206" i="38"/>
  <c r="V207" i="38"/>
  <c r="V208" i="38"/>
  <c r="V209" i="38"/>
  <c r="V210" i="38"/>
  <c r="V211" i="38"/>
  <c r="V212" i="38"/>
  <c r="V213" i="38"/>
  <c r="V214" i="38"/>
  <c r="V215" i="38"/>
  <c r="V216" i="38"/>
  <c r="V217" i="38"/>
  <c r="V218" i="38"/>
  <c r="V219" i="38"/>
  <c r="V221" i="38"/>
  <c r="V220" i="38"/>
  <c r="V222" i="38"/>
  <c r="V223" i="38"/>
  <c r="V224" i="38"/>
  <c r="V225" i="38"/>
  <c r="V226" i="38"/>
  <c r="V227" i="38"/>
  <c r="V228" i="38"/>
  <c r="V229" i="38"/>
  <c r="V230" i="38"/>
  <c r="V231" i="38"/>
  <c r="V232" i="38"/>
  <c r="V233" i="38"/>
  <c r="V234" i="38"/>
  <c r="V235" i="38"/>
  <c r="V236" i="38"/>
  <c r="V237" i="38"/>
  <c r="V238" i="38"/>
  <c r="V239" i="38"/>
  <c r="V240" i="38"/>
  <c r="V241" i="38"/>
  <c r="V242" i="38"/>
  <c r="V243" i="38"/>
  <c r="V244" i="38"/>
  <c r="V245" i="38"/>
  <c r="V246" i="38"/>
  <c r="V247" i="38"/>
  <c r="V248" i="38"/>
  <c r="V249" i="38"/>
  <c r="V250" i="38"/>
  <c r="V251" i="38"/>
  <c r="V252" i="38"/>
  <c r="V253" i="38"/>
  <c r="V254" i="38"/>
  <c r="V256" i="38"/>
  <c r="V255" i="38"/>
  <c r="V257" i="38"/>
  <c r="V258" i="38"/>
  <c r="V259" i="38"/>
  <c r="V260" i="38"/>
  <c r="V261" i="38"/>
  <c r="V262" i="38"/>
  <c r="V263" i="38"/>
  <c r="V264" i="38"/>
  <c r="V265" i="38"/>
  <c r="V266" i="38"/>
  <c r="V267" i="38"/>
  <c r="V268" i="38"/>
  <c r="V269" i="38"/>
  <c r="V270" i="38"/>
  <c r="V271" i="38"/>
  <c r="V272" i="38"/>
  <c r="V273" i="38"/>
  <c r="V274" i="38"/>
  <c r="V275" i="38"/>
  <c r="V276" i="38"/>
  <c r="V277" i="38"/>
  <c r="V278" i="38"/>
  <c r="V279" i="38"/>
  <c r="V281" i="38"/>
  <c r="V280" i="38"/>
  <c r="V282" i="38"/>
  <c r="V283" i="38"/>
  <c r="V284" i="38"/>
  <c r="V285" i="38"/>
  <c r="V286" i="38"/>
  <c r="V287" i="38"/>
  <c r="V288" i="38"/>
  <c r="V289" i="38"/>
  <c r="V290" i="38"/>
  <c r="V292" i="38"/>
  <c r="V291" i="38"/>
  <c r="V293" i="38"/>
  <c r="V294" i="38"/>
  <c r="V296" i="38"/>
  <c r="V295" i="38"/>
  <c r="V298" i="38"/>
  <c r="V299" i="38"/>
  <c r="V300" i="38"/>
  <c r="V301" i="38"/>
  <c r="V302" i="38"/>
  <c r="V297" i="38"/>
  <c r="V303" i="38"/>
  <c r="V304" i="38"/>
  <c r="V306" i="38"/>
  <c r="V307" i="38"/>
  <c r="V308" i="38"/>
  <c r="V309" i="38"/>
  <c r="V310" i="38"/>
  <c r="V311" i="38"/>
  <c r="V312" i="38"/>
  <c r="V313" i="38"/>
  <c r="V314" i="38"/>
  <c r="V315" i="38"/>
  <c r="V316" i="38"/>
  <c r="V317" i="38"/>
  <c r="V318" i="38"/>
  <c r="V319" i="38"/>
  <c r="V320" i="38"/>
  <c r="V321" i="38"/>
  <c r="V323" i="38"/>
  <c r="V322" i="38"/>
  <c r="V324" i="38"/>
  <c r="V325" i="38"/>
  <c r="V326" i="38"/>
  <c r="V328" i="38"/>
  <c r="V327" i="38"/>
  <c r="V329" i="38"/>
  <c r="V330" i="38"/>
  <c r="V331" i="38"/>
  <c r="V332" i="38"/>
  <c r="V333" i="38"/>
  <c r="V334" i="38"/>
  <c r="V335" i="38"/>
  <c r="V336" i="38"/>
  <c r="V337" i="38"/>
  <c r="V339" i="38"/>
  <c r="V338" i="38"/>
  <c r="V340" i="38"/>
  <c r="V341" i="38"/>
  <c r="V342" i="38"/>
  <c r="V343" i="38"/>
  <c r="V344" i="38"/>
  <c r="V345" i="38"/>
  <c r="V346" i="38"/>
  <c r="V347" i="38"/>
  <c r="V349" i="38"/>
  <c r="V348" i="38"/>
  <c r="V350" i="38"/>
  <c r="V352" i="38"/>
  <c r="V351" i="38"/>
  <c r="V353" i="38"/>
  <c r="V354" i="38"/>
  <c r="V356" i="38"/>
  <c r="V355" i="38"/>
  <c r="V357" i="38"/>
  <c r="V358" i="38"/>
  <c r="V359" i="38"/>
  <c r="V360" i="38"/>
  <c r="V361" i="38"/>
  <c r="V362" i="38"/>
  <c r="V363" i="38"/>
  <c r="V365" i="38"/>
  <c r="V364" i="38"/>
  <c r="V366" i="38"/>
  <c r="V367" i="38"/>
  <c r="V368" i="38"/>
  <c r="V369" i="38"/>
  <c r="V370" i="38"/>
  <c r="V371" i="38"/>
  <c r="V372" i="38"/>
  <c r="V373" i="38"/>
  <c r="V374" i="38"/>
  <c r="V375" i="38"/>
  <c r="V376" i="38"/>
  <c r="V377" i="38"/>
  <c r="V378" i="38"/>
  <c r="V379" i="38"/>
  <c r="V380" i="38"/>
  <c r="V381" i="38"/>
  <c r="V382" i="38"/>
  <c r="V383" i="38"/>
  <c r="V384" i="38"/>
  <c r="V385" i="38"/>
  <c r="V386" i="38"/>
  <c r="V387" i="38"/>
  <c r="V388" i="38"/>
  <c r="V389" i="38"/>
  <c r="V390" i="38"/>
  <c r="V391" i="38"/>
  <c r="V394" i="38"/>
  <c r="V393" i="38"/>
  <c r="V392" i="38"/>
  <c r="V395" i="38"/>
  <c r="V396" i="38"/>
  <c r="V397" i="38"/>
  <c r="V398" i="38"/>
  <c r="V399" i="38"/>
  <c r="V400" i="38"/>
  <c r="V401" i="38"/>
  <c r="V403" i="38"/>
  <c r="V402" i="38"/>
  <c r="V404" i="38"/>
  <c r="V405" i="38"/>
  <c r="V406" i="38"/>
  <c r="V407" i="38"/>
  <c r="V408" i="38"/>
  <c r="V410" i="38"/>
  <c r="V415" i="38"/>
  <c r="V416" i="38"/>
  <c r="U3" i="38"/>
  <c r="U4" i="38"/>
  <c r="U5" i="38"/>
  <c r="U6" i="38"/>
  <c r="U7" i="38"/>
  <c r="U8" i="38"/>
  <c r="U9" i="38"/>
  <c r="U10" i="38"/>
  <c r="U11" i="38"/>
  <c r="U12" i="38"/>
  <c r="U13" i="38"/>
  <c r="U14" i="38"/>
  <c r="U15" i="38"/>
  <c r="U16" i="38"/>
  <c r="U17" i="38"/>
  <c r="U18" i="38"/>
  <c r="U19" i="38"/>
  <c r="U20" i="38"/>
  <c r="U21" i="38"/>
  <c r="U22" i="38"/>
  <c r="U23" i="38"/>
  <c r="U24" i="38"/>
  <c r="U25" i="38"/>
  <c r="U26" i="38"/>
  <c r="U28" i="38"/>
  <c r="U27" i="38"/>
  <c r="U29" i="38"/>
  <c r="U30" i="38"/>
  <c r="U31" i="38"/>
  <c r="U32" i="38"/>
  <c r="U33" i="38"/>
  <c r="U34" i="38"/>
  <c r="U36" i="38"/>
  <c r="U35" i="38"/>
  <c r="U37" i="38"/>
  <c r="U38" i="38"/>
  <c r="U39" i="38"/>
  <c r="U40" i="38"/>
  <c r="U41" i="38"/>
  <c r="U42" i="38"/>
  <c r="U43" i="38"/>
  <c r="U44" i="38"/>
  <c r="U45" i="38"/>
  <c r="U46" i="38"/>
  <c r="U47" i="38"/>
  <c r="U49" i="38"/>
  <c r="U48" i="38"/>
  <c r="U50" i="38"/>
  <c r="U52" i="38"/>
  <c r="U51" i="38"/>
  <c r="U53" i="38"/>
  <c r="U54" i="38"/>
  <c r="U55" i="38"/>
  <c r="U57" i="38"/>
  <c r="U56" i="38"/>
  <c r="U58" i="38"/>
  <c r="U59" i="38"/>
  <c r="U60" i="38"/>
  <c r="U61" i="38"/>
  <c r="U64" i="38"/>
  <c r="U63" i="38"/>
  <c r="U62" i="38"/>
  <c r="U65" i="38"/>
  <c r="U66" i="38"/>
  <c r="U67" i="38"/>
  <c r="U68" i="38"/>
  <c r="U69" i="38"/>
  <c r="U70" i="38"/>
  <c r="U71" i="38"/>
  <c r="U72" i="38"/>
  <c r="U73" i="38"/>
  <c r="U74" i="38"/>
  <c r="U75" i="38"/>
  <c r="U76" i="38"/>
  <c r="U77" i="38"/>
  <c r="U78" i="38"/>
  <c r="U79" i="38"/>
  <c r="U80" i="38"/>
  <c r="U81" i="38"/>
  <c r="U82" i="38"/>
  <c r="U83" i="38"/>
  <c r="U84" i="38"/>
  <c r="U85" i="38"/>
  <c r="U86" i="38"/>
  <c r="U87" i="38"/>
  <c r="U89" i="38"/>
  <c r="U90" i="38"/>
  <c r="U91" i="38"/>
  <c r="U92" i="38"/>
  <c r="U93" i="38"/>
  <c r="U94" i="38"/>
  <c r="U96" i="38"/>
  <c r="U97" i="38"/>
  <c r="U98" i="38"/>
  <c r="U99" i="38"/>
  <c r="U100" i="38"/>
  <c r="U101" i="38"/>
  <c r="U102" i="38"/>
  <c r="U103" i="38"/>
  <c r="U104" i="38"/>
  <c r="U105" i="38"/>
  <c r="U106" i="38"/>
  <c r="U107" i="38"/>
  <c r="U109" i="38"/>
  <c r="U108" i="38"/>
  <c r="U110" i="38"/>
  <c r="U111" i="38"/>
  <c r="U112" i="38"/>
  <c r="U114" i="38"/>
  <c r="U113" i="38"/>
  <c r="U115" i="38"/>
  <c r="U116" i="38"/>
  <c r="U117" i="38"/>
  <c r="U118" i="38"/>
  <c r="U119" i="38"/>
  <c r="U120" i="38"/>
  <c r="U121" i="38"/>
  <c r="U122" i="38"/>
  <c r="U123" i="38"/>
  <c r="U124" i="38"/>
  <c r="U125" i="38"/>
  <c r="U126" i="38"/>
  <c r="U127" i="38"/>
  <c r="U128" i="38"/>
  <c r="U129" i="38"/>
  <c r="U130" i="38"/>
  <c r="U132" i="38"/>
  <c r="U131" i="38"/>
  <c r="U133" i="38"/>
  <c r="U134" i="38"/>
  <c r="U135" i="38"/>
  <c r="U136" i="38"/>
  <c r="U137" i="38"/>
  <c r="U138" i="38"/>
  <c r="U140" i="38"/>
  <c r="U141" i="38"/>
  <c r="U139" i="38"/>
  <c r="U142" i="38"/>
  <c r="U143" i="38"/>
  <c r="U144" i="38"/>
  <c r="U145" i="38"/>
  <c r="U146" i="38"/>
  <c r="U147" i="38"/>
  <c r="U148" i="38"/>
  <c r="U149" i="38"/>
  <c r="U150" i="38"/>
  <c r="U151" i="38"/>
  <c r="U152" i="38"/>
  <c r="U153" i="38"/>
  <c r="U154" i="38"/>
  <c r="U156" i="38"/>
  <c r="U155" i="38"/>
  <c r="U157" i="38"/>
  <c r="U158" i="38"/>
  <c r="U159" i="38"/>
  <c r="U160" i="38"/>
  <c r="U161" i="38"/>
  <c r="U162" i="38"/>
  <c r="U163" i="38"/>
  <c r="U164" i="38"/>
  <c r="U166" i="38"/>
  <c r="U167" i="38"/>
  <c r="U168" i="38"/>
  <c r="U169" i="38"/>
  <c r="U170" i="38"/>
  <c r="U171" i="38"/>
  <c r="U172" i="38"/>
  <c r="U173" i="38"/>
  <c r="U174" i="38"/>
  <c r="U175" i="38"/>
  <c r="U176" i="38"/>
  <c r="U177" i="38"/>
  <c r="U178" i="38"/>
  <c r="U179" i="38"/>
  <c r="U180" i="38"/>
  <c r="U181" i="38"/>
  <c r="U182" i="38"/>
  <c r="U183" i="38"/>
  <c r="U185" i="38"/>
  <c r="U184" i="38"/>
  <c r="U186" i="38"/>
  <c r="U189" i="38"/>
  <c r="U188" i="38"/>
  <c r="U187" i="38"/>
  <c r="U190" i="38"/>
  <c r="U191" i="38"/>
  <c r="U192" i="38"/>
  <c r="U193" i="38"/>
  <c r="U194" i="38"/>
  <c r="U195" i="38"/>
  <c r="U196" i="38"/>
  <c r="U197" i="38"/>
  <c r="U198" i="38"/>
  <c r="U199" i="38"/>
  <c r="U200" i="38"/>
  <c r="U202" i="38"/>
  <c r="U203" i="38"/>
  <c r="U204" i="38"/>
  <c r="U205" i="38"/>
  <c r="U206" i="38"/>
  <c r="U207" i="38"/>
  <c r="U208" i="38"/>
  <c r="U209" i="38"/>
  <c r="U210" i="38"/>
  <c r="U211" i="38"/>
  <c r="U212" i="38"/>
  <c r="U213" i="38"/>
  <c r="U214" i="38"/>
  <c r="U215" i="38"/>
  <c r="U216" i="38"/>
  <c r="U217" i="38"/>
  <c r="U218" i="38"/>
  <c r="U219" i="38"/>
  <c r="U221" i="38"/>
  <c r="U222" i="38"/>
  <c r="U223" i="38"/>
  <c r="U224" i="38"/>
  <c r="U225" i="38"/>
  <c r="U226" i="38"/>
  <c r="U227" i="38"/>
  <c r="U228" i="38"/>
  <c r="U229" i="38"/>
  <c r="U230" i="38"/>
  <c r="U231" i="38"/>
  <c r="U232" i="38"/>
  <c r="U233" i="38"/>
  <c r="U234" i="38"/>
  <c r="U235" i="38"/>
  <c r="U236" i="38"/>
  <c r="U237" i="38"/>
  <c r="U238" i="38"/>
  <c r="U239" i="38"/>
  <c r="U240" i="38"/>
  <c r="U241" i="38"/>
  <c r="U242" i="38"/>
  <c r="U243" i="38"/>
  <c r="U244" i="38"/>
  <c r="U246" i="38"/>
  <c r="U247" i="38"/>
  <c r="U248" i="38"/>
  <c r="U249" i="38"/>
  <c r="U250" i="38"/>
  <c r="U251" i="38"/>
  <c r="U252" i="38"/>
  <c r="U253" i="38"/>
  <c r="U254" i="38"/>
  <c r="U256" i="38"/>
  <c r="U255" i="38"/>
  <c r="U257" i="38"/>
  <c r="U258" i="38"/>
  <c r="U259" i="38"/>
  <c r="U260" i="38"/>
  <c r="U261" i="38"/>
  <c r="U262" i="38"/>
  <c r="U263" i="38"/>
  <c r="U264" i="38"/>
  <c r="U265" i="38"/>
  <c r="U266" i="38"/>
  <c r="U267" i="38"/>
  <c r="U268" i="38"/>
  <c r="U269" i="38"/>
  <c r="U270" i="38"/>
  <c r="U271" i="38"/>
  <c r="U272" i="38"/>
  <c r="U273" i="38"/>
  <c r="U274" i="38"/>
  <c r="U275" i="38"/>
  <c r="U276" i="38"/>
  <c r="U277" i="38"/>
  <c r="U278" i="38"/>
  <c r="U279" i="38"/>
  <c r="U281" i="38"/>
  <c r="U280" i="38"/>
  <c r="U282" i="38"/>
  <c r="U283" i="38"/>
  <c r="U284" i="38"/>
  <c r="U285" i="38"/>
  <c r="U286" i="38"/>
  <c r="U287" i="38"/>
  <c r="U288" i="38"/>
  <c r="U289" i="38"/>
  <c r="U290" i="38"/>
  <c r="U292" i="38"/>
  <c r="U291" i="38"/>
  <c r="U293" i="38"/>
  <c r="U294" i="38"/>
  <c r="U296" i="38"/>
  <c r="U295" i="38"/>
  <c r="U298" i="38"/>
  <c r="U299" i="38"/>
  <c r="U300" i="38"/>
  <c r="U301" i="38"/>
  <c r="U302" i="38"/>
  <c r="U297" i="38"/>
  <c r="U303" i="38"/>
  <c r="U304" i="38"/>
  <c r="U305" i="38"/>
  <c r="U306" i="38"/>
  <c r="U307" i="38"/>
  <c r="U308" i="38"/>
  <c r="U309" i="38"/>
  <c r="U310" i="38"/>
  <c r="U311" i="38"/>
  <c r="U312" i="38"/>
  <c r="U313" i="38"/>
  <c r="U314" i="38"/>
  <c r="U315" i="38"/>
  <c r="U316" i="38"/>
  <c r="U317" i="38"/>
  <c r="U318" i="38"/>
  <c r="U319" i="38"/>
  <c r="U320" i="38"/>
  <c r="U321" i="38"/>
  <c r="U323" i="38"/>
  <c r="U322" i="38"/>
  <c r="U324" i="38"/>
  <c r="U325" i="38"/>
  <c r="U326" i="38"/>
  <c r="U328" i="38"/>
  <c r="U327" i="38"/>
  <c r="U329" i="38"/>
  <c r="U330" i="38"/>
  <c r="U331" i="38"/>
  <c r="U332" i="38"/>
  <c r="U333" i="38"/>
  <c r="U334" i="38"/>
  <c r="U335" i="38"/>
  <c r="U336" i="38"/>
  <c r="U337" i="38"/>
  <c r="U339" i="38"/>
  <c r="U338" i="38"/>
  <c r="U340" i="38"/>
  <c r="U341" i="38"/>
  <c r="U342" i="38"/>
  <c r="U343" i="38"/>
  <c r="U344" i="38"/>
  <c r="U345" i="38"/>
  <c r="U346" i="38"/>
  <c r="U347" i="38"/>
  <c r="U349" i="38"/>
  <c r="U348" i="38"/>
  <c r="U350" i="38"/>
  <c r="U352" i="38"/>
  <c r="U351" i="38"/>
  <c r="U353" i="38"/>
  <c r="U354" i="38"/>
  <c r="U356" i="38"/>
  <c r="U355" i="38"/>
  <c r="U357" i="38"/>
  <c r="U358" i="38"/>
  <c r="U359" i="38"/>
  <c r="U360" i="38"/>
  <c r="U361" i="38"/>
  <c r="U362" i="38"/>
  <c r="U363" i="38"/>
  <c r="U365" i="38"/>
  <c r="U364" i="38"/>
  <c r="U366" i="38"/>
  <c r="U367" i="38"/>
  <c r="U368" i="38"/>
  <c r="U369" i="38"/>
  <c r="U370" i="38"/>
  <c r="U371" i="38"/>
  <c r="U372" i="38"/>
  <c r="U373" i="38"/>
  <c r="U374" i="38"/>
  <c r="U375" i="38"/>
  <c r="U376" i="38"/>
  <c r="U377" i="38"/>
  <c r="U378" i="38"/>
  <c r="U379" i="38"/>
  <c r="U380" i="38"/>
  <c r="U381" i="38"/>
  <c r="U382" i="38"/>
  <c r="U383" i="38"/>
  <c r="U384" i="38"/>
  <c r="U385" i="38"/>
  <c r="U386" i="38"/>
  <c r="U387" i="38"/>
  <c r="U388" i="38"/>
  <c r="U389" i="38"/>
  <c r="U390" i="38"/>
  <c r="U391" i="38"/>
  <c r="U394" i="38"/>
  <c r="U393" i="38"/>
  <c r="U392" i="38"/>
  <c r="U395" i="38"/>
  <c r="U397" i="38"/>
  <c r="U398" i="38"/>
  <c r="U399" i="38"/>
  <c r="U400" i="38"/>
  <c r="U401" i="38"/>
  <c r="U403" i="38"/>
  <c r="U402" i="38"/>
  <c r="U404" i="38"/>
  <c r="U405" i="38"/>
  <c r="U407" i="38"/>
  <c r="U408" i="38"/>
  <c r="U410" i="38"/>
  <c r="U415" i="38"/>
  <c r="U416" i="38"/>
  <c r="T3" i="38"/>
  <c r="T4" i="38"/>
  <c r="T5" i="38"/>
  <c r="T6" i="38"/>
  <c r="T7" i="38"/>
  <c r="T8" i="38"/>
  <c r="T9" i="38"/>
  <c r="T10" i="38"/>
  <c r="T11" i="38"/>
  <c r="T12" i="38"/>
  <c r="T13" i="38"/>
  <c r="T14" i="38"/>
  <c r="T15" i="38"/>
  <c r="T16" i="38"/>
  <c r="T17" i="38"/>
  <c r="T18" i="38"/>
  <c r="T19" i="38"/>
  <c r="T20" i="38"/>
  <c r="T21" i="38"/>
  <c r="T22" i="38"/>
  <c r="T23" i="38"/>
  <c r="T24" i="38"/>
  <c r="T25" i="38"/>
  <c r="T26" i="38"/>
  <c r="T28" i="38"/>
  <c r="T27" i="38"/>
  <c r="T30" i="38"/>
  <c r="T31" i="38"/>
  <c r="T32" i="38"/>
  <c r="T33" i="38"/>
  <c r="T34" i="38"/>
  <c r="T36" i="38"/>
  <c r="T35" i="38"/>
  <c r="T37" i="38"/>
  <c r="T38" i="38"/>
  <c r="T39" i="38"/>
  <c r="T40" i="38"/>
  <c r="T41" i="38"/>
  <c r="T42" i="38"/>
  <c r="T43" i="38"/>
  <c r="T44" i="38"/>
  <c r="T45" i="38"/>
  <c r="T46" i="38"/>
  <c r="T49" i="38"/>
  <c r="T48" i="38"/>
  <c r="T50" i="38"/>
  <c r="T52" i="38"/>
  <c r="T51" i="38"/>
  <c r="T53" i="38"/>
  <c r="T54" i="38"/>
  <c r="T55" i="38"/>
  <c r="T57" i="38"/>
  <c r="T56" i="38"/>
  <c r="T58" i="38"/>
  <c r="T59" i="38"/>
  <c r="T60" i="38"/>
  <c r="T61" i="38"/>
  <c r="T64" i="38"/>
  <c r="T63" i="38"/>
  <c r="T62" i="38"/>
  <c r="T65" i="38"/>
  <c r="T66" i="38"/>
  <c r="T67" i="38"/>
  <c r="T68" i="38"/>
  <c r="T69" i="38"/>
  <c r="T70" i="38"/>
  <c r="T71" i="38"/>
  <c r="T72" i="38"/>
  <c r="T73" i="38"/>
  <c r="T74" i="38"/>
  <c r="T75" i="38"/>
  <c r="T76" i="38"/>
  <c r="T78" i="38"/>
  <c r="T79" i="38"/>
  <c r="T80" i="38"/>
  <c r="T81" i="38"/>
  <c r="T82" i="38"/>
  <c r="T83" i="38"/>
  <c r="T84" i="38"/>
  <c r="T85" i="38"/>
  <c r="T86" i="38"/>
  <c r="T87" i="38"/>
  <c r="T88" i="38"/>
  <c r="T89" i="38"/>
  <c r="T90" i="38"/>
  <c r="T91" i="38"/>
  <c r="T92" i="38"/>
  <c r="T93" i="38"/>
  <c r="T94" i="38"/>
  <c r="T95" i="38"/>
  <c r="T96" i="38"/>
  <c r="T97" i="38"/>
  <c r="T98" i="38"/>
  <c r="T99" i="38"/>
  <c r="T100" i="38"/>
  <c r="T101" i="38"/>
  <c r="T102" i="38"/>
  <c r="T103" i="38"/>
  <c r="T104" i="38"/>
  <c r="T105" i="38"/>
  <c r="T106" i="38"/>
  <c r="T107" i="38"/>
  <c r="T109" i="38"/>
  <c r="T108" i="38"/>
  <c r="T110" i="38"/>
  <c r="T111" i="38"/>
  <c r="T112" i="38"/>
  <c r="T114" i="38"/>
  <c r="T113" i="38"/>
  <c r="T115" i="38"/>
  <c r="T116" i="38"/>
  <c r="T117" i="38"/>
  <c r="T118" i="38"/>
  <c r="T119" i="38"/>
  <c r="T120" i="38"/>
  <c r="T121" i="38"/>
  <c r="T122" i="38"/>
  <c r="T123" i="38"/>
  <c r="T125" i="38"/>
  <c r="T126" i="38"/>
  <c r="T127" i="38"/>
  <c r="T128" i="38"/>
  <c r="T129" i="38"/>
  <c r="T130" i="38"/>
  <c r="T132" i="38"/>
  <c r="T131" i="38"/>
  <c r="T133" i="38"/>
  <c r="T134" i="38"/>
  <c r="T135" i="38"/>
  <c r="T136" i="38"/>
  <c r="T137" i="38"/>
  <c r="T138" i="38"/>
  <c r="T140" i="38"/>
  <c r="T141" i="38"/>
  <c r="T139" i="38"/>
  <c r="T142" i="38"/>
  <c r="T143" i="38"/>
  <c r="T144" i="38"/>
  <c r="T145" i="38"/>
  <c r="T146" i="38"/>
  <c r="T147" i="38"/>
  <c r="T148" i="38"/>
  <c r="T149" i="38"/>
  <c r="T150" i="38"/>
  <c r="T151" i="38"/>
  <c r="T152" i="38"/>
  <c r="T153" i="38"/>
  <c r="T154" i="38"/>
  <c r="T156" i="38"/>
  <c r="T155" i="38"/>
  <c r="T157" i="38"/>
  <c r="T158" i="38"/>
  <c r="T159" i="38"/>
  <c r="T160" i="38"/>
  <c r="T161" i="38"/>
  <c r="T162" i="38"/>
  <c r="T163" i="38"/>
  <c r="T164" i="38"/>
  <c r="T165" i="38"/>
  <c r="T166" i="38"/>
  <c r="T167" i="38"/>
  <c r="T168" i="38"/>
  <c r="T169" i="38"/>
  <c r="T170" i="38"/>
  <c r="T171" i="38"/>
  <c r="T172" i="38"/>
  <c r="T173" i="38"/>
  <c r="T174" i="38"/>
  <c r="T175" i="38"/>
  <c r="T176" i="38"/>
  <c r="T177" i="38"/>
  <c r="T178" i="38"/>
  <c r="T179" i="38"/>
  <c r="T180" i="38"/>
  <c r="T181" i="38"/>
  <c r="T182" i="38"/>
  <c r="T183" i="38"/>
  <c r="T185" i="38"/>
  <c r="T184" i="38"/>
  <c r="T186" i="38"/>
  <c r="T189" i="38"/>
  <c r="T188" i="38"/>
  <c r="T187" i="38"/>
  <c r="T190" i="38"/>
  <c r="T191" i="38"/>
  <c r="T192" i="38"/>
  <c r="T193" i="38"/>
  <c r="T194" i="38"/>
  <c r="T195" i="38"/>
  <c r="T196" i="38"/>
  <c r="T197" i="38"/>
  <c r="T198" i="38"/>
  <c r="T199" i="38"/>
  <c r="T201" i="38"/>
  <c r="T200" i="38"/>
  <c r="T202" i="38"/>
  <c r="T203" i="38"/>
  <c r="T204" i="38"/>
  <c r="T205" i="38"/>
  <c r="T206" i="38"/>
  <c r="T207" i="38"/>
  <c r="T208" i="38"/>
  <c r="T209" i="38"/>
  <c r="T210" i="38"/>
  <c r="T211" i="38"/>
  <c r="T212" i="38"/>
  <c r="T213" i="38"/>
  <c r="T214" i="38"/>
  <c r="T215" i="38"/>
  <c r="T216" i="38"/>
  <c r="T217" i="38"/>
  <c r="T218" i="38"/>
  <c r="T219" i="38"/>
  <c r="T221" i="38"/>
  <c r="T220" i="38"/>
  <c r="T222" i="38"/>
  <c r="T223" i="38"/>
  <c r="T224" i="38"/>
  <c r="T225" i="38"/>
  <c r="T226" i="38"/>
  <c r="T227" i="38"/>
  <c r="T228" i="38"/>
  <c r="T229" i="38"/>
  <c r="T230" i="38"/>
  <c r="T231" i="38"/>
  <c r="T232" i="38"/>
  <c r="T233" i="38"/>
  <c r="T234" i="38"/>
  <c r="T235" i="38"/>
  <c r="T236" i="38"/>
  <c r="T237" i="38"/>
  <c r="T238" i="38"/>
  <c r="T239" i="38"/>
  <c r="T240" i="38"/>
  <c r="T241" i="38"/>
  <c r="T242" i="38"/>
  <c r="T243" i="38"/>
  <c r="T244" i="38"/>
  <c r="T245" i="38"/>
  <c r="T246" i="38"/>
  <c r="T247" i="38"/>
  <c r="T248" i="38"/>
  <c r="T249" i="38"/>
  <c r="T250" i="38"/>
  <c r="T251" i="38"/>
  <c r="T252" i="38"/>
  <c r="T253" i="38"/>
  <c r="T254" i="38"/>
  <c r="T256" i="38"/>
  <c r="T255" i="38"/>
  <c r="T257" i="38"/>
  <c r="T258" i="38"/>
  <c r="T259" i="38"/>
  <c r="T260" i="38"/>
  <c r="T261" i="38"/>
  <c r="T262" i="38"/>
  <c r="T264" i="38"/>
  <c r="T265" i="38"/>
  <c r="T266" i="38"/>
  <c r="T268" i="38"/>
  <c r="T269" i="38"/>
  <c r="T270" i="38"/>
  <c r="T271" i="38"/>
  <c r="T272" i="38"/>
  <c r="T273" i="38"/>
  <c r="T274" i="38"/>
  <c r="T275" i="38"/>
  <c r="T276" i="38"/>
  <c r="T277" i="38"/>
  <c r="T278" i="38"/>
  <c r="T279" i="38"/>
  <c r="T281" i="38"/>
  <c r="T280" i="38"/>
  <c r="T282" i="38"/>
  <c r="T283" i="38"/>
  <c r="T284" i="38"/>
  <c r="T285" i="38"/>
  <c r="T286" i="38"/>
  <c r="T287" i="38"/>
  <c r="T288" i="38"/>
  <c r="T289" i="38"/>
  <c r="T290" i="38"/>
  <c r="T292" i="38"/>
  <c r="T291" i="38"/>
  <c r="T293" i="38"/>
  <c r="T294" i="38"/>
  <c r="T296" i="38"/>
  <c r="T295" i="38"/>
  <c r="T298" i="38"/>
  <c r="T299" i="38"/>
  <c r="T300" i="38"/>
  <c r="T301" i="38"/>
  <c r="T302" i="38"/>
  <c r="T297" i="38"/>
  <c r="T303" i="38"/>
  <c r="T304" i="38"/>
  <c r="T305" i="38"/>
  <c r="T306" i="38"/>
  <c r="T308" i="38"/>
  <c r="T309" i="38"/>
  <c r="T310" i="38"/>
  <c r="T311" i="38"/>
  <c r="T312" i="38"/>
  <c r="T313" i="38"/>
  <c r="T314" i="38"/>
  <c r="T315" i="38"/>
  <c r="T316" i="38"/>
  <c r="T317" i="38"/>
  <c r="T318" i="38"/>
  <c r="T319" i="38"/>
  <c r="T320" i="38"/>
  <c r="T321" i="38"/>
  <c r="T323" i="38"/>
  <c r="T322" i="38"/>
  <c r="T324" i="38"/>
  <c r="T325" i="38"/>
  <c r="T326" i="38"/>
  <c r="T327" i="38"/>
  <c r="T329" i="38"/>
  <c r="T330" i="38"/>
  <c r="T331" i="38"/>
  <c r="T332" i="38"/>
  <c r="T333" i="38"/>
  <c r="T334" i="38"/>
  <c r="T335" i="38"/>
  <c r="T336" i="38"/>
  <c r="T337" i="38"/>
  <c r="T339" i="38"/>
  <c r="T338" i="38"/>
  <c r="T340" i="38"/>
  <c r="T341" i="38"/>
  <c r="T342" i="38"/>
  <c r="T343" i="38"/>
  <c r="T344" i="38"/>
  <c r="T345" i="38"/>
  <c r="T346" i="38"/>
  <c r="T347" i="38"/>
  <c r="T349" i="38"/>
  <c r="T348" i="38"/>
  <c r="T350" i="38"/>
  <c r="T352" i="38"/>
  <c r="T351" i="38"/>
  <c r="T353" i="38"/>
  <c r="T354" i="38"/>
  <c r="T356" i="38"/>
  <c r="T355" i="38"/>
  <c r="T357" i="38"/>
  <c r="T358" i="38"/>
  <c r="T359" i="38"/>
  <c r="T360" i="38"/>
  <c r="T361" i="38"/>
  <c r="T362" i="38"/>
  <c r="T363" i="38"/>
  <c r="T365" i="38"/>
  <c r="T364" i="38"/>
  <c r="T366" i="38"/>
  <c r="T367" i="38"/>
  <c r="T368" i="38"/>
  <c r="T369" i="38"/>
  <c r="T370" i="38"/>
  <c r="T371" i="38"/>
  <c r="T372" i="38"/>
  <c r="T373" i="38"/>
  <c r="T374" i="38"/>
  <c r="T375" i="38"/>
  <c r="T376" i="38"/>
  <c r="T377" i="38"/>
  <c r="T378" i="38"/>
  <c r="T379" i="38"/>
  <c r="T380" i="38"/>
  <c r="T381" i="38"/>
  <c r="T382" i="38"/>
  <c r="T383" i="38"/>
  <c r="T385" i="38"/>
  <c r="T386" i="38"/>
  <c r="T387" i="38"/>
  <c r="T388" i="38"/>
  <c r="T389" i="38"/>
  <c r="T390" i="38"/>
  <c r="T391" i="38"/>
  <c r="T394" i="38"/>
  <c r="T393" i="38"/>
  <c r="T392" i="38"/>
  <c r="T396" i="38"/>
  <c r="T397" i="38"/>
  <c r="T398" i="38"/>
  <c r="T399" i="38"/>
  <c r="T400" i="38"/>
  <c r="T401" i="38"/>
  <c r="T403" i="38"/>
  <c r="T402" i="38"/>
  <c r="T404" i="38"/>
  <c r="T405" i="38"/>
  <c r="T406" i="38"/>
  <c r="T407" i="38"/>
  <c r="T408" i="38"/>
  <c r="T410" i="38"/>
  <c r="T415" i="38"/>
  <c r="T416" i="38"/>
  <c r="S47" i="38"/>
  <c r="T47" i="38" s="1"/>
  <c r="S77" i="38"/>
  <c r="T77" i="38" s="1"/>
  <c r="S88" i="38"/>
  <c r="S95" i="38"/>
  <c r="S108" i="38"/>
  <c r="S124" i="38"/>
  <c r="T124" i="38" s="1"/>
  <c r="S153" i="38"/>
  <c r="S165" i="38"/>
  <c r="S201" i="38"/>
  <c r="S220" i="38"/>
  <c r="S245" i="38"/>
  <c r="S263" i="38"/>
  <c r="T263" i="38" s="1"/>
  <c r="S267" i="38"/>
  <c r="T267" i="38" s="1"/>
  <c r="S305" i="38"/>
  <c r="S307" i="38"/>
  <c r="T307" i="38" s="1"/>
  <c r="S328" i="38"/>
  <c r="T328" i="38" s="1"/>
  <c r="S384" i="38"/>
  <c r="T384" i="38" s="1"/>
  <c r="S395" i="38"/>
  <c r="T395" i="38" s="1"/>
  <c r="S396" i="38"/>
  <c r="S406" i="38"/>
  <c r="R3" i="38"/>
  <c r="S3" i="38" s="1"/>
  <c r="R4" i="38"/>
  <c r="S4" i="38" s="1"/>
  <c r="R5" i="38"/>
  <c r="S5" i="38" s="1"/>
  <c r="R6" i="38"/>
  <c r="S6" i="38" s="1"/>
  <c r="R7" i="38"/>
  <c r="S7" i="38" s="1"/>
  <c r="R8" i="38"/>
  <c r="S8" i="38" s="1"/>
  <c r="R9" i="38"/>
  <c r="S9" i="38" s="1"/>
  <c r="R10" i="38"/>
  <c r="S10" i="38" s="1"/>
  <c r="R11" i="38"/>
  <c r="S11" i="38" s="1"/>
  <c r="R12" i="38"/>
  <c r="S12" i="38" s="1"/>
  <c r="R13" i="38"/>
  <c r="S13" i="38" s="1"/>
  <c r="R14" i="38"/>
  <c r="S14" i="38" s="1"/>
  <c r="R15" i="38"/>
  <c r="S15" i="38" s="1"/>
  <c r="R16" i="38"/>
  <c r="S16" i="38" s="1"/>
  <c r="R17" i="38"/>
  <c r="S17" i="38" s="1"/>
  <c r="R18" i="38"/>
  <c r="S18" i="38" s="1"/>
  <c r="R19" i="38"/>
  <c r="S19" i="38" s="1"/>
  <c r="R20" i="38"/>
  <c r="S20" i="38" s="1"/>
  <c r="R21" i="38"/>
  <c r="S21" i="38" s="1"/>
  <c r="R22" i="38"/>
  <c r="S22" i="38" s="1"/>
  <c r="R23" i="38"/>
  <c r="S23" i="38" s="1"/>
  <c r="R24" i="38"/>
  <c r="S24" i="38" s="1"/>
  <c r="R25" i="38"/>
  <c r="S25" i="38" s="1"/>
  <c r="R26" i="38"/>
  <c r="S26" i="38" s="1"/>
  <c r="R28" i="38"/>
  <c r="S28" i="38" s="1"/>
  <c r="R27" i="38"/>
  <c r="S27" i="38" s="1"/>
  <c r="R29" i="38"/>
  <c r="S29" i="38" s="1"/>
  <c r="R30" i="38"/>
  <c r="S30" i="38" s="1"/>
  <c r="R31" i="38"/>
  <c r="S31" i="38" s="1"/>
  <c r="R32" i="38"/>
  <c r="S32" i="38" s="1"/>
  <c r="R33" i="38"/>
  <c r="S33" i="38" s="1"/>
  <c r="R34" i="38"/>
  <c r="S34" i="38" s="1"/>
  <c r="R36" i="38"/>
  <c r="S36" i="38" s="1"/>
  <c r="R35" i="38"/>
  <c r="S35" i="38" s="1"/>
  <c r="R37" i="38"/>
  <c r="S37" i="38" s="1"/>
  <c r="R38" i="38"/>
  <c r="S38" i="38" s="1"/>
  <c r="R39" i="38"/>
  <c r="S39" i="38" s="1"/>
  <c r="R40" i="38"/>
  <c r="S40" i="38" s="1"/>
  <c r="R41" i="38"/>
  <c r="S41" i="38" s="1"/>
  <c r="R42" i="38"/>
  <c r="S42" i="38" s="1"/>
  <c r="R43" i="38"/>
  <c r="S43" i="38" s="1"/>
  <c r="R44" i="38"/>
  <c r="S44" i="38" s="1"/>
  <c r="R45" i="38"/>
  <c r="S45" i="38" s="1"/>
  <c r="R46" i="38"/>
  <c r="S46" i="38" s="1"/>
  <c r="R47" i="38"/>
  <c r="R49" i="38"/>
  <c r="S49" i="38" s="1"/>
  <c r="R48" i="38"/>
  <c r="S48" i="38" s="1"/>
  <c r="R50" i="38"/>
  <c r="S50" i="38" s="1"/>
  <c r="R52" i="38"/>
  <c r="S52" i="38" s="1"/>
  <c r="R51" i="38"/>
  <c r="S51" i="38" s="1"/>
  <c r="R53" i="38"/>
  <c r="S53" i="38" s="1"/>
  <c r="R54" i="38"/>
  <c r="S54" i="38" s="1"/>
  <c r="R55" i="38"/>
  <c r="S55" i="38" s="1"/>
  <c r="R57" i="38"/>
  <c r="S57" i="38" s="1"/>
  <c r="R56" i="38"/>
  <c r="S56" i="38" s="1"/>
  <c r="R58" i="38"/>
  <c r="S58" i="38" s="1"/>
  <c r="R59" i="38"/>
  <c r="S59" i="38" s="1"/>
  <c r="R60" i="38"/>
  <c r="S60" i="38" s="1"/>
  <c r="R61" i="38"/>
  <c r="S61" i="38" s="1"/>
  <c r="R64" i="38"/>
  <c r="S64" i="38" s="1"/>
  <c r="R63" i="38"/>
  <c r="S63" i="38" s="1"/>
  <c r="R62" i="38"/>
  <c r="S62" i="38" s="1"/>
  <c r="R65" i="38"/>
  <c r="S65" i="38" s="1"/>
  <c r="R66" i="38"/>
  <c r="S66" i="38" s="1"/>
  <c r="R67" i="38"/>
  <c r="S67" i="38" s="1"/>
  <c r="R68" i="38"/>
  <c r="S68" i="38" s="1"/>
  <c r="R69" i="38"/>
  <c r="S69" i="38" s="1"/>
  <c r="R70" i="38"/>
  <c r="S70" i="38" s="1"/>
  <c r="R71" i="38"/>
  <c r="S71" i="38" s="1"/>
  <c r="R72" i="38"/>
  <c r="S72" i="38" s="1"/>
  <c r="R73" i="38"/>
  <c r="S73" i="38" s="1"/>
  <c r="R74" i="38"/>
  <c r="S74" i="38" s="1"/>
  <c r="R75" i="38"/>
  <c r="S75" i="38" s="1"/>
  <c r="R76" i="38"/>
  <c r="S76" i="38" s="1"/>
  <c r="R77" i="38"/>
  <c r="R78" i="38"/>
  <c r="S78" i="38" s="1"/>
  <c r="R79" i="38"/>
  <c r="S79" i="38" s="1"/>
  <c r="R80" i="38"/>
  <c r="S80" i="38" s="1"/>
  <c r="R81" i="38"/>
  <c r="S81" i="38" s="1"/>
  <c r="R82" i="38"/>
  <c r="S82" i="38" s="1"/>
  <c r="R83" i="38"/>
  <c r="S83" i="38" s="1"/>
  <c r="R84" i="38"/>
  <c r="S84" i="38" s="1"/>
  <c r="R85" i="38"/>
  <c r="S85" i="38" s="1"/>
  <c r="R86" i="38"/>
  <c r="S86" i="38" s="1"/>
  <c r="R87" i="38"/>
  <c r="S87" i="38" s="1"/>
  <c r="R88" i="38"/>
  <c r="U88" i="38" s="1"/>
  <c r="R89" i="38"/>
  <c r="S89" i="38" s="1"/>
  <c r="R90" i="38"/>
  <c r="S90" i="38" s="1"/>
  <c r="R91" i="38"/>
  <c r="S91" i="38" s="1"/>
  <c r="R92" i="38"/>
  <c r="S92" i="38" s="1"/>
  <c r="R93" i="38"/>
  <c r="S93" i="38" s="1"/>
  <c r="R94" i="38"/>
  <c r="S94" i="38" s="1"/>
  <c r="R95" i="38"/>
  <c r="U95" i="38" s="1"/>
  <c r="R96" i="38"/>
  <c r="S96" i="38" s="1"/>
  <c r="R97" i="38"/>
  <c r="S97" i="38" s="1"/>
  <c r="R98" i="38"/>
  <c r="S98" i="38" s="1"/>
  <c r="R99" i="38"/>
  <c r="S99" i="38" s="1"/>
  <c r="R100" i="38"/>
  <c r="S100" i="38" s="1"/>
  <c r="R101" i="38"/>
  <c r="S101" i="38" s="1"/>
  <c r="R102" i="38"/>
  <c r="S102" i="38" s="1"/>
  <c r="R103" i="38"/>
  <c r="S103" i="38" s="1"/>
  <c r="R104" i="38"/>
  <c r="S104" i="38" s="1"/>
  <c r="R105" i="38"/>
  <c r="S105" i="38" s="1"/>
  <c r="R106" i="38"/>
  <c r="S106" i="38" s="1"/>
  <c r="R107" i="38"/>
  <c r="S107" i="38" s="1"/>
  <c r="R109" i="38"/>
  <c r="S109" i="38" s="1"/>
  <c r="R108" i="38"/>
  <c r="R110" i="38"/>
  <c r="S110" i="38" s="1"/>
  <c r="R111" i="38"/>
  <c r="S111" i="38" s="1"/>
  <c r="R112" i="38"/>
  <c r="S112" i="38" s="1"/>
  <c r="R114" i="38"/>
  <c r="S114" i="38" s="1"/>
  <c r="R113" i="38"/>
  <c r="S113" i="38" s="1"/>
  <c r="R115" i="38"/>
  <c r="S115" i="38" s="1"/>
  <c r="R116" i="38"/>
  <c r="S116" i="38" s="1"/>
  <c r="R117" i="38"/>
  <c r="S117" i="38" s="1"/>
  <c r="R118" i="38"/>
  <c r="S118" i="38" s="1"/>
  <c r="R119" i="38"/>
  <c r="S119" i="38" s="1"/>
  <c r="R120" i="38"/>
  <c r="S120" i="38" s="1"/>
  <c r="R121" i="38"/>
  <c r="S121" i="38" s="1"/>
  <c r="R122" i="38"/>
  <c r="S122" i="38" s="1"/>
  <c r="R123" i="38"/>
  <c r="S123" i="38" s="1"/>
  <c r="R124" i="38"/>
  <c r="R125" i="38"/>
  <c r="S125" i="38" s="1"/>
  <c r="R126" i="38"/>
  <c r="S126" i="38" s="1"/>
  <c r="R127" i="38"/>
  <c r="S127" i="38" s="1"/>
  <c r="R128" i="38"/>
  <c r="S128" i="38" s="1"/>
  <c r="R129" i="38"/>
  <c r="S129" i="38" s="1"/>
  <c r="R130" i="38"/>
  <c r="S130" i="38" s="1"/>
  <c r="R132" i="38"/>
  <c r="S132" i="38" s="1"/>
  <c r="R131" i="38"/>
  <c r="S131" i="38" s="1"/>
  <c r="R133" i="38"/>
  <c r="S133" i="38" s="1"/>
  <c r="R134" i="38"/>
  <c r="S134" i="38" s="1"/>
  <c r="R135" i="38"/>
  <c r="S135" i="38" s="1"/>
  <c r="R136" i="38"/>
  <c r="S136" i="38" s="1"/>
  <c r="R137" i="38"/>
  <c r="S137" i="38" s="1"/>
  <c r="R138" i="38"/>
  <c r="S138" i="38" s="1"/>
  <c r="R140" i="38"/>
  <c r="S140" i="38" s="1"/>
  <c r="R141" i="38"/>
  <c r="S141" i="38" s="1"/>
  <c r="R139" i="38"/>
  <c r="S139" i="38" s="1"/>
  <c r="R142" i="38"/>
  <c r="S142" i="38" s="1"/>
  <c r="R143" i="38"/>
  <c r="S143" i="38" s="1"/>
  <c r="R144" i="38"/>
  <c r="S144" i="38" s="1"/>
  <c r="R145" i="38"/>
  <c r="S145" i="38" s="1"/>
  <c r="R146" i="38"/>
  <c r="S146" i="38" s="1"/>
  <c r="R147" i="38"/>
  <c r="S147" i="38" s="1"/>
  <c r="R148" i="38"/>
  <c r="S148" i="38" s="1"/>
  <c r="R149" i="38"/>
  <c r="S149" i="38" s="1"/>
  <c r="R150" i="38"/>
  <c r="S150" i="38" s="1"/>
  <c r="R151" i="38"/>
  <c r="S151" i="38" s="1"/>
  <c r="R152" i="38"/>
  <c r="S152" i="38" s="1"/>
  <c r="R153" i="38"/>
  <c r="V153" i="38" s="1"/>
  <c r="R154" i="38"/>
  <c r="S154" i="38" s="1"/>
  <c r="R156" i="38"/>
  <c r="S156" i="38" s="1"/>
  <c r="R155" i="38"/>
  <c r="S155" i="38" s="1"/>
  <c r="R157" i="38"/>
  <c r="S157" i="38" s="1"/>
  <c r="R158" i="38"/>
  <c r="S158" i="38" s="1"/>
  <c r="R159" i="38"/>
  <c r="S159" i="38" s="1"/>
  <c r="R160" i="38"/>
  <c r="S160" i="38" s="1"/>
  <c r="R161" i="38"/>
  <c r="S161" i="38" s="1"/>
  <c r="R162" i="38"/>
  <c r="S162" i="38" s="1"/>
  <c r="R163" i="38"/>
  <c r="S163" i="38" s="1"/>
  <c r="R164" i="38"/>
  <c r="S164" i="38" s="1"/>
  <c r="R165" i="38"/>
  <c r="U165" i="38" s="1"/>
  <c r="R166" i="38"/>
  <c r="S166" i="38" s="1"/>
  <c r="R167" i="38"/>
  <c r="S167" i="38" s="1"/>
  <c r="R168" i="38"/>
  <c r="S168" i="38" s="1"/>
  <c r="R169" i="38"/>
  <c r="S169" i="38" s="1"/>
  <c r="R170" i="38"/>
  <c r="S170" i="38" s="1"/>
  <c r="R171" i="38"/>
  <c r="S171" i="38" s="1"/>
  <c r="R172" i="38"/>
  <c r="S172" i="38" s="1"/>
  <c r="R173" i="38"/>
  <c r="S173" i="38" s="1"/>
  <c r="R174" i="38"/>
  <c r="S174" i="38" s="1"/>
  <c r="R175" i="38"/>
  <c r="S175" i="38" s="1"/>
  <c r="R176" i="38"/>
  <c r="S176" i="38" s="1"/>
  <c r="R177" i="38"/>
  <c r="S177" i="38" s="1"/>
  <c r="R178" i="38"/>
  <c r="S178" i="38" s="1"/>
  <c r="R179" i="38"/>
  <c r="S179" i="38" s="1"/>
  <c r="R180" i="38"/>
  <c r="S180" i="38" s="1"/>
  <c r="R181" i="38"/>
  <c r="S181" i="38" s="1"/>
  <c r="R182" i="38"/>
  <c r="S182" i="38" s="1"/>
  <c r="R183" i="38"/>
  <c r="S183" i="38" s="1"/>
  <c r="R185" i="38"/>
  <c r="S185" i="38" s="1"/>
  <c r="R184" i="38"/>
  <c r="S184" i="38" s="1"/>
  <c r="R186" i="38"/>
  <c r="S186" i="38" s="1"/>
  <c r="R189" i="38"/>
  <c r="S189" i="38" s="1"/>
  <c r="R188" i="38"/>
  <c r="S188" i="38" s="1"/>
  <c r="R187" i="38"/>
  <c r="S187" i="38" s="1"/>
  <c r="R190" i="38"/>
  <c r="S190" i="38" s="1"/>
  <c r="R191" i="38"/>
  <c r="S191" i="38" s="1"/>
  <c r="R192" i="38"/>
  <c r="S192" i="38" s="1"/>
  <c r="R193" i="38"/>
  <c r="S193" i="38" s="1"/>
  <c r="R194" i="38"/>
  <c r="S194" i="38" s="1"/>
  <c r="R195" i="38"/>
  <c r="S195" i="38" s="1"/>
  <c r="R196" i="38"/>
  <c r="S196" i="38" s="1"/>
  <c r="R197" i="38"/>
  <c r="S197" i="38" s="1"/>
  <c r="R198" i="38"/>
  <c r="S198" i="38" s="1"/>
  <c r="R199" i="38"/>
  <c r="S199" i="38" s="1"/>
  <c r="R201" i="38"/>
  <c r="U201" i="38" s="1"/>
  <c r="R200" i="38"/>
  <c r="S200" i="38" s="1"/>
  <c r="R202" i="38"/>
  <c r="S202" i="38" s="1"/>
  <c r="R203" i="38"/>
  <c r="S203" i="38" s="1"/>
  <c r="R204" i="38"/>
  <c r="S204" i="38" s="1"/>
  <c r="R205" i="38"/>
  <c r="S205" i="38" s="1"/>
  <c r="R206" i="38"/>
  <c r="S206" i="38" s="1"/>
  <c r="R207" i="38"/>
  <c r="S207" i="38" s="1"/>
  <c r="R208" i="38"/>
  <c r="S208" i="38" s="1"/>
  <c r="R209" i="38"/>
  <c r="S209" i="38" s="1"/>
  <c r="R210" i="38"/>
  <c r="S210" i="38" s="1"/>
  <c r="R211" i="38"/>
  <c r="S211" i="38" s="1"/>
  <c r="R212" i="38"/>
  <c r="S212" i="38" s="1"/>
  <c r="R213" i="38"/>
  <c r="S213" i="38" s="1"/>
  <c r="R214" i="38"/>
  <c r="S214" i="38" s="1"/>
  <c r="R215" i="38"/>
  <c r="S215" i="38" s="1"/>
  <c r="R216" i="38"/>
  <c r="S216" i="38" s="1"/>
  <c r="R217" i="38"/>
  <c r="S217" i="38" s="1"/>
  <c r="R218" i="38"/>
  <c r="S218" i="38" s="1"/>
  <c r="R219" i="38"/>
  <c r="S219" i="38" s="1"/>
  <c r="R221" i="38"/>
  <c r="S221" i="38" s="1"/>
  <c r="R220" i="38"/>
  <c r="U220" i="38" s="1"/>
  <c r="R222" i="38"/>
  <c r="S222" i="38" s="1"/>
  <c r="R223" i="38"/>
  <c r="S223" i="38" s="1"/>
  <c r="R224" i="38"/>
  <c r="S224" i="38" s="1"/>
  <c r="R225" i="38"/>
  <c r="S225" i="38" s="1"/>
  <c r="R226" i="38"/>
  <c r="S226" i="38" s="1"/>
  <c r="R227" i="38"/>
  <c r="S227" i="38" s="1"/>
  <c r="R228" i="38"/>
  <c r="S228" i="38" s="1"/>
  <c r="R229" i="38"/>
  <c r="S229" i="38" s="1"/>
  <c r="R230" i="38"/>
  <c r="S230" i="38" s="1"/>
  <c r="R231" i="38"/>
  <c r="S231" i="38" s="1"/>
  <c r="R232" i="38"/>
  <c r="S232" i="38" s="1"/>
  <c r="R233" i="38"/>
  <c r="S233" i="38" s="1"/>
  <c r="R234" i="38"/>
  <c r="S234" i="38" s="1"/>
  <c r="R235" i="38"/>
  <c r="S235" i="38" s="1"/>
  <c r="R236" i="38"/>
  <c r="S236" i="38" s="1"/>
  <c r="R237" i="38"/>
  <c r="S237" i="38" s="1"/>
  <c r="R238" i="38"/>
  <c r="S238" i="38" s="1"/>
  <c r="R239" i="38"/>
  <c r="S239" i="38" s="1"/>
  <c r="R240" i="38"/>
  <c r="S240" i="38" s="1"/>
  <c r="R241" i="38"/>
  <c r="S241" i="38" s="1"/>
  <c r="R242" i="38"/>
  <c r="S242" i="38" s="1"/>
  <c r="R243" i="38"/>
  <c r="S243" i="38" s="1"/>
  <c r="R244" i="38"/>
  <c r="S244" i="38" s="1"/>
  <c r="R245" i="38"/>
  <c r="U245" i="38" s="1"/>
  <c r="R246" i="38"/>
  <c r="S246" i="38" s="1"/>
  <c r="R247" i="38"/>
  <c r="S247" i="38" s="1"/>
  <c r="R248" i="38"/>
  <c r="S248" i="38" s="1"/>
  <c r="R249" i="38"/>
  <c r="S249" i="38" s="1"/>
  <c r="R250" i="38"/>
  <c r="S250" i="38" s="1"/>
  <c r="R251" i="38"/>
  <c r="S251" i="38" s="1"/>
  <c r="R252" i="38"/>
  <c r="S252" i="38" s="1"/>
  <c r="R253" i="38"/>
  <c r="S253" i="38" s="1"/>
  <c r="R254" i="38"/>
  <c r="S254" i="38" s="1"/>
  <c r="R256" i="38"/>
  <c r="S256" i="38" s="1"/>
  <c r="R255" i="38"/>
  <c r="S255" i="38" s="1"/>
  <c r="R257" i="38"/>
  <c r="S257" i="38" s="1"/>
  <c r="R258" i="38"/>
  <c r="S258" i="38" s="1"/>
  <c r="R259" i="38"/>
  <c r="S259" i="38" s="1"/>
  <c r="R260" i="38"/>
  <c r="S260" i="38" s="1"/>
  <c r="R261" i="38"/>
  <c r="S261" i="38" s="1"/>
  <c r="R262" i="38"/>
  <c r="S262" i="38" s="1"/>
  <c r="R263" i="38"/>
  <c r="R264" i="38"/>
  <c r="S264" i="38" s="1"/>
  <c r="R265" i="38"/>
  <c r="S265" i="38" s="1"/>
  <c r="R266" i="38"/>
  <c r="S266" i="38" s="1"/>
  <c r="R267" i="38"/>
  <c r="R268" i="38"/>
  <c r="S268" i="38" s="1"/>
  <c r="R269" i="38"/>
  <c r="S269" i="38" s="1"/>
  <c r="R270" i="38"/>
  <c r="S270" i="38" s="1"/>
  <c r="R271" i="38"/>
  <c r="S271" i="38" s="1"/>
  <c r="R272" i="38"/>
  <c r="S272" i="38" s="1"/>
  <c r="R273" i="38"/>
  <c r="S273" i="38" s="1"/>
  <c r="R274" i="38"/>
  <c r="S274" i="38" s="1"/>
  <c r="R275" i="38"/>
  <c r="S275" i="38" s="1"/>
  <c r="R276" i="38"/>
  <c r="S276" i="38" s="1"/>
  <c r="R277" i="38"/>
  <c r="S277" i="38" s="1"/>
  <c r="R278" i="38"/>
  <c r="S278" i="38" s="1"/>
  <c r="R279" i="38"/>
  <c r="S279" i="38" s="1"/>
  <c r="R281" i="38"/>
  <c r="S281" i="38" s="1"/>
  <c r="R280" i="38"/>
  <c r="S280" i="38" s="1"/>
  <c r="R282" i="38"/>
  <c r="S282" i="38" s="1"/>
  <c r="R283" i="38"/>
  <c r="S283" i="38" s="1"/>
  <c r="R284" i="38"/>
  <c r="S284" i="38" s="1"/>
  <c r="R285" i="38"/>
  <c r="S285" i="38" s="1"/>
  <c r="R286" i="38"/>
  <c r="S286" i="38" s="1"/>
  <c r="R287" i="38"/>
  <c r="S287" i="38" s="1"/>
  <c r="R288" i="38"/>
  <c r="S288" i="38" s="1"/>
  <c r="R289" i="38"/>
  <c r="S289" i="38" s="1"/>
  <c r="R290" i="38"/>
  <c r="S290" i="38" s="1"/>
  <c r="R292" i="38"/>
  <c r="S292" i="38" s="1"/>
  <c r="R291" i="38"/>
  <c r="S291" i="38" s="1"/>
  <c r="R293" i="38"/>
  <c r="S293" i="38" s="1"/>
  <c r="R294" i="38"/>
  <c r="S294" i="38" s="1"/>
  <c r="R296" i="38"/>
  <c r="S296" i="38" s="1"/>
  <c r="R295" i="38"/>
  <c r="S295" i="38" s="1"/>
  <c r="R298" i="38"/>
  <c r="S298" i="38" s="1"/>
  <c r="R299" i="38"/>
  <c r="S299" i="38" s="1"/>
  <c r="R300" i="38"/>
  <c r="S300" i="38" s="1"/>
  <c r="R301" i="38"/>
  <c r="S301" i="38" s="1"/>
  <c r="R302" i="38"/>
  <c r="S302" i="38" s="1"/>
  <c r="R297" i="38"/>
  <c r="S297" i="38" s="1"/>
  <c r="R303" i="38"/>
  <c r="S303" i="38" s="1"/>
  <c r="R304" i="38"/>
  <c r="S304" i="38" s="1"/>
  <c r="R305" i="38"/>
  <c r="V305" i="38" s="1"/>
  <c r="R306" i="38"/>
  <c r="S306" i="38" s="1"/>
  <c r="R307" i="38"/>
  <c r="R308" i="38"/>
  <c r="S308" i="38" s="1"/>
  <c r="R309" i="38"/>
  <c r="S309" i="38" s="1"/>
  <c r="R310" i="38"/>
  <c r="S310" i="38" s="1"/>
  <c r="R311" i="38"/>
  <c r="S311" i="38" s="1"/>
  <c r="R312" i="38"/>
  <c r="S312" i="38" s="1"/>
  <c r="R313" i="38"/>
  <c r="S313" i="38" s="1"/>
  <c r="R314" i="38"/>
  <c r="S314" i="38" s="1"/>
  <c r="R315" i="38"/>
  <c r="S315" i="38" s="1"/>
  <c r="R316" i="38"/>
  <c r="S316" i="38" s="1"/>
  <c r="R317" i="38"/>
  <c r="S317" i="38" s="1"/>
  <c r="R318" i="38"/>
  <c r="S318" i="38" s="1"/>
  <c r="R319" i="38"/>
  <c r="S319" i="38" s="1"/>
  <c r="R320" i="38"/>
  <c r="S320" i="38" s="1"/>
  <c r="R321" i="38"/>
  <c r="S321" i="38" s="1"/>
  <c r="R323" i="38"/>
  <c r="S323" i="38" s="1"/>
  <c r="R322" i="38"/>
  <c r="S322" i="38" s="1"/>
  <c r="R324" i="38"/>
  <c r="S324" i="38" s="1"/>
  <c r="R325" i="38"/>
  <c r="S325" i="38" s="1"/>
  <c r="R326" i="38"/>
  <c r="S326" i="38" s="1"/>
  <c r="R328" i="38"/>
  <c r="R327" i="38"/>
  <c r="S327" i="38" s="1"/>
  <c r="R329" i="38"/>
  <c r="S329" i="38" s="1"/>
  <c r="R330" i="38"/>
  <c r="S330" i="38" s="1"/>
  <c r="R331" i="38"/>
  <c r="S331" i="38" s="1"/>
  <c r="R332" i="38"/>
  <c r="S332" i="38" s="1"/>
  <c r="R333" i="38"/>
  <c r="S333" i="38" s="1"/>
  <c r="R334" i="38"/>
  <c r="S334" i="38" s="1"/>
  <c r="R335" i="38"/>
  <c r="S335" i="38" s="1"/>
  <c r="R336" i="38"/>
  <c r="S336" i="38" s="1"/>
  <c r="R337" i="38"/>
  <c r="S337" i="38" s="1"/>
  <c r="R339" i="38"/>
  <c r="S339" i="38" s="1"/>
  <c r="R338" i="38"/>
  <c r="S338" i="38" s="1"/>
  <c r="R340" i="38"/>
  <c r="S340" i="38" s="1"/>
  <c r="R341" i="38"/>
  <c r="S341" i="38" s="1"/>
  <c r="R342" i="38"/>
  <c r="S342" i="38" s="1"/>
  <c r="R343" i="38"/>
  <c r="S343" i="38" s="1"/>
  <c r="R344" i="38"/>
  <c r="S344" i="38" s="1"/>
  <c r="R345" i="38"/>
  <c r="S345" i="38" s="1"/>
  <c r="R346" i="38"/>
  <c r="S346" i="38" s="1"/>
  <c r="R347" i="38"/>
  <c r="S347" i="38" s="1"/>
  <c r="R349" i="38"/>
  <c r="S349" i="38" s="1"/>
  <c r="R348" i="38"/>
  <c r="S348" i="38" s="1"/>
  <c r="R350" i="38"/>
  <c r="S350" i="38" s="1"/>
  <c r="R352" i="38"/>
  <c r="S352" i="38" s="1"/>
  <c r="R351" i="38"/>
  <c r="S351" i="38" s="1"/>
  <c r="R353" i="38"/>
  <c r="S353" i="38" s="1"/>
  <c r="R354" i="38"/>
  <c r="S354" i="38" s="1"/>
  <c r="R356" i="38"/>
  <c r="S356" i="38" s="1"/>
  <c r="R355" i="38"/>
  <c r="S355" i="38" s="1"/>
  <c r="R357" i="38"/>
  <c r="S357" i="38" s="1"/>
  <c r="R358" i="38"/>
  <c r="S358" i="38" s="1"/>
  <c r="R359" i="38"/>
  <c r="S359" i="38" s="1"/>
  <c r="R360" i="38"/>
  <c r="S360" i="38" s="1"/>
  <c r="R361" i="38"/>
  <c r="S361" i="38" s="1"/>
  <c r="R362" i="38"/>
  <c r="S362" i="38" s="1"/>
  <c r="R363" i="38"/>
  <c r="S363" i="38" s="1"/>
  <c r="R365" i="38"/>
  <c r="S365" i="38" s="1"/>
  <c r="R364" i="38"/>
  <c r="S364" i="38" s="1"/>
  <c r="R366" i="38"/>
  <c r="S366" i="38" s="1"/>
  <c r="R367" i="38"/>
  <c r="S367" i="38" s="1"/>
  <c r="R368" i="38"/>
  <c r="S368" i="38" s="1"/>
  <c r="R369" i="38"/>
  <c r="S369" i="38" s="1"/>
  <c r="R370" i="38"/>
  <c r="S370" i="38" s="1"/>
  <c r="R371" i="38"/>
  <c r="S371" i="38" s="1"/>
  <c r="R372" i="38"/>
  <c r="S372" i="38" s="1"/>
  <c r="R373" i="38"/>
  <c r="S373" i="38" s="1"/>
  <c r="R374" i="38"/>
  <c r="S374" i="38" s="1"/>
  <c r="R375" i="38"/>
  <c r="S375" i="38" s="1"/>
  <c r="R376" i="38"/>
  <c r="S376" i="38" s="1"/>
  <c r="R377" i="38"/>
  <c r="S377" i="38" s="1"/>
  <c r="R378" i="38"/>
  <c r="S378" i="38" s="1"/>
  <c r="R379" i="38"/>
  <c r="S379" i="38" s="1"/>
  <c r="R380" i="38"/>
  <c r="S380" i="38" s="1"/>
  <c r="R381" i="38"/>
  <c r="S381" i="38" s="1"/>
  <c r="R382" i="38"/>
  <c r="S382" i="38" s="1"/>
  <c r="R383" i="38"/>
  <c r="S383" i="38" s="1"/>
  <c r="R384" i="38"/>
  <c r="R385" i="38"/>
  <c r="S385" i="38" s="1"/>
  <c r="R386" i="38"/>
  <c r="S386" i="38" s="1"/>
  <c r="R387" i="38"/>
  <c r="S387" i="38" s="1"/>
  <c r="R388" i="38"/>
  <c r="S388" i="38" s="1"/>
  <c r="R389" i="38"/>
  <c r="S389" i="38" s="1"/>
  <c r="R390" i="38"/>
  <c r="S390" i="38" s="1"/>
  <c r="R391" i="38"/>
  <c r="S391" i="38" s="1"/>
  <c r="R394" i="38"/>
  <c r="S394" i="38" s="1"/>
  <c r="R393" i="38"/>
  <c r="S393" i="38" s="1"/>
  <c r="R392" i="38"/>
  <c r="S392" i="38" s="1"/>
  <c r="R395" i="38"/>
  <c r="R396" i="38"/>
  <c r="U396" i="38" s="1"/>
  <c r="R397" i="38"/>
  <c r="S397" i="38" s="1"/>
  <c r="R398" i="38"/>
  <c r="S398" i="38" s="1"/>
  <c r="R399" i="38"/>
  <c r="S399" i="38" s="1"/>
  <c r="R400" i="38"/>
  <c r="S400" i="38" s="1"/>
  <c r="R401" i="38"/>
  <c r="S401" i="38" s="1"/>
  <c r="R403" i="38"/>
  <c r="S403" i="38" s="1"/>
  <c r="R402" i="38"/>
  <c r="S402" i="38" s="1"/>
  <c r="R404" i="38"/>
  <c r="S404" i="38" s="1"/>
  <c r="R405" i="38"/>
  <c r="S405" i="38" s="1"/>
  <c r="R406" i="38"/>
  <c r="U406" i="38" s="1"/>
  <c r="R407" i="38"/>
  <c r="S407" i="38" s="1"/>
  <c r="R408" i="38"/>
  <c r="S408" i="38" s="1"/>
  <c r="R410" i="38"/>
  <c r="S410" i="38" s="1"/>
  <c r="R415" i="38"/>
  <c r="S415" i="38" s="1"/>
  <c r="R416" i="38"/>
  <c r="S416" i="38" s="1"/>
  <c r="V425" i="38"/>
  <c r="U425" i="38"/>
  <c r="T425" i="38"/>
  <c r="R425" i="38"/>
  <c r="S425" i="38" s="1"/>
  <c r="R436" i="38" l="1"/>
  <c r="U436" i="38" s="1"/>
  <c r="S436" i="38"/>
  <c r="T436" i="38"/>
  <c r="V436" i="38"/>
  <c r="R430" i="38"/>
  <c r="S430" i="38" s="1"/>
  <c r="T430" i="38"/>
  <c r="U430" i="38"/>
  <c r="V430" i="38"/>
  <c r="V420" i="38"/>
  <c r="V428" i="38"/>
  <c r="V483" i="38"/>
  <c r="V488" i="38"/>
  <c r="U420" i="38"/>
  <c r="U428" i="38"/>
  <c r="T420" i="38"/>
  <c r="T428" i="38"/>
  <c r="T483" i="38"/>
  <c r="T488" i="38"/>
  <c r="S483" i="38"/>
  <c r="S488" i="38"/>
  <c r="R420" i="38"/>
  <c r="S420" i="38" s="1"/>
  <c r="R428" i="38"/>
  <c r="S428" i="38" s="1"/>
  <c r="R483" i="38"/>
  <c r="U483" i="38" s="1"/>
  <c r="R488" i="38"/>
  <c r="U488" i="38" s="1"/>
  <c r="V2" i="38"/>
  <c r="U2" i="38"/>
  <c r="T2" i="38"/>
  <c r="R2" i="38"/>
  <c r="S2" i="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tc={2750E84D-81C5-4FFB-9CE7-012B335B14D9}</author>
  </authors>
  <commentList>
    <comment ref="C451" authorId="0" shapeId="0" xr:uid="{00000000-0006-0000-0C00-000001000000}">
      <text>
        <t>[Threaded comment]
Your version of Excel allows you to read this threaded comment; however, any edits to it will get removed if the file is opened in a newer version of Excel. Learn more: https://go.microsoft.com/fwlink/?linkid=870924
Comment:
    Al abrir a Pool asignar a Francisco Javier Nuñez Diaz hasta que nos indiquen otro responsable de cambios</t>
      </text>
    </comment>
  </commentList>
</comments>
</file>

<file path=xl/sharedStrings.xml><?xml version="1.0" encoding="utf-8"?>
<sst xmlns="http://schemas.openxmlformats.org/spreadsheetml/2006/main" count="23511" uniqueCount="7436">
  <si>
    <t>Resultado Ejecución</t>
  </si>
  <si>
    <t>Proyecto</t>
  </si>
  <si>
    <t>Comentarios</t>
  </si>
  <si>
    <t>Resultado CAB</t>
  </si>
  <si>
    <t>Semana CAB</t>
  </si>
  <si>
    <t>OK Técnico</t>
  </si>
  <si>
    <t>Nº CRQ</t>
  </si>
  <si>
    <t>Título CRQ</t>
  </si>
  <si>
    <t>Corte</t>
  </si>
  <si>
    <t>Aplicaciones Afectadas</t>
  </si>
  <si>
    <t>Fecha Inicio</t>
  </si>
  <si>
    <t>Fecha Fin</t>
  </si>
  <si>
    <t>Tareas / Buzón Asignado</t>
  </si>
  <si>
    <t>Grupo Técnico CAPGEMINI</t>
  </si>
  <si>
    <t>BSS</t>
  </si>
  <si>
    <t>3</t>
  </si>
  <si>
    <t>OK</t>
  </si>
  <si>
    <t>CRQ000000063960</t>
  </si>
  <si>
    <t>AIX - Switcheo IAB15054-IAB25154</t>
  </si>
  <si>
    <t>Corte durante algún tramo</t>
  </si>
  <si>
    <t>AVDR
TBJR
ATOS</t>
  </si>
  <si>
    <t>TAS000000049180 - EXP-OPER-INCI-BSS-N1
TAS000000049181 - EXP-ATENCION Y CONTRATACION GP-BSS-SUM-N2
TAS000000049182 - EXP-SOPORTE GA-SUM-N2
TAS000000049183 - OPER_BATCH_EJEC
TAS000000049246 - EXP-OPER-INCI-BSS-N1
TAS000000049357 - OPER_BATCH_EJEC
TAS000000049406 - EXP-PROVISION-BSS-MV-SUM-N2</t>
  </si>
  <si>
    <t>DL ES operacionBSS-telefonica
DL ES crc-telefonica
DL ES provision-telefonica
DL ES Soporte-GA.telefonica
DL ES Operacion.Batch-Telefonica</t>
  </si>
  <si>
    <t>CRQ000000072411</t>
  </si>
  <si>
    <t>Modificación Certificado API´S</t>
  </si>
  <si>
    <t>Degradación servicio/Perdida HA</t>
  </si>
  <si>
    <t xml:space="preserve">PDAM:TCOL:AccesoTelcoUsers </t>
  </si>
  <si>
    <t>TAS000000050533 - SOAP_CANAL_ONLINE_F</t>
  </si>
  <si>
    <t>DL ES canales-telefonica</t>
  </si>
  <si>
    <t>CRQ000000071181</t>
  </si>
  <si>
    <t>AIX - Cambio de piezas IBM58</t>
  </si>
  <si>
    <t>MEHB
SIDI
SSAP, POST
GDCN, GDPR
W1
ATOS,SGPF, BACO
CPRE, CCLI</t>
  </si>
  <si>
    <t>TAS000000048885 - OPER_BATCH_EJEC
TAS000000048886 - SOAP_CANAL_ONLINE_F
TAS000000048887 - EXP-ATENCION Y CONTRATACION GP-BSS-SUM-N2
TAS000000048975 - SOAP-MEDIACION Y TARIFICACION
TAS000000049055 - OPER_BATCH_EJEC
TAS000000049058 - EXP-BI PROD OGG-SUM
TAS000000049060 - SOAP_DOCUMENTALES
TAS000000049119 - SOAP-LIQUIDACIONES
TAS000000049120 - SOAP-LOGISTICA
TAS000000049122 - EXP-ATENCION Y CONTRATACION GP-BSS-SUM-N2</t>
  </si>
  <si>
    <t>DL ES Operacion.Batch-Telefonica
DL ES canales-telefonica
DL ES crc-telefonica
DL ES trafico-telefonica
DL ES Operacion.Batch-Telefonica
DL ES data-telefonica.es
DL ES cobros-telefonica
DL ES EEFF.Logistica-telefonica
DL ES ayclnf-telefonica</t>
  </si>
  <si>
    <t>CRQ000000071222</t>
  </si>
  <si>
    <t>Parcheo EXD L BC4</t>
  </si>
  <si>
    <t>CCLI
CPRE
FINT
NE
SE
SWIT
AVDR
SGAB
ATOS
QW</t>
  </si>
  <si>
    <t>TAS000000049084 - SOAP_CANAL_ONLINE_F
TAS000000049085 - SOAP_CANAL_ONLINE_F
TAS000000049086 - EXP-ATENCION Y CONTRATACION GP-BSS-SUM-N2
TAS000000049156 - SOAP_CANAL_ONLINE_F
TAS000000049157 - OPER_BATCH_EJEC
TAS000000049158 - OPER_BATCH_EJEC
TAS000000049330 - SOAP_CANAL_ONLINE_F
TAS000000049331 - EXP-PROVISION-BSS-MV-SUM-N2
TAS000000049332 - EXP-ATENCION Y CONTRATACION GP-BSS-SUM-N2
TAS000000049333 - EXP-BI PROD OGG-SUM</t>
  </si>
  <si>
    <t>DL ES canales-telefonica
DL ES crc-telefonica
DL ES Operacion.Batch-Telefonica
DL ES provision-telefonica
DL ES ayclnf-telefonica
DL ES data-telefonica.es</t>
  </si>
  <si>
    <t>CRQ000000071371</t>
  </si>
  <si>
    <t>Migración de HLRs a CUDB [LECRU1H - M#OSU1H - SEBEL1H - B#SCO1H]</t>
  </si>
  <si>
    <t>Extenso: Corte toda la ventana</t>
  </si>
  <si>
    <t>SIPR, POGE y AVDR
SGCL
SG3G</t>
  </si>
  <si>
    <t>TAS000000049082 - EXP-PROVISION-BSS-MV-SUM-N2
TAS000000049083 - EXP-ATENCION Y CONTRATACION GP-BSS-SUM-N2
TAS000000049154 - EXP-PROVISION-BSS-MV-SUM-N2
TAS000000049229 - EXP-PROVISION-BSS-MV-SUM-N2
TAS000000049230 - EXP-ATENCION Y CONTRATACION GP-BSS-SUM-N2
TAS000000049324 - EXP-PROVISION-BSS-MV-SUM-N2
TAS000000049325 - EXP-PROVISION-BSS-MV-SUM-N2
TAS000000049326 - EXP-PROVISION-BSS-MV-SUM-N2
TAS000000049327 - EXP-PROVISION-BSS-MV-SUM-N2
TAS000000049328 - EXP-OPER-INCI-BSS-N1</t>
  </si>
  <si>
    <t>DL ES provision-telefonica
DL ES crc-telefonica
DL ES operacionBSS-telefonica</t>
  </si>
  <si>
    <t>CRQ000000072202</t>
  </si>
  <si>
    <t>HPUX - Reinicio de maquina tehux066</t>
  </si>
  <si>
    <t>ATOS</t>
  </si>
  <si>
    <t>TAS000000050817  - EXP-ATENCION Y CONTRATACION GP-BSS-SUM-N2</t>
  </si>
  <si>
    <t>DL ES crc-telefonica</t>
  </si>
  <si>
    <t>CRQ000000071768</t>
  </si>
  <si>
    <t>UNIX P - Bastionado auditoria 20180703 Cumplimiento Ley SOX UNIX.</t>
  </si>
  <si>
    <t>Sin corte</t>
  </si>
  <si>
    <t>TAVA</t>
  </si>
  <si>
    <t>TAS000000049383 - SOAP-MEDIACION Y TARIFICACION</t>
  </si>
  <si>
    <t>DL ES trafico-telefonica</t>
  </si>
  <si>
    <t>CRQ000000073025</t>
  </si>
  <si>
    <t>Creación de particiones PPCS</t>
  </si>
  <si>
    <t>PPCS
ATOS</t>
  </si>
  <si>
    <t>TAS000000050218 - EXP-OPER-INCI-BSS-N1
TAS000000050220 - OPER_BATCH_EJEC
TAS000000050222 - OPER_BATCH_EJEC
TAS000000050223 - EXP-ATENCION Y CONTRATACION GP-BSS-SUM-N2
TAS000000050515 - EXP-OPER-INCI-BSS-N1
TAS000000050614 - EXP-PROVISION-BSS-MV-SUM-N2</t>
  </si>
  <si>
    <t>DL ES operacionBSS-telefonica
DL ES Operacion.Batch-Telefonica
DL ES crc-telefonica
DL ES provision-telefonica</t>
  </si>
  <si>
    <t>CRQ000000071938</t>
  </si>
  <si>
    <t>UNIX P - Protocolos inseguros Servidores SOX</t>
  </si>
  <si>
    <t>ATOS
N9, VK
TBJR
PPCS
GI, U1
LT
UNHI, MEHB
I5, LA, CPRE, O4, CCLI, COLX</t>
  </si>
  <si>
    <t>TAS000000050399 - SOAP-RECURSOS HUMANOS
TAS000000050400 - SOAP-MEDIACION Y TARIFICACION
TAS000000050691 - EXP-EMPRESAS-BSS-FJ-SUM-N2
TAS000000050692 - EXP-SOPORTE GA-SUM-N2
TAS000000050693 - EXP-OPERADORAS-BSS-FJ-SUM-N2
TAS000000050717 - EXP-ATENCION Y CONTRATACION GP-BSS-SUM-N2
TAS000000050810 - EXP-PROVISION-BSS-MV-SUM-N2
TAS000000050811 - SOAP-FACTURACION SALIDAS
TAS000000050901 - SOAP_CANAL_ONLINE_F</t>
  </si>
  <si>
    <t>DL ES Calidad-RRHH.SecGral-telefonica
DL ES trafico-telefonica
DL ES eyolnf-telefonica
DL ES Soporte-GA.telefonica
DL ES crc-telefonica
DL ES provision-telefonica
DL ES canales-telefonica</t>
  </si>
  <si>
    <t>CRQ000000069698</t>
  </si>
  <si>
    <t>Aumentar el número de cores en APIGW en tehva032</t>
  </si>
  <si>
    <t>SIGR
COLX, NE</t>
  </si>
  <si>
    <t>TAS000000050330 - SOAP-RIESGO
TAS000000050534 - SOAP_CANAL_ONLINE_F</t>
  </si>
  <si>
    <t>DL ES frauderiesgo-telefonica
DL ES canales-telefonica</t>
  </si>
  <si>
    <t>CRQ000000071910</t>
  </si>
  <si>
    <t>UNIX P - Parámetros root máquinas SOX</t>
  </si>
  <si>
    <t xml:space="preserve">ATOS, SGPF, CUES, SGCL, PCTI, OPTD
AUCL
SICO, J1
TELESAP, SDFG, NETP, SIGL
COFA, GPPA, COTA, SOTA
CTGC, CPRE, CCLI, COLX
</t>
  </si>
  <si>
    <t>TAS000000050395 - EXP-PROVISION-BSS-MV-SUM-N2
TAS000000050396 - SOAP_CANAL_ONLINE_F
TAS000000050686 - EXP-ATENCION Y CONTRATACION GP-BSS-SUM-N2
TAS000000050687 - SOAP-LOGISTICA
TAS000000050688 - SOAP-FACTURACION SALIDAS
TAS000000050689 - SOAP-MEDIACION Y TARIFICACION
TAS000000050711 - SOAP-ECONOMICO FINANCIERO
TAS000000050712 - SOAP-FACTURACION EMPRESAS
TAS000000050802 - SOAP-COBROS</t>
  </si>
  <si>
    <t>DL ES provision-telefonica
DL ES canales-telefonica
DL ES crc-telefonica
DL ES EEFF.Logistica-telefonica
DL ES trafico-telefonica
DL ES cobros-telefonica</t>
  </si>
  <si>
    <t>CRQ</t>
  </si>
  <si>
    <t>Cliente</t>
  </si>
  <si>
    <t>TAS</t>
  </si>
  <si>
    <t>Buzón</t>
  </si>
  <si>
    <t>Fecha</t>
  </si>
  <si>
    <t>Mes</t>
  </si>
  <si>
    <t>Tipo Cambio</t>
  </si>
  <si>
    <t>Semana</t>
  </si>
  <si>
    <t>Maquina</t>
  </si>
  <si>
    <t>SRV-EST-392</t>
  </si>
  <si>
    <t>SEMARK</t>
  </si>
  <si>
    <t>SRVHILO</t>
  </si>
  <si>
    <t>SRVLINX-FE</t>
  </si>
  <si>
    <t>SRV-RRHHBD</t>
  </si>
  <si>
    <t>SRV-RRHHFE</t>
  </si>
  <si>
    <t>SRVSDC02</t>
  </si>
  <si>
    <t>SRVTEF</t>
  </si>
  <si>
    <t>TPV001-392</t>
  </si>
  <si>
    <t>TPV001-TOL</t>
  </si>
  <si>
    <t>SVC-BBDD1</t>
  </si>
  <si>
    <t xml:space="preserve">ENEL IBEROAMERICA </t>
  </si>
  <si>
    <t>SVC-CIC-CERT</t>
  </si>
  <si>
    <t>SVC-MSR-CERT</t>
  </si>
  <si>
    <t>SVC-CCS-CERT</t>
  </si>
  <si>
    <t>SVC-CSCR-CERT</t>
  </si>
  <si>
    <t>SVC-CSF-CERT</t>
  </si>
  <si>
    <t>SRV-APP-MOVIL</t>
  </si>
  <si>
    <t>SRV-EST-391</t>
  </si>
  <si>
    <t>SRV-EST-TOL</t>
  </si>
  <si>
    <t>SRVLINX-BBDD</t>
  </si>
  <si>
    <t>SRV-SCOBOSS</t>
  </si>
  <si>
    <t>SRV-SDM</t>
  </si>
  <si>
    <t>TPV001-391</t>
  </si>
  <si>
    <t>Vm3ParAdm</t>
  </si>
  <si>
    <t>EQUIPO IVI S.L.</t>
  </si>
  <si>
    <t>GIRA10</t>
  </si>
  <si>
    <t>AXACTOR</t>
  </si>
  <si>
    <t>ctomadw01</t>
  </si>
  <si>
    <t>CTO MEDICINA</t>
  </si>
  <si>
    <t>ctomadw02</t>
  </si>
  <si>
    <t>ctomadw03</t>
  </si>
  <si>
    <t>ctomadw06</t>
  </si>
  <si>
    <t>ctomadw07</t>
  </si>
  <si>
    <t>ctomadw08</t>
  </si>
  <si>
    <t>ctomadw09</t>
  </si>
  <si>
    <t>DC1</t>
  </si>
  <si>
    <t>IBERIA LAE S.A. OPERADORA</t>
  </si>
  <si>
    <t>DC2</t>
  </si>
  <si>
    <t>KCEDC01</t>
  </si>
  <si>
    <t xml:space="preserve">KAO CORPORACION </t>
  </si>
  <si>
    <t>KCEDC02</t>
  </si>
  <si>
    <t>KCEEUDC01</t>
  </si>
  <si>
    <t>KCEEUDC02</t>
  </si>
  <si>
    <t>KCESQL00</t>
  </si>
  <si>
    <t>KCEFPAK01</t>
  </si>
  <si>
    <t>KCSACRO01</t>
  </si>
  <si>
    <t>KCEFTPEXT01</t>
  </si>
  <si>
    <t>KCELIC01</t>
  </si>
  <si>
    <t>KCEMOSS00</t>
  </si>
  <si>
    <t>KCEPRN01</t>
  </si>
  <si>
    <t>KCESSIS01</t>
  </si>
  <si>
    <t>KCECHEM00</t>
  </si>
  <si>
    <t>KCEDMW00</t>
  </si>
  <si>
    <t>KCEIM00</t>
  </si>
  <si>
    <t>KCESENG00</t>
  </si>
  <si>
    <t>KCESENG01</t>
  </si>
  <si>
    <t>KCESENG02</t>
  </si>
  <si>
    <t>KCESQL01</t>
  </si>
  <si>
    <t>FONDITELDB</t>
  </si>
  <si>
    <t>FONDITEL</t>
  </si>
  <si>
    <t>FONDITELFRONT</t>
  </si>
  <si>
    <t>NISA3PARNAS01</t>
  </si>
  <si>
    <t>NISA</t>
  </si>
  <si>
    <t>NISA3PARNAS02</t>
  </si>
  <si>
    <t>NISADC01</t>
  </si>
  <si>
    <t>NISADC02</t>
  </si>
  <si>
    <t>SRV-DQUEST</t>
  </si>
  <si>
    <t xml:space="preserve">SEMARK </t>
  </si>
  <si>
    <t>SRV-DQUESTFE</t>
  </si>
  <si>
    <t>SRV-QLIKPRO3</t>
  </si>
  <si>
    <t>SRVGVS09C01</t>
  </si>
  <si>
    <t>ALION</t>
  </si>
  <si>
    <t>EL ENEBRO</t>
  </si>
  <si>
    <t>ENEBRODC01</t>
  </si>
  <si>
    <t>NEAL</t>
  </si>
  <si>
    <t>ENEBRODC02</t>
  </si>
  <si>
    <t>SQLENEBRO2</t>
  </si>
  <si>
    <t>TERMINAL</t>
  </si>
  <si>
    <t>LIPIDOS-ADConne</t>
  </si>
  <si>
    <t xml:space="preserve">LIPIDOS SANTIGA </t>
  </si>
  <si>
    <t>FUERTEMANT01</t>
  </si>
  <si>
    <t>FUERTEMANT S.L</t>
  </si>
  <si>
    <t>RENAULT-SERVER7</t>
  </si>
  <si>
    <t>RENAULT</t>
  </si>
  <si>
    <t>RENAULT-SERVER9</t>
  </si>
  <si>
    <t>GRABADOR</t>
  </si>
  <si>
    <t>SANTA LUCIA</t>
  </si>
  <si>
    <t>SRV-MANTIS</t>
  </si>
  <si>
    <t>SRV-SCADAR</t>
  </si>
  <si>
    <t>SRVSDC03</t>
  </si>
  <si>
    <t>SRV-TDX</t>
  </si>
  <si>
    <t>SRVTEF2</t>
  </si>
  <si>
    <t>SRV-VOCOLLET</t>
  </si>
  <si>
    <t>MSWASCIP01</t>
  </si>
  <si>
    <t xml:space="preserve">GMS MANAGEMENT SOLUTION </t>
  </si>
  <si>
    <t>MSWJIRAP01</t>
  </si>
  <si>
    <t>MSWFEPNP01</t>
  </si>
  <si>
    <t>MSWLKMSP02</t>
  </si>
  <si>
    <t>MSWMSQLD01</t>
  </si>
  <si>
    <t>MSWMSQLD02</t>
  </si>
  <si>
    <t>MSWSP13D01</t>
  </si>
  <si>
    <t>MSWSP13D03</t>
  </si>
  <si>
    <t>MSWWEBSD01</t>
  </si>
  <si>
    <t>MSWAPPGD01</t>
  </si>
  <si>
    <t>MSWAPPRD01</t>
  </si>
  <si>
    <t>LYNXH13TV1</t>
  </si>
  <si>
    <t>13TV</t>
  </si>
  <si>
    <t>LYNXH13TV2</t>
  </si>
  <si>
    <t>hesappro13</t>
  </si>
  <si>
    <t>HOTELES ELBA</t>
  </si>
  <si>
    <t>ced-104-adco01 </t>
  </si>
  <si>
    <t>RTVE</t>
  </si>
  <si>
    <t>ced-104-adco02</t>
  </si>
  <si>
    <t>davasavdcad01</t>
  </si>
  <si>
    <t xml:space="preserve">DAVASA AUTOMOCION </t>
  </si>
  <si>
    <t>davasavdcad02</t>
  </si>
  <si>
    <t>davasavdcapp01</t>
  </si>
  <si>
    <t>davasavdcapp02</t>
  </si>
  <si>
    <t>davasavdcbbdd01</t>
  </si>
  <si>
    <t>davasavdclic01</t>
  </si>
  <si>
    <t>davasavdcsql01</t>
  </si>
  <si>
    <t>CGAE01</t>
  </si>
  <si>
    <t xml:space="preserve">INFRAESTRUCTURA TECNOLOGICA CGAE </t>
  </si>
  <si>
    <t>ims-es-vcenterbd</t>
  </si>
  <si>
    <t>IQVIA INFORMATION SA</t>
  </si>
  <si>
    <t>ims-es-vcenter</t>
  </si>
  <si>
    <t>BOMA01SSQL02N</t>
  </si>
  <si>
    <t>TRANSPORTE BOYACA</t>
  </si>
  <si>
    <t>BOMA01SSQL01N</t>
  </si>
  <si>
    <t>BOMA01SDAN</t>
  </si>
  <si>
    <t>BOMA02SDAN</t>
  </si>
  <si>
    <t>MHITAADCONNECT01 </t>
  </si>
  <si>
    <t>MELIA</t>
  </si>
  <si>
    <t>ov87701</t>
  </si>
  <si>
    <t xml:space="preserve">IT NOW </t>
  </si>
  <si>
    <t>cac1</t>
  </si>
  <si>
    <t>cac2</t>
  </si>
  <si>
    <t>ov87702</t>
  </si>
  <si>
    <t>ov87703</t>
  </si>
  <si>
    <t>ov87704</t>
  </si>
  <si>
    <t>vodp</t>
  </si>
  <si>
    <t>vodp-r</t>
  </si>
  <si>
    <t>vqa-alarmas</t>
  </si>
  <si>
    <t>vqa-informes</t>
  </si>
  <si>
    <t>MSWADRMP01</t>
  </si>
  <si>
    <t>MSWAPPRP01</t>
  </si>
  <si>
    <t>MSWRECRP01</t>
  </si>
  <si>
    <t>MSWMSQLP03</t>
  </si>
  <si>
    <t>MSWMSQLP04</t>
  </si>
  <si>
    <t>MSWPKIP02</t>
  </si>
  <si>
    <t>MSWPRTSP01</t>
  </si>
  <si>
    <t>MSWQLIKP01</t>
  </si>
  <si>
    <t>MSWREPOP01</t>
  </si>
  <si>
    <t>MSWSP13P01</t>
  </si>
  <si>
    <t>MSWSP13P02</t>
  </si>
  <si>
    <t>MSWSP13P03</t>
  </si>
  <si>
    <t>MSWSP13P04</t>
  </si>
  <si>
    <t>MSWSTSSP01</t>
  </si>
  <si>
    <t>MSWWEBSP01</t>
  </si>
  <si>
    <t>MSWWEBSP02</t>
  </si>
  <si>
    <t>MSWBS12P03</t>
  </si>
  <si>
    <t>MSWAPPGP01</t>
  </si>
  <si>
    <t>EONRADIUS01(RADIUS01)</t>
  </si>
  <si>
    <t xml:space="preserve">VIESGO INFRAESTRUCTURAS ENERGÉTICAS </t>
  </si>
  <si>
    <t>RightFax</t>
  </si>
  <si>
    <t xml:space="preserve">BANCA MARCH </t>
  </si>
  <si>
    <t>VCENTER</t>
  </si>
  <si>
    <t xml:space="preserve">CAJA AHORROS POLLENSA </t>
  </si>
  <si>
    <t>VCENTERBD</t>
  </si>
  <si>
    <t>DCTR01-AIM03</t>
  </si>
  <si>
    <t xml:space="preserve">COMERCIAL AUTO TRACTOR </t>
  </si>
  <si>
    <t>DCTR01-DCS03</t>
  </si>
  <si>
    <t>DCTR01-BDD4201</t>
  </si>
  <si>
    <t>DCTR01-PDS01</t>
  </si>
  <si>
    <t>DCTR01-APT101</t>
  </si>
  <si>
    <t>DCTR01-BDD8203</t>
  </si>
  <si>
    <t>DCTR01-NSS03</t>
  </si>
  <si>
    <t>DCTR01-DCS13</t>
  </si>
  <si>
    <t>DCTR01-DCS04</t>
  </si>
  <si>
    <t>DCTR01-DCS14</t>
  </si>
  <si>
    <t>DCTR01-BDT101</t>
  </si>
  <si>
    <t>DCTR01-PDS02</t>
  </si>
  <si>
    <t>DCTR01-NSS02</t>
  </si>
  <si>
    <t>TEST01</t>
  </si>
  <si>
    <t>DCTR01-APP7001</t>
  </si>
  <si>
    <t>vdctscottet01</t>
  </si>
  <si>
    <t xml:space="preserve">SOCIEDAD ANÓNIMA COTTET </t>
  </si>
  <si>
    <t>vdctscottet02</t>
  </si>
  <si>
    <t>vdcadcottet</t>
  </si>
  <si>
    <t>vdcdbcottet01</t>
  </si>
  <si>
    <t>vdcsagecottet01</t>
  </si>
  <si>
    <t>GIRA20</t>
  </si>
  <si>
    <t>SVC-BBDD1CLUS</t>
  </si>
  <si>
    <t>SVC-BBDD2CLUS</t>
  </si>
  <si>
    <t>SVC-CIC1</t>
  </si>
  <si>
    <t>SVC-CIC2</t>
  </si>
  <si>
    <t>SVCTIMSR1-ALC</t>
  </si>
  <si>
    <t>SVCTIMSR2-ALC</t>
  </si>
  <si>
    <t>SVCTIMSR3-ALC</t>
  </si>
  <si>
    <t>SVCTIMSR4-ALC</t>
  </si>
  <si>
    <t>SVCTIMSR5-ALC</t>
  </si>
  <si>
    <t>SVCTIMSR6-ALC</t>
  </si>
  <si>
    <t>SVC-CCS1</t>
  </si>
  <si>
    <t>SVC-CCS2</t>
  </si>
  <si>
    <t>SVC-CSCR1</t>
  </si>
  <si>
    <t>SVC-CSCR2</t>
  </si>
  <si>
    <t>SVC-CSCR3</t>
  </si>
  <si>
    <t>SVC-CSCR4</t>
  </si>
  <si>
    <t>SVC-CSCR5</t>
  </si>
  <si>
    <t>SVC-CSCR6</t>
  </si>
  <si>
    <t>SVC-RCS1</t>
  </si>
  <si>
    <t>SVC-RCS2</t>
  </si>
  <si>
    <t>SVC-SRS</t>
  </si>
  <si>
    <t>SVC_DC1</t>
  </si>
  <si>
    <t>SVC_DC2</t>
  </si>
  <si>
    <t>Melazusrvinto01</t>
  </si>
  <si>
    <t>MELIA PRE</t>
  </si>
  <si>
    <t>Melazusrvintf01</t>
  </si>
  <si>
    <t>Melazusrvintp01</t>
  </si>
  <si>
    <t>Melazusrvints01</t>
  </si>
  <si>
    <t>melazusrvlivo02</t>
  </si>
  <si>
    <t>MELIA PRO</t>
  </si>
  <si>
    <t>melazusrvliva02</t>
  </si>
  <si>
    <t>melazusrvlivc02</t>
  </si>
  <si>
    <t>melazusrvlivf03</t>
  </si>
  <si>
    <t>melazusrvlivf04</t>
  </si>
  <si>
    <t>melazusrvlivp02</t>
  </si>
  <si>
    <t>melazusrvliv0</t>
  </si>
  <si>
    <t>melazusrvlivo01</t>
  </si>
  <si>
    <t>melazusrvliva01</t>
  </si>
  <si>
    <t>melazusrvlivc01</t>
  </si>
  <si>
    <t>melazusrvlivf01</t>
  </si>
  <si>
    <t>melazusrvlivf02</t>
  </si>
  <si>
    <t>melazusrvlivp01</t>
  </si>
  <si>
    <t>melazusrvliv1</t>
  </si>
  <si>
    <t>Área Tecnológica asociada</t>
  </si>
  <si>
    <t>Grupos</t>
  </si>
  <si>
    <t>Nombre</t>
  </si>
  <si>
    <t>Email - Actual</t>
  </si>
  <si>
    <t>Teléfono contacto</t>
  </si>
  <si>
    <t>SISTEMAS OPERATIVOS</t>
  </si>
  <si>
    <t>WINTEL 
VDC (VASS)
MW IIS</t>
  </si>
  <si>
    <t>Roberto Cuenca Cuenca
Diego Martínez López</t>
  </si>
  <si>
    <t>roberto.cuencacuenca@telefonica.com
diego.martinezlopez@telefonica.com</t>
  </si>
  <si>
    <t>689 295 658
914824276</t>
  </si>
  <si>
    <t>UNIX – LINUX (VASS)
 DVR (GFI)</t>
  </si>
  <si>
    <t>MW NO IIS</t>
  </si>
  <si>
    <t>PUESTO CLIENTE</t>
  </si>
  <si>
    <t>CITRIX - VDI</t>
  </si>
  <si>
    <t xml:space="preserve">Jose Ignacio Fernández Olea </t>
  </si>
  <si>
    <t>joseignacio.fernandezolea@telefonica.com</t>
  </si>
  <si>
    <t>BASE DE DATOS y SISTEMAS CONVERGENTES</t>
  </si>
  <si>
    <t>SQL Server</t>
  </si>
  <si>
    <t>Rafael Alberto Campos Zarazaga</t>
  </si>
  <si>
    <t>rafael.camposzarazaga@telefonica.com</t>
  </si>
  <si>
    <t>608 481 833</t>
  </si>
  <si>
    <t>NO SQL</t>
  </si>
  <si>
    <t>SSCC</t>
  </si>
  <si>
    <t>SERVICIOS COLABORATIVOS</t>
  </si>
  <si>
    <t>SKIPE FOR BUSINESS</t>
  </si>
  <si>
    <t>Marcos Velasco Fernández</t>
  </si>
  <si>
    <t>marcos.velascofernandez@telefonica.com</t>
  </si>
  <si>
    <t>917548737</t>
  </si>
  <si>
    <t>CED</t>
  </si>
  <si>
    <t>O365 (Soporte)</t>
  </si>
  <si>
    <t>Tecnologia</t>
  </si>
  <si>
    <t>CORREO GTS</t>
  </si>
  <si>
    <t>Teléfono</t>
  </si>
  <si>
    <t>Buzon Argonauta</t>
  </si>
  <si>
    <t>SAP</t>
  </si>
  <si>
    <t>cdg.administracion.sap@telefonica.com</t>
  </si>
  <si>
    <t>CCT_SAP_ADMINISTRACION</t>
  </si>
  <si>
    <t>Maria de los Reyes Carrera Avelar &lt;mrcarrera@gfi.es&gt;</t>
  </si>
  <si>
    <t xml:space="preserve">673 68 27 81
91-383 6320    </t>
  </si>
  <si>
    <t>BUZONES</t>
  </si>
  <si>
    <t>HERRAMIENTA</t>
  </si>
  <si>
    <t>GRUPO TECNICO</t>
  </si>
  <si>
    <t>USO</t>
  </si>
  <si>
    <t>SISTEMAS VIRTUALIZADOS</t>
  </si>
  <si>
    <t>SGSD (Web de Tecnicos)</t>
  </si>
  <si>
    <t>Sistemas Virtualizados</t>
  </si>
  <si>
    <t>Postventa</t>
  </si>
  <si>
    <t>VDC_ ADMINISTRADO</t>
  </si>
  <si>
    <t xml:space="preserve">GESTION_SSPP_NIVEL2 </t>
  </si>
  <si>
    <t>SISTEMAS NT</t>
  </si>
  <si>
    <t>Windows (IECISA)</t>
  </si>
  <si>
    <t>Postventa y Plataformas</t>
  </si>
  <si>
    <t>SISTEMAS BBDD SQL SERVER</t>
  </si>
  <si>
    <t>SQL Server (IECISA)</t>
  </si>
  <si>
    <t>CORREO COLABORATIVO EXCHANGE</t>
  </si>
  <si>
    <t>Exchange</t>
  </si>
  <si>
    <t>CCT_O365</t>
  </si>
  <si>
    <t>Office 365</t>
  </si>
  <si>
    <t>SISTEMAS UNIX, SISTEMAS LINUX</t>
  </si>
  <si>
    <t>Unix (IECISA)</t>
  </si>
  <si>
    <t>CCT_DISCOVIRTUAL</t>
  </si>
  <si>
    <t>DVR</t>
  </si>
  <si>
    <t>SISTEMAS_BBDD</t>
  </si>
  <si>
    <t>BBDD (GFI)</t>
  </si>
  <si>
    <t>IIS_ADMIN</t>
  </si>
  <si>
    <t>MIDDLEWARE (IECISA)</t>
  </si>
  <si>
    <t>WEBAPPSERVER_UNIX</t>
  </si>
  <si>
    <t>MIDDLEWARE (GFI)</t>
  </si>
  <si>
    <t>WEBAPPSERVER_WINDOWS</t>
  </si>
  <si>
    <t>MIDDLEWARE (GFI e IECISA)</t>
  </si>
  <si>
    <t>HOSTING UNIX</t>
  </si>
  <si>
    <t>HOSTING WINDOWS</t>
  </si>
  <si>
    <t>SDN2_MICROSOFT</t>
  </si>
  <si>
    <t>Skype for Business</t>
  </si>
  <si>
    <t>CCT_CITRIX</t>
  </si>
  <si>
    <t>Virtual Desktop</t>
  </si>
  <si>
    <t>ING PdT VDI</t>
  </si>
  <si>
    <t>EXP-SISTEMAS VIRTUALIZADOS TIC-SUM</t>
  </si>
  <si>
    <t>Argonauta</t>
  </si>
  <si>
    <t>VASS</t>
  </si>
  <si>
    <t>PRO-PROV VIRTUALIZADOS-SUM</t>
  </si>
  <si>
    <t>EXP-SSPP_VIRTUALIZADOS PRO-TE</t>
  </si>
  <si>
    <t>EXP-WINTEL TIC-SUM</t>
  </si>
  <si>
    <t>EXP-CCT-WINTEL TIC-SUM</t>
  </si>
  <si>
    <t>EXP-SSPP_BBDD_SQLSERVER-TE</t>
  </si>
  <si>
    <t xml:space="preserve"> A confirmar si es nuestro</t>
  </si>
  <si>
    <t>EXP-SQLSERVER TIC-SUM</t>
  </si>
  <si>
    <t>EXP-CORREO COLABORATIVO EXCHANGE TIC-SUM</t>
  </si>
  <si>
    <t>EXP-CCT_O365 TIC-SUM</t>
  </si>
  <si>
    <t>EXP-EMP-UNIX-OMA-PRO-TE</t>
  </si>
  <si>
    <t>CCT-EMP-UNIX-OMA-PRO-TE</t>
  </si>
  <si>
    <t>EXP-CCT_DISCOVIRTUAL TIC-SUM</t>
  </si>
  <si>
    <t>GFI</t>
  </si>
  <si>
    <t>EMP-BBDD-OMA-PRO</t>
  </si>
  <si>
    <t>EXP-IIS-SUM</t>
  </si>
  <si>
    <t>No identificado</t>
  </si>
  <si>
    <t>EXP-UNIX_SSPP_MIDDLEWARE-TE</t>
  </si>
  <si>
    <t>EXP-CCT_CITRIX-TICLIENTES-SUM</t>
  </si>
  <si>
    <t>TECNOLOGIA-VDI</t>
  </si>
  <si>
    <t>POSTVENTA_MIGRACION_CLOUD</t>
  </si>
  <si>
    <t>SERVICIOS PROFESIONALES</t>
  </si>
  <si>
    <t>POSTVENTA_CITRIX</t>
  </si>
  <si>
    <t>POSTVENTA_WINTEL_VIRTUALIZACION</t>
  </si>
  <si>
    <t>WINTEL &amp; VDC
MW ISS</t>
  </si>
  <si>
    <t>POSTVENTA_LINUX</t>
  </si>
  <si>
    <t>UNIX -LINUX - DVR</t>
  </si>
  <si>
    <t>POSTVENTA_MW</t>
  </si>
  <si>
    <t>MW NO ISS</t>
  </si>
  <si>
    <t>POSTVENTA_CONVERGENTES</t>
  </si>
  <si>
    <t>HIPERCONVERGENCIA</t>
  </si>
  <si>
    <t>POSTVENTA_BBDD_SQL</t>
  </si>
  <si>
    <t>SQL SERVER</t>
  </si>
  <si>
    <t>POSTVENTA_BBDD</t>
  </si>
  <si>
    <t>POSTVENTA_SKIPE</t>
  </si>
  <si>
    <t>POSTVENTA_MAIL</t>
  </si>
  <si>
    <t>CED
0365</t>
  </si>
  <si>
    <t>POSTVANTE_OPERACIONES_CLOUD</t>
  </si>
  <si>
    <t>OPERACIONES</t>
  </si>
  <si>
    <t>POSTVENTA_SD-NIVEL1</t>
  </si>
  <si>
    <t>Organización de soporte*</t>
  </si>
  <si>
    <t>Nombre de grupo de soporte*</t>
  </si>
  <si>
    <t>Descripción</t>
  </si>
  <si>
    <t>Desactivar notificaciones de grupo</t>
  </si>
  <si>
    <t>Correo electrónico de grupo</t>
  </si>
  <si>
    <t>ID Responsable</t>
  </si>
  <si>
    <t>Responsable</t>
  </si>
  <si>
    <t>ALMACENAMIENTO Y BACKUP</t>
  </si>
  <si>
    <t>EMP-ALMACENAMIENTO-OMA-TE</t>
  </si>
  <si>
    <t>Grupo Almacenamiento de Clientes</t>
  </si>
  <si>
    <t>No</t>
  </si>
  <si>
    <t>sistemas.almacenamiento@telefonica.com</t>
  </si>
  <si>
    <t>DS01579</t>
  </si>
  <si>
    <t>MARINA BILBAO EGUREN</t>
  </si>
  <si>
    <t>EMP-ALMOBJETOS-OMA</t>
  </si>
  <si>
    <t>Buzón orientado a CCT de Almacenamiento tipo Objetos para atencion a Clientes</t>
  </si>
  <si>
    <t>EMP-BACKUP REMOTO-OMA-TE</t>
  </si>
  <si>
    <t>Grupo Backup-remoto Clientes</t>
  </si>
  <si>
    <t>sistemas.backup@telefonica.com;sistemas.almacenamiento@telefonica.com</t>
  </si>
  <si>
    <t>EMP-BACKUP-OMA-TE</t>
  </si>
  <si>
    <t>Grupo Backup Clientes</t>
  </si>
  <si>
    <t>sistemas.backup@telefonica.com</t>
  </si>
  <si>
    <t>RSO 53 - HOSTING GESTIONADO</t>
  </si>
  <si>
    <t>Grupo para autorizar los cambios sobre el servicio 53 - Hosting Gestionado</t>
  </si>
  <si>
    <t/>
  </si>
  <si>
    <t>ARQUITECTURA</t>
  </si>
  <si>
    <t>PRO-JEFES PROVISION ARQUI-TE</t>
  </si>
  <si>
    <t>UT02725</t>
  </si>
  <si>
    <t>TOMAS HERNANDEZ LOPEZ</t>
  </si>
  <si>
    <t>BI Y TRANSFORMACION</t>
  </si>
  <si>
    <t>EMP_EXP-MQ PRE-SUM</t>
  </si>
  <si>
    <t>Buzón TI Clientes MQ Preproducción</t>
  </si>
  <si>
    <t>UT03250</t>
  </si>
  <si>
    <t>ALBERTO VARADE OLANO</t>
  </si>
  <si>
    <t>EMP_EXP-MQ PRO-SUM</t>
  </si>
  <si>
    <t>Buzón Génesis Middleware MQ</t>
  </si>
  <si>
    <t>UT01418</t>
  </si>
  <si>
    <t>JOSE MARIA ARANDA TRIGUEROS</t>
  </si>
  <si>
    <t>EMP_EXP-MQ PROY-SUM</t>
  </si>
  <si>
    <t>EMP_EXP-WEBWAS PRE-SUM</t>
  </si>
  <si>
    <t>EMP_EXP-WEBWAS PRO-SUM</t>
  </si>
  <si>
    <t>Buzón Génesis Middleware a excepción IIS</t>
  </si>
  <si>
    <t>EMP_EXP-WEBWAS PROY-SUM</t>
  </si>
  <si>
    <t>EXP-ARQUITECTURA DSS-TE</t>
  </si>
  <si>
    <t>Area de Arquitectura DSS</t>
  </si>
  <si>
    <t>T146839</t>
  </si>
  <si>
    <t>ALEJANDRO GARRIDO ARIAS</t>
  </si>
  <si>
    <t>Buzón Génesis IIS</t>
  </si>
  <si>
    <t>EXP-TRANSF-RED</t>
  </si>
  <si>
    <t>Buzón PMO cierre de Tres Cantos</t>
  </si>
  <si>
    <t>TE_PMO_TIC3CANTOS@telefonica.com</t>
  </si>
  <si>
    <t>T133894</t>
  </si>
  <si>
    <t>RAUL SALGADO VILAS</t>
  </si>
  <si>
    <t>CALIDAD, SUPERVISION Y MEJORA OPERATIVA</t>
  </si>
  <si>
    <t>GESTION DE PROBLEMAS Y MEJORA CONTINUA</t>
  </si>
  <si>
    <t>Buzón orientado a  cambios de catalogo TSOL</t>
  </si>
  <si>
    <t>T146971</t>
  </si>
  <si>
    <t>MARIA GLORIA AYLLON LOPEZ</t>
  </si>
  <si>
    <t>CENTRO DE SERVICIOS CLOUD-EXPLOTACION</t>
  </si>
  <si>
    <t>EXP-EMPRESAS-VIRTUALIZADOS</t>
  </si>
  <si>
    <t>Buzón orientado a cambios dentro del grupo Sistemas Virtualizados Postventa</t>
  </si>
  <si>
    <t>emp.virtualizados@telefonica.com</t>
  </si>
  <si>
    <t>DS01168</t>
  </si>
  <si>
    <t>ALFONSO BARRIGA CARDOSO</t>
  </si>
  <si>
    <t>CONTACT CENTERS</t>
  </si>
  <si>
    <t>JDP DE EXPLOTACIÓN (GTS VOZ) CC DEDICADO</t>
  </si>
  <si>
    <t>Contasct Center Dedicados Jefe de Provisión de Explotación</t>
  </si>
  <si>
    <t>DS01684</t>
  </si>
  <si>
    <t>CARLOS MARTIN MARTINEZ</t>
  </si>
  <si>
    <t>TÉCNICOS DE SOPORTE EXPLOTACIÓN CC DEDICADO</t>
  </si>
  <si>
    <t>Contasct Center Dedicados Técncio de soporte de Explotación</t>
  </si>
  <si>
    <t>DESARROLLO SERV.EMPRESAS Y OPERADORAS</t>
  </si>
  <si>
    <t>EXP-ARQ-SOLUCIONES-TE</t>
  </si>
  <si>
    <t>Arquitectura y soluciones de cliente</t>
  </si>
  <si>
    <t>DS01335</t>
  </si>
  <si>
    <t>JOSE LUIS PEREZ GONZALEZ</t>
  </si>
  <si>
    <t>Buzón de TI Clientes para Citrix</t>
  </si>
  <si>
    <t>T122837</t>
  </si>
  <si>
    <t>JULIO ARENAS VERDE</t>
  </si>
  <si>
    <t>EXP-CDG ESPACIOS-SUM</t>
  </si>
  <si>
    <t>Gestión de Espacios CPDs</t>
  </si>
  <si>
    <t>T150270</t>
  </si>
  <si>
    <t>Mª ANGELES CASADO GIL</t>
  </si>
  <si>
    <t>EXP-CDG INFRAESTRUCTURAS-SUM</t>
  </si>
  <si>
    <t>Gestion de Infraestructuras CPDs</t>
  </si>
  <si>
    <t>EXP-CDG LIBRARIAN-SUM</t>
  </si>
  <si>
    <t>Soportes Magneticos/DSL</t>
  </si>
  <si>
    <t>librarian.tic@telefonica.com</t>
  </si>
  <si>
    <t>EXP-CREA-TE</t>
  </si>
  <si>
    <t>CCT Automatización</t>
  </si>
  <si>
    <t>dstsol.cdg.sso.saucdg@telefonica.com</t>
  </si>
  <si>
    <t>DS01246</t>
  </si>
  <si>
    <t>F.JAVIER ALMELLONES CERVANTES</t>
  </si>
  <si>
    <t>EXP-DTS-CLOUD_TE</t>
  </si>
  <si>
    <t>Personal de Desarrollo Técnico de Servicios que realiza provisiones de infraestructura de los Servicios Cloud</t>
  </si>
  <si>
    <t>DS_TSOL_Cloud</t>
  </si>
  <si>
    <t>EXP-DTS-PDT-TE</t>
  </si>
  <si>
    <t>Personal de Desarrollo Técnico de Servicios que realiza provisiones de infraestructura de los Servicios Puesto de Trabajo</t>
  </si>
  <si>
    <t>Des_serv_PdT</t>
  </si>
  <si>
    <t>T149150</t>
  </si>
  <si>
    <t>ALBERTO BENITO MORENO</t>
  </si>
  <si>
    <t>EXP-DTS-VDC-TE</t>
  </si>
  <si>
    <t>Personal de Desarrollo Técnico de Servicios que realiza provisiones de infraestructura del Servicio de Virtual Data Center</t>
  </si>
  <si>
    <t>EXP-DTS-VOZ-TE</t>
  </si>
  <si>
    <t>Buzón para Personal de Desarrollo Técnico de Servicios que realiza provisiones de infraestructura para Servicios de VoIP (CCoD &amp; Videoconferencia)</t>
  </si>
  <si>
    <t>UT03344</t>
  </si>
  <si>
    <t>RAFAEL ALIA GONZALEZ</t>
  </si>
  <si>
    <t>EXP-INF CDG ADMT-SUM</t>
  </si>
  <si>
    <t>Envia FI a Configuracion</t>
  </si>
  <si>
    <t>EXP-INF CDG ALCALA-SUM</t>
  </si>
  <si>
    <t>Infraestructuras CPD ALCALA</t>
  </si>
  <si>
    <t>tecnicosinfraestructuras.alcala@telefonica.com</t>
  </si>
  <si>
    <t>EXP-INF CDG CANARIAS-SUM</t>
  </si>
  <si>
    <t>Infraestructuras CPD DALIX CANARIAS</t>
  </si>
  <si>
    <t>EXP-INF CDG JC-SUM</t>
  </si>
  <si>
    <t>Infraestructuras CPD Julian Camarillo</t>
  </si>
  <si>
    <t>tecnicosinfraestructura.cdgjc@telefonica.com</t>
  </si>
  <si>
    <t>EXP-INF CDG RIOJA-SUM</t>
  </si>
  <si>
    <t>Infraestructuras CPD Logroño</t>
  </si>
  <si>
    <t>tecnicosinfraestructuras.CDGLARIOJA@telefonica.com</t>
  </si>
  <si>
    <t>EXP-INF CDG TC-SUM</t>
  </si>
  <si>
    <t>Infraestructuras CPD Tres Cantos</t>
  </si>
  <si>
    <t>tecnicosinfraestructura.CDGBTC@telefonica.com</t>
  </si>
  <si>
    <t>EXP-INF CDG TERRASSA-SUM</t>
  </si>
  <si>
    <t>Infraestructuras CPD Terrassa</t>
  </si>
  <si>
    <t>tecnicosinfraestructura.CDGTRSA@telefonica.com</t>
  </si>
  <si>
    <t>EXP-INGENIERIA CDS-TE</t>
  </si>
  <si>
    <t>UT03562</t>
  </si>
  <si>
    <t>IVAN DOU CORTIGUERA</t>
  </si>
  <si>
    <t>EXP-JP PROVISION_TE</t>
  </si>
  <si>
    <t>Jefes de Proyecto de Provisión CLOUD</t>
  </si>
  <si>
    <t>dstsol.provisioncliente@telefonica.com</t>
  </si>
  <si>
    <t>T146005</t>
  </si>
  <si>
    <t>LUIS ENRIQUE MARTINEZ CID</t>
  </si>
  <si>
    <t>EXP-JP TRANSFORMACION_TE</t>
  </si>
  <si>
    <t>Buzón orientado a Jefes de Proyecto</t>
  </si>
  <si>
    <t>EXP-N3 TARJETAS-TE</t>
  </si>
  <si>
    <t>Nivel 3 Tarjetas</t>
  </si>
  <si>
    <t>cdg.n3.tarjetas@telefonica.com</t>
  </si>
  <si>
    <t>UT02066</t>
  </si>
  <si>
    <t>GEMA PINTO GUERRA</t>
  </si>
  <si>
    <t>EXP-OP ALCALA-SUM</t>
  </si>
  <si>
    <t>Operaciones Básicas Alcalá</t>
  </si>
  <si>
    <t>operacion.alcala@telefonica.com</t>
  </si>
  <si>
    <t>EXP-OP CANARIAS-SUM</t>
  </si>
  <si>
    <t>Operaciones Básicas Canarias</t>
  </si>
  <si>
    <t>EXP-OP JC-SUM</t>
  </si>
  <si>
    <t>Operaciones Básicas Julian Camarillo</t>
  </si>
  <si>
    <t>operacion.jc8@telefonica.com</t>
  </si>
  <si>
    <t>EXP-OP RIOJA-SUM</t>
  </si>
  <si>
    <t>Operaciones Básicas Logroño</t>
  </si>
  <si>
    <t>operacion.larioja@telefonica.com</t>
  </si>
  <si>
    <t>EXP-OP TC-SUM</t>
  </si>
  <si>
    <t>Operaciones Básicas Tres Cantos</t>
  </si>
  <si>
    <t>operacion.tc@telefonica.com</t>
  </si>
  <si>
    <t>EXP-OP TERRASSA-SUM</t>
  </si>
  <si>
    <t>Operaciones Básicas Terrassa</t>
  </si>
  <si>
    <t>operacion.terrassa@telefonica.com</t>
  </si>
  <si>
    <t>EXP-SISTEMAS_TANDEM-TE</t>
  </si>
  <si>
    <t>Buzón de Sistemas Tandem</t>
  </si>
  <si>
    <t>EXP-VALIDACION COM-SUM</t>
  </si>
  <si>
    <t>Validación de comunicaciones</t>
  </si>
  <si>
    <t>ING-PLATAFORMAS-DATOS</t>
  </si>
  <si>
    <t>DESARROLLO SERVICIOS EMPRESAS</t>
  </si>
  <si>
    <t>ING-PLATAFORMAS-CLOUD</t>
  </si>
  <si>
    <t>Ingeniería de plataformas cloud</t>
  </si>
  <si>
    <t>Tecnología y DSS de la plataforma de Virtualización de Puesto de Trabajo para Empresas -VDI-</t>
  </si>
  <si>
    <t>UT03440</t>
  </si>
  <si>
    <t>JOSE ALBO CASTAÑO</t>
  </si>
  <si>
    <t>DESARROLLO SERVICIOS GRAN PUBLICO</t>
  </si>
  <si>
    <t>DESA-NUEVOSNEGOCIOS-TE</t>
  </si>
  <si>
    <t>Desarrollos de nuevos negocios como p.e Servido ESES</t>
  </si>
  <si>
    <t>UT01180</t>
  </si>
  <si>
    <t>ALFONSO PEREA MORALEDA</t>
  </si>
  <si>
    <t>EMPRESAS CENTRO</t>
  </si>
  <si>
    <t>CGE QUIRON</t>
  </si>
  <si>
    <t>Buzón de Gestión de Cambios del Grupo Quiron</t>
  </si>
  <si>
    <t>T148102</t>
  </si>
  <si>
    <t>DAVID ARREDONDO PINILLA</t>
  </si>
  <si>
    <t>GESTORES CAMBIOS CLIENTES</t>
  </si>
  <si>
    <t>GESTORES CAMBIO - CONTACT C DEDICADO</t>
  </si>
  <si>
    <t>Contasct Center Dedicados</t>
  </si>
  <si>
    <t>GESTORES CAMBIO CLIENTE MAYOR</t>
  </si>
  <si>
    <t>Gestores de cambios Mayores</t>
  </si>
  <si>
    <t>T145364</t>
  </si>
  <si>
    <t>MARIA ANGELES SANCHEZ DE FRUTOS</t>
  </si>
  <si>
    <t>GESTORES CAMBIO CLIENTE MENOR</t>
  </si>
  <si>
    <t>GTS de Cliente dedicado</t>
  </si>
  <si>
    <t>T150088</t>
  </si>
  <si>
    <t>LUIS FELIPE COCO PEREZ</t>
  </si>
  <si>
    <t>GESTORES CAMBIO CLIENTE POOL</t>
  </si>
  <si>
    <t>GTS de Clientes de POOL</t>
  </si>
  <si>
    <t>T128343</t>
  </si>
  <si>
    <t>ANTONIO RODRIGUEZ DE LA PARTE</t>
  </si>
  <si>
    <t>GESTORES CAMBIO CLIENTE SERVICIO CCOD</t>
  </si>
  <si>
    <t>GTS servicio 111 - Contact Centers</t>
  </si>
  <si>
    <t>GESTORES CAMBIO CLIENTE SOC</t>
  </si>
  <si>
    <t>Gestores de Cambio SOC</t>
  </si>
  <si>
    <t>DS01893</t>
  </si>
  <si>
    <t>RAUL BRETON PEREZ</t>
  </si>
  <si>
    <t>GESTORES NUEVOS NEG. DE EMERGENCIAS</t>
  </si>
  <si>
    <t>Gestores de NN Emergencias</t>
  </si>
  <si>
    <t>DS01393</t>
  </si>
  <si>
    <t>JOSE LUIS SOLAR AGRAZ</t>
  </si>
  <si>
    <t>GESTORES NUEVOS NEG. SOL. SECTORIALES</t>
  </si>
  <si>
    <t>Gestores de Nuevos Negocios Soluciones Sectoriales</t>
  </si>
  <si>
    <t>DS01182</t>
  </si>
  <si>
    <t>PALOMA ABAD BLAZQUEZ</t>
  </si>
  <si>
    <t>GESTORES PREAUTORIZADOS TI CLIENTES</t>
  </si>
  <si>
    <t>INFRAEST. CLOUD, SEGURIDAD Y N.DIGITALES</t>
  </si>
  <si>
    <t>EXP_HEPR_SUM</t>
  </si>
  <si>
    <t>Herramientas que soportan los procesos</t>
  </si>
  <si>
    <t>ambito_procesos_telefonica@iecisa.com</t>
  </si>
  <si>
    <t>T151924</t>
  </si>
  <si>
    <t>VICTOR JOSE MARTINEZ ROMERO</t>
  </si>
  <si>
    <t>EXP_MON_APL_N1_SUM</t>
  </si>
  <si>
    <t>N1 para dar soporte a las herramientas de monitorizacion de negocio</t>
  </si>
  <si>
    <t>UT05716</t>
  </si>
  <si>
    <t>SERGIO CONDADO GUTIERREZ</t>
  </si>
  <si>
    <t>EXP_MON_APL_SUM</t>
  </si>
  <si>
    <t>Monitorización orientada a negocio</t>
  </si>
  <si>
    <t>EXP_MON_TEC_N1_SUM</t>
  </si>
  <si>
    <t>N1 para dar soporte a las herramientas de monitorizacion tecnica</t>
  </si>
  <si>
    <t>EXP_MON_TEC_SUM</t>
  </si>
  <si>
    <t>Monitorización orientada a infraestructuras</t>
  </si>
  <si>
    <t>EXP-CCT_BRS-TE</t>
  </si>
  <si>
    <t>Atención de salas de contingencias de Alcalá y JC8</t>
  </si>
  <si>
    <t>TE_grupoBRS &lt;grupoBRS@telefonica.com&gt;</t>
  </si>
  <si>
    <t>EXP-CONFIGURACION-CMDB-SUM</t>
  </si>
  <si>
    <t>Configuración CMDB</t>
  </si>
  <si>
    <t>UT02629</t>
  </si>
  <si>
    <t>CARLOS BOCETA MARTINEZ</t>
  </si>
  <si>
    <t>EXP-MON_APL-TE</t>
  </si>
  <si>
    <t>Monitorización Negocio</t>
  </si>
  <si>
    <t>EXP-MON_TEC-TE</t>
  </si>
  <si>
    <t>Monitorización Técnica</t>
  </si>
  <si>
    <t>EXP-N3_INMOTICA EFICIENCIA ENERGETICA-TE</t>
  </si>
  <si>
    <t>Buzon para la plataforma del servicio de Eficiencia Energética (HYDRA) producto HYDRA</t>
  </si>
  <si>
    <t>NEGOCIOS DIGITALES Y TSOL</t>
  </si>
  <si>
    <t>EXP-GESTION REMOTA DE PACIENTES-SUM</t>
  </si>
  <si>
    <t>Explotación del servicio: Gestión Remota de Pacientes</t>
  </si>
  <si>
    <t>DS01223</t>
  </si>
  <si>
    <t>JULIO JESUS SANCHEZ GARCIA</t>
  </si>
  <si>
    <t>NN SOLUCIONES SECTORIALES</t>
  </si>
  <si>
    <t>NUEVOS NEG. SOL. SECTORIALES</t>
  </si>
  <si>
    <t>Nuevos Negocios Soluciones Sectoriales</t>
  </si>
  <si>
    <t>OPERACIONES CENTRO</t>
  </si>
  <si>
    <t>EXP-GESTION LAN-TE</t>
  </si>
  <si>
    <t>Servico 200 Gestion LAN</t>
  </si>
  <si>
    <t>T128535</t>
  </si>
  <si>
    <t>MANUEL FRANCISCO PEREZ ALMAZAN</t>
  </si>
  <si>
    <t>OPERACIONES DE RED</t>
  </si>
  <si>
    <t>CCT_SOPORTE_CLIENTESVIP</t>
  </si>
  <si>
    <t>REDES Y SEGURIDAD DEDICADOS NH</t>
  </si>
  <si>
    <t>cdg.soportevip@telefonica.com</t>
  </si>
  <si>
    <t>T148072</t>
  </si>
  <si>
    <t>ELENA DE MIGUEL MORENO</t>
  </si>
  <si>
    <t>EDIFICIOS CITRICOS</t>
  </si>
  <si>
    <t>Energia e Inmobiliario</t>
  </si>
  <si>
    <t>T141003</t>
  </si>
  <si>
    <t>JUAN JOSE JIMENEZ MUÑOZO</t>
  </si>
  <si>
    <t>ODM OFFICE365 NH</t>
  </si>
  <si>
    <t>CCT CORREO DEDICADO NH</t>
  </si>
  <si>
    <t>soporte@odm.es</t>
  </si>
  <si>
    <t>POSTVENTA</t>
  </si>
  <si>
    <t>COMMAND CENTER</t>
  </si>
  <si>
    <t>Grupo de Autorizadores</t>
  </si>
  <si>
    <t>controlcambios.cnce@telefonica.com</t>
  </si>
  <si>
    <t>UT05316</t>
  </si>
  <si>
    <t>GUSTAVO VILLASECA SANCHEZ</t>
  </si>
  <si>
    <t>PROVISION</t>
  </si>
  <si>
    <t>EXT-ING.PROY. PROVISION_TE</t>
  </si>
  <si>
    <t>Ingenieros de proyecto provisión</t>
  </si>
  <si>
    <t>PROV-PUESTRAB-TE</t>
  </si>
  <si>
    <t>T145974</t>
  </si>
  <si>
    <t>MANUEL ADAN BERMEJO</t>
  </si>
  <si>
    <t>SEGURIDAD DE SERVICIOS Y TI</t>
  </si>
  <si>
    <t>Control Cambios Cloud</t>
  </si>
  <si>
    <t>Buzón para Control Cambios Cloud de CdS Cloud</t>
  </si>
  <si>
    <t>control_cambios_cloud@telefonica.com</t>
  </si>
  <si>
    <t>T148408</t>
  </si>
  <si>
    <t>JOSE NUÑEZ VAZQUEZ</t>
  </si>
  <si>
    <t>EXP-SEGEST SEGUIMIENTO-TE</t>
  </si>
  <si>
    <t>DS01282</t>
  </si>
  <si>
    <t>MIGUEL FERNANDEZ PAVIA</t>
  </si>
  <si>
    <t>EXP-SEGU-FWR-PRO-TE</t>
  </si>
  <si>
    <t>TECNOLOGIAS DE SEGURIDAD Y CIBERSEGURIDAD</t>
  </si>
  <si>
    <t>UT03270</t>
  </si>
  <si>
    <t>JOSE XAVIER JIMENEZ TRUJILLO</t>
  </si>
  <si>
    <t>EXP-SEGU-TECGDI PRE-SUM</t>
  </si>
  <si>
    <t>UT02607</t>
  </si>
  <si>
    <t>ANA MARIA MAYO DEL BOSQUE</t>
  </si>
  <si>
    <t>EXP-SOPORTE SEGURIDAD-TE</t>
  </si>
  <si>
    <t>Buzón orientado a Técnicos de Explotación</t>
  </si>
  <si>
    <t>DS01868</t>
  </si>
  <si>
    <t>DANIEL APARICIO MONTERO</t>
  </si>
  <si>
    <t>GRUPO SOPORTE CLIENTES VIP</t>
  </si>
  <si>
    <t>Grupo dedicado comms y segu. Cliente</t>
  </si>
  <si>
    <t>UT02734</t>
  </si>
  <si>
    <t>LUIS EDUARDO MARTINEZ GONZALEZ</t>
  </si>
  <si>
    <t>SOPORTE Y OPERACION DE LA RED</t>
  </si>
  <si>
    <t>EXP-APOYO_EXPLOTACION_COMMS_TI-SUM</t>
  </si>
  <si>
    <t>Apoyo Explotación Plataformas Comunicaciones TI y Red</t>
  </si>
  <si>
    <t>aepctir@telefonica.com</t>
  </si>
  <si>
    <t>UT01361</t>
  </si>
  <si>
    <t>RAUL CASAO ORTIZ</t>
  </si>
  <si>
    <t>EXP-CCT_ACCESOS-SUM</t>
  </si>
  <si>
    <t>EXP-CCT_COMUNICACIONES-SUM</t>
  </si>
  <si>
    <t>EXP-DS_TSOL_CCP_COMSEG-TE</t>
  </si>
  <si>
    <t>EXP-SOR_N2-SUM</t>
  </si>
  <si>
    <t>Buzón para resolucion de tickets de entornos de Clientes relacionadas con COMUNICACIONES N2</t>
  </si>
  <si>
    <t>EXP-TE_STSDLAN_N3-SUM</t>
  </si>
  <si>
    <t>Buzón para resolucion de tickets de entornos de Clientes relacionadas con SDN</t>
  </si>
  <si>
    <t>EXP-TE_STSDLAN-SUM</t>
  </si>
  <si>
    <t>SUPERV. SERVICIO Y OPERAC. INFRAEST. TI</t>
  </si>
  <si>
    <t>Buzón de cambios para empresas. Sistemas Unix</t>
  </si>
  <si>
    <t>T150104</t>
  </si>
  <si>
    <t>JOSE MANUEL PAYAN DEL RIO</t>
  </si>
  <si>
    <t>EMP-BBDD-OMA-PRE</t>
  </si>
  <si>
    <t>Buzón destinado a BBDD tanto para preproducción para la parte de Clientes</t>
  </si>
  <si>
    <t>UT02189</t>
  </si>
  <si>
    <t>MARIA DELIA LOPEZ FERNANDEZ DE ARGAIA</t>
  </si>
  <si>
    <t>Buzón destinado a BBDD tanto para producción para la parte de Clientes</t>
  </si>
  <si>
    <t>EMP-SSCC-OMA</t>
  </si>
  <si>
    <t>Buzón para convergentes</t>
  </si>
  <si>
    <t>EMP-SSCC-OMA-PRE</t>
  </si>
  <si>
    <t>EMP-SSCC-OMA-PRO</t>
  </si>
  <si>
    <t>Buzón destinado a BBDD tanto para proyectos para la parte de Clientes</t>
  </si>
  <si>
    <t>CCT Soporte Servicio Disco Virtual en Red</t>
  </si>
  <si>
    <t>CCT Soporte Servicio Office 365</t>
  </si>
  <si>
    <t>EXP-CCT_SAP_ADMINISTRACION TIC-SUM</t>
  </si>
  <si>
    <t>CCT de administracion SAP</t>
  </si>
  <si>
    <t>EXP-CCT_SISTCONVERGENTES-SUM</t>
  </si>
  <si>
    <t>Grupo soporte Sistemas Convergentes (VBLOCK, Cisco UCS, Cloud Matrix)</t>
  </si>
  <si>
    <t>sistconvergentes@telefonica.com</t>
  </si>
  <si>
    <t>DS01330</t>
  </si>
  <si>
    <t>JORGE PAREDES GARCIA</t>
  </si>
  <si>
    <t>EXP-CCT-GESTION WINTELSQL-TE</t>
  </si>
  <si>
    <t>Buzón para gestionar la actividad de los grupos de cambios de administración de S.O. Windows y SQL Server en Explotación</t>
  </si>
  <si>
    <t>T151910</t>
  </si>
  <si>
    <t>MIGUEL ANGEL AMO PELAEZ</t>
  </si>
  <si>
    <t>EXP-CCT-SQLSERVER TIC-SUM</t>
  </si>
  <si>
    <t>Buzon de Cambios SQL Plataformas</t>
  </si>
  <si>
    <t>Buzon de Cambios Windows Plataformas</t>
  </si>
  <si>
    <t>CCT Soporte Servicio Correo Exchange</t>
  </si>
  <si>
    <t>EXP-EMP-BBDD-OMA-TE</t>
  </si>
  <si>
    <t>Buzón destinado a BBDD tanto para producción como preproducción para la parte de Clientes</t>
  </si>
  <si>
    <t>SSOO O+M+A</t>
  </si>
  <si>
    <t>EXP-GESTION WINTELSQL-TE</t>
  </si>
  <si>
    <t>EXP-GESTION_TUIDS-SUM</t>
  </si>
  <si>
    <t>Buzón para admisnitración de cliente TUIDS</t>
  </si>
  <si>
    <t>TSO_SSPP_TUIDS &lt;sspp.tuids@telefonica.com&gt;</t>
  </si>
  <si>
    <t>EXP-IDCSALUD TIC-SUM</t>
  </si>
  <si>
    <t>Buzón destinado para atender cambios de O+M+A de sistemas del cliente IDCSALUD en TI Cliente</t>
  </si>
  <si>
    <t>EXP-MHI_VDC_SISTEMAS-SUM</t>
  </si>
  <si>
    <t>Buzón de cambios del equipo proveedor de Wintel que participa en el proyecto Melia</t>
  </si>
  <si>
    <t>UT00458</t>
  </si>
  <si>
    <t>FAUSTINO FRAILE LINARES</t>
  </si>
  <si>
    <t>EXP-SISTEMAS VIRTUALIZADOS PROY TIC-SUM</t>
  </si>
  <si>
    <t>Grupo para poder tratar el proyecto  de “Migración de cabinas 2018  (TI Clientes)” con Jefe de proyectos Guillermo Casado.</t>
  </si>
  <si>
    <t>Buzon destinado a atender cambios de Sistemas Virtualizados</t>
  </si>
  <si>
    <t>Buzón destinado para atender cambios de O+M+A de BBDD SQLServer  en TI Cliente</t>
  </si>
  <si>
    <t>EXP-SSPP_BBDD_ORACLE-TE</t>
  </si>
  <si>
    <t>Buzón para cambios de BBDD personalizados ORACLE</t>
  </si>
  <si>
    <t>Buzón destinado para atender cambios de O+M+A de BBDD SQLServer de clientes de SSPP en TI Cliente</t>
  </si>
  <si>
    <t>Buzón de Cambios para el grupo de Virtualizados de Servicios Personalizados</t>
  </si>
  <si>
    <t>EXP-SSPP_WINDOWS PRO-TE</t>
  </si>
  <si>
    <t>Buzón de Cambios para el grupo de Sistemas Windows de Servicios Personalizados</t>
  </si>
  <si>
    <t>EXP-UNIX_SSPP_ SISTEMAS-TE</t>
  </si>
  <si>
    <t>Buzón de personalizados de UNIX</t>
  </si>
  <si>
    <t>Buzón de personalizados de Middleware</t>
  </si>
  <si>
    <t>Buzón destinado para atender cambios de O+M+A de sistemas WINTEL en TI Cliente</t>
  </si>
  <si>
    <t>SUPERVISION Y OPERACION SERVICIOS Y TV</t>
  </si>
  <si>
    <t>EXP-CA-TE</t>
  </si>
  <si>
    <t>Soporte aplicación CA</t>
  </si>
  <si>
    <t>soporte.mensajeriammssva@telefonica.com</t>
  </si>
  <si>
    <t>T149318</t>
  </si>
  <si>
    <t>Mª del Carmen de Dios Ecija</t>
  </si>
  <si>
    <t>TECNOLOGIA CONTACT CENTER Y NEGOCIOS DIGITALES</t>
  </si>
  <si>
    <t>EXP-CCDEDICADO TE</t>
  </si>
  <si>
    <t>Explotación Contact Center Dedicado</t>
  </si>
  <si>
    <t>dstsol.cabccenter@telefonica.com</t>
  </si>
  <si>
    <t>EXP-CCOD-TE</t>
  </si>
  <si>
    <t>Servicio Contact Center on Demand de TI cliente - servicio comercial 120</t>
  </si>
  <si>
    <t>cdg.sistemas.ccod@telefonica.com</t>
  </si>
  <si>
    <t>UT01533</t>
  </si>
  <si>
    <t>MYRIAM DE LA PEÑA ESTEBAN</t>
  </si>
  <si>
    <t>EXP-NN_EMERGENCIAS-TE</t>
  </si>
  <si>
    <t>Ventanas de actuación o incidencias</t>
  </si>
  <si>
    <t>TRANSFORMACIÓN Y BI</t>
  </si>
  <si>
    <t>TECNOLOGIA TI</t>
  </si>
  <si>
    <t>Grupo de Tecnologia TI encargados de coordinar despliegues de infraestructura de servicios TI y FOAs tecnológicas y abrir CRQs a los diferentes grupos técnicos</t>
  </si>
  <si>
    <t>UT04039</t>
  </si>
  <si>
    <t>GUILLERMO GAVILAN MONTENEGRO</t>
  </si>
  <si>
    <t>OK TECNICO</t>
  </si>
  <si>
    <t>CRQ000000133938</t>
  </si>
  <si>
    <t>EXP-PROVISON Y CREACION RED-SUM-N2</t>
  </si>
  <si>
    <t xml:space="preserve">CRQ000000133823 </t>
  </si>
  <si>
    <t>EXP-OPER-INCI-OSS-N1
EXP-SUPERVISION Y OPERACION DE RED-CRIT-SUM-N2</t>
  </si>
  <si>
    <t xml:space="preserve">CRQ000000134011 </t>
  </si>
  <si>
    <t>EXP-SUPERVISION Y OPERACION DE RED-CRIT-SUM-N2</t>
  </si>
  <si>
    <t>CRQ000000131446</t>
  </si>
  <si>
    <t>EXP-PROVISON Y CREACION RED-CRIT-SUM
EXP-OPER-INCI-OSS-N1</t>
  </si>
  <si>
    <t xml:space="preserve">CRQ000000133826 </t>
  </si>
  <si>
    <t>EXP-PROVISON Y CREACION RED-CRIT-SUM-N2</t>
  </si>
  <si>
    <t>CRQ000000133186</t>
  </si>
  <si>
    <t>EXP-MANTENIMIENTO-CRIT-SUM-N2</t>
  </si>
  <si>
    <t>CRQ000000133215</t>
  </si>
  <si>
    <t>EXP-MANTENIMIENTO-CRIT-SUM-N3</t>
  </si>
  <si>
    <t>CRQ000000133419</t>
  </si>
  <si>
    <t>EXP-MANTENIMIENTO-CRIT-SUM-N4</t>
  </si>
  <si>
    <t>CRQ000000133420</t>
  </si>
  <si>
    <t>EXP-MANTENIMIENTO-CRIT-SUM-N5</t>
  </si>
  <si>
    <t>CRQ000000133712</t>
  </si>
  <si>
    <t xml:space="preserve">CRQ000000134857  </t>
  </si>
  <si>
    <t>EXP-PROVISON Y CREACION RED-SUM-N3</t>
  </si>
  <si>
    <t>CRQ000000133890</t>
  </si>
  <si>
    <t>CRQ000000133398</t>
  </si>
  <si>
    <t>CRQ000000133626</t>
  </si>
  <si>
    <t xml:space="preserve">CRQ000000134945 </t>
  </si>
  <si>
    <t>EXP-SUPERVISION Y OPERACION DE RED-SUM-N2</t>
  </si>
  <si>
    <t>CRQ000000135257</t>
  </si>
  <si>
    <t xml:space="preserve">EXP-PROVISON Y CREACION RED-SUM-N2 </t>
  </si>
  <si>
    <t>CRQ000000135622</t>
  </si>
  <si>
    <t>CRQ000000136212</t>
  </si>
  <si>
    <t xml:space="preserve">CRQ000000135698 </t>
  </si>
  <si>
    <t xml:space="preserve">CRQ000000135363 </t>
  </si>
  <si>
    <t xml:space="preserve">CRQ000000136012 </t>
  </si>
  <si>
    <t xml:space="preserve">CRQ000000135357 </t>
  </si>
  <si>
    <t xml:space="preserve"> </t>
  </si>
  <si>
    <t>CRQ000000133640</t>
  </si>
  <si>
    <t xml:space="preserve">CRQ000000137039 </t>
  </si>
  <si>
    <t xml:space="preserve">CRQ000000137924 </t>
  </si>
  <si>
    <t>EXP-OPER-INCI-OSS-N1
EXP-PROVISON Y CREACION RED-CRIT-SUM-N2</t>
  </si>
  <si>
    <t>OK
OK</t>
  </si>
  <si>
    <t>CRQ000000137296</t>
  </si>
  <si>
    <t>CRQ000000133263</t>
  </si>
  <si>
    <t xml:space="preserve">CRQ000000135632 </t>
  </si>
  <si>
    <t xml:space="preserve">CRQ000000138357  </t>
  </si>
  <si>
    <t>TAS000000105035 - EXP-SUPERVISION Y OPERACION DE RED-SUM-N2</t>
  </si>
  <si>
    <t>CRQ000000133647</t>
  </si>
  <si>
    <t>TAS000000100826 - EXP-MANTENIMIENTO-CRIT-SUM-N2</t>
  </si>
  <si>
    <t>CRQ000000133259</t>
  </si>
  <si>
    <t>TAS000000100578 - EXP-MANTENIMIENTO-CRIT-SUM-N2</t>
  </si>
  <si>
    <t xml:space="preserve">CRQ000000138456 </t>
  </si>
  <si>
    <t>TAS000000105646 - EXP-OPER-INCI-OSS-N1
TAS000000105570 - EXP-OPER-INCI-OSS-N1
TAS000000105572 - EXP-PROVISON Y CREACION RED-CRIT-SUM-N2</t>
  </si>
  <si>
    <t>OK
OK
OK</t>
  </si>
  <si>
    <t>CRQ000000139313</t>
  </si>
  <si>
    <t>TAS000000106341 - EXP-PROVISON Y CREACION RED-SUM-N2</t>
  </si>
  <si>
    <t xml:space="preserve">CRQ000000139360 </t>
  </si>
  <si>
    <t>TAS000000106387 - EXP-PROVISON Y CREACION RED-CRIT-SUM-N2
TAS000000106608 - EXP-OPER-INCI-OSS-N1
TAS000000106507 - EXP-OPER-INCI-OSS-N1</t>
  </si>
  <si>
    <t>CRQ000000135834</t>
  </si>
  <si>
    <t>TAS000000103095 - EXP-SUPERVISION Y OPERACION DE RED-CRIT-SUM-N2</t>
  </si>
  <si>
    <t>CRQ000000133384</t>
  </si>
  <si>
    <t>TAS000000100659 - EXP-MANTENIMIENTO-CRIT-SUM-N2</t>
  </si>
  <si>
    <t>CRQ000000139364</t>
  </si>
  <si>
    <t>TAS000000106372 - EXP-PROVISON Y CREACION RED-SUM-N2
TAS000000106084 - EXP-PROVISON Y CREACION RED-SUM-N2</t>
  </si>
  <si>
    <t>CRQ000000133264</t>
  </si>
  <si>
    <t>TAS000000100498 - EXP-MANTENIMIENTO-CRIT-SUM-N2</t>
  </si>
  <si>
    <t>CRQ000000133265</t>
  </si>
  <si>
    <t>TAS000000100666 - EXP-MANTENIMIENTO-CRIT-SUM-N2</t>
  </si>
  <si>
    <t xml:space="preserve">CRQ000000140092  </t>
  </si>
  <si>
    <t>TAS000000107294 - EXP-SUPERVISION Y OPERACION DE RED-SUM-N2</t>
  </si>
  <si>
    <t xml:space="preserve">CRQ000000140406  </t>
  </si>
  <si>
    <t>TAS000000107073 - EXP-SUPERVISION Y OPERACION DE RED-SUM-N2</t>
  </si>
  <si>
    <t xml:space="preserve">CRQ000000140370 </t>
  </si>
  <si>
    <t>TAS000000107619 - EXP-SUPERVISION Y OPERACION DE RED-SUM-N2</t>
  </si>
  <si>
    <t xml:space="preserve">CRQ000000140374 </t>
  </si>
  <si>
    <t>TAS000000107453 - EXP-SUPERVISION Y OPERACION DE RED-SUM-N2</t>
  </si>
  <si>
    <t>CRQ000000092275</t>
  </si>
  <si>
    <t>TAS000000107901 - EXP-SUPERVISION Y OPERACION DE RED-CRIT-SUM-N2</t>
  </si>
  <si>
    <t>CRQ000000134289</t>
  </si>
  <si>
    <t>TAS000000101785 - EXP-MANTENIMIENTO-CRIT-SUM-N2
TAS000000101786 - EXP-MANTENIMIENTO-CRIT-SUM-N2</t>
  </si>
  <si>
    <t>TAS000000100445 - EXP-MANTENIMIENTO-CRIT-SUM-N2</t>
  </si>
  <si>
    <t>TAS000000100540 - EXP-MANTENIMIENTO-CRIT-SUM-N2</t>
  </si>
  <si>
    <t>CRQ000000093311</t>
  </si>
  <si>
    <t>TAS000000108232 - EXP-SUPERVISION Y OPERACION DE RED-CRIT-SUM-N2
TAS000000067150 - EXP-SUPERVISION Y OPERACION DE RED-CRIT-SUM-N2</t>
  </si>
  <si>
    <t>CRQ000000141392</t>
  </si>
  <si>
    <t>TAS000000108527 - EXP-MANTENIMIENTO-CRIT-SUM-N2
TAS000000108435 - EXP-MANTENIMIENTO-CRIT-SUM-N2</t>
  </si>
  <si>
    <t>CRQ000000092273</t>
  </si>
  <si>
    <t>TAS000000108320 - EXP-SUPERVISION Y OPERACION DE RED-CRIT-SUM-N2
TAS000000066555 - EXP-SUPERVISION Y OPERACION DE RED-SUM-N2</t>
  </si>
  <si>
    <t>CRQ000000141775</t>
  </si>
  <si>
    <t>TAS000000108593 - EXP-SUPERVISION Y OPERACION DE RED-CRIT-SUM-N2</t>
  </si>
  <si>
    <t>CRQ000000135676</t>
  </si>
  <si>
    <t>TAS000000108920 - EXP-SUPERVISION Y OPERACION DE RED-CRIT-SUM-N2</t>
  </si>
  <si>
    <t>CRQ000000135850</t>
  </si>
  <si>
    <t>TAS000000108859 - EXP-SUPERVISION Y OPERACION DE RED-CRIT-SUM-N2</t>
  </si>
  <si>
    <t>CRQ000000142002</t>
  </si>
  <si>
    <t>TAS000000108778 - EXP-MANTENIMIENTO-CRIT-SUM-N2
TAS000000108862 - EXP-MANTENIMIENTO-CRIT-SUM-N2</t>
  </si>
  <si>
    <t>CRQ000000134341</t>
  </si>
  <si>
    <t>TAS000000101734 - EXP-MANTENIMIENTO-CRIT-SUM-N2</t>
  </si>
  <si>
    <t>CRQ000000140584</t>
  </si>
  <si>
    <t>TAS000000107582 - EXP-SUPERVISION Y OPERACION DE RED-CRIT-SUM-N2</t>
  </si>
  <si>
    <t xml:space="preserve">CRQ000000142626     </t>
  </si>
  <si>
    <t>TAS000000109276 - EXP-SUPERVISION Y OPERACION DE RED-CRIT-SUM-N2
TAS000000109278 - EXP-SUPERVISION Y OPERACION DE RED-CRIT-SUM-N2</t>
  </si>
  <si>
    <t>CRQ000000142485</t>
  </si>
  <si>
    <t>TAS000000109271 - EXP-SUPERVISION Y OPERACION DE RED-CRIT-SUM-N2
TAS000000109273 - EXP-SUPERVISION Y OPERACION DE RED-CRIT-SUM-N2</t>
  </si>
  <si>
    <t>CRQ000000142324</t>
  </si>
  <si>
    <t>TAS000000109058 - EXP-MANTENIMIENTO-CRIT-SUM-N2
TAS000000109233 - EXP-MANTENIMIENTO-CRIT-SUM-N2</t>
  </si>
  <si>
    <t>CRQ000000142735</t>
  </si>
  <si>
    <t>TAS000000109383 - EXP-SUPERVISION Y OPERACION DE RED-SUM-N2
TAS000000109707 - EXP-SUPERVISION Y OPERACION DE RED-SUM-N2</t>
  </si>
  <si>
    <t xml:space="preserve">CRQ000000143999 </t>
  </si>
  <si>
    <t>TAS000000110656 - EXP-PROVISON Y CREACION RED-CRIT-SUM-N2
TAS000000110903 - EXP-OPER-INCI-OSS-N1
TAS000000110655 - EXP-OPER-INCI-OSS-N1</t>
  </si>
  <si>
    <t xml:space="preserve">CRQ000000143887 </t>
  </si>
  <si>
    <t>TAS000000110813 - EXP-OPER-INCI-OSS-N1
TAS000000110904 - EXP-OPER-INCI-OSS-N1
TAS000000110814 - EXP-PROVISON Y CREACION RED-CRIT-SUM-N2</t>
  </si>
  <si>
    <t xml:space="preserve">CRQ000000142891     </t>
  </si>
  <si>
    <t>TAS000000109686 - EXP-SUPERVISION Y OPERACION DE RED-CRIT-SUM-N2
TAS000000109688 - EXP-SUPERVISION Y OPERACION DE RED-CRIT-SUM-N2</t>
  </si>
  <si>
    <t xml:space="preserve">CRQ000000142959    </t>
  </si>
  <si>
    <t xml:space="preserve"> TAS000000109489 - EXP-SUPERVISION Y OPERACION DE RED-CRIT-SUM-N2
TAS000000109491 - EXP-SUPERVISION Y OPERACION DE RED-CRIT-SUM-N2</t>
  </si>
  <si>
    <t>CRQ000000143554</t>
  </si>
  <si>
    <t>TAS000000110067 - EXP-SUPERVISION Y OPERACION DE RED-CRIT-SUM-N2</t>
  </si>
  <si>
    <t xml:space="preserve">CRQ000000144649  </t>
  </si>
  <si>
    <t>TAS000000111312 - EXP-PROVISON Y CREACION RED-CRIT-SUM-N2</t>
  </si>
  <si>
    <t>CRQ000000145006</t>
  </si>
  <si>
    <t>TAS000000111351 - EXP-MANTENIMIENTO-SUM-N2</t>
  </si>
  <si>
    <t>CRQ000000144967</t>
  </si>
  <si>
    <t>TAS000000111296 - EXP-PROVISON Y CREACION RED-SUM-N2</t>
  </si>
  <si>
    <t>CRQ000000145118</t>
  </si>
  <si>
    <t>TAS000000111606 - EXP-SUPERVISION Y OPERACION DE RED-SUM-N2
TAS000000111610 - EXP-SUPERVISION Y OPERACION DE RED-SUM-N2</t>
  </si>
  <si>
    <t>CRQ000000145142</t>
  </si>
  <si>
    <t>TAS000000111638 - EXP-SUPERVISION Y OPERACION DE RED-SUM-N2
TAS000000111640 - EXP-SUPERVISION Y OPERACION DE RED-SUM-N2</t>
  </si>
  <si>
    <t>CRQ000000142891</t>
  </si>
  <si>
    <t>TAS000000109686 - EXP-SUPERVISION Y OPERACION DE RED-SUM-N2
TAS000000109688 - EXP-SUPERVISION Y OPERACION DE RED-SUM-N2</t>
  </si>
  <si>
    <t>CRQ000000146305</t>
  </si>
  <si>
    <t>TAS000000112194 - EXP-PROVISON Y CREACION RED-CRIT-SUM-N2
TAS000000112195 - EXP-PROVISON Y CREACION RED-SUM-N2
TAS000000112601 - EXP-MANTENIMIENTO-CRIT-SUM-N2</t>
  </si>
  <si>
    <t>CRQ000000142815</t>
  </si>
  <si>
    <t>TAS000000109434 - EXP-SUPERVISION Y OPERACION DE RED-SUM-N2</t>
  </si>
  <si>
    <t>CRQ000000145177</t>
  </si>
  <si>
    <t>TAS000000112073 - EXP-PROVISON Y CREACION RED-CRIT-SUM-N2</t>
  </si>
  <si>
    <t>CRQ000000145997</t>
  </si>
  <si>
    <t>TAS000000112296 - EXP-SUPERVISION Y OPERACION DE RED-CRIT-SUM-N2</t>
  </si>
  <si>
    <t>Ok</t>
  </si>
  <si>
    <t>TAS000000109058 - EXP-MANTENIMIENTO-CRIT-SUM-N2
TAS000000109233 - EXP-MANTENIMIENTO-CRIT-SUM-N2
TAS000000109240 - EXP-OPER-INCI-INFRA-SUM-N1</t>
  </si>
  <si>
    <t>CRQ000000146017</t>
  </si>
  <si>
    <t>TAS000000112140 - EXP-PROVISON Y CREACION RED-SUM-N2</t>
  </si>
  <si>
    <t>CRQ000000144720</t>
  </si>
  <si>
    <t>TAS000000112427 - EXP-MANTENIMIENTO-SUM-N2
TAS000000112428 - EXP-MANTENIMIENTO-SUM-N2</t>
  </si>
  <si>
    <t>CRQ000000141967</t>
  </si>
  <si>
    <t>TAS000000112940 - EXP-PROVISON Y CREACION RED-SUM-N2</t>
  </si>
  <si>
    <t>CRQ000000139008</t>
  </si>
  <si>
    <t>TAS000000107156 - EXP-MANTENIMIENTO-SUM-N2
TAS000000107246 - EXP-MANTENIMIENTO-SUM-N2</t>
  </si>
  <si>
    <t>CRQ000000144945</t>
  </si>
  <si>
    <t>TAS000000113343 - EXP-SUPERVISION Y OPERACION DE RED-SUM-N2</t>
  </si>
  <si>
    <t>CRQ000000146741</t>
  </si>
  <si>
    <t>TAS000000112934 - EXP-SUPERVISION Y OPERACION DE RED-CRIT-SUM-N2</t>
  </si>
  <si>
    <t>CRQ000000146742</t>
  </si>
  <si>
    <t>TAS000000113067 - EXP-MANTENIMIENTO-SUM-N2</t>
  </si>
  <si>
    <t>CRQ000000145272</t>
  </si>
  <si>
    <t>TAS000000111677 - EXP-MANTENIMIENTO-CRIT-SUM-N2
TAS000000111762 - EXP-MANTENIMIENTO-CRIT-SUM-N2
TAS000000113483 - EXP-OPER-INCI-OSS-N1
TAS000000113484 - EXP-OPER-INCI-OSS-N1</t>
  </si>
  <si>
    <t>OK
OK
OK
OK</t>
  </si>
  <si>
    <t>CRQ000000145950</t>
  </si>
  <si>
    <t>TAS000000112155 - EXP-OPER-INCI-OSS-N1
TAS000000112157 - EXP-PROVISON Y CREACION RED-CRIT-SUM-N2
TAS000000112234 - EXP-OPER-INCI-OSS-N1</t>
  </si>
  <si>
    <t>CRQ000000142989</t>
  </si>
  <si>
    <t>TAS000000109799 - EXP-SUPERVISION Y OPERACION DE RED-CRIT-SUM-N2
TAS000000109890 - EXP-SUPERVISION Y OPERACION DE RED-CRIT-SUM-N2
TAS000000110130 - EXP-SUPERVISION Y OPERACION DE RED-CRIT-SUM-N2</t>
  </si>
  <si>
    <t>CRQ000000145745</t>
  </si>
  <si>
    <t>TAS000000112016 - EXP-MANTENIMIENTO-CRIT-SUM-N2
TAS000000112018 - EXP-MANTENIMIENTO-CRIT-SUM-N2</t>
  </si>
  <si>
    <t xml:space="preserve">CRQ000000147178 </t>
  </si>
  <si>
    <t>TAS000000113186 - EXP-PROVISON Y CREACION RED-CRIT-SUM-N2
TAS000000113087 - EXP-OPER-INCI-OSS-N1
TAS000000113185 - EXP-OPER-INCI-OSS-N1</t>
  </si>
  <si>
    <t>CRQ000000147795</t>
  </si>
  <si>
    <t>TAS000000114084 - EXP-PROVISON Y CREACION RED-SUM-N2</t>
  </si>
  <si>
    <t>CRQ000000147784</t>
  </si>
  <si>
    <t>TAS000000114231 - EXP-PROVISON Y CREACION RED-SUM-N2</t>
  </si>
  <si>
    <t xml:space="preserve">CRQ000000148134 </t>
  </si>
  <si>
    <t>TAS000000114244 - EXP-SUPERVISION Y OPERACION DE RED-CRIT-SUM-N2
TAS000000114333 - EXP-SUPERVISION Y OPERACION DE RED-CRIT-SUM-N2</t>
  </si>
  <si>
    <t>CRQ000000148227</t>
  </si>
  <si>
    <t>TAS000000113897 - EXP-SUPERVISION Y OPERACION DE RED-CRIT-SUM-N2</t>
  </si>
  <si>
    <t xml:space="preserve">CRQ000000147877 </t>
  </si>
  <si>
    <t>TAS000000113793 - EXP-MANTENIMIENTO-CRIT-SUM-N2</t>
  </si>
  <si>
    <t>CRQ000000148226</t>
  </si>
  <si>
    <t>TAS000000114238 - EXP-SUPERVISION Y OPERACION DE RED-CRIT-SUM-N2</t>
  </si>
  <si>
    <t>CRQ000000148321</t>
  </si>
  <si>
    <t>TAS000000114240 - EXP-SUPERVISION Y OPERACION DE RED-CRIT-SUM-N2</t>
  </si>
  <si>
    <t>CRQ000000148098</t>
  </si>
  <si>
    <t>TAS000000114168 - EXP-SUPERVISION Y OPERACION DE RED-CRIT-SUM-N2</t>
  </si>
  <si>
    <t>CRQ000000148323</t>
  </si>
  <si>
    <t>TAS000000114243 - EXP-SUPERVISION Y OPERACION DE RED-CRIT-SUM-N2</t>
  </si>
  <si>
    <t>CRQ000000147897</t>
  </si>
  <si>
    <t>TAS000000114136 - EXP-MANTENIMIENTO-CRIT-SUM-N2</t>
  </si>
  <si>
    <t>CRQ000000148211</t>
  </si>
  <si>
    <t>TAS000000114146 - EXP-MANTENIMIENTO-CRIT-SUM-N2</t>
  </si>
  <si>
    <t>CRQ000000148925</t>
  </si>
  <si>
    <t>TAS000000114951 - EXP-OPER-INCI-OSS-N1
TAS000000115027 - EXP-OPER-INCI-OSS-N1
TAS000000115028 - EXP-MANTENIMIENTO-CRIT-SUM-N2</t>
  </si>
  <si>
    <t>CRQ000000148670</t>
  </si>
  <si>
    <t>TAS000000114772 - EXP-PROVISON Y CREACION RED-CRIT-SUM-N2
TAS000000114872 - EXP-OPER-INCI-OSS-N1
TAS000000115018 - EXP-MANTENIMIENTO-CRIT-SUM-N2
TAS000000115020 - EXP-SUPERVISION Y OPERACION DE RED-CRIT-SUM-N2
TAS000000115026 - EXP-OPER-INCI-OSS-N1</t>
  </si>
  <si>
    <t>OK
OK
OK
OK
OK</t>
  </si>
  <si>
    <t>CRQ000000148675</t>
  </si>
  <si>
    <t>TAS000000114891 - EXP-MANTENIMIENTO-CRIT-SUM-N2</t>
  </si>
  <si>
    <t>CRQ000000148671</t>
  </si>
  <si>
    <t>TAS000000114970 - EXP-PROVISON Y CREACION RED-CRIT-SUM-N2</t>
  </si>
  <si>
    <t>CRQ000000148083</t>
  </si>
  <si>
    <t>TAS000000114302 - EXP-MANTENIMIENTO-CRIT-SUM-N2</t>
  </si>
  <si>
    <t>CRQ000000148231</t>
  </si>
  <si>
    <t>TAS000000114174 - EXP-MANTENIMIENTO-CRIT-SUM-N2</t>
  </si>
  <si>
    <t>TAS000000114951 - EXP-OPER-INCI-OSS-N1
TAS000000115027 - EXP-OPER-INCI-OSS-N1
TAS000000115028 - EXP-MANTENIMIENTO-CRIT-SUM-N2
TAS000000115311 - EXP-SUPERVISION Y OPERACION DE RED-CRIT-SUM-N2</t>
  </si>
  <si>
    <t>TAS000000114772 - EXP-PROVISON Y CREACION RED-CRIT-SUM-N2
TAS000000114872 - EXP-OPER-INCI-OSS-N1
TAS000000115018 - EXP-MANTENIMIENTO-CRIT-SUM-N2
TAS000000115020 - EXP-SUPERVISION Y OPERACION DE RED-CRIT-SUM-N2
TAS000000115026 - EXP-OPER-INCI-OSS-N1
TAS000000115303 - EXP-PROVISON Y CREACION RED-CRIT-SUM-N2</t>
  </si>
  <si>
    <t>OK
OK
OK
OK
OK
OK</t>
  </si>
  <si>
    <t>TAS000000114891 - EXP-MANTENIMIENTO-CRIT-SUM-N2
TAS000000115075 - EXP-MANTENIMIENTO-CRIT-SUM-N2</t>
  </si>
  <si>
    <t xml:space="preserve">CRQ000000150330 </t>
  </si>
  <si>
    <t>TAS000000115932 - EXP-PROVISON Y CREACION RED-CRIT-SUM-N2</t>
  </si>
  <si>
    <t>CRQ000000150185</t>
  </si>
  <si>
    <t>TAS000000116065 - EXP-MANTENIMIENTO-SUM-N2
TAS000000116066 - EXP-MANTENIMIENTO-SUM-N2
TAS000000116070 - EXP-MANTENIMIENTO-SUM-N2
TAS000000116071 - EXP-MANTENIMIENTO-SUM-N2</t>
  </si>
  <si>
    <t>CRQ000000150661</t>
  </si>
  <si>
    <t>TAS000000116652 - EXP-PROVISON Y CREACION RED-SUM-N2
TAS000000116722 - EXP-PROVISON Y CREACION RED-CRIT-SUM-N2</t>
  </si>
  <si>
    <t>CRQ000000150277</t>
  </si>
  <si>
    <t>TAS000000116410 - EXP-SUPERVISION Y OPERACION DE RED-CRIT-SUM-N2</t>
  </si>
  <si>
    <t>CRQ000000148172</t>
  </si>
  <si>
    <t>TAS000000115081 - EXP-PROVISON Y CREACION RED-SUM-N2</t>
  </si>
  <si>
    <t>CRQ000000150302</t>
  </si>
  <si>
    <t>TAS000000116202 - EXP-PROVISON Y CREACION RED-CRIT-SUM-N2
TAS000000116203 - EXP-MANTENIMIENTO-SUM-N2
TAS000000116204 - EXP-SUPERVISION Y OPERACION DE RED-CRIT-SUM-N2
TAS000000116208 - EXP-MANTENIMIENTO-SUM-N2
TAS000000116209 - EXP-MANTENIMIENTO-SUM-N2</t>
  </si>
  <si>
    <t>CRQ000000150107</t>
  </si>
  <si>
    <t>TAS000000116216 - EXP-MANTENIMIENTO-SUM-N2</t>
  </si>
  <si>
    <t>CRQ000000150722</t>
  </si>
  <si>
    <t>TAS000000116454 - EXP-PROVISON Y CREACION RED-CRIT-SUM-N2
TAS000000116628 - EXP-MANTENIMIENTO-CRIT-SUM-N2
TAS000000116629 - EXP-PROVISON Y CREACION RED-CRIT-SUM-N2
TAS000000116630 - EXP-SUPERVISION Y OPERACION DE RED-CRIT-SUM-N2
TAS000000116711 - EXP-OPER-INCI-OSS-N1
TAS000000116712 - EXP-PROVISON Y CREACION RED-CRIT-SUM-N2
TAS000000116713 - EXP-OPER-INCI-OSS-N1</t>
  </si>
  <si>
    <t>CRQ000000150555</t>
  </si>
  <si>
    <t>TAS000000116092 - EXP-OPER-INCI-OSS-N1
TAS000000116093 - EXP-OPER-INCI-OSS-N1
TAS000000116518 - EXP-PROVISON Y CREACION RED-CRIT-SUM-N2</t>
  </si>
  <si>
    <t>CRQ000000147809</t>
  </si>
  <si>
    <t>TAS000000115975 - EXP-MANTENIMIENTO-SUM-N2
TAS000000115976 - EXP-MANTENIMIENTO-SUM-N2</t>
  </si>
  <si>
    <t>CRQ000000150808</t>
  </si>
  <si>
    <t>TAS000000116535 - EXP-PROVISON Y CREACION RED-CRIT-SUM-N2
TAS000000116636 - EXP-OPER-INCI-OSS-N1</t>
  </si>
  <si>
    <t xml:space="preserve">OK (provision)
NOK (operación, faltaría la de volver a monitorizar el aplicativo NILO) </t>
  </si>
  <si>
    <t>CRQ000000142488</t>
  </si>
  <si>
    <t>TAS000000116182 - EXP-MANTENIMIENTO-SUM-N2</t>
  </si>
  <si>
    <t>CRQ000000147570</t>
  </si>
  <si>
    <t>TAS000000116601 - EXP-SUPERVISION Y OPERACION DE RED-SUM-N2</t>
  </si>
  <si>
    <t>CRQ00000147786</t>
  </si>
  <si>
    <t>TAS000000116986 - EXP-PROVISON Y CREACION RED-CRIT-SUM-N2
TAS000000117054 - EXP-PROVISON Y CREACION RED-CRIT-SUM-N2</t>
  </si>
  <si>
    <t>CRQ000000151330</t>
  </si>
  <si>
    <t>TAS000000117317 - EXP-MANTENIMIENTO-SUM-N2</t>
  </si>
  <si>
    <t>CRQ000000151263</t>
  </si>
  <si>
    <t xml:space="preserve">TAS000000116984 - EXP-OPER-INCI-OSS-N1
TAS000000117169 - EXP-OPER-INCI-OSS-N1
TAS000000117242 - EXP-PROVISON Y CREACION RED-CRIT-SUM-N2
</t>
  </si>
  <si>
    <t>CRQ000000150775</t>
  </si>
  <si>
    <t>TAS000000117035 - EXP-PROVISON Y CREACION RED-SUM-N2</t>
  </si>
  <si>
    <t>CRQ000000151333</t>
  </si>
  <si>
    <t>TAS000000117305 - EXP-PROVISON Y CREACION RED-CRIT-SUM-N2</t>
  </si>
  <si>
    <t>CRQ000000147802</t>
  </si>
  <si>
    <t>TAS000000117167 - EXP-SUPERVISION Y OPERACION DE RED-CRIT-SUM-N2</t>
  </si>
  <si>
    <t>EL RA nos indica que "Actualmente no tiene ningún uso ni aplicación conectada". n/a ninguna TAS para supervision.</t>
  </si>
  <si>
    <t>CRQ000000147786</t>
  </si>
  <si>
    <t>CRQ000000151321</t>
  </si>
  <si>
    <t>TAS000000116983 - EXP-PROVISON Y CREACION RED-SUM-N2
TAS000000116985 - EXP-OPER-INCI-OSS-N1
TAS000000117164 - EXP-OPER-INCI-OSS-N1
TAS000000117166 - EXP-OPER-INCI-OSS-N1</t>
  </si>
  <si>
    <t>OK (provision)
NOK (operación,el problema es que falta la TAS de volver a monitorizar el aplicativo PLANEX, el cual se solicita no monitorizar en la TAS000000116985)</t>
  </si>
  <si>
    <t xml:space="preserve">CRQ000000151768 </t>
  </si>
  <si>
    <t>TAS000000117479 - EXP-MANTENIMIENTO-SUM-N2</t>
  </si>
  <si>
    <t>CRQ000000151371</t>
  </si>
  <si>
    <t>TAS000000117264 - EXP-MANTENIMIENTO-CRIT-SUM-N2</t>
  </si>
  <si>
    <t>CRQ000000148182</t>
  </si>
  <si>
    <t>TAS000000114624 - EXP-MANTENIMIENTO-CRIT-SUM-N2</t>
  </si>
  <si>
    <t>CRQ000000151189</t>
  </si>
  <si>
    <t>TAS000000117206 - EXP-SUPERVISION Y OPERACION DE RED-CRIT-SUM-N2</t>
  </si>
  <si>
    <t>CRQ000000151588</t>
  </si>
  <si>
    <t>TAS000000117380 - EXP-MANTENIMIENTO-CRIT-SUM-N2</t>
  </si>
  <si>
    <t xml:space="preserve">CRQ000000152805 </t>
  </si>
  <si>
    <t>TAS000000117998 - EXP-PROVISON Y CREACION RED-CRIT-SUM-N2
TAS000000118258 - EXP-OPER-INCI-OSS-N1
TAS000000118303 - EXP-OPER-INCI-OSS-N1</t>
  </si>
  <si>
    <t xml:space="preserve">CRQ000000152806 </t>
  </si>
  <si>
    <t>TAS000000118000 - EXP-SUPERVISION Y OPERACION DE RED-CRIT-SUM-N2</t>
  </si>
  <si>
    <t xml:space="preserve">CRQ000000152713 </t>
  </si>
  <si>
    <t>TAS000000118614 - EXP-SUPERVISION Y OPERACION DE RED-CRIT-SUM-N2</t>
  </si>
  <si>
    <t xml:space="preserve">CRQ000000152710 </t>
  </si>
  <si>
    <t>TAS000000118413 -EXP-SUPERVISION Y OPERACION DE RED-CRIT-SUM-N2</t>
  </si>
  <si>
    <t xml:space="preserve">CRQ000000150935 </t>
  </si>
  <si>
    <t>TAS000000118288 - EXP-SUPERVISION Y OPERACION DE RED-CRIT-SUM-N2
TAS000000118433 - EXP-SUPERVISION Y OPERACION DE RED-CRIT-SUM-N2</t>
  </si>
  <si>
    <t>CRQ000000148366</t>
  </si>
  <si>
    <t>TAS000000114577 - EXP-MANTENIMIENTO-CRIT-SUM-N2</t>
  </si>
  <si>
    <t>CRQ000000152793</t>
  </si>
  <si>
    <t>TAS000000118923 - EXP-SUPERVISION Y OPERACION DE RED-CRIT-SUM-N2</t>
  </si>
  <si>
    <t xml:space="preserve">CRQ000000153450 </t>
  </si>
  <si>
    <t>TAS000000119020 - EXP-SUPERVISION Y OPERACION DE RED-CRIT-SUM-N2</t>
  </si>
  <si>
    <t xml:space="preserve">CRQ000000153516 </t>
  </si>
  <si>
    <t>TAS000000119130 - EXP-PROVISON Y CREACION RED-CRIT-SUM-N2</t>
  </si>
  <si>
    <t>CRQ000000152741</t>
  </si>
  <si>
    <t>TAS000000118718 - EXP-PROVISON Y CREACION RED-CRIT-SUM-N2</t>
  </si>
  <si>
    <t>CRQ000000153601</t>
  </si>
  <si>
    <t>TAS000000119263 - EXP-SUPERVISION Y OPERACION DE RED-CRIT-SUM-N2</t>
  </si>
  <si>
    <t>CRQ000000153683</t>
  </si>
  <si>
    <t>TAS000000119452 - EXP-MANTENIMIENTO-CRIT-SUM-N2</t>
  </si>
  <si>
    <t>CRQ000000153977</t>
  </si>
  <si>
    <t>TAS000000119471 - EXP-SUPERVISION Y OPERACION DE RED-CRIT-SUM-N2</t>
  </si>
  <si>
    <t>CRQ000000153800</t>
  </si>
  <si>
    <t>TAS000000119472 - EXP-SUPERVISION Y OPERACION DE RED-CRIT-SUM-N2</t>
  </si>
  <si>
    <t>CRQ000000154110</t>
  </si>
  <si>
    <t>TAS000000119657 - EXP-SUPERVISION Y OPERACION DE RED-CRIT-SUM-N2</t>
  </si>
  <si>
    <t xml:space="preserve">CRQ000000154112 </t>
  </si>
  <si>
    <t>TAS000000119662 - EXP-SUPERVISION Y OPERACION DE RED-CRIT-SUM-N2</t>
  </si>
  <si>
    <t xml:space="preserve">CRQ000000153986 </t>
  </si>
  <si>
    <t>TAS000000119567 - EXP-SUPERVISION Y OPERACION DE RED-CRIT-SUM-N2</t>
  </si>
  <si>
    <t>CRQ000000153991</t>
  </si>
  <si>
    <t>TAS000000119581 - EXP-PROVISON Y CREACION RED-CRIT-SUM-N2</t>
  </si>
  <si>
    <t>CRQ000000150661 (CRQ000000155254)</t>
  </si>
  <si>
    <t>TAS000000116652 - EXP-PROVISON Y CREACION RED-CRIT-SUM-N2
TAS000000116722 - EXP-PROVISON Y CREACION RED-CRIT-SUM-N2</t>
  </si>
  <si>
    <t>CRQ000000154511</t>
  </si>
  <si>
    <t>TAS000000120514 - EXP-PROVISON Y CREACION RED-CRIT-SUM-N2</t>
  </si>
  <si>
    <t xml:space="preserve">CRQ000000154579 </t>
  </si>
  <si>
    <t>TAS000000119899 - EXP-SUPERVISION Y OPERACION DE RED-CRIT-SUM-N2</t>
  </si>
  <si>
    <t xml:space="preserve">CRQ000000154580 </t>
  </si>
  <si>
    <t>TAS000000120187 - EXP-SUPERVISION Y OPERACION DE RED-CRIT-SUM-N2</t>
  </si>
  <si>
    <t>CRQ000000154570</t>
  </si>
  <si>
    <t>TAS000000120420 - EXP-PROVISON Y CREACION RED-CRIT-SUM-N2
TAS000000120421 - EXP-OPER-INCI-OSS-N1</t>
  </si>
  <si>
    <t>CRQ000000155236</t>
  </si>
  <si>
    <t>TAS000000120719 - EXP-SUPERVISION Y OPERACION DE RED-CRIT-SUM-N2
TAS000000120720 - EXP-SUPERVISION Y OPERACION DE RED-CRIT-SUM-N2</t>
  </si>
  <si>
    <t>CRQ000000154600</t>
  </si>
  <si>
    <t>TAS000000120624 - EXP-PROVISON Y CREACION RED-CRIT-SUM-N2</t>
  </si>
  <si>
    <t>CRQ000000130503</t>
  </si>
  <si>
    <t>TAS000000120505 - EXP-SUPERVISION Y OPERACION DE RED-CRIT-SUM-N2</t>
  </si>
  <si>
    <t>CRQ000000155219</t>
  </si>
  <si>
    <t>TAS000000120494 - EXP-PROVISON Y CREACION RED-SUM-N2</t>
  </si>
  <si>
    <t>CRQ000000151768</t>
  </si>
  <si>
    <t>CRQ000000153804</t>
  </si>
  <si>
    <t>TAS000000119076 - EXP_BI_TOOLS_BO_SUM</t>
  </si>
  <si>
    <t>CRQ000000155154</t>
  </si>
  <si>
    <t>TAS000000120810 - EXP-PROVISON Y CREACION RED-CRIT-SUM-N2</t>
  </si>
  <si>
    <t>CRQ000000155836</t>
  </si>
  <si>
    <t>TAS000000120927 - EXP-SUPERVISION Y OPERACION DE RED-CRIT-SUM-N2</t>
  </si>
  <si>
    <t>CRQ000000150741</t>
  </si>
  <si>
    <t>TAS000000120700 - EXP-PROVISON Y CREACION RED-CRIT-SUM-N2</t>
  </si>
  <si>
    <t>CRQ000000157909</t>
  </si>
  <si>
    <t>TAS000000121910 - EXP-PROVISON Y CREACION RED-SUM-N2</t>
  </si>
  <si>
    <t xml:space="preserve">CRQ000000155269 </t>
  </si>
  <si>
    <t>TAS000000122140 - EXP-SUPERVISION Y OPERACION DE RED-CRIT-SUM-N2
TAS000000122247 - EXP-SUPERVISION Y OPERACION DE RED-CRIT-SUM-N2
TAS000000122248 - EXP-SUPERVISION Y OPERACION DE RED-CRIT-SUM-N2
TAS000000122249 - EXP-SUPERVISION Y OPERACION DE RED-CRIT-SUM-N2</t>
  </si>
  <si>
    <t xml:space="preserve">CRQ000000155154 </t>
  </si>
  <si>
    <t>CRQ000000157850</t>
  </si>
  <si>
    <t>TAS000000122141 - EXP-PROVISON Y CREACION RED-CRIT-SUM-N2</t>
  </si>
  <si>
    <t xml:space="preserve">CRQ000000157967 </t>
  </si>
  <si>
    <t>TAS000000122549 - EXP-PROVISON Y CREACION RED-CRIT-SUM-N2</t>
  </si>
  <si>
    <t xml:space="preserve">CRQ000000155614 </t>
  </si>
  <si>
    <t>TAS000000120867 - EXP-MANTENIMIENTO-CRIT-SUM-N2
TAS000000121134 - EXP-MANTENIMIENTO-CRIT-SUM-N2</t>
  </si>
  <si>
    <t>CRQ000000157967</t>
  </si>
  <si>
    <t xml:space="preserve"> TAS000000122549 - EXP-PROVISON Y CREACION RED-CRIT-SUM-N2</t>
  </si>
  <si>
    <t>CRQ000000159225</t>
  </si>
  <si>
    <t>TAS000000123227 - EXP-PROVISON Y CREACION RED-SUM-N2</t>
  </si>
  <si>
    <t>CRQ000000159151</t>
  </si>
  <si>
    <t>TAS000000123358 - EXP-PROVISON Y CREACION RED-SUM-N2</t>
  </si>
  <si>
    <t>CRQ000000160342</t>
  </si>
  <si>
    <t>TAS000000124093 - EXP-PROVISON Y CREACION RED-SUM-N2
TAS000000124356 -  EXP-PROVISON Y CREACION RED-SUM-N2</t>
  </si>
  <si>
    <t xml:space="preserve">CRQ000000160457 </t>
  </si>
  <si>
    <t>TAS000000124452 - EXP-OPER-INCI-OSS-N1
TAS000000124453 - EXP-OPER-INCI-OSS-N1
TAS000000124613 - EXP-PROVISON Y CREACION RED-CRIT-SUM-N2</t>
  </si>
  <si>
    <t>NOK</t>
  </si>
  <si>
    <t xml:space="preserve">CRQ000000161197 </t>
  </si>
  <si>
    <t>TAS000000124981 - EXP-PROVISON Y CREACION RED-SUM-N2</t>
  </si>
  <si>
    <t>CRQ000000161080</t>
  </si>
  <si>
    <t>TAS000000125350 - EXP_BI_TOOLS_BO_SUM</t>
  </si>
  <si>
    <t>CRQ000000162118</t>
  </si>
  <si>
    <t>TAS000000125841 - EXP-SUPERVISION Y OPERACION DE RED-CRIT-SUM-N2</t>
  </si>
  <si>
    <t>CRQ000000162048</t>
  </si>
  <si>
    <t>TAS000000125848 - EXP-PROVISON Y CREACION RED-SUM-N2</t>
  </si>
  <si>
    <t xml:space="preserve">CRQ000000162148 </t>
  </si>
  <si>
    <t>TAS000000126054 - EXP-PROVISON Y CREACION RED-CRIT-SUM-N2</t>
  </si>
  <si>
    <t>CRQ000000162331</t>
  </si>
  <si>
    <t>TAS000000126124 - EXP-MANTENIMIENTO-CRIT-SUM-N2</t>
  </si>
  <si>
    <t>CRQ000000154565</t>
  </si>
  <si>
    <t>TAS000000122049 - EXP-PROVISON Y CREACION RED-CRIT-SUM-N2
TAS000000126221 - EXP-PROVISON Y CREACION RED-CRIT-SUM-N2</t>
  </si>
  <si>
    <t>CRQ000000162069</t>
  </si>
  <si>
    <t>TAS000000125698 - EXP-PROVISON Y CREACION RED-SUM-N2
TAS000000125699 - EXP-PROVISON Y CREACION RED-SUM-N2</t>
  </si>
  <si>
    <t>CRQ000000162419</t>
  </si>
  <si>
    <t>TAS000000126137 - EXP-PROVISON Y CREACION RED-CRIT-SUM-N2
TAS000000126209 - EXP-PROVISON Y CREACION RED-SUM-N2</t>
  </si>
  <si>
    <t>CRQ000000162398</t>
  </si>
  <si>
    <t>TAS000000126248 - EXP-SUPERVISION Y OPERACION DE RED-CRIT-SUM-N2</t>
  </si>
  <si>
    <t>CRQ000000162377</t>
  </si>
  <si>
    <t>TAS000000126164 - EXP-SUPERVISION Y OPERACION DE RED-SUM-N2
TAS000000126235 - EXP-PROVISON Y CREACION RED-SUM-N2
TAS000000126320 - EXP-SUPERVISION Y OPERACION DE RED-SUM-N2</t>
  </si>
  <si>
    <t>CRQ000000161710</t>
  </si>
  <si>
    <t>TAS000000125547 - EXP-PROVISON Y CREACION RED-SUM-N2</t>
  </si>
  <si>
    <t xml:space="preserve">CRQ000000160369 </t>
  </si>
  <si>
    <t>TAS000000126520 - EXP-PROVISON Y CREACION RED-CRIT-SUM-N2
TAS000000126608 - EXP-SUPERVISION Y OPERACION DE RED-SUM-N2 
TAS000000126701 - EXP-MANTENIMIENTO-CRIT-SUM-N2</t>
  </si>
  <si>
    <t>CRQ000000161731</t>
  </si>
  <si>
    <t>TAS000000125636 - EXP-PROVISON Y CREACION RED-CRIT-SUM-N2</t>
  </si>
  <si>
    <t xml:space="preserve">CRQ000000163606 </t>
  </si>
  <si>
    <t>TAS000000127710 - EXP-OPER-INCI-OSS-N1
TAS000000127711 - EXP-PROVISON Y CREACION RED-CRIT-SUM-N2
TAS000000127806 - EXP-OPER-INCI-OSS-N1</t>
  </si>
  <si>
    <t>CRQ000000163278</t>
  </si>
  <si>
    <t>TAS000000127459 - EXP-MANTENIMIENTO-CRIT-SUM-N2
TAS000000127461 - EXP-MANTENIMIENTO-CRIT-SUM-N2</t>
  </si>
  <si>
    <t>CRQ000000163585</t>
  </si>
  <si>
    <t>TAS000000127077 - EXP-MANTENIMIENTO-CRIT-SUM-N2
TAS000000127078 - EXP-MANTENIMIENTO-CRIT-SUM-N2</t>
  </si>
  <si>
    <t>CRQ000000163615</t>
  </si>
  <si>
    <t>TAS000000127813 - EXP-MANTENIMIENTO-CRIT-SUM-N2
TAS000000127815 - EXP-MANTENIMIENTO-CRIT-SUM-N2</t>
  </si>
  <si>
    <t>CRQ000000164711</t>
  </si>
  <si>
    <t>TAS000000128387 - EXP_BI_TOOLS_BO_SUM</t>
  </si>
  <si>
    <t xml:space="preserve">CRQ000000164712 </t>
  </si>
  <si>
    <t>TAS000000128560 - EXP-MANTENIMIENTO-CRIT-SUM-N2
TAS000000128611 - EXP-MANTENIMIENTO-CRIT-SUM-N2</t>
  </si>
  <si>
    <t xml:space="preserve">CRQ000000164706 </t>
  </si>
  <si>
    <t>TAS000000128286 - EXP-MANTENIMIENTO-CRIT-SUM-N2
TAS000000128288 - EXP-MANTENIMIENTO-CRIT-SUM-N2</t>
  </si>
  <si>
    <t>CRQ000000164625</t>
  </si>
  <si>
    <t>TAS000000128294 - EXP-MANTENIMIENTO-CRIT-SUM-N2
TAS000000128296 - EXP-MANTENIMIENTO-CRIT-SUM-N2</t>
  </si>
  <si>
    <t>CRQ000000164190</t>
  </si>
  <si>
    <t>TAS000000128083 - EXP-PROVISON Y CREACION RED-CRIT-SUM-N2</t>
  </si>
  <si>
    <t xml:space="preserve">CRQ000000164412 </t>
  </si>
  <si>
    <t>TAS000000128159 - EXP-PROVISON Y CREACION RED-CRIT-SUM-N2
Se han enviado dudas técnicas de Jorge Palomar a rafael.rubiosanchez@telefonica.com</t>
  </si>
  <si>
    <t xml:space="preserve">CRQ000000164093 </t>
  </si>
  <si>
    <t>TAS000000128642 - EXP_BI_TOOLS_BO_SUM</t>
  </si>
  <si>
    <t>CRQ000000164373</t>
  </si>
  <si>
    <t>TAS000000128189 - EXP-PROVISON Y CREACION RED-CRIT-SUM-N2</t>
  </si>
  <si>
    <t xml:space="preserve">CRQ000000165152   </t>
  </si>
  <si>
    <t>TAS000000129081 - EXP-MANTENIMIENTO-CRIT-SUM-N2
TAS000000129083 - EXP-MANTENIMIENTO-CRIT-SUM-N2</t>
  </si>
  <si>
    <t xml:space="preserve">CRQ000000165170  </t>
  </si>
  <si>
    <t>TAS000000129231 - EXP-MANTENIMIENTO-CRIT-SUM-N2
TAS000000129233 - EXP-MANTENIMIENTO-CRIT-SUM-N2</t>
  </si>
  <si>
    <t xml:space="preserve">CRQ000000165098 </t>
  </si>
  <si>
    <t>Tendrán que mandar la información desde TCS (correo enviado por Sergio Diaz el 4-11 a las 12,57)
Cuando lo envien tendremos que dar el OK técnico a la TAS que nos creen</t>
  </si>
  <si>
    <t>CRQ000000165262</t>
  </si>
  <si>
    <t>TAS000000130333 - EXP-MANTENIMIENTO-CRIT-SUM</t>
  </si>
  <si>
    <t>CRQ000000165268</t>
  </si>
  <si>
    <t>TAS000000129931 - EXP-SUPERVISION Y OPERACION DE RED-CRIT-SUM-N2
TAS000000129584 - EXP-SUPERVISION Y OPERACION DE RED-CRIT-SUM-N2
TAS000000129795 - EXP-MANTENIMIENTO-CRIT-SUM
TAS000000130104 - EXP-MANTENIMIENTO-CRIT-SUM
TAS000000129947 - EXP-MANTENIMIENTO-CRIT-SUM</t>
  </si>
  <si>
    <t>CRQ000000165090</t>
  </si>
  <si>
    <t>TAS000000129999 - EXP-MANTENIMIENTO-CRIT-SUM</t>
  </si>
  <si>
    <t>CRQ000000165368</t>
  </si>
  <si>
    <t>TAS000000129691 - EXP-SUPERVISION Y OPERACION DE RED-CRIT-SUM-N2 
TAS000000129583 - EXP-SUPERVISION Y OPERACION DE RED-CRIT-SUM-N2 
TAS000000130024 - EXP-MANTENIMIENTO-CRIT-SUM</t>
  </si>
  <si>
    <t>CRQ000000165271</t>
  </si>
  <si>
    <t>TAS000000129688 - EXP-SUPERVISION Y OPERACION DE RED-CRIT-SUM-N2
TAS000000129930 - EXP-SUPERVISION Y OPERACION DE RED-CRIT-SUM-N2
TAS000000129581 - EXP-SUPERVISION Y OPERACION DE RED-CRIT-SUM-N2
TAS000000130274 - EXP-MANTENIMIENTO-CRIT-SUM
TAS000000129686 - EXP_BI_TOOLS_BO_SUM 
TAS000000129693 - EXP-PROVISON Y CREACION RED-SUM-N2
TAS000000129932 - EXP-PROVISON Y CREACION RED-SUM-N2
TAS000000129778 - EXP-PROVISON Y CREACION RED-SUM-N2
TAS000000130642 - EXP-PROVISON Y CREACION RED-SUM-N2</t>
  </si>
  <si>
    <t xml:space="preserve">CRQ000000165272 </t>
  </si>
  <si>
    <t>TAS000000129582 - EXP-SUPERVISION Y OPERACION DE RED-CRIT-SUM-N2
TAS000000129690 - EXP-SUPERVISION Y OPERACION DE RED-CRIT-SUM-N2
TAS000000129951 - EXP-MANTENIMIENTO-CRIT-SUM
TAS000000129800 - EXP-MANTENIMIENTO-CRIT-SUM
TAS000000130105 - EXP-MANTENIMIENTO-CRIT-SUM
TAS000000131119 - EXP-PROVISON Y CREACION RED-SUM-N2</t>
  </si>
  <si>
    <t xml:space="preserve">CRQ000000165623  </t>
  </si>
  <si>
    <t>TAS000000129199 - EXP-OPER-INCI-OSS-N1
TAS000000129200 - EXP-OPER-INCI-OSS-N1
TAS000000129292 - EXP-PROVISON Y CREACION RED-CRIT-SUM-N2</t>
  </si>
  <si>
    <t xml:space="preserve">CRQ000000165802 </t>
  </si>
  <si>
    <t>TAS000000129460 - EXP-PROVISON Y CREACION RED-CRIT-SUM-N2</t>
  </si>
  <si>
    <t>CRQ000000164354</t>
  </si>
  <si>
    <t>TAS000000129628 - EXP-PROVISON Y CREACION RED-CRIT-SUM-N2</t>
  </si>
  <si>
    <t>CRQ000000165642  </t>
  </si>
  <si>
    <t>TAS000000129626 - EXP-MANTENIMIENTO-CRIT-SUM-N2
TAS000000129624 - EXP-MANTENIMIENTO-CRIT-SUM-N2</t>
  </si>
  <si>
    <t xml:space="preserve">CRQ000000165488 </t>
  </si>
  <si>
    <t>TAS000000129560 -  EXP-PROVISON Y CREACION RED-CRIT-SUM-N2</t>
  </si>
  <si>
    <t xml:space="preserve">CRQ000000166238 </t>
  </si>
  <si>
    <t>TAS000000130078 - EXP-PROVISON Y CREACION RED-CRIT-SUM-N2
TAS000000130230 - EXP-OPER-INCI-OSS-N1
TAS000000130231 - EXP-OPER-INCI-OSS-N1</t>
  </si>
  <si>
    <t>CRQ000000166212</t>
  </si>
  <si>
    <t>TAS000000130034 - EXP-MANTENIMIENTO-CRIT-SUM-N2
TAS000000130038 - EXP-MANTENIMIENTO-CRIT-SUM-N2</t>
  </si>
  <si>
    <t>CRQ000000166132</t>
  </si>
  <si>
    <t>TAS000000130205 - EXP-MANTENIMIENTO-CRIT-SUM-N2
TAS000000130209 EXP-MANTENIMIENTO-CRIT-SUM-N2</t>
  </si>
  <si>
    <t>CRQ000000166138</t>
  </si>
  <si>
    <t>TAS000000130052 - EXP-MANTENIMIENTO-CRIT-SUM-N2
TAS000000130056 - EXP-MANTENIMIENTO-CRIT-SUM-N2</t>
  </si>
  <si>
    <t>CRQ000000164889</t>
  </si>
  <si>
    <t>TAS000000128775 - EXP-PROVISON Y CREACION RED-CRIT-SUM-N2</t>
  </si>
  <si>
    <t xml:space="preserve">CRQ000000166716 </t>
  </si>
  <si>
    <t>TAS000000130702 - EXP_BI_TOOLS_BO_SUM</t>
  </si>
  <si>
    <t>CRQ000000166024</t>
  </si>
  <si>
    <t>TAS000000130374 - EXP-MANTENIMIENTO-CRIT-SUM-N2</t>
  </si>
  <si>
    <t>CRQ000000164772</t>
  </si>
  <si>
    <t>TAS000000130677 - EXP-PROVISON Y CREACION RED-SUM-N2</t>
  </si>
  <si>
    <t xml:space="preserve">CRQ000000164166  </t>
  </si>
  <si>
    <t>TAS000000128240 - EXP-PROVISON Y CREACION RED-CRIT-SUM-N2</t>
  </si>
  <si>
    <t>CRQ000000167083</t>
  </si>
  <si>
    <t>TAS000000130984 - EXP-PROVISON Y CREACION RED-CRIT-SUM-N2</t>
  </si>
  <si>
    <t>CRQ000000161747</t>
  </si>
  <si>
    <t>TAS000000127792 - EXP-PROVISON Y CREACION RED-SUM-N2
TAS000000127787 - EXP-PROVISON Y CREACION RED-SUM-N2</t>
  </si>
  <si>
    <t>CRQ000000166903</t>
  </si>
  <si>
    <t>TAS000000130983 - EXP_BI_TOOLS_BO_SUM</t>
  </si>
  <si>
    <t xml:space="preserve">CRQ000000164160 </t>
  </si>
  <si>
    <t>TAS000000128162 - EXP-PROVISON Y CREACION RED-CRIT-SUM-N2
TAS000000128163 - EXP-OPER-INCI-OSS-N1
TAS000000128164 - EXP-OPER-INCI-OSS-N1</t>
  </si>
  <si>
    <t>CRQ000000167325</t>
  </si>
  <si>
    <t>TAS000000131161 - EXP-PROVISON Y CREACION RED-SUM-N2</t>
  </si>
  <si>
    <t xml:space="preserve">CRQ000000168501 </t>
  </si>
  <si>
    <t>TAS000000132401 - EXP-OPER-INCI-OSS-N1
TAS000000132402 - EXP-OPER-INCI-OSS-N1
TAS000000132404 - EXP-PROVISON Y CREACION RED-CRIT-SUM-N2</t>
  </si>
  <si>
    <t>CRQ000000167036</t>
  </si>
  <si>
    <t>TAS000000130746 - EXP-SUPERVISION Y OPERACION DE RED-CRIT-SUM-N2</t>
  </si>
  <si>
    <t>CRQ000000165553</t>
  </si>
  <si>
    <t>TAS000000132015 - EXP-PROVISON Y CREACION RED-CRIT-SUM-N2</t>
  </si>
  <si>
    <t>CRQ000000165885</t>
  </si>
  <si>
    <t>TAS000000133002 - EXP-SUPERVISION Y OPERACION DE RED-CRIT-SUM-N2</t>
  </si>
  <si>
    <t>CRQ000000164426</t>
  </si>
  <si>
    <t>TAS000000133114 - EXP-SUPERVISION Y OPERACION DE RED-CRIT-SUM-N2</t>
  </si>
  <si>
    <t>CRQ000000165526</t>
  </si>
  <si>
    <t>TAS000000132820 - EXP-SUPERVISION Y OPERACION DE RED-CRIT-SUM-N2</t>
  </si>
  <si>
    <t>CRQ000000165843</t>
  </si>
  <si>
    <t>TAS000000133402 - EXP-SUPERVISION Y OPERACION DE RED-CRIT-SUM-N2</t>
  </si>
  <si>
    <t xml:space="preserve">CRQ000000166098 </t>
  </si>
  <si>
    <t>TAS000000132927 - EXP-PROVISON Y CREACION RED-CRIT-SUM-N2</t>
  </si>
  <si>
    <t>CRQ000000167718</t>
  </si>
  <si>
    <t>TAS000000132839 - EXP-MANTENIMIENTO-CRIT-SUM-N2</t>
  </si>
  <si>
    <t xml:space="preserve">CRQ000000169269 </t>
  </si>
  <si>
    <t>TAS000000133176 - EXP-MANTENIMIENTO-CRIT-SUM-N2q</t>
  </si>
  <si>
    <t>CRQ000000165494</t>
  </si>
  <si>
    <t>TAS000000133474 - EXP-SUPERVISION Y OPERACION DE RED-CRIT-SUM-N2
TAS000000132979 - EXP-SUPERVISION Y OPERACION DE RED-CRIT-SUM-N2</t>
  </si>
  <si>
    <t xml:space="preserve">CRQ000000170332  </t>
  </si>
  <si>
    <t>TAS000000133796 - EXP-SUPERVISION Y OPERACION DE RED-CRIT-SUM-N2
TAS000000133797 - EXP-SUPERVISION Y OPERACION DE RED-CRIT-SUM-N2</t>
  </si>
  <si>
    <t xml:space="preserve">CRQ000000166862  </t>
  </si>
  <si>
    <t>TAS000000130763 - EXP-PROVISON Y CREACION RED-SUM-N2
TAS000000130764 - EXP-PROVISON Y CREACION RED-SUM-N2</t>
  </si>
  <si>
    <t xml:space="preserve">CRQ000000167248 </t>
  </si>
  <si>
    <t>TAS000000131240 - EXP-PROVISON Y CREACION RED-CRIT-SUM-N2
TAS000000133969 - EXP-OPER-INCI-OSS-N1
TAS000000133970 - EXP-OPER-INCI-OSS-N1</t>
  </si>
  <si>
    <t xml:space="preserve">CRQ000000170748 </t>
  </si>
  <si>
    <t>TAS000000133998 - EXP-PROVISON Y CREACION RED-CRIT-SUM-N2
TAS000000134269 - EXP-PROVISON Y CREACION RED-CRIT-SUM-N2</t>
  </si>
  <si>
    <t xml:space="preserve">CRQ000000170821 </t>
  </si>
  <si>
    <t>TAS000000134367 - EXP-PROVISON Y CREACION RED-CRIT-SUM-N2
TAS000000134368 - EXP-PROVISON Y CREACION RED-CRIT-SUM-N2</t>
  </si>
  <si>
    <t>CRQ000000170693</t>
  </si>
  <si>
    <t>TAS000000134720 - EXP-PROVISON Y CREACION RED-CRIT-SUM-N2</t>
  </si>
  <si>
    <t>CRQ000000170776</t>
  </si>
  <si>
    <t xml:space="preserve"> TAS a TAS000000130763 - EXP-PROVISON Y CREACION RED-SUM-N2 para comprobar el acceso a PLANEX desde la granja CITRIX</t>
  </si>
  <si>
    <t>CRQ000000170778</t>
  </si>
  <si>
    <t xml:space="preserve">CRQ000000170842   </t>
  </si>
  <si>
    <t>TAS000000134300 - EXP-MANTENIMIENTO-CRIT-SUM-N2</t>
  </si>
  <si>
    <t>CRQ000000138792</t>
  </si>
  <si>
    <t>Están revisándolo desde el grupo de mantenimiento pues les ha surgido una duda a GFI (es del listado de correos de TCS)</t>
  </si>
  <si>
    <t xml:space="preserve">CRQ000000170477 </t>
  </si>
  <si>
    <t>TAS000000134553 - EXP_BI_TOOLS_BO_SUM</t>
  </si>
  <si>
    <t>CRQ000000170598</t>
  </si>
  <si>
    <t>TAS000000134294 - EXP-SUPERVISION Y OPERACION DE RED-CRIT-SUM-N2</t>
  </si>
  <si>
    <t>CI</t>
  </si>
  <si>
    <t>Anagrama</t>
  </si>
  <si>
    <t>Buzon</t>
  </si>
  <si>
    <t>Tarantella1</t>
  </si>
  <si>
    <t xml:space="preserve">EOCC
</t>
  </si>
  <si>
    <t>DL ES supervisionSDR-telefonica</t>
  </si>
  <si>
    <t>tehrhm1f</t>
  </si>
  <si>
    <t>EOCC</t>
  </si>
  <si>
    <t>tehrhm1e</t>
  </si>
  <si>
    <t>tehrhm1l</t>
  </si>
  <si>
    <t>DL ES supervisionSDR-telefonica
DL ES provisionSDR-telefonica</t>
  </si>
  <si>
    <t>tehrh336</t>
  </si>
  <si>
    <t>N/A</t>
  </si>
  <si>
    <t>IRMC</t>
  </si>
  <si>
    <t>TEHWN350TSV</t>
  </si>
  <si>
    <t>DSRBDAL27</t>
  </si>
  <si>
    <t>ugspomega1</t>
  </si>
  <si>
    <t>DL ES mantenimientoSDR-telefonica</t>
  </si>
  <si>
    <t>ugspomega2</t>
  </si>
  <si>
    <t>OMEGA-CALIDAD</t>
  </si>
  <si>
    <t>SN6545E3B</t>
  </si>
  <si>
    <t>GESCAL
MIGESCAL
MIRA-PLC
SNL
MIAPA
AGENDA
ATLASPA
CCD
CELENO
SCD
SSP
COLX
B3
VT
W1</t>
  </si>
  <si>
    <t>DL ES provisionSDR-telefonica
EXP-ATENCION Y CONTRATACION GP-BSS-SUM-N2
SOAP_CANAL_ONLINE_F</t>
  </si>
  <si>
    <t>m2oc1</t>
  </si>
  <si>
    <t>m5oc1</t>
  </si>
  <si>
    <t>lillo</t>
  </si>
  <si>
    <t>GRAFO</t>
  </si>
  <si>
    <t>DL ES provisionSDR-telefonica</t>
  </si>
  <si>
    <t>fabero</t>
  </si>
  <si>
    <t>m6oc1</t>
  </si>
  <si>
    <t>tehsl129</t>
  </si>
  <si>
    <t>tehsl112</t>
  </si>
  <si>
    <t>servftp1</t>
  </si>
  <si>
    <t>HUB11550</t>
  </si>
  <si>
    <t>Tesol401</t>
  </si>
  <si>
    <t>Tehsl069</t>
  </si>
  <si>
    <t>tehpu089</t>
  </si>
  <si>
    <t>WINA3718VDC</t>
  </si>
  <si>
    <t>mmsrmco1</t>
  </si>
  <si>
    <t>mmsrmco2</t>
  </si>
  <si>
    <t xml:space="preserve">TE_FARMAPPROD12 </t>
  </si>
  <si>
    <t>TE_FARMAPPRE12</t>
  </si>
  <si>
    <t>TEAIX040</t>
  </si>
  <si>
    <t>rnnmco03</t>
  </si>
  <si>
    <t xml:space="preserve">SGFBA </t>
  </si>
  <si>
    <t>dsrbdal27</t>
  </si>
  <si>
    <t>DITRA</t>
  </si>
  <si>
    <t>EM_SERV3</t>
  </si>
  <si>
    <t>B_WSP_2</t>
  </si>
  <si>
    <t>activhp1</t>
  </si>
  <si>
    <t>IBM03-9119-595-SN8378F7E</t>
  </si>
  <si>
    <t>TEHRHM1F</t>
  </si>
  <si>
    <t>TEHRHM1J</t>
  </si>
  <si>
    <t>TEHRHM1E</t>
  </si>
  <si>
    <t>TEHRHM1G</t>
  </si>
  <si>
    <t>TEHRHM1L</t>
  </si>
  <si>
    <t>TEHRHM1K</t>
  </si>
  <si>
    <t>tehrh371</t>
  </si>
  <si>
    <t>NGMNOMRR1-01_DSK2</t>
  </si>
  <si>
    <t>IBM71</t>
  </si>
  <si>
    <t>ulmo</t>
  </si>
  <si>
    <t>orome</t>
  </si>
  <si>
    <t>SOCN1</t>
  </si>
  <si>
    <t>TEHSL235</t>
  </si>
  <si>
    <t>CELSIG PORTAL
CELSIG 
VIGIA 
IMPACTA
SCGER
ESPACIO IP
GESTION DOCUMENTAL(GD)
ERX
ERX CERTIFICACIONES
GADOR</t>
  </si>
  <si>
    <t>tehsl183</t>
  </si>
  <si>
    <t>ULMO</t>
  </si>
  <si>
    <t>HUB11550_SD_HP15</t>
  </si>
  <si>
    <t>tehrh859</t>
  </si>
  <si>
    <t>certgwsg1</t>
  </si>
  <si>
    <t>SSESMADE002</t>
  </si>
  <si>
    <t>tehsl325</t>
  </si>
  <si>
    <t>FARMAPPPROD</t>
  </si>
  <si>
    <t>Storefronts</t>
  </si>
  <si>
    <t>tehpu044</t>
  </si>
  <si>
    <t>chasis04</t>
  </si>
  <si>
    <t>chasis05</t>
  </si>
  <si>
    <t>chasis06</t>
  </si>
  <si>
    <t>tehpu045</t>
  </si>
  <si>
    <t>tehsl208</t>
  </si>
  <si>
    <t>SCRABA
SGFBA</t>
  </si>
  <si>
    <t>tehio057</t>
  </si>
  <si>
    <t>ATLAS-BDA
TELEMAX</t>
  </si>
  <si>
    <t>DL ES mantenimientoSDR-telefonica
DL ES provisionSDR-telefonica</t>
  </si>
  <si>
    <t>faramir</t>
  </si>
  <si>
    <t>HDM</t>
  </si>
  <si>
    <t xml:space="preserve"> DL ES provisionSDR-telefonica</t>
  </si>
  <si>
    <t>NSGMDEL1</t>
  </si>
  <si>
    <t>IUM2</t>
  </si>
  <si>
    <t>arathorn</t>
  </si>
  <si>
    <t>socfep1</t>
  </si>
  <si>
    <t>SOC-MV</t>
  </si>
  <si>
    <t>nessa</t>
  </si>
  <si>
    <t>CILAN12</t>
  </si>
  <si>
    <t>MGA_SERVICIOS</t>
  </si>
  <si>
    <t>HER1OV</t>
  </si>
  <si>
    <t>TEHPU080</t>
  </si>
  <si>
    <t>TEHPU077</t>
  </si>
  <si>
    <t>Sonix</t>
  </si>
  <si>
    <t>SONIX</t>
  </si>
  <si>
    <t>justel</t>
  </si>
  <si>
    <t>Ignite</t>
  </si>
  <si>
    <t>ATLAS</t>
  </si>
  <si>
    <t>tehsl329</t>
  </si>
  <si>
    <t>tehsl330</t>
  </si>
  <si>
    <t>tehsl331</t>
  </si>
  <si>
    <t>SDRHDM202</t>
  </si>
  <si>
    <t>tehsl115</t>
  </si>
  <si>
    <t>tehsl132</t>
  </si>
  <si>
    <t>gcfmco1-02</t>
  </si>
  <si>
    <t>gcfmco1-03</t>
  </si>
  <si>
    <t>edicresarr</t>
  </si>
  <si>
    <t>EDICRE</t>
  </si>
  <si>
    <t>sasicobarr</t>
  </si>
  <si>
    <t>SICOBA</t>
  </si>
  <si>
    <t>RX4640A</t>
  </si>
  <si>
    <t>LVIGIA
IMPACTA
GEOSERVER</t>
  </si>
  <si>
    <t>RX4640B</t>
  </si>
  <si>
    <t>jumpdcn2</t>
  </si>
  <si>
    <t>LD-TARSGJDS1</t>
  </si>
  <si>
    <t>Jdstar1</t>
  </si>
  <si>
    <t>Jdstar3</t>
  </si>
  <si>
    <t>ACTIVADOR2</t>
  </si>
  <si>
    <t>TEHSG07D</t>
  </si>
  <si>
    <t>TEHUX027</t>
  </si>
  <si>
    <t>tehrh312</t>
  </si>
  <si>
    <t>SGP-IP</t>
  </si>
  <si>
    <t>tehrh313</t>
  </si>
  <si>
    <t>ericw1s2</t>
  </si>
  <si>
    <t xml:space="preserve">sunsapl08 </t>
  </si>
  <si>
    <t>VIPE</t>
  </si>
  <si>
    <t>bdcal01</t>
  </si>
  <si>
    <t>tehsg14a</t>
  </si>
  <si>
    <t>tehux081</t>
  </si>
  <si>
    <t>tehux082</t>
  </si>
  <si>
    <t>b_certgwsg1</t>
  </si>
  <si>
    <t>rhpr0198
rhpr0199
rhpr0134
rhpr0135
rhpr0136
rhpr0137
rhpr0138
rhpr0139
rhpr0140
rhpr0141
rhpr0149
rhpr0150
rhpr0151
rhpr0152
rhpr0153
rhpr0154
rhpr0155
rhpr0156</t>
  </si>
  <si>
    <t xml:space="preserve">dsrniurr02
</t>
  </si>
  <si>
    <t>SIAAM</t>
  </si>
  <si>
    <t>OMEGATXAR1</t>
  </si>
  <si>
    <t>OMEGA</t>
  </si>
  <si>
    <t>OMEGATXRR1</t>
  </si>
  <si>
    <t>SSG0X552</t>
  </si>
  <si>
    <t>TEHSL061</t>
  </si>
  <si>
    <t>tehrhm1j</t>
  </si>
  <si>
    <t>tehrhm1g</t>
  </si>
  <si>
    <t>tehrhm1h</t>
  </si>
  <si>
    <t>rx4640A</t>
  </si>
  <si>
    <t>rx4640B</t>
  </si>
  <si>
    <t>TEHRHM2C</t>
  </si>
  <si>
    <t>ARES</t>
  </si>
  <si>
    <t>CCADB5</t>
  </si>
  <si>
    <t>BILARSG1</t>
  </si>
  <si>
    <t>Tehax122</t>
  </si>
  <si>
    <t>Tehax123</t>
  </si>
  <si>
    <t>Tehax124</t>
  </si>
  <si>
    <t>Tehax125</t>
  </si>
  <si>
    <t>JCM2-T42-01</t>
  </si>
  <si>
    <t>GesDataf</t>
  </si>
  <si>
    <t>tehsl285</t>
  </si>
  <si>
    <t>snmcgn134</t>
  </si>
  <si>
    <t>Tehsl218</t>
  </si>
  <si>
    <t>MPI
SPRA</t>
  </si>
  <si>
    <t>Tehsl214</t>
  </si>
  <si>
    <t>SINTER</t>
  </si>
  <si>
    <t>IUM-RUMBA</t>
  </si>
  <si>
    <t>Swsi04</t>
  </si>
  <si>
    <t>SSCP
SSFO
EOCE</t>
  </si>
  <si>
    <t>TEHWN720ASV</t>
  </si>
  <si>
    <t>PLANEX15</t>
  </si>
  <si>
    <t>PLANEX</t>
  </si>
  <si>
    <t>tehsg07c</t>
  </si>
  <si>
    <t>IMA_SERV</t>
  </si>
  <si>
    <t xml:space="preserve">GEISER </t>
  </si>
  <si>
    <t>IMA_STB</t>
  </si>
  <si>
    <t>DXXAD2</t>
  </si>
  <si>
    <t>DXXNBI1</t>
  </si>
  <si>
    <t>DXXSRV1</t>
  </si>
  <si>
    <t>MLMSTBY</t>
  </si>
  <si>
    <t>SOC-MV
OMEGA</t>
  </si>
  <si>
    <t>eagoraweb2</t>
  </si>
  <si>
    <t>EAGORA</t>
  </si>
  <si>
    <t>TEHRH915</t>
  </si>
  <si>
    <t>TEHRH914</t>
  </si>
  <si>
    <t xml:space="preserve"> smipcol1</t>
  </si>
  <si>
    <t>SERVIVER</t>
  </si>
  <si>
    <t xml:space="preserve">TEHWN350TSV </t>
  </si>
  <si>
    <t>tehcs04a</t>
  </si>
  <si>
    <t>EOCE
SSFO
SSCP
EOCE CABLES SUBMARINOS</t>
  </si>
  <si>
    <t>tehcs04b</t>
  </si>
  <si>
    <t>tehcs09a</t>
  </si>
  <si>
    <t>GEMA</t>
  </si>
  <si>
    <t>tehcs09b</t>
  </si>
  <si>
    <t>rgpmvm1-02</t>
  </si>
  <si>
    <t>WMS</t>
  </si>
  <si>
    <t>ericw1s1</t>
  </si>
  <si>
    <t>smartArray</t>
  </si>
  <si>
    <t>Tehsl205</t>
  </si>
  <si>
    <t>Tehsl204</t>
  </si>
  <si>
    <t>Tehsl157</t>
  </si>
  <si>
    <t>Tehsl158</t>
  </si>
  <si>
    <t>Tehsl277</t>
  </si>
  <si>
    <t xml:space="preserve">tehsl321 </t>
  </si>
  <si>
    <t>tehw01303dcv</t>
  </si>
  <si>
    <t> PLANEX</t>
  </si>
  <si>
    <t>tehw01304dcv</t>
  </si>
  <si>
    <t>tehw01301dcv</t>
  </si>
  <si>
    <t xml:space="preserve">tehw01302dcv </t>
  </si>
  <si>
    <t>planexsrval01</t>
  </si>
  <si>
    <t>planexsrvrr01</t>
  </si>
  <si>
    <t>mano2re</t>
  </si>
  <si>
    <t>Tehsl263</t>
  </si>
  <si>
    <t xml:space="preserve"> v_alaethsig1-01</t>
  </si>
  <si>
    <t>28NBVX19</t>
  </si>
  <si>
    <t>28NBVX14</t>
  </si>
  <si>
    <t>Área</t>
  </si>
  <si>
    <t>Torre Tecnológica Promotora</t>
  </si>
  <si>
    <t>Estado</t>
  </si>
  <si>
    <t>GTS</t>
  </si>
  <si>
    <t>CIs Afectados</t>
  </si>
  <si>
    <t>Número de máquinas</t>
  </si>
  <si>
    <t>CON ÉXITO</t>
  </si>
  <si>
    <t>Éxito con problemas</t>
  </si>
  <si>
    <t>CANCELADO</t>
  </si>
  <si>
    <t>Aplicada marcha atrás</t>
  </si>
  <si>
    <t>VIRTUALIZACION</t>
  </si>
  <si>
    <t>VIRTUALIZADOS</t>
  </si>
  <si>
    <t>Menor</t>
  </si>
  <si>
    <t>Cerrado</t>
  </si>
  <si>
    <t>CRQ000000226804</t>
  </si>
  <si>
    <t>OAC - MELIA - Modificación vCPU en los servidores ESCEVWS060SOLRM y ESCEVWS070SOLRM, de 30 vCPU a 8</t>
  </si>
  <si>
    <t>A78304516 - MELIA HOTELS INTERNATIONAL, S.A</t>
  </si>
  <si>
    <t>OSCAR ANTA CALVO</t>
  </si>
  <si>
    <t>ESCEVWS060SOLRM, ESCEVWS070SOLRM</t>
  </si>
  <si>
    <t>TAS000000200087 - SDNIVEL1
TAS000000200088 - WEBAPPSERVER_UNIX
TAS000000200089 - EXP-EMPRESAS-SISTEMASLINUX
TAS000000200348 - EXP-EMPRESAS-SISTEMASLINUX
TAS000000200349 - WEBAPPSERVER_UNIX
TAS000000200577 - EXP-EMPRESAS-VIRTUALIZADOS
TAS000000200350 - SDNIVEL1</t>
  </si>
  <si>
    <t>CRQ000000227318</t>
  </si>
  <si>
    <t>RMN - PATENTES TALGO - Solicitud de apagado de los servidores TALVM2DRS01, TALVM2DRS02</t>
  </si>
  <si>
    <t>B84528553 - PATENTES TALGO S.L.</t>
  </si>
  <si>
    <t>RAFAEL MUÑOZ NAVAS</t>
  </si>
  <si>
    <t>TALVM2DRS01, TALVM2DRS02</t>
  </si>
  <si>
    <t>TAS000000201922 - SSO SG EVENTOS
TAS000000201923 - SISTEMAS BACKUP
TAS000000202024 - SOPORTE ENDPOINT</t>
  </si>
  <si>
    <t>VDI</t>
  </si>
  <si>
    <t>CITRIX</t>
  </si>
  <si>
    <t>CRQ000000226221</t>
  </si>
  <si>
    <t>POOL - CAF - Actualizar parches de Microsoft mes de Diciembre</t>
  </si>
  <si>
    <t>A20001020 - CONSTRUCCIONES Y AUX.DE FERROCARRIL</t>
  </si>
  <si>
    <t>POOL</t>
  </si>
  <si>
    <t>CAFSSEWS12008.caf.local, CAFSSEWS12009.caf.local, CAFSSEWS12010.caf.local, CAFSSEWS12011.caf.local, CAFSSEWS12012.caf.local</t>
  </si>
  <si>
    <t>TAS000000199864 - EXP-CCT_CITRIX-TICLIENTES-SUM</t>
  </si>
  <si>
    <t>Escalado: solicitud de generar el cambio con &lt; 48 horas de pre aviso.</t>
  </si>
  <si>
    <t>BASE DE DATOS</t>
  </si>
  <si>
    <t>NO ORACLE</t>
  </si>
  <si>
    <t>CRQ000000227698</t>
  </si>
  <si>
    <t>NED - VITHAS - Lanzar script y reinicio de instancia SqlGRA-LSPro.Nehos21.net Producción</t>
  </si>
  <si>
    <t>B18007203 - VITHAS SANIDAD, S.L.</t>
  </si>
  <si>
    <t>NESTOR ESTURILLO DE LOS REYES</t>
  </si>
  <si>
    <t>SqlGRA-LSPro.Nehos21.net</t>
  </si>
  <si>
    <t>TAS000000202193 - EXP-SQLSERVER TIC-SUM</t>
  </si>
  <si>
    <t>CRQ000000227440</t>
  </si>
  <si>
    <t>DGF - EUROLINEAS MARITIMAS - Importar máquina de Vsphere a IAAS</t>
  </si>
  <si>
    <t>A53293213 - EUROLINEAS MARITIMAS,S.A.L</t>
  </si>
  <si>
    <t>DAVID GARCIA FERNANDEZ</t>
  </si>
  <si>
    <t>svrtermserv1, svrtermserv1_restore</t>
  </si>
  <si>
    <t>TAS000000202455 - EXP-EMPRESAS-VIRTUALIZADOS
TAS000000202182 - EXP-EMPRESAS-VIRTUALIZADOS
TAS000000202456 - EXP-EMPRESAS-VIRTUALIZADOS</t>
  </si>
  <si>
    <t>CRQ000000226701</t>
  </si>
  <si>
    <t>CRA - CAJA ASTURIAS - Actualizar parches de Microsoft mes de Diciembre</t>
  </si>
  <si>
    <t>F33007337 - CAJA RURAL DE ASTURIAS</t>
  </si>
  <si>
    <t>CARLOS RODRIGUEZ AGUADO</t>
  </si>
  <si>
    <t>A3099501, A3099503</t>
  </si>
  <si>
    <t>TAS000000199903 - EXP-CCT_CITRIX-TICLIENTES-SUM</t>
  </si>
  <si>
    <t>Cambio creado por Gestión de Cambios IECISA</t>
  </si>
  <si>
    <t>Mayor</t>
  </si>
  <si>
    <t>CRQ000000225302</t>
  </si>
  <si>
    <t>CAB - VDI - Actualización del Sistema Operativo de los servidores a nivel de seguridad (Parte 1)</t>
  </si>
  <si>
    <t>TELEFONICA ESPAÑA CLIENTES</t>
  </si>
  <si>
    <t>TAB00CA001, TAB00RD001, TAB00VC001, TADDHMELI01, TADSOPMELI01, TAF00AD001, TAF00AD002, TAF00AV002, TAF00REP001, TAF01AD001, TAF01AD002, TAF01CONS01, TAF160CLSQL01, TAF160DCMX03, TAF160DCMX04, TAF160DNSEXT, TAFDCMXEN01, TAFDCMXEN02, TAFDIMXEN01, TAFDIMXEN02, TAFLSMXEN01, TAFSFMXEN01, TAFSFMXEN02, TAF160KMSER16</t>
  </si>
  <si>
    <t>TAS000000198135 - EXP-CCT_CITRIX-TICLIENTES-SUM
TAS000000198204 - EXP-CCT-WINTEL TIC-SUM
TAS000000198134 - EXP-CCT-SQLSERVER TIC-SUM</t>
  </si>
  <si>
    <t>CRQ000000225306</t>
  </si>
  <si>
    <t>CAB - VDI - Actualización del Sistema Operativo de los servidores a nivel de seguridad (Parte 2)</t>
  </si>
  <si>
    <t>TAD140DHBCAM01, TAD140DHDGOJ01, TAD140DHINV01, TAD140DHKAO01, TAD140DHLECA01, TAD140DHMELI01, TAD140DHNOVO01, TAD140DHSPCA01, TAD140DHVERDI01, TAD140OSSDGOJ01, TAD140OSSDGOJ02, TAD140OSSMELI01, TAD140OSSMELI02, TAD140OSSMELI03, TAD140OSSMELI04, TAD140OSSMELI05, TAD140OSSMELI06, TAD140OSSMELI07, TAD140OSSMELI08, TAD140OSSMELI09, TAD140OSSMELI10, TAD140OSSMELI11, TAD140OSSMELI12, TAD140SOINV01, TAD140SOKAO01, TAD140SONOVO01, TAD140SOPMELI01, TAD140SOSPCA01, TAD140SOVERDI01, TAD140SVMINV01, TAD140SVMINV02, TAD140SVMNOVO01, TAD140SVMNOVO02, TAF140ADCL01, TAF140ADCL02, TAF140ADTMOV01, TAF140ADTMOV02, TAF140AV01, TAF140AZCLOUD, TAF140CLSQL01, TAF140CONS01, TAF140DAASAD01, TAF140DAASAD02, TAF140DBAV01, TAF140DBVC01, TAF140DCATG01, TAF140DCATG02, TAF140DCMX01, TAF140DCMX02, TAF140DCMXEN01, TAF140DCMXEN02, TAF140DCMXEN03, TAF140DCMXEN04, TAF140DHTMOV01, TAF140DIATG01, TAF140DIATG02, TAF140DIMX01, TAF140DIMX02, TAF140DIMXEN01, TAF140DIMXEN02, TAF140DNSINT01, TAF140DNSINT02, TAF140DNSVC, TAF140FWB01, TAF140FWB02, TAF140FWK01, TAF140FWK02, TAF140FWK03, TAF140FWK04, TAF140KMSER16, TAF140KMSW10, TAF140LSATG01, TAF140LSMX01, TAF140LSMXEN01, TAF140RD01, TAF140RDSCL01, TAF140SFATG01, TAF140SFATG02, TAF140SFMX01, TAF140SFMX02, TAF140SFMXEN01, TAF140SFMXEN02, TAF140SOPTMO01, TAF140SQL01, TAF140SQL02, TAF140VC01, TAF140WEM01, TAF140WEM02, TAF140WQ01, TAF140WS01, TAF140XC01, TAF140XC02, TAFADCL01, TAD140DIKAO01, TAF140SFXC01,TAF140DCXC01, TAF140DCXC02, TAF140DCXC03, TAF140LCXC01, TAF140DIXC01, TAF140DIXC02, TAF140SFXC02</t>
  </si>
  <si>
    <t>TAS000000198210 - EXP-CCT_CITRIX-TICLIENTES-SUM
TAS000000198147 - EXP-CCT-WINTEL TIC-SUM
TAS000000198301 - EXP-CCT-SQLSERVER TIC-SUM</t>
  </si>
  <si>
    <t>CRQ000000226313</t>
  </si>
  <si>
    <t>JLB - KAO - Actualizar parches de Microsoft mes de Diciembre</t>
  </si>
  <si>
    <t>A58408261 - KAO CORPORATION, S.A.</t>
  </si>
  <si>
    <t>JUAN PABLO LOZANO BUSTAMANTE</t>
  </si>
  <si>
    <t>KAOWS16HSD18, KAOWS16HSD19, KAOWS16HSD20, KAOWS16HSD21, KAOWS16HSD22, KAOWS16HSD23, KAOWS16HSD24, KAOWS16HSD25, KAOWS16HSD26, KAOWS16HSD27, KAOWS16HSD28, KAOWS16HSD29, KAOWS16HSD30, KAOWS16HSD31, KAOWS16HSD32, KAOWS16HSD33, KAOWS16HSD34, KAOWS16HSD35</t>
  </si>
  <si>
    <t>TAS000000199787 - EXP-CCT_CITRIX-TICLIENTES-SUM</t>
  </si>
  <si>
    <t>EXCHANGE</t>
  </si>
  <si>
    <t>CRQ000000227761</t>
  </si>
  <si>
    <t>SBM - GRUPO EMPRESARIAL RACE - Instalación de parches de seguridad - JC</t>
  </si>
  <si>
    <t>B83806430 - GRUPO EMPRESARIAL RACE S.L.</t>
  </si>
  <si>
    <t>SERGIO BUENO MAQUEDA</t>
  </si>
  <si>
    <t>CED-09JC-BE01</t>
  </si>
  <si>
    <t>TAS000000202187 - SDNIVEL1
TAS000000202585 - EXP-CORREO COLABORATIVO EXCHANGE TIC-SUM
TAS000000202391 - SDNIVEL1</t>
  </si>
  <si>
    <t>MIDDLEWARE</t>
  </si>
  <si>
    <t>MIDDLEWARE - IIS/NO IIS</t>
  </si>
  <si>
    <t>CRQ000000228680</t>
  </si>
  <si>
    <t>POOL - AMA - Despliegue del nuevo war en los tomcats de PRE</t>
  </si>
  <si>
    <t>G28177657 - AGRUPACION MUTUAL ASEGURADORA</t>
  </si>
  <si>
    <t>AMAPRELABTOM301, AMAPRELABTOM401</t>
  </si>
  <si>
    <t>TAS000000203532 - EXP-EMPRESAS-MIDDLEWARE</t>
  </si>
  <si>
    <t>Parcheado Seguridad Diciembre 2020</t>
  </si>
  <si>
    <t>SO WINDOWS</t>
  </si>
  <si>
    <t>CRQ000000227328</t>
  </si>
  <si>
    <t>LCH - ENEL IBEROAMERICA - Instalación de parches de seguridad de Microsoft - PRE</t>
  </si>
  <si>
    <t>B85721025 - ENEL IBEROAMERICA, S.R.L.</t>
  </si>
  <si>
    <t>LUIS CAÑETE HERNANDEZ</t>
  </si>
  <si>
    <t>SVC-BBDD1, SVC-CIC-CERT, SVC-MSR-CERT, SVC-CCS-CERT, SVC-CSCR-CERT, SVC-CSF-CERT</t>
  </si>
  <si>
    <t>TAS000000201772 - SDNIVEL1
TAS000000202034 - EXP-WINTEL TIC-SUM
TAS000000201773 - EXP-SQLSERVER TIC-SUM
TAS000000202035 - SDNIVEL1</t>
  </si>
  <si>
    <t>CRQ000000226226</t>
  </si>
  <si>
    <t>RBG - NOVOBANCO - Actualizar parches de Microsoft mes de Diciembre</t>
  </si>
  <si>
    <t>W0102800J - NOVO BANCO S.A. SUCURSAL EN ESPAÑA</t>
  </si>
  <si>
    <t>RAFAEL BURGUEÑO GALLEGO</t>
  </si>
  <si>
    <t>NOVOXA01, NOVOXA02, NOVOXA03, NOVOXA04, NOVOXA05, NOVOXA06, NOVOXA07, NOVOXA08</t>
  </si>
  <si>
    <t>TAS000000199662 - EXP-CCT_CITRIX-TICLIENTES-SUM</t>
  </si>
  <si>
    <t>CRQ000000227846</t>
  </si>
  <si>
    <t>SBM - GRUPO EMPRESARIAL RACE - Instalación de parches de seguridad - AL</t>
  </si>
  <si>
    <t>CED-09AL-BE01</t>
  </si>
  <si>
    <t>TAS000000202398 - SDNIVEL1
TAS000000202188 - EXP-CORREO COLABORATIVO EXCHANGE TIC-SUM
TAS000000202192 - SDNIVEL1</t>
  </si>
  <si>
    <t>CRQ000000228677</t>
  </si>
  <si>
    <t>OAC - MELIA - Instalación de parches de seguridad - JC</t>
  </si>
  <si>
    <t>MHITAEXCHANGE02</t>
  </si>
  <si>
    <t>TAS000000203440 - SDNIVEL1
TAS000000203619 - EXP-CORREO COLABORATIVO EXCHANGE TIC-SUM
TAS000000203620 - SDNIVEL1</t>
  </si>
  <si>
    <t>CRQ000000226315</t>
  </si>
  <si>
    <t>POOL - INVERAMA - Actualización de catálogo de producción por parcheado MS Diciembre</t>
  </si>
  <si>
    <t>A08061590 - INVERAMA SA</t>
  </si>
  <si>
    <t>INVWS12HSD01, INVWS12HSD02, INVWS12HSD03, INVWS12HSD04, INVWS12HSD05, INVWS12HSD06, INVWS12HSD07</t>
  </si>
  <si>
    <t>TAS000000199792 - EXP-CCT_CITRIX-TICLIENTES-SUM</t>
  </si>
  <si>
    <t>CRQ000000228413</t>
  </si>
  <si>
    <t>RMN - TALGO - Ampliar el disco D:/ de la maquina TALQSE01DES</t>
  </si>
  <si>
    <t>TALQSE01DES</t>
  </si>
  <si>
    <t>TAS000000203390 - SDNIVEL1
TAS000000203552 - EXP-WINTEL TIC-SUM
TAS000000203483 - SDNIVEL1</t>
  </si>
  <si>
    <t>CRQ000000227863</t>
  </si>
  <si>
    <t>NED - VITHAS - Lanzar script ubicado en INC5889788, Backup y restore de xhisVIG-NSF Producción</t>
  </si>
  <si>
    <t>SqlVIG-NSFPro.Nehos21.net</t>
  </si>
  <si>
    <t>TAS000000202716 - EXP-SQLSERVER TIC-SUM
TAS000000203484 - EXP-EMPRESAS-MIDDLEWARE
TAS000000203392 - EXP-EMPRESAS-MIDDLEWARE</t>
  </si>
  <si>
    <t>CLOUD PUBLICA</t>
  </si>
  <si>
    <t>OPENSHIFT</t>
  </si>
  <si>
    <t>CRQ000000228425</t>
  </si>
  <si>
    <t>FLG - CORREOS - Implantar rotado logs de Docker en el entorno de PRO</t>
  </si>
  <si>
    <t>A83052407 - SOCIEDAD ESTATAL CORREOS Y TELEGRAF</t>
  </si>
  <si>
    <t>FRANCISCO LOPEZ GARCIA</t>
  </si>
  <si>
    <t>172.17.112.32</t>
  </si>
  <si>
    <t>TAS000000204259 - CDSCLOUD_OPENSHIFT</t>
  </si>
  <si>
    <t>CRQ000000229191</t>
  </si>
  <si>
    <t>NED - VITHAS - Solicitud de modificación de SID de los servidores ECALC-MEDPRO1; ECMLG-PSAPRO1</t>
  </si>
  <si>
    <t>ECALC-MEDPRO1, ECMLG-PSAPRO1</t>
  </si>
  <si>
    <t>TAS000000204418 - EXP-WINTEL TIC-SUM
TAS000000204095 - EXP-WINTEL TIC-SUM</t>
  </si>
  <si>
    <t>CRQ000000228370</t>
  </si>
  <si>
    <t>JLB - KAO CORPORACION - Cambios en el servidor KCESQL00</t>
  </si>
  <si>
    <t>TAS000000203432 - EXP-EMPRESAS-VIRTUALIZADOS</t>
  </si>
  <si>
    <t>CRQ000000228375</t>
  </si>
  <si>
    <t>OAC - MELIA - Instalación de parches de seguridad - AL</t>
  </si>
  <si>
    <t>MHITAEXCHANGE04</t>
  </si>
  <si>
    <t>TAS000000203441 - SDNIVEL1
TAS000000203531 - EXP-CORREO COLABORATIVO EXCHANGE TIC-SUM
TAS000000203442 - SDNIVEL1</t>
  </si>
  <si>
    <t>CRQ000000229351</t>
  </si>
  <si>
    <t>POOL - AMA - Despliegue del nuevo war en los tomcats de PRO</t>
  </si>
  <si>
    <t>AMAPRELABTOM701, AMAPRELABTOM801</t>
  </si>
  <si>
    <t>TAS000000204285 - EXP-EMPRESAS-MIDDLEWARE</t>
  </si>
  <si>
    <t>CRQ000000227397</t>
  </si>
  <si>
    <t>LCH - ENEL IBEROAMERICA - Instalación de parches de seguridad de Microsoft - PRO</t>
  </si>
  <si>
    <t>SVC-BBDD1CLUS, SVC-BBDD2CLUS, SVC-CIC1, SVC-CIC2, SVCTIMSR1-ALC, SVCTIMSR2-ALC, SVCTIMSR3-ALC, SVCTIMSR4-ALC, SVCTIMSR5-ALC, SVCTIMSR6-ALC, SVC-CCS1, SVC-CCS2, SVC-CSCR1, SVC-CSCR2, SVC-CSCR3, SVC-CSCR4, SVC-CSCR5, SVC-CSCR6, SVC-RCS1, SVC-RCS2, SVC-SRS, SVC_DC1, SVC_DC2</t>
  </si>
  <si>
    <t>TAS000000201861 - SDNIVEL1
TAS000000201938 - EXP-SQLSERVER TIC-SUM
TAS000000201774 - EXP-WINTEL TIC-SUM
TAS000000202036 - EXP-SQLSERVER TIC-SUM
TAS000000202037 - SDNIVEL1</t>
  </si>
  <si>
    <t>CRQ000000226229</t>
  </si>
  <si>
    <t>OCS - LEGALITAS - Actualizar parches de Microsoft mes de Diciembre</t>
  </si>
  <si>
    <t>B82305848 - LEGALITAS ASISTENCIA LEGAL S.L.</t>
  </si>
  <si>
    <t>OSCAR CANO SOMOLINOS</t>
  </si>
  <si>
    <t>VDILEGALITASXX.VDICLOUD.TELEFONICA.DOM</t>
  </si>
  <si>
    <t>TAS000000199675 - EXP-CCT_CITRIX-TICLIENTES-SUM</t>
  </si>
  <si>
    <t>CRQ000000229258</t>
  </si>
  <si>
    <t>NED - VITHAS - Apagado y encendido del centro hospitalario GC por intervención para cambio de SAI</t>
  </si>
  <si>
    <t>Planta entera de Hospital de GC</t>
  </si>
  <si>
    <t>TAS000000204073 - EXP-EMPRESAS-BBDD
TAS000000204074 - CDSCLOUD_STORAGE_VITHAS
TAS000000204075 - SDNIVEL1
TAS000000204279 - EXP-EMPRESAS-VIRTUALIZADOS
TAS000000204280 - EXP-CCT_CITRIX-TICLIENTES-SUM
TAS000000204282 - EXP-EMPRESAS-SISTEMASLINUX
TAS000000204359 - SOC SEGURIDAD
TAS000000204098 - EXP-EMPRESAS-MIDDLEWARE</t>
  </si>
  <si>
    <t>CRQ000000229289</t>
  </si>
  <si>
    <t>NED - VITHAS - Solicitud de modificación de SID de los servidores ECALC-MEDPRO2; ECMLG-PSAPRO2</t>
  </si>
  <si>
    <t>ECALC-MEDPRO2, ECMLG-PSAPRO2</t>
  </si>
  <si>
    <t>TAS000000204390 - EXP-WINTEL TIC-SUM
TAS000000204419 -  EXP-WINTEL TIC-SUM</t>
  </si>
  <si>
    <t>CRQ000000226517</t>
  </si>
  <si>
    <t>RLC - DGOJ - Actualización de catálogo de producción por parcheado de Microsoft mes Diciembre</t>
  </si>
  <si>
    <t>S2801109F - DIR. GENERAL DE ORDENACIÓN DEL JUEGO</t>
  </si>
  <si>
    <t>RICARDO JOSE LORDEN CANTON</t>
  </si>
  <si>
    <t>DESKW10POOL01, DESKW10POOL02, DESKW10POOL03, DESKW10POOL04, DESKW10POOL05, DESKW10POOL06, DESKW10POOL07, DESKW10POOL08, DESKW10POOL09, DESKW10POOL10, DESKW10POOL11, DESKW10POOL12, DESKW10POOL13, DESKW10POOL14, DESKW10POOL15</t>
  </si>
  <si>
    <t>TAS000000199927 - EXP-CCT_CITRIX-TICLIENTES-SUM</t>
  </si>
  <si>
    <t>CRQ000000229609</t>
  </si>
  <si>
    <t>NED - VITHAS - modificación de interfaces de red</t>
  </si>
  <si>
    <t>ECALC-MEDPRO2, ECMLG-PSAPRO2, ECALC-MEDPRO1, ECMLG-PSAPRO1</t>
  </si>
  <si>
    <t>TAS000000204768 - EXP-WINTEL TIC-SUM
TAS000000204769 - EXP-WINTEL TIC-SUM</t>
  </si>
  <si>
    <t>Parcheado Seguridad Enero 2021</t>
  </si>
  <si>
    <t>CRQ000000227343</t>
  </si>
  <si>
    <t>POOL - COMERCIAL AUTO TRACTOR - Instalación de parches de seguridad de Microsoft</t>
  </si>
  <si>
    <t>A41004425 - COMERCIAL AUTO TRACTOR S.A.</t>
  </si>
  <si>
    <t>DCTR01-AIM03, DCTR01-DCS03, DCTR01-BDD4201, DCTR01-PDS01, DCTR01-APT101, DCTR01-BDD8203, DCTR01-NSS03, DCTR01-DCS13, DCTR01-DCS04, DCTR01-DCS14, DCTR01-BDT101, DCTR01-PDS02, DCTR01-NSS02, TEST01, DCTR01-APP7001</t>
  </si>
  <si>
    <t>TAS000000201970 - SDNIVEL1
TAS000000202084 - EXP-WINTEL TIC-SUM
TAS000000201894 - EXP-SQLSERVER TIC-SUM
TAS000000202085 - SDNIVEL1</t>
  </si>
  <si>
    <t>CRQ000000226236</t>
  </si>
  <si>
    <t>POOL - SPACECARGO - Actualización parches de seguridad de Diciembre</t>
  </si>
  <si>
    <t>A83747824 - SPACE CARGO HEADQUARTERS, S.A.</t>
  </si>
  <si>
    <t>SPCSSEWS12001.spcw.com, SPCSSEWS12002.spcw.com, SPCSSEWS12003.spcw.com, SPCSSEWS12004.spcw.com, SPCSSEWS12005.spcw.com, SPCSSEWS12006.spcw.com, SPCSSEWS12007.spcw.com, SPCSSEWS12008.spcw.com, SPCSSEWS12009.spcw.com, SPCSSEWS12010.spcw.com, SPCSSEWS12011.spcw.com, SPCSSEWS12012.spcw.com, SPCSSEWS12013.spcw.com</t>
  </si>
  <si>
    <t>TAS000000199679 - EXP-CCT_CITRIX-TICLIENTES-SUM</t>
  </si>
  <si>
    <t>CRQ000000227415</t>
  </si>
  <si>
    <t>POOL - SOCIEDAD ANÓNIMA COTTET - Instalación de parches de seguridad de Microsoft</t>
  </si>
  <si>
    <t>A08078701 - SOCIEDAD ANÓNIMA COTTET</t>
  </si>
  <si>
    <t>vdctscottet01, vdctscottet02, vdcadcottet, vdcdbcottet01, vdcsagecottet01</t>
  </si>
  <si>
    <t>TAS000000202120 - SDNIVEL1
TAS000000202121 - EXP-WINTEL TIC-SUM
TAS000000202122 - SDNIVEL1</t>
  </si>
  <si>
    <t>CRQ000000227507</t>
  </si>
  <si>
    <t>MGA - AXACTOR - Instalación de parches de seguridad de Microsoft</t>
  </si>
  <si>
    <t>A81238917 - AXACTOR ESPAÑA PLATAFORMA, S.A.U</t>
  </si>
  <si>
    <t>MANUEL GOMEZ AGUILA</t>
  </si>
  <si>
    <t>TAS000000202048 - SDNIVEL1
TAS000000201782 - EXP-WINTEL TIC-SUM
TAS000000202049 - SDNIVEL1</t>
  </si>
  <si>
    <t>Aprobado en el CAB TI EXTERNA 12/01/2021</t>
  </si>
  <si>
    <t>CRQ000000227448</t>
  </si>
  <si>
    <t>CAB - TELEFONICA ESPAÑA CLIENTES - Solicitud de apagado del servidor AUTICPILMT</t>
  </si>
  <si>
    <t>AUTICPILMT</t>
  </si>
  <si>
    <t>TAS000000201079 - SSO SG EVENTOS
TAS000000201173 - SISTEMAS BACKUP
TAS000000201425 - SOPORTE ENDPOINT</t>
  </si>
  <si>
    <t>SO LINUX</t>
  </si>
  <si>
    <t>CRQ000000229295</t>
  </si>
  <si>
    <t>NED - VITHAS - Solicitud de apagado del servidor VITHASCS1D, VITHASCS1Q, VITHASCS1P y VITHASASP</t>
  </si>
  <si>
    <t>VITHASCS1D, VITHASCS1Q, VITHASCS1P y VITHASASP</t>
  </si>
  <si>
    <t>TAS000000204395 - SSO SG EVENTOS
TAS000000204446 - EMP-BACKUP REMOTO-OMA-TE
TAS000000204447 - EXP-EMPRESAS-SISTEMASLINUX</t>
  </si>
  <si>
    <t>CRQ000000229850</t>
  </si>
  <si>
    <t>TAS000000205084 - EXP-EMPRESAS-MIDDLEWARE</t>
  </si>
  <si>
    <t>CRQ000000227547</t>
  </si>
  <si>
    <t>OAC - MELIA - Instalación de parches de Microsoft - PRE</t>
  </si>
  <si>
    <t>Melazusrvinto01, Melazusrvintf0, Melazusrvintp01, Melazusrvints01</t>
  </si>
  <si>
    <t>TAS000000201939 - SDNIVEL1
TAS000000202045 - EXP-WINTEL TIC-SUM
TAS000000202046 - SDNIVEL1</t>
  </si>
  <si>
    <t>CRQ000000226526</t>
  </si>
  <si>
    <t>DGF - VERDIFRESH - Actualizar parches de Microsoft mes de Diciembre</t>
  </si>
  <si>
    <t>B12536017 - VERDIFRESH S.L.</t>
  </si>
  <si>
    <t>VERSSEWS12001</t>
  </si>
  <si>
    <t>TAS000000199680 - EXP-CCT_CITRIX-TICLIENTES-SUM</t>
  </si>
  <si>
    <t>CRQ000000227549</t>
  </si>
  <si>
    <t>JPG - SEMARK - Instalación de parches de seguridad de Microsoft</t>
  </si>
  <si>
    <t>A39050349 - SEMARK AC GROUP S.A.</t>
  </si>
  <si>
    <t>JUAN MANUEL GARCIA PABLOS</t>
  </si>
  <si>
    <t>SRV-EST-392, SRVHILO, SRVLINX-FE, SRV-RRHHBD, SRV-RRHHFE, SRVSDC02, SRVTEF, TPV001-392, TPV001-TOL</t>
  </si>
  <si>
    <t>TAS000000201877 - SDNIVEL1
TAS000000201783 - EXP-WINTEL TIC-SUM
TAS000000201952 - SDNIVEL1</t>
  </si>
  <si>
    <t>CRQ000000228498</t>
  </si>
  <si>
    <t>POOL - IAS - Instalación de parches de seguridad JC</t>
  </si>
  <si>
    <t>Q6750003C - INSTITUT D ASSISTENCIA SANITARIA</t>
  </si>
  <si>
    <t>CED-105JC-BE01</t>
  </si>
  <si>
    <t>TAS000000203590 - SDNIVEL1
TAS000000203947 - EXP-CORREO COLABORATIVO EXCHANGE TIC-SUM
TAS000000203592 - SDNIVEL1</t>
  </si>
  <si>
    <t>CRQ000000229749</t>
  </si>
  <si>
    <t>POOL - FONDITEL - Despliegue de aplicativo de cliente</t>
  </si>
  <si>
    <t>A80416332 - FONDITEL(ENTID.GESTORA FONDOS PENSI</t>
  </si>
  <si>
    <t>FONDITELDB, FONDITELFRONT</t>
  </si>
  <si>
    <t>TAS000000204923 - EXP-EMPRESAS-MIDDLEWARE</t>
  </si>
  <si>
    <t>CRQ000000227566</t>
  </si>
  <si>
    <t>POOL - CAJA AHORROS POLLENSA - Instalación de parches de seguridad de Microsoft</t>
  </si>
  <si>
    <t>G07000045 - CAJA DE AHORROS DE POLLENSA-COLONYA</t>
  </si>
  <si>
    <t>VCENTER, VCENTERBD</t>
  </si>
  <si>
    <t>TAS000000202097 - SDNIVEL1
TAS000000201982 - EXP-WINTEL TIC-SUM
TAS000000202319 - EXP-SQLSERVER TIC-SUM
TAS000000202123 - SDNIVEL1</t>
  </si>
  <si>
    <t>CRQ000000227656</t>
  </si>
  <si>
    <t>POOL - CTO MEDICINA - Instalación de parches de seguridad de Microsoft</t>
  </si>
  <si>
    <t>B81374670 - CTO MEDICINA S.L.</t>
  </si>
  <si>
    <t>ctomadw01, ctomadw02, ctomadw03, ctomadw06, ctomadw07, ctomadw08, ctomadw09</t>
  </si>
  <si>
    <t>TAS000000202124 - SDNIVEL1
TAS000000201985 - EXP-WINTEL TIC-SUM
TAS000000201986 - EXP-SQLSERVER TIC-SUM
TAS000000201987 - SDNIVEL1</t>
  </si>
  <si>
    <t>CRQ000000227660</t>
  </si>
  <si>
    <t>DGF - BANCA MARCH - Instalación de parches de seguridad de Microsoft</t>
  </si>
  <si>
    <t>A07004021 - BANCA MARCH S.A.</t>
  </si>
  <si>
    <t>TAS000000202126 - SDNIVEL1
TAS000000201988 - EXP-WINTEL TIC-SUM
TAS000000202324 - SDNIVEL1</t>
  </si>
  <si>
    <t>CRQ000000226328</t>
  </si>
  <si>
    <t>SCT - COMUNIDAD AUTONOMA DE LA RIOJA - Actualizar parches de MS de Diciembre para Rioja ON Premise</t>
  </si>
  <si>
    <t>S2633001I - COMUNIDAD AUTONOMA DE LA RIOJA</t>
  </si>
  <si>
    <t>SERGIO CUSTARDOY TORRES</t>
  </si>
  <si>
    <t>DE-ALU-001-0001 ,DE-ALU-001-0002 ,DE-ALU-001-0003 ,DE-ALU-001-0004 ,DE-ALU-001-0005 ,DE-ALU-001-0006 ,DE-ALU-001-0007 ,DE-ALU-001-0008 ,DE-ALU-001-0009 ,DE-ALU-001-0010 ,DE-ALU-001-0011 ,DE-ALU-001-0012 ,DE-ALU-001-0013 ,DE-ALU-001-0014 ,DE-ALU-001-0015 ,DE-ALU-001-0016 ,DE-ALU-001-0017 ,DE-ALU-001-0018 ,DE-ALU-001-0019 ,DE-ALU-001-0020 ,DE-ALU-001-0037 ,DE-ALU-001-0038 ,DE-ALU-001-0039 ,DE-ALU-001-0040 ,DE-ALU-001-0041 ,DE-ALU-001-0042 ,DE-ALU-001-0043 ,DE-ALU-001-0044 ,DE-ALU-001-0045 ,DE-ALU-001-0046 ,DE-ALU-001-0047 ,DE-ALU-001-0048 ,DE-ALU-001-0049 ,DE-ALU-001-0050 ,DE-ALU-001-0051 ,DE-ALU-001-0052 ,DE-ALU-001-0053 ,DE-ALU-001-0054 ,DE-ALU-001-0055 ,DE-ALU-001-0056 ,DE-ALU-001-0057 ,DE-ALU-001-0058 ,DE-ALU-001-0059, DE-GOB-001-0001 ,DE-GOB-001-0002 ,DE-GOB-001-0003 ,DE-GOB-001-0004 ,DE-GOB-001-0005 ,DE-GOB-001-0006 ,DE-GOB-001-0007 ,DE-GOB-001-0008 ,DE-PRF-002-0001 ,DE-PRF-002-0002 ,DE-PRF-002-0003 ,DE-PRF-002-0004 ,DE-PRF-002-0005 ,DE-PRF-002-0006 ,DE-PRF-002-0007 ,DE-PRF-002-0008 ,DE-PRF-002-0009 ,DE-PRF-002-0010 ,DE-PRF-002-0011 ,DE-PRF-002-0012 ,DE-PRF-002-0013 ,DE-PRF-002-0014 ,DE-PRF-002-0015 ,DE-PRF-002-0016 ,DE-PRF-002-0017 ,DE-PRF-002-0018 ,DE-PRF-002-0019 ,DE-PRF-002-0020 ,DE-PRF-002-0021 ,DE-PRF-002-0022 ,DE-PRF-002-0023 ,DE-PRF-002-0024 ,DE-PRF-002-0025 ,DE-PRF-002-0026 ,DE-PRF-002-0027 ,DE-PRF-002-0028 ,DE-PRF-002-0029 ,DE-PRF-002-0030 ,DE-PRF-002-0031 ,DE-PRF-002-0032 ,DE-PRF-002-0033 ,DE-PRF-002-0034 ,DE-PRF-002-0035 ,DE-PRF-002-0036 ,DE-PRF-002-0037 ,DE-PRF-002-0038 ,DE-PRF-002-0039 ,DE-PRF-002-0040 ,DE-PRF-002-0041 ,DE-PRF-002-0042 ,DE-PRF-002-0043 ,DE-PRF-002-0044 ,DE-PRF-002-0045 ,DE-PRF-002-0046 ,DE-PRF-002-0047 ,DE-PRF-002-0048 ,DE-PRF-002-0049 ,DE-PRF-002-0050 ,DE-PRF-002-0051 ,DE-PRF-002-0052 ,DE-PRF-002-0053 ,DE-PRF-002-0054 ,DE-PRF-002-0055 ,DE-PRF-002-0056 ,DE-PRF-002-0057 ,DE-PRF-002-0058 ,DE-PRF-002-0059 ,DE-PRF-002-0060 ,DE-PRF-002-0061 ,DE-PRF-002-0062</t>
  </si>
  <si>
    <t>TAS000000199688 - EXP-CCT_CITRIX-TICLIENTES-SUM</t>
  </si>
  <si>
    <t>Escalado: solicitud de generar el cambio con &lt; 48 horas de pre aviso.
VIRTUALIZADOS: "No se instala parche seguridad KB4586830 en TALDDC01PRO, TALDDC02PRO."</t>
  </si>
  <si>
    <t>CRQ000000230129</t>
  </si>
  <si>
    <t>RMN - TALGO - Instalación de parches de seguridad de Windows</t>
  </si>
  <si>
    <t>TALDDC01PRO, TALDDC02PRO, TALLIX01PRO</t>
  </si>
  <si>
    <t>TAS000000205802 - SDNIVEL1
TAS000000205807 - EXP-WINTEL TIC-SUM
TAS000000205808 - SDNIVEL1</t>
  </si>
  <si>
    <t>O365</t>
  </si>
  <si>
    <t>CRQ000000229495</t>
  </si>
  <si>
    <t>CRA - RTVE - Instalación parche mensual ADConnect</t>
  </si>
  <si>
    <t>A84818558 - CORP. DE RADIO Y TELEVISIÓN ESPAÑOLA</t>
  </si>
  <si>
    <t xml:space="preserve">ced-104-adco01, ced-104-adco02  </t>
  </si>
  <si>
    <t>TAS000000204948 - EXP-CCT_O365 TIC-SUM
TAS000000204949 - EXP-CCT_O365 TIC-SUM
TAS000000205032 - SDNIVEL1
TAS000000205033 - EXP-CCT_O365 TIC-SUM
TAS000000204698 - SDNIVEL1
TAS000000204950 - EXP-CCT_O365 TIC-SUM</t>
  </si>
  <si>
    <t>CRQ000000228439</t>
  </si>
  <si>
    <t>POOL - IAS - Instalación de parches de seguridad AL</t>
  </si>
  <si>
    <t>CED-105AL-BE01</t>
  </si>
  <si>
    <t>TAS000000204016 - SDNIVEL1
TAS000000204017 - EXP-CORREO COLABORATIVO EXCHANGE TIC-SUM
TAS000000204018 - SDNIVEL1</t>
  </si>
  <si>
    <t>CRQ000000227511</t>
  </si>
  <si>
    <t>SRV-APP-MOVIL, SRVEPO, SRV-EST-391, SRV-EST-TOL, SRVLINX-BBDD, SRV-SCOBOSS, SRV-SDM, TPV001-391</t>
  </si>
  <si>
    <t>TAS000000201879 - SDNIVEL1
TAS000000201880 - EXP-WINTEL TIC-SUM
TAS000000201956 - SDNIVEL1</t>
  </si>
  <si>
    <t>CRQ000000227536</t>
  </si>
  <si>
    <t>JGP - EQUIPO IVI - Instalación de parches de seguridad de Microsoft</t>
  </si>
  <si>
    <t>B96410568 - EQUIPO IVI S.L.</t>
  </si>
  <si>
    <t>TAS000000201989 - SDNIVEL1
TAS000000202401 - EXP-WINTEL TIC-SUM
TAS000000201990 - SDNIVEL1</t>
  </si>
  <si>
    <t>CRQ000000227510</t>
  </si>
  <si>
    <t>TAS000000202050 - SDNIVEL1
TAS000000201943 - EXP-WINTEL TIC-SUM
TAS000000201874 - SDNIVEL1</t>
  </si>
  <si>
    <t>CRQ000000230080</t>
  </si>
  <si>
    <t>NED - VITHAS - Solicitud de apagado de servidores</t>
  </si>
  <si>
    <t>AppServ1VIG-NSF, QVVIG-NSF, SqlALC-MEDDev, SqlALC-MEDDev2, ViaALC-MEDDesa, ECALC-MEDDesa, ECALC-MEDDev, ECALC-MEDDev2, ECALC-MEDPro</t>
  </si>
  <si>
    <t>TAS000000205408 - SSO SG EVENTOS
TAS000000205615 - SISTEMAS BACKUP
TAS000000205330 - SOPORTE ENDPOINT</t>
  </si>
  <si>
    <t>CRQ000000228735</t>
  </si>
  <si>
    <t>JBS - FERROVIAL - Instalación de parches de seguridad - JC</t>
  </si>
  <si>
    <t>A81939209 - FERROVIAL SA.</t>
  </si>
  <si>
    <t>JORGE BALDRICH SALA</t>
  </si>
  <si>
    <t>fersmtpexch01, fersmtpexch03</t>
  </si>
  <si>
    <t>TAS000000203675 - SDNIVEL1
TAS000000203949 - EXP-CORREO COLABORATIVO EXCHANGE TIC-SUM
TAS000000204019 - SDNIVEL1</t>
  </si>
  <si>
    <t>CRQ000000229482</t>
  </si>
  <si>
    <t>OAC - MELIA - Instalación parche mensual ADConnect</t>
  </si>
  <si>
    <t xml:space="preserve">MHITAADCONNECT01 </t>
  </si>
  <si>
    <t>TAS000000204732 - SDNIVEL1
TAS000000204913 - EXP-CCT_O365 TIC-SUM
TAS000000204919 - EXP-CCT_O365 TIC-SUM
TAS000000204596 - EXP-CCT_O365 TIC-SUM
TAS000000204599 - EXP-CCT_O365 TIC-SUM
TAS000000205008 - SDNIVEL1</t>
  </si>
  <si>
    <t>CRQ000000227539</t>
  </si>
  <si>
    <t>CRA - IBERIA LAE S.A. OPERADORA - Instalación de parches de seguridad de Microsoft</t>
  </si>
  <si>
    <t>A85850394 - IBERIA LAE S.A. OPERADORA</t>
  </si>
  <si>
    <t>DC1, DC2</t>
  </si>
  <si>
    <t>TAS000000202530 - SDNIVEL1
TAS000000202406 - EXP-WINTEL TIC-SUM
TAS000000202331 - SDNIVEL1</t>
  </si>
  <si>
    <t>CRQ000000227572</t>
  </si>
  <si>
    <t>POOL - HOTELES ELBA - Instalación de parches de seguridad de Microsoft</t>
  </si>
  <si>
    <t>B35458231 - HOTELES ELBA S.L.</t>
  </si>
  <si>
    <t>TAS000000202512 - SDNIVEL1
TAS000000202513 - EXP-WINTEL TIC-SUM
TAS000000202514 - SDNIVEL1</t>
  </si>
  <si>
    <t>CRQ000000227577</t>
  </si>
  <si>
    <t>JLB - KAO CORPORACION - Instalación de parches de seguridad de Microsoft</t>
  </si>
  <si>
    <t>KCEDC01, KCEDC02, KCEEUDC01, KCEEUDC02, KCESQL00, KCEFPAK01, KCSACRO01, KCEFTPEXT01, KCELIC01, KCEMOSS00, KCEPRN01, KCESSIS01, KCECHEM00, KCEDMW00, KCEIM00, KCESENG00, KCESENG01, KCESENG02, KCESQL01</t>
  </si>
  <si>
    <t>TAS000000202134 - SDNIVEL1
TAS000000202531 - EXP-WINTEL TIC-SUM
TAS000000202407 - SDNIVEL1</t>
  </si>
  <si>
    <t>CRQ000000227548</t>
  </si>
  <si>
    <t>OAC - MELIA - Instalación de parches de Microsoft - PRO</t>
  </si>
  <si>
    <t>melazusrvlivo02, melazusrvliva02, melazusrvlivc02, melazusrvlivf03, melazusrvlivf04, melazusrvlivp02, melazusrvliv0, melazusrvlivo01, melazusrvliva01, melazusrvlivc01, melazusrvlivf01, melazusrvlivf02, melazusrvlivp01, melazusrvliv1</t>
  </si>
  <si>
    <t>TAS000000202047 - SDNIVEL1
TAS000000201781 - EXP-SQLSERVER TIC-SUM
TAS000000201940 - EXP-WINTEL TIC-SUM
TAS000000201941 - EXP-SQLSERVER TIC-SUM
TAS000000201942 - SDNIVEL1</t>
  </si>
  <si>
    <t>CRQ000000227666</t>
  </si>
  <si>
    <t>POOL - FONDITEL - Instalación de parches de seguridad de Microsoft</t>
  </si>
  <si>
    <t>TAS000000202532 - SDNIVEL1
TAS000000202332 - EXP-WINTEL TIC-SUM
TAS000000202533 - EXP-SQLSERVER TIC-SUM
TAS000000202333 - EXP-EMPRESAS-MIDDLEWARE
TAS000000202408 - SDNIVEL1</t>
  </si>
  <si>
    <t>CRQ000000227580</t>
  </si>
  <si>
    <t>POOL - NISA - Instalación de parches de seguridad de Microsoft</t>
  </si>
  <si>
    <t>A46036984 - NUEVAS INVERSIONES EN SERVICIOS, S.A.</t>
  </si>
  <si>
    <t>NISA3PARNAS01, NISA3PARNAS02, NISADC01, NISADC02</t>
  </si>
  <si>
    <t>TAS000000202535 - SDNIVEL1
TAS000000202536 - EXP-WINTEL TIC-SUM
TAS000000202334 - SDNIVEL1</t>
  </si>
  <si>
    <t>CRQ000000230488</t>
  </si>
  <si>
    <t>MAC - TUI - Solicitud de apagado de servidores</t>
  </si>
  <si>
    <t>B63339113 - TUI HOLDING SPAIN S.L.U.</t>
  </si>
  <si>
    <t>MARIO AYUGA CEDILLO</t>
  </si>
  <si>
    <t>dssapbddr01, dssapbddr02, dssapbdpro01, dssapbdpro02, ds_sa3csd01, ds_sa5sad01, ds_sa6csp04, ds_sa6sat02</t>
  </si>
  <si>
    <t>TAS000000206067 - EXP-EMPRESAS-SISTEMASLINUX
TAS000000206147 - SSO SG EVENTOS
TAS000000205964 - EMP-BACKUP REMOTO-OMA-TE
TAS000000206395 - SOPORTE ENDPOINT
TAS000000206378 - EXP-EMPRESAS-SISTEMASLINUX</t>
  </si>
  <si>
    <t>CRQ000000230380</t>
  </si>
  <si>
    <t>ds_bd1rhp01, ds_sa2sap02, ds_sa5sap01</t>
  </si>
  <si>
    <t>TAS000000205875 - SSO SG EVENTOS
TAS000000206072 - EXP-EMPRESAS-SISTEMASLINUX
TAS000000205876 - SISTEMAS BACKUP
TAS000000205879 - SOPORTE ENDPOINT
TAS000000206151 - EXP-EMPRESAS-SISTEMASLINUX</t>
  </si>
  <si>
    <t>CRQ000000230363</t>
  </si>
  <si>
    <t>RMN - TALGO - Solicitud de apagado del servidor TALVM2NUM01</t>
  </si>
  <si>
    <t>TALVM2NUM01</t>
  </si>
  <si>
    <t>TAS000000205854 - SSO SG EVENTOS
TAS000000205855 - SISTEMAS BACKUP
TAS000000205856 - SOPORTE ENDPOINT</t>
  </si>
  <si>
    <t>CRQ000000228502</t>
  </si>
  <si>
    <t>JBS - FERROVIAL - Instalación de parches de seguridad - AL</t>
  </si>
  <si>
    <t>fersmtpexch02, fersmtpexch04</t>
  </si>
  <si>
    <t>TAS000000203677 - SDNIVEL1
TAS000000203678 - EXP-CORREO COLABORATIVO EXCHANGE TIC-SUM
TAS000000203594 - SDNIVEL1</t>
  </si>
  <si>
    <t>CRQ000000231358</t>
  </si>
  <si>
    <t>TAS000000207030 - EXP-EMPRESAS-MIDDLEWARE</t>
  </si>
  <si>
    <t>CRQ000000227514</t>
  </si>
  <si>
    <t>SRV-DQUEST, SRV-DQUESTFE, SRV-QLIKPRO1, SRV-QLIKPRO2, SRV-QLIKPRO3, SRVGVS09C01</t>
  </si>
  <si>
    <t>TAS000000201957 - SDNIVEL1
TAS000000201787 - EXP-WINTEL TIC-SUM
TAS000000201958 - SDNIVEL1</t>
  </si>
  <si>
    <t>CRQ000000227585</t>
  </si>
  <si>
    <t>POOL - EL ENEBRO - Instalación de parches de seguridad de Microsoft</t>
  </si>
  <si>
    <t>A24011165 - EL ENEBRO S.A.</t>
  </si>
  <si>
    <t>ALION, ENEBRODC01, NEAL, ENEBRODC02, SQLENEBRO2, TERMINAL</t>
  </si>
  <si>
    <t>TAS000000202136 - SDNIVEL1
TAS000000202538 - EXP-WINTEL TIC-SUM
TAS000000202138 - SDNIVEL1</t>
  </si>
  <si>
    <t>CRQ000000231005</t>
  </si>
  <si>
    <t>POOL - COMERCIAL AUTO TRACTOR - Actualizar VMware Tools y el HW virtual</t>
  </si>
  <si>
    <t>TEST01, DCTR01PDS02, DCTR01-PDS01, DCTR01-NSS03, DCTR01-NSS02, DCTR01-DFS01, DCTR01-DCS14, DCTR01-DCS13,DCTR01-DCS04, DCTR01-DCS03, DCTR01-BDD8203, DCTR01-BDD4201, DCTR01-APT101, DCTR01-APP7003, DCTR01-APP7001 y DCTR01-AIM03</t>
  </si>
  <si>
    <t>TAS000000205998 - SDNIVEL1
TAS000000206280 - EXP-EMPRESAS-VIRTUALIZADOS
TAS000000206472 - SDNIVEL1</t>
  </si>
  <si>
    <t>CRQ000000227586</t>
  </si>
  <si>
    <t>POOL - LIPIDOS SANTIGA - Instalación de parches de seguridad de Microsoft</t>
  </si>
  <si>
    <t>A58352311 - LIPIDOS SANTIGA S.A.</t>
  </si>
  <si>
    <t>TAS000000202539 - SDNIVEL1
TAS000000202344 - EXP-WINTEL TIC-SUM
TAS000000202345 - SDNIVEL1</t>
  </si>
  <si>
    <t>CRQ000000230067</t>
  </si>
  <si>
    <t>NED - VITHAS - Restructuración de las BBDD en nuevos discos asignados en el centro de Alicante MED Producción</t>
  </si>
  <si>
    <t>SqlALC-MEDPro.Nehos21.net</t>
  </si>
  <si>
    <t>TAS000000205608 - EXP-SQLSERVER TIC-SUM</t>
  </si>
  <si>
    <t>CRQ000000227589</t>
  </si>
  <si>
    <t>POOL - FUERTEMANT - Instalación de parches de seguridad de Microsoft</t>
  </si>
  <si>
    <t>B93024057 - FUERTEMANT S.L.</t>
  </si>
  <si>
    <t>TAS000000202544 - SDNIVEL1
TAS000000202348 - EXP-WINTEL TIC-SUM
TAS000000202349 - SDNIVEL1</t>
  </si>
  <si>
    <t>CRQ000000227430</t>
  </si>
  <si>
    <t>POOL - RENAULT - Instalación de parches de seguridad de Microsoft</t>
  </si>
  <si>
    <t>A28114759 - RENAULT RETAIL GROUP MADRID S.A.</t>
  </si>
  <si>
    <t>RENAULT-SERVER7, RENAULT-SERVER9</t>
  </si>
  <si>
    <t>TAS000000202545 - SDNIVEL1
TAS000000202350 - EXP-WINTEL TIC-SUM
TAS000000202546 - SDNIVEL1</t>
  </si>
  <si>
    <t>CRQ000000227431</t>
  </si>
  <si>
    <t>POOL - SANTA LUCIA - Instalación de parches de seguridad de Microsoft</t>
  </si>
  <si>
    <t>V85586857 - SANTA LUCIA SERVICIOS COMPARTIDOS A.I.E.</t>
  </si>
  <si>
    <t>TAS000000202143 - SDNIVEL1
TAS000000202352 - EXP-WINTEL TIC-SUM
TAS000000202547 - SDNIVEL1</t>
  </si>
  <si>
    <t>CRQ000000227438</t>
  </si>
  <si>
    <t>POOL - VIESGO INFRAESTRUCTURAS ENERGÉTICAS - Instalación de parches de seguridad</t>
  </si>
  <si>
    <t>B85304558 - VIESGO INFRAESTRUCTURAS ENERGÉTICAS, S.L</t>
  </si>
  <si>
    <t>EONRADIUS01 (RADIUS01)</t>
  </si>
  <si>
    <t>TAS000000202179 - SDNIVEL1
TAS000000202449 - EXP-WINTEL TIC-SUM
TAS000000202180 - SDNIVEL1</t>
  </si>
  <si>
    <t>CRQ000000227515</t>
  </si>
  <si>
    <t>SRV-MANTIS, SRV-SCADAR, SRVSDC03, SRV-TDX, SRVTEF2, SRV-VOCOLLET</t>
  </si>
  <si>
    <t>TAS000000202067 - SDNIVEL1
TAS000000202068 - EXP-WINTEL TIC-SUM
TAS000000201788 - SDNIVEL1</t>
  </si>
  <si>
    <t>Parcheado Seguridad Enero 2021
WINTEL: "MSWAPPRD01 sin actualizar, debido a falta de permisos administrador sobre la máquina."</t>
  </si>
  <si>
    <t>CRQ000000227409</t>
  </si>
  <si>
    <t>PRP - GMS MANAGEMENT SOLUTION - Instalación de parches de seguridad de Microsoft</t>
  </si>
  <si>
    <t>B83509307 - GMS MANAGEMENT SOLUTIONS S.L.</t>
  </si>
  <si>
    <t>PEDRO ROMERO PEGUERO</t>
  </si>
  <si>
    <t>MSWASCIP01, MSWJIRAP01, MSWFEPNP01, MSWLKMSP02, MSWMSQLD01, MSWMSQLD02, MSWSP13D01, MSWSP13D03, MSWWEBSD01, MSWAPPGD01, MSWAPPRD01</t>
  </si>
  <si>
    <t>TAS000000201798 - SDNIVEL1
TAS000000202080 - EXP-WINTEL TIC-SUM
TAS000000202081 - SDNIVEL1</t>
  </si>
  <si>
    <t>CRQ000000227756</t>
  </si>
  <si>
    <t>POOL - 13TV - Instalación de parches de seguridad de Microsoft</t>
  </si>
  <si>
    <t>A85826477 - 13TV S.A.</t>
  </si>
  <si>
    <t>LYNXH13TV1, LYNXH13TV2</t>
  </si>
  <si>
    <t>TAS000000202364 - SDNIVEL1
TAS000000202452 - EXP-WINTEL TIC-SUM
TAS000000202453 - SDNIVEL1</t>
  </si>
  <si>
    <t>CRQ000000231293</t>
  </si>
  <si>
    <t>PRP - AEPD - Despliegue del nuevo war en PRO</t>
  </si>
  <si>
    <t>Q2813014D - AGENCIA ESPAÑOLA DE PROTECCION DE DATOS</t>
  </si>
  <si>
    <t>agpdsedred01n_tmp</t>
  </si>
  <si>
    <t>TAS000000207175 - EXP-EMPRESAS-MIDDLEWARE</t>
  </si>
  <si>
    <t>CRQ000000231326</t>
  </si>
  <si>
    <t>NED - VITHAS - Despliegue del aplicativo del cliente en PRE</t>
  </si>
  <si>
    <t>CRM16AppSTA.Nehos21.net</t>
  </si>
  <si>
    <t>TAS000000207609 - EXP-EMPRESAS-MIDDLEWARE</t>
  </si>
  <si>
    <t>CRQ000000231677</t>
  </si>
  <si>
    <t>dssa3mpp01, dswe6mpp02, tuidsimprodb</t>
  </si>
  <si>
    <t>TAS000000207219 - EXP-EMPRESAS-SISTEMASLINUX
TAS000000207401 - SSO SG EVENTOS
TAS000000207220 - EMP-BACKUP REMOTO-OMA-TE
TAS000000206766 - SOPORTE ENDPOINT
TAS000000207221 - EXP-EMPRESAS-BBDD
TAS000000207123 - EXP-EMPRESAS-MIDDLEWARE
TAS000000207402 - EXP-EMPRESAS-SISTEMASLINUX</t>
  </si>
  <si>
    <t>CRQ000000228613</t>
  </si>
  <si>
    <t>NED - VITHAS - Instalación de parches de seguridad</t>
  </si>
  <si>
    <t>Ex16MAD-SCT1C, Ex16MAD-SCT1E, Ex16MAD-SCTEDG1</t>
  </si>
  <si>
    <t>TAS000000203959 - EXP-CORREO COLABORATIVO EXCHANGE TIC-SUM</t>
  </si>
  <si>
    <t>CRQ000000232659</t>
  </si>
  <si>
    <t>NED - VITHAS - Lanzar Script GEN-desactivacion_trigger-R65D07P02 en xHIS VTO-SJ PRO</t>
  </si>
  <si>
    <t>TAS000000208144 - EXP-SQLSERVER TIC-SUM</t>
  </si>
  <si>
    <t>Parcheado Seguridad Enero 2021
Escalado: solicitud de generar el cambio con &lt; 48 horas de pre aviso.</t>
  </si>
  <si>
    <t>CRQ000000232646</t>
  </si>
  <si>
    <t>POOL - DAVASA AUTOMOCION - Actualización/instalación parches máquinas DAVASA</t>
  </si>
  <si>
    <t>B05550330 - DAVASA AUTOMOCION S.L</t>
  </si>
  <si>
    <t>davasavdcad01, davasavdcad02, davasavdcapp01, davasavdcapp02, davasavdcbbdd01, davasavdclic01, davasavdcsql01</t>
  </si>
  <si>
    <t>TAS000000207648 - SDNIVEL1
TAS000000207649 - EXP-WINTEL TIC-SUM
TAS000000207650 - SDNIVEL1</t>
  </si>
  <si>
    <t>CRQ000000231706</t>
  </si>
  <si>
    <t>VITHASCS1D, VITHASCS1Q, VITHASCS1P, VITHASASP</t>
  </si>
  <si>
    <t>TAS000000206698 - SSO SG EVENTOS
TAS000000207245 - EMP-BACKUP REMOTO-OMA-TE
TAS000000207246 - EXP-EMPRESAS-SISTEMASLINUX</t>
  </si>
  <si>
    <t>CRQ000000228507</t>
  </si>
  <si>
    <t>Ex16MAD-SCT1A, Ex16MAD-SCTEDG2</t>
  </si>
  <si>
    <t>TAS000000203960 - EXP-CORREO COLABORATIVO EXCHANGE TIC-SUM</t>
  </si>
  <si>
    <t>CRQ000000227661</t>
  </si>
  <si>
    <t>POOL - INFRAESTRUCTURA TECNOLOGICA CGAE - Instalación de parches de seguridad de Microsoft</t>
  </si>
  <si>
    <t>Q2863006I - CONSEJO GENERAL ABOGACIA ESPAÑOLA</t>
  </si>
  <si>
    <t>TAS000000202501 - SDNIVEL1
TAS000000202505 - EXP-WINTEL TIC-SUM
TAS000000202506 - EXP-EMPRESAS-MIDDLEWARE
TAS000000202329 - SDNIVEL1</t>
  </si>
  <si>
    <t>Escalado: solicitud de generar el cambio con &lt; 48 horas de pre aviso.
SQL: "Por los últimos temas tratados en las reuniones Cancelamos el cambio de esta noche CRQ000000232262 - RMN - TALGO - Desinstalación de la instancia SES SQL Server en TALVM2SQL02 para nueva apertura según la nueva ventana de cliente."</t>
  </si>
  <si>
    <t>Cancelado</t>
  </si>
  <si>
    <t>CRQ000000232262</t>
  </si>
  <si>
    <t>RMN - TALGO - Desinstalación de la instancia SES SQL Server en TALVM2SQL02</t>
  </si>
  <si>
    <t>TALVM2SQL02</t>
  </si>
  <si>
    <t>TAS000000207651 - EXP-SQLSERVER TIC-SUM</t>
  </si>
  <si>
    <t>CRQ000000232461</t>
  </si>
  <si>
    <t>NED - VITHAS - Lanzar Script GEN-desactivacion_trigger-R65D07P02 en xHIS MLG-PSA PRO</t>
  </si>
  <si>
    <t>SqlMLG-PSAPro.Nehos21.net</t>
  </si>
  <si>
    <t>TAS000000207487 - EXP-SQLSERVER TIC-SUM</t>
  </si>
  <si>
    <t>CRQ000000231337</t>
  </si>
  <si>
    <t>NED - VITHAS - Despliegue del aplicativo del cliente en PRO</t>
  </si>
  <si>
    <t>CRM16App.Nehos21.net</t>
  </si>
  <si>
    <t>TAS000000207199 - EXP-EMPRESAS-MIDDLEWARE</t>
  </si>
  <si>
    <t>CRQ000000227700</t>
  </si>
  <si>
    <t>POOL - IQVIA INFORMATION - Instalación de parches de seguridad de Microsoft</t>
  </si>
  <si>
    <t>A28117463 - IQVIA INFORMATION SA</t>
  </si>
  <si>
    <t>ims-es-vcenterbd, ims-es-vcenter</t>
  </si>
  <si>
    <t>TAS000000202469 - SDNIVEL1
TAS000000202470 - EXP-WINTEL TIC-SUM
TAS000000202400 - EXP-SQLSERVER TIC-SUM
TAS000000202471 - SDNIVEL1</t>
  </si>
  <si>
    <t>CRQ000000232573</t>
  </si>
  <si>
    <t>fr1atp06, fr1atp11, fr2atp09, fr3atd01, ws6tpp02, tuiospsupre01, tuiospsupre02, sa3mpt02, trajano20, mw1tip03, mw2tip03, tuionpremlxpr01, tuionpremlxpr02, tuionpremlxpr03, tuionpremlxpe01, tuionpremlxts01, tuionpremlxdv01, devel, sa1mpp05, we2mpc01, atx1bd2</t>
  </si>
  <si>
    <t>TAS000000207938 - EXP-EMPRESAS-SISTEMASLINUX
TAS000000207657 - SSO SG EVENTOS
TAS000000207939 - ENDPOINT SEGURIDAD
TAS000000208140 - EMP-BACKUP REMOTO-OMA-TE
TAS000000207659 - EXP-EMPRESAS-BBDD
TAS000000208141 - EXP-EMPRESAS-MIDDLEWARE
TAS000000208142 - EXP-EMPRESAS-SISTEMASLINUX</t>
  </si>
  <si>
    <t>CRQ000000227860</t>
  </si>
  <si>
    <t>POOL - TRANSPORTE BOYACA - Instalación de parches de seguridad de Microsoft</t>
  </si>
  <si>
    <t>B28617256 - TRANSPORTES BOYACA S.L.</t>
  </si>
  <si>
    <t>BOMA01SSQL02N, BOMA01SSQL01N, BOMA01SDAN, BOMA02SDAN</t>
  </si>
  <si>
    <t>TAS000000202821 - SDNIVEL1
TAS000000202822 - EXP-WINTEL TIC-SUM
TAS000000202197 - SDNIVEL1</t>
  </si>
  <si>
    <t>CRQ000000232664</t>
  </si>
  <si>
    <t>NED - VITHAS - Lanzar Script GEN-desactivacion_trigger-R65D07P02 en xHIS LER-MS PRO</t>
  </si>
  <si>
    <t>SqlLER-MSPro.Nehos21.net</t>
  </si>
  <si>
    <t>TAS000000207942 - EXP-SQLSERVER TIC-SUM</t>
  </si>
  <si>
    <t>Escalado: solicitud de generar el cambio con &lt; 48 horas de pre aviso.
SQL: "No están las unidades de los discos para poder acometer el cambio."</t>
  </si>
  <si>
    <t>CRQ000000232633</t>
  </si>
  <si>
    <t>NED - VITHAS - Restructuración Instancia Xhis centro Lérida PRO</t>
  </si>
  <si>
    <t>TAS000000208429 - EXP-SQLSERVER TIC-SUM</t>
  </si>
  <si>
    <t>CRQ000000233000</t>
  </si>
  <si>
    <t>WSG - VITHAS - Modificación en el ECALC-MEDPRO2 desmontar el NLB</t>
  </si>
  <si>
    <t>WILLIAM STIWAR SABA GUTTY</t>
  </si>
  <si>
    <t>ECALC-MEDPRO2, ECALC-MEDPRO1</t>
  </si>
  <si>
    <t>TAS000000208926 - EXP-EMPRESAS-MIDDLEWARE
TAS000000208484 - EXP-WINTEL TIC-SUM
TAS000000208790 - SDNIVEL1</t>
  </si>
  <si>
    <t>CRQ000000232286</t>
  </si>
  <si>
    <t>fr1atp07, fr1atp08, fr1atp12, fr3att02, tuilolplxpro01, dx-prod-app-cup-01, dx-prod-app-cup-02, ws5tpp01, we3mpt01, we5jcp01, sa5scp01, sa5mps07, we3mpt02, sa5bap01, sa5bap02, sa6pip02</t>
  </si>
  <si>
    <t>TAS000000207767 - EXP-EMPRESAS-SISTEMASLINUX
TAS000000207768 - SSO SG EVENTOS
TAS000000207769 - ENDPOINT SEGURIDAD
TAS000000207770 - EMP-BACKUP REMOTO-OMA-TE
TAS000000207771 - EXP-EMPRESAS-MIDDLEWARE
TAS000000207483 - EXP-EMPRESAS-SISTEMASLINUX</t>
  </si>
  <si>
    <t>CRQ000000232773</t>
  </si>
  <si>
    <t>TAS000000207793 - EXP-EMPRESAS-MIDDLEWARE</t>
  </si>
  <si>
    <t>CRQ000000233465</t>
  </si>
  <si>
    <t>POOL - COMERCIAL AUTO TRACTOR - Activar data_collector y configuración tempdb</t>
  </si>
  <si>
    <t>TAS000000208567 - EXP-SQLSERVER TIC-SUM</t>
  </si>
  <si>
    <t>CRQ000000227779</t>
  </si>
  <si>
    <t>POOL - IT NOW - Instalación de parches de seguridad de Microsoft</t>
  </si>
  <si>
    <t>A58443060 - IT NOW, S. A.</t>
  </si>
  <si>
    <t>cac1, cac2, ov87702, ov87703, ov87704, vodp, vodp-r, vqa-alarmas, vqa-informes</t>
  </si>
  <si>
    <t>TAS000000202485 - SDNIVEL1
TAS000000202711 - EXP-WINTEL TIC-SUM
TAS000000202486 - SDNIVEL1</t>
  </si>
  <si>
    <t>CRQ000000227717</t>
  </si>
  <si>
    <t>TAS000000202823 - SDNIVEL1
TAS000000202198 - EXP-WINTEL TIC-SUM
TAS000000202487 - SDNIVEL1</t>
  </si>
  <si>
    <t>CRQ000000227519</t>
  </si>
  <si>
    <t>MSWADRMP01, MSWAPPRP01, MSWRECRP01, MSWMSQLP03, MSWMSQLP04, MSWPKIP02, MSWPRTSP01, MSWQLIKP01, MSWREPOP01, MSWSP13P01, MSWSP13P02, MSWSP13P03, MSWSP13P04, MSWSTSSP01, MSWWEBSP01, MSWWEBSP02, MSWBS12P03, MSWAPPGP01</t>
  </si>
  <si>
    <t>TAS000000201967 - SDNIVEL1
TAS000000201800 - EXP-WINTEL TIC-SUM
TAS000000202082 - SDNIVEL1</t>
  </si>
  <si>
    <t>Escalado</t>
  </si>
  <si>
    <t>CRQ000000233120</t>
  </si>
  <si>
    <t>TIENDAS MOVISTAR - Actualización del catálogo Validación para instalación Firma TELCO</t>
  </si>
  <si>
    <t>TELEFONICA INTERNA ESPAÑA</t>
  </si>
  <si>
    <t>TAF140DCMX01, TAF140DCMX02</t>
  </si>
  <si>
    <t>TAS000000208679 - EXP-CCT_CITRIX-TICLIENTES-SUM</t>
  </si>
  <si>
    <t>CRQ000000233381</t>
  </si>
  <si>
    <t>TAS000000209361 - SDNIVEL1
TAS000000208698 - EXP-WINTEL TIC-SUM
TAS000000209523 - SDNIVEL1</t>
  </si>
  <si>
    <t>Aprobado en el CAB TI EXTERNA 26/01/2021</t>
  </si>
  <si>
    <t>CRQ000000230630</t>
  </si>
  <si>
    <t>CAB - VIDEOCONFERENCIA - Cambio en IIS para corregir vulnerabilidades</t>
  </si>
  <si>
    <t>vcf-tcs-001, vcf-tcs-002</t>
  </si>
  <si>
    <t>TAS000000207004 - EXP-EMPRESAS-MIDDLEWARE</t>
  </si>
  <si>
    <t>CRQ000000233253</t>
  </si>
  <si>
    <t>CRA - RTVE - Instalación de parches de seguridad - JC</t>
  </si>
  <si>
    <t>CED-104JC-BE01, CED-104JC-BE02, CED-104JC-BE03</t>
  </si>
  <si>
    <t>TAS000000208521 - SDNIVEL1
TAS000000208765 - EXP-CORREO COLABORATIVO EXCHANGE TIC-SUM
TAS000000208830 - SDNIVEL1</t>
  </si>
  <si>
    <t>CRQ000000233236</t>
  </si>
  <si>
    <t>POOL - FONDITEL - Despliegue contenido Apache, IIS y BD</t>
  </si>
  <si>
    <t>TAS000000209733 - SDNIVEL1
TAS000000209833 - EXP-EMPRESAS-MIDDLEWARE
TAS000000209390 - EXP-EMPRESAS-BBDD
TAS000000209541 - SDNIVEL1</t>
  </si>
  <si>
    <t>CRQ000000228421</t>
  </si>
  <si>
    <t>CAB - CRONICOS - Solicitud de apagado de servidores</t>
  </si>
  <si>
    <t>BD-CROTSOL001, BD-CROTSOL002, BDPRE-CROTSOL001</t>
  </si>
  <si>
    <t>TAS000000203913 - SSO SG EVENTOS
TAS000000203914 - SISTEMAS BACKUP
TAS000000203915 - SOPORTE ENDPOINT</t>
  </si>
  <si>
    <t>Sin éxito</t>
  </si>
  <si>
    <t>LINUX: "FIN NO OK
Las pruebas realizadas indican:
[root@10 tmp]# /opt/Symantec/symantec_antivirus/sav info -p
14.3 (14.3 MP1) build 1148 (14.3.1148.0100)
[root@10 tmp]# /opt/Symantec/symantec_antivirus/sav info -e
Unable to get current engine version.
[root@10 tmp]# /opt/Symantec/symantec_antivirus/sav info -a
Malfunctioning"</t>
  </si>
  <si>
    <t>CRQ000000233191</t>
  </si>
  <si>
    <t>OAC - MELIA - Actualización del antivirus SEP 14.3 MP1 (14.3.0.1) en ESCEVDB050SOLRM</t>
  </si>
  <si>
    <t>ESCEVDB050SOLRM</t>
  </si>
  <si>
    <t>TAS000000208661 - EXP-EMPRESAS-SISTEMASLINUX</t>
  </si>
  <si>
    <t>CRQ000000233768</t>
  </si>
  <si>
    <t>ESV - NH HOTEL GROUP - Aplicar parche CVE-2021-3156 en nhsapvpre1, nhsapvprod1, nhsaphanapro1, nhsaphanapre1</t>
  </si>
  <si>
    <t>A28027944 - NH HOTEL GROUP, S.A.</t>
  </si>
  <si>
    <t>EDUARDO SANCHEZ VALLE</t>
  </si>
  <si>
    <t>nhsapvpre1, nhsapvprod1, nhsaphanapro1, nhsaphanapre1</t>
  </si>
  <si>
    <t>TAS000000209646 - EXP-EMPRESAS-SISTEMASLINUX</t>
  </si>
  <si>
    <t>CRQ000000233588</t>
  </si>
  <si>
    <t>FLG - CORREOS - Producción - Actualización de las BBDD AWS PostgreSQL de v10 a v11</t>
  </si>
  <si>
    <t>RDS GERBUS</t>
  </si>
  <si>
    <t>TAS000000209862 - CDSCLOUD_OPENSHIFT</t>
  </si>
  <si>
    <t>CRQ000000234064</t>
  </si>
  <si>
    <t>NED - VITHAS - Restructuración Instancia Xhis centro Tenerife PRO</t>
  </si>
  <si>
    <t>SqlTFE-SCPro.Nehos21.net</t>
  </si>
  <si>
    <t>TAS000000210507 - EXP-SQLSERVER TIC-SUM</t>
  </si>
  <si>
    <t>CRQ000000232727</t>
  </si>
  <si>
    <t>CRA - RTVE - Instalación de parches de seguridad - AL</t>
  </si>
  <si>
    <t>CED-104AL-BE01, CED-104AL-BE02, CED-104AL-BE03</t>
  </si>
  <si>
    <t>TAS000000208825 - SDNIVEL1
TAS000000208826 - EXP-CORREO COLABORATIVO EXCHANGE TIC-SUM
TAS000000208828 - SDNIVEL1</t>
  </si>
  <si>
    <t>CRQ000000233732</t>
  </si>
  <si>
    <t>POOL - AMMA GEROGESTION - Importar MV al IAAS del cliente</t>
  </si>
  <si>
    <t>B47561162 - AMMA GEROGESTION S.L.</t>
  </si>
  <si>
    <t>filesystem01</t>
  </si>
  <si>
    <t>TAS000000210621 - SDNIVEL1
TAS000000210246 - EXP-EMPRESAS-VIRTUALIZADOS
TAS000000210711 - SDNIVEL1</t>
  </si>
  <si>
    <t>CRQ000000234257</t>
  </si>
  <si>
    <t>MAC - TUI - Solicitud de apagado de los servidores dsbsepp02, dsbsept01</t>
  </si>
  <si>
    <t>dsbsepp02, dsbsept01</t>
  </si>
  <si>
    <t>TAS000000210523 - SSO SG EVENTOS
TAS000000210731 - EXP-WINTEL TIC-SUM
TAS000000210732 - SISTEMAS BACKUP
TAS000000210625 - SOPORTE ENDPOINT
TAS000000210257 - EXP-WINTEL TIC-SUM</t>
  </si>
  <si>
    <t>CRQ000000234194</t>
  </si>
  <si>
    <t>RMN - TALGO - Aplicar parche CVE-2021-3156</t>
  </si>
  <si>
    <t>talfichpro01, talvm2scm01, talfm2cnt01, talfm2cnt03, talvm2bit01</t>
  </si>
  <si>
    <t>TAS000000210334 - EXP-EMPRESAS-SISTEMASLINUX</t>
  </si>
  <si>
    <t>CRQ000000234279</t>
  </si>
  <si>
    <t>POOL - AYUNTAMIENTO DE CADIZ - Aplicar parche CVE-2021-3156</t>
  </si>
  <si>
    <t>P1101200B - AYUNTAMIENTO DE CADIZ</t>
  </si>
  <si>
    <t>cadizwebs-bd02, cadizconecta-fe03, adizwebs-bd01, cadizwebs-fe03, cadizonda-fe02, cadizconecta-fe02, cadizconecta-bd02, cadizonda-bd01, cadizconecta-bd01, cadizconecta-bd03, cadizconecta-fe05, cadizconecta-fe10, cadizwebs-fe04, cadizconecta-fe08, cadizconecta-fe01, cadizconecta-fe07, cadizpaginas-fe01, cadizonda-fe01, cadizconecta-fe06, cadizconecta-fe04, cadizgestion-01, cadizconecta-fe09, cadizwebs-fe02, cadizwebs-fe01</t>
  </si>
  <si>
    <t>TAS000000210749 - EXP-EMPRESAS-SISTEMASLINUX</t>
  </si>
  <si>
    <t>CRQ000000234448</t>
  </si>
  <si>
    <t>POOL - AYUNTAMIENTO DE SALAMANCA - Aplicar parche CVE-2021-3156</t>
  </si>
  <si>
    <t>P3727600C - AYUNTAMIENTO DE SALAMANCA</t>
  </si>
  <si>
    <t>aytosalweb01, PORTALDB</t>
  </si>
  <si>
    <t>TAS000000210764 - EXP-EMPRESAS-SISTEMASLINUX</t>
  </si>
  <si>
    <t>CRQ000000231733</t>
  </si>
  <si>
    <t>POOL - INVERAMA - Actualizar parches de Microsoft mes de Enero</t>
  </si>
  <si>
    <t>INVWS12HSD01, INVWS12HSD02, INVWS12HSD03, INVWS12HSD04, INVWS12HSD05, INVWS12HSD06, INVWS12HSD07, INVWS12HSD08</t>
  </si>
  <si>
    <t>TAS000000207725 - EXP-CCT_CITRIX-TICLIENTES-SUM</t>
  </si>
  <si>
    <t>CRQ000000234309</t>
  </si>
  <si>
    <t>MAC - TUI - Solicitud de apagado del servidor dsbdta01</t>
  </si>
  <si>
    <t>dsbdta01</t>
  </si>
  <si>
    <t>TAS000000210649 - SSO SG EVENTOS
TAS000000210365 - ENDPOINT SEGURIDAD
TAS000000210546 - EXP-EMPRESAS-SISTEMASLINUX</t>
  </si>
  <si>
    <t>CRQ000000234290</t>
  </si>
  <si>
    <t>OAC - MELIA - Actualización del software SEP 14.3.1148 en ESCEVWS060SOLRM</t>
  </si>
  <si>
    <t>ESCEVWS060SOLRM</t>
  </si>
  <si>
    <t>TAS000000210437 - EXP-EMPRESAS-SISTEMASLINUX</t>
  </si>
  <si>
    <t>CRQ000000234999</t>
  </si>
  <si>
    <t>FLG - CORREOS - Des, Pre, Qa - Actualización de las BBDD “Autenticacion” AWS PostgreSQL de v10 a v11</t>
  </si>
  <si>
    <t>RDS Autenticacion</t>
  </si>
  <si>
    <t>TAS000000211351 - CDSCLOUD_OPENSHIFT</t>
  </si>
  <si>
    <t>CRQ000000234466</t>
  </si>
  <si>
    <t>TAS000000210300 - EXP-EMPRESAS-MIDDLEWARE</t>
  </si>
  <si>
    <t>Escalado: solicitud de generar el cambio con &lt; 48 horas de pre aviso.
MIDDLEWRE: "Tras actualizar uno de los nodos, se comprueba que la pagina da errores de php al usar el buscador. Se acuerda con el cliente dejar este nodo parado para la revision del codigo y no actualizar el segunndo, Se conservaran los snapshots  hasta la actualizacion definitiva."</t>
  </si>
  <si>
    <t>CRQ000000235147</t>
  </si>
  <si>
    <t>POOL - AYUNTAMIENTO DE CADIZ - Actualización PHP/Apache en cadizwebs-fe01 y cadizwebs-fe02</t>
  </si>
  <si>
    <t>cadizwebs-fe02, cadizwebs-fe01</t>
  </si>
  <si>
    <t>TAS000000211153 - EXP-EMPRESAS-VIRTUALIZADOS
TAS000000211154 - EXP-EMPRESAS-MIDDLEWARE</t>
  </si>
  <si>
    <t>CRQ000000234503</t>
  </si>
  <si>
    <t>TAS000000210854 - EXP-SQLSERVER TIC-SUM</t>
  </si>
  <si>
    <t>CRQ000000227381</t>
  </si>
  <si>
    <t>TAS000000201683 - EXP-CCT_CITRIX-TICLIENTES-SUM
TAS000000201681 - EXP-CCT-WINTEL TIC-SUM
TAS000000201682 - EXP-CCT-SQLSERVER TIC-SUM</t>
  </si>
  <si>
    <t>CRQ000000227301</t>
  </si>
  <si>
    <t>TAD140DHBCAM01, TAD140DHDGOJ01, TAD140DHINV01, TAD140DHKAO01, TAD140DHLECA01, TAD140DHMELI01, TAD140DHNOVO01, TAD140DHSPCA01, TAD140DHVERDI01, TAD140OSSDGOJ01, TAD140OSSDGOJ02, TAD140OSSMELI01, TAD140OSSMELI02, TAD140OSSMELI03, TAD140OSSMELI04, TAD140OSSMELI05, TAD140OSSMELI06, TAD140OSSMELI07, TAD140OSSMELI08, TAD140OSSMELI09, TAD140OSSMELI10, TAD140OSSMELI11, TAD140OSSMELI12, TAD140SOINV01, TAD140SOKAO01, TAD140SONOVO01, TAD140SOPMELI01, TAD140SOSPCA01, TAD140SOVERDI01, TAD140SVMINV01, TAD140SVMINV02, TAD140SVMNOVO01, TAD140SVMNOVO02, TAF140ADCL01, TAF140ADCL02, TAF140ADTMOV01, TAF140ADTMOV02, TAF140AV01, TAF140AZCLOUD, TAF140CLSQL01, TAF140CONS01, TAF140DAASAD01, TAF140DAASAD02, TAF140DBAV01, TAF140DBVC01, TAF140DCATG01, TAF140DCATG02, TAF140DCMX01, TAF140DCMX02, TAF140DCMXEN01, TAF140DCMXEN02, TAF140DCMXEN03, TAF140DCMXEN04, TAF140DHTMOV01, TAF140DIATG01, TAF140DIATG02, TAF140DIMX01, TAF140DIMX02, TAF140DIMXEN01, TAF140DIMXEN02, TAF140DNSINT01, TAF140DNSINT02, TAF140DNSVC, TAF140FWB01, TAF140FWB02, TAF140FWK01, TAF140FWK02, TAF140FWK03, TAF140FWK04, TAF140KMSER16, TAF140KMSW10, TAF140LSATG01, TAF140LSMX01, TAF140LSMXEN01, TAF140RD01, TAF140RDSCL01, TAF140SFATG01, TAF140SFATG02, TAF140SFMX01, TAF140SFMX02, TAF140SFMXEN01, TAF140SFMXEN02, TAF140SOPTMO01, TAF140SQL01, TAF140SQL02, TAF140VC01, TAF140WEM01, TAF140WEM02, TAF140WQ01, TAF140WS01, TAF140XC01, TAF140XC02, TAFADCL01, TAD140DIKAO01, TAF140SFXC01,TAF140DCXC01, TAF140DCXC02, TAF140DCXC03, TAF140LCXC01, TAF140DIXC01, TAF140DIXC02, TAF140SFXC02, TAF140SFMX03</t>
  </si>
  <si>
    <t>TAS000000201685 - EXP-CCT_CITRIX-TICLIENTES-SUM
TAS000000201495 - EXP-CCT-WINTEL TIC-SUM
TAS000000201686 - EXP-CCT-SQLSERVER TIC-SUM</t>
  </si>
  <si>
    <t>CRQ000000233899</t>
  </si>
  <si>
    <t>TIENDAS MOVISTAR - Actualización del catálogo Producción para instalación Firma TELCO</t>
  </si>
  <si>
    <t>TAS000000210520 - EXP-CCT_CITRIX-TICLIENTES-SUM</t>
  </si>
  <si>
    <t>CRQ000000235048</t>
  </si>
  <si>
    <t>POOL - FONDITEL - Despliegue contenido Apache y IIS</t>
  </si>
  <si>
    <t>TAS000000211156 - EXP-EMPRESAS-MIDDLEWARE</t>
  </si>
  <si>
    <t>CRQ000000235860</t>
  </si>
  <si>
    <t>NED - VITHAS - Pase a PRE-Producción del PRM en servidor CRM16APPSTA</t>
  </si>
  <si>
    <t xml:space="preserve">CRM16appsta.nehos21.net </t>
  </si>
  <si>
    <t>TAS000000212047 - EXP-EMPRESAS-MIDDLEWARE</t>
  </si>
  <si>
    <t>CRQ000000235557</t>
  </si>
  <si>
    <t>DJS - AYUNTAMIENTO DE ALCALÁ DE HENARES - Solicitud de apagado de servidores</t>
  </si>
  <si>
    <t>P2800500G - AYUNTAMIENTO DE ALCALÁ DE HENARES</t>
  </si>
  <si>
    <t>DAVID JIMENO SALGADO</t>
  </si>
  <si>
    <t>GESTORWEB, VPORTAL1</t>
  </si>
  <si>
    <t>TAS000000212223 - SSO SG EVENTOS
TAS000000211583 - EXP-WINTEL TIC-SUM
TAS000000212121 - SISTEMAS BACKUP
TAS000000211584 - SOPORTE ENDPOINT
TAS000000211585 - EXP-WINTEL TIC-SUM</t>
  </si>
  <si>
    <t>CRQ000000236644</t>
  </si>
  <si>
    <t>NED - VITHAS - Pase a PRE  Producción WEB Vithas</t>
  </si>
  <si>
    <t>webvithassta.kepler21.net</t>
  </si>
  <si>
    <t>TAS000000212508 - EXP-EMPRESAS-MIDDLEWARE</t>
  </si>
  <si>
    <t>CRQ000000235082</t>
  </si>
  <si>
    <t>NED - VITHAS - Aplicar parche CVE-2021-3156</t>
  </si>
  <si>
    <t>kubeiwomad-sct1a.kepler21.net
kbmastermad-sct.kepler21.net
kubeiwomad-sct2a.kepler21.net
bck1mad-sct.kepler21.net
bckmad-sct.kepler21.net
KVMIWOMAD-SCT1.kepler21.net
KVMIWOMAD-SCT2.kepler21.net
KVMIWOMAD-SCT3.kepler21.net
KVMIWOMAD-SCT4.kepler21.net
KVMIWOMAD-SCT5.kepler21.net
iwomad-sct6.kepler21.net
iwomad-sct7.kepler21.net
iwomad-sct8.kepler21.net
iwomad-sct9.kepler21.net
iwomad-sct10.kepler21.net
iwomad-sct11.kepler21.net
iwomad-sct12.kepler21.net
iwomad-sct13.kepler21.net
iwomad-sct14.kepler21.net
iwomad-sct15.kepler21.net
KVMIMSALC-MED1.kepler21.net
KVMIMSALC-MED2.kepler21.net
KVMIMSALC-MED3.kepler21.net
KVMIMSALC-MED4.kepler21.net
KVMIMSALC-MED5.kepler21.net
KVMIMSALC-MED6.kepler21.net
KVMIMSALC-PS1.kepler21.net
KVMIMSALC-PS2.kepler21.net
KVMIMSALC-PS3.kepler21.net
KVMIMSALC-PS4.kepler21.net
KVMIMSALC-PS5.kepler21.net
KVMIMSALC-PS6.kepler21.net
KVMIMSALM-VM1.kepler21.net
KVMIMSALM-VM2.kepler21.net
KVMIMSALM-VM3.kepler21.net
KVMIMSALM-VM4.kepler21.net
KVMIMSALM-VM5.kepler21.net
KVMIMSALM-VM6.kepler21.net
KVMIMSGC-SC1.kepler21.net
KVMIMSGC-SC2.kepler21.net
KVMIMSGC-SC3.kepler21.net
KVMIMSGC-SC4.kepler21.net
KVMIMSGC-SC5.kepler21.net
KVMIMSGC-SC6.kepler21.net
KVMIMSGRA-LS1.kepler21.net
KVMIMSGRA-LS2.kepler21.net
KVMIMSGRA-LS3.kepler21.net
KVMIMSGRA-LS4.kepler21.net
KVMIMSGRA-LS5.kepler21.net
KVMIMSGRA-LS6.kepler21.net
KVMIMSLER-MS1.kepler21.net
KVMIMSLER-MS2.kepler21.net
KVMIMSLER-MS3.kepler21.net
KVMIMSLER-MS4.kepler21.net
KVMIMSLER-MS5.kepler21.net
KVMIMSLER-MS6.kepler21.net
KVMIMSMLG-PSA1.kepler21.net
KVMIMSMLG-PSA2.kepler21.net
KVMIMSMLG-PSA3.kepler21.net
KVMIMSMLG-PSA4.kepler21.net
KVMIMSMLG-PSA5.kepler21.net
KVMIMSMLG-PSA6.kepler21.net
KVMIMSTFE-SC1.kepler21.net
KVMIMSTFE-SC2.kepler21.net
KVMIMSTFE-SC3.kepler21.net
KVMIMSTFE-SC4.kepler21.net
KVMIMSTFE-SC5.kepler21.net
KVMIMSTFE-SC6.kepler21.net
KVMIMSVIG-NSF1.kepler21.net
KVMIMSVIG-NSF2.kepler21.net
KVMIMSVIG-NSF3.kepler21.net
KVMIMSVIG-NSF4.kepler21.net
KVMIMSVIG-NSF5.kepler21.net
KVMIMSVIG-NSF6.kepler21.net
KVMIMSVTO-SJ1.kepler21.net
KVMIMSVTO-SJ2.kepler21.net
KVMIMSVTO-SJ3.kepler21.net
KVMIMSVTO-SJ4.kepler21.net
KVMIMSVTO-SJ5.kepler21.net
KVMIMSVTO-SJ6.kepler21.net
KVMIWAMAD-NSA1.kepler21.net
KVMIWAMAD-NSA2.kepler21.net
POP2MAD-OFC.kepler21.net
gfsalc-med.kepler21.net
gfsalc-ps.kepler21.net
gfsalm-vm.kepler21.net
gfsgc-sc.kepler21.net
gfsgra-ls.kepler21.net
gfsler-ms.kepler21.net
gfstfe-sc.kepler21.net
gfsvig-nsf.kepler21.net
gfsvto-sj.kepler21.net
gfsmad-nsa.kepler21.net
dnsmext.kepler21.net
dnsmint.kepler21.net
ogswebser.kepler21.net
saprouter.kepler21.net
dns.kepler21.net
gfsmad-sct.kepler21.net
gfsmad-ofc.kepler21.net
gfsmlg-psa.kepler21.net
ca.kepler21.net
dns1mad-sct.kepler21.net
dns2mad-sct.kepler21.net
fortimanager.kepler21.net
kdc.kepler21.net
kdc1mad-sct.kepler21.net
kdc2mad-sct.kepler21.net
ldap.kepler21.net
ldap1mad-sct.kepler21.net
ldap2mad-sct.kepler21.net
ldapadmin.kepler21.net
navsql17dev.kepler21.net
nfs1mad-sct.kepler21.net
ogsappdev.kepler21.net
ogsappdev1.kepler21.net
ogsappdev2.kepler21.net
ogsapppro.kepler21.net
ogsapppro1.kepler21.net
ogsapppro2.kepler21.net
ogsappsta.kepler21.net
ogsappsta1.kepler21.net
ogsappsta2.kepler21.net
ogsdbdev.kepler21.net
ogsdbdev1.kepler21.net
ogsdbdev2.kepler21.net
ogsdbpro.kepler21.net
ogsdbpro1.kepler21.net
ogsdbpro2.kepler21.net
ogsdbsta.kepler21.net
ogsdbsta1.kepler21.net
ogsdbsta2.kepler21.net
ogsmon.kepler21.net
sqlfarmisdevmad-sct.kepler21.net
svn1mad-sct.kepler21.net
vdpdevmad-sct.kepler21.net
wdirmgt.kepler21.net
wsmgt1mad-sct.kepler21.net
wxhiswine.kepler21.net
inframad-sct3.kepler21.net
inframad-sct4.kepler21.net
inframad-sct5.kepler21.net
srvclimp.nehos21.net
TUOVIC01
AUTHVIC01
APPVIC01
SFTPPROVITALC01
SFTPDESVITALC01
PXINVVITALC01
VITHASWDDQ
VITHASWDP
VITHASACD
VITHASACP
VITHASACQ
VITHASHPD
VITHASHPP
VITHASHPQDR
VITHASHSD
VITHASHSP
VITHASHSQDR
VITHASPOD
VITHASPOP
VITHASPOPDR
VITHASPOQ
VITHASSRT
VITHASSSM
VITHASS4D
VITHASS4P
VITHASS4PDR
VITHASS4Q</t>
  </si>
  <si>
    <t>TAS000000211372 - EXP-EMPRESAS-SISTEMASLINUX</t>
  </si>
  <si>
    <t>CRQ000000231908</t>
  </si>
  <si>
    <t>DGF - VERDIFRESH - Actualizar parches de Microsoft mes de Enero</t>
  </si>
  <si>
    <t>TAS000000207560 - EXP-CCT_CITRIX-TICLIENTES-SUM</t>
  </si>
  <si>
    <t>CRQ000000235655</t>
  </si>
  <si>
    <t>POOL - ACS - Clonado de máquina</t>
  </si>
  <si>
    <t>A28004885 - ACS, ACTIVIDADES DE CONST. Y SERV. S.A.</t>
  </si>
  <si>
    <t>SERACS</t>
  </si>
  <si>
    <t>TAS000000211867 - SDNIVEL1
TAS000000211868 - EXP-EMPRESAS-VIRTUALIZADOS
TAS000000212026 - SDNIVEL1</t>
  </si>
  <si>
    <t>CRQ000000235850</t>
  </si>
  <si>
    <t>CGG - IDC SALUD - Renovación del certificado del servicio de correo Exchange</t>
  </si>
  <si>
    <t>B83941534 - IDCSALUD, S.L</t>
  </si>
  <si>
    <t>CARLOS IGNACIO GARCIA GONZALEZ</t>
  </si>
  <si>
    <t>CED-102JC-BE01, CED-102JC-BE02, CED-102JC-BE03, CED-102JC-BE04, CED-102AL-BE01, CED-102AL-BE02, CED-102AL-BE03, CED-102AL-BE04</t>
  </si>
  <si>
    <t>TAS000000212158 - EXP-CORREO COLABORATIVO EXCHANGE TIC-SUM
TAS000000212159 - EXP-CCT_COMUNICACIONES-SUM</t>
  </si>
  <si>
    <t>CRQ000000236260</t>
  </si>
  <si>
    <t>JPG - SEMARK - Modificar MAC srv-dquest</t>
  </si>
  <si>
    <t>srv-dquest</t>
  </si>
  <si>
    <t>TAS000000213210 - SDNIVEL1
TAS000000213011 - EXP-WINTEL TIC-SUM
TAS000000213117 - SDNIVEL1</t>
  </si>
  <si>
    <t>CRQ000000236051</t>
  </si>
  <si>
    <t>OAC - MELIA - Solicitud de apagado de servidores</t>
  </si>
  <si>
    <t>mhi-psd-back-01, mhi-psd-back-02, mhi-psd-back-pre, mhi-psd-bbdd-01, mhi-psd-bbdd-02, mhi-psd-bbdd-pre, mhi-psd-web-01, mhi-psd-web-pre</t>
  </si>
  <si>
    <t>TAS000000213202 - SSO SG EVENTOS
TAS000000213105 - EMP-BACKUP REMOTO-OMA-TE
TAS000000213106 - ENDPOINT SEGURIDAD
TAS000000212514 - EXP-EMPRESAS-SISTEMASLINUX</t>
  </si>
  <si>
    <t>CRQ000000236158</t>
  </si>
  <si>
    <t>POOL - AHEMBO - Actualización SUDO para corregir vulnerabilidad cve-2021-3156</t>
  </si>
  <si>
    <t>B76271139 - AHEMBO S.L.</t>
  </si>
  <si>
    <t>sap-router, sappro1, sappro2, sapdes1, sapdes2</t>
  </si>
  <si>
    <t>TAS000000213208 - EXP-EMPRESAS-SISTEMASLINUX</t>
  </si>
  <si>
    <t>CRQ000000236254</t>
  </si>
  <si>
    <t>POOL - DULCES Y CONSERVAS HELIOS - Actualización SUDO para corregir vulnerabilidad cve-2021-3156</t>
  </si>
  <si>
    <t>A47002878 - DULCES Y CONSERVAS HELIOS, S.A.</t>
  </si>
  <si>
    <t>gh01svhndev, gh01svs4dev, gh02svhnqadr, gh02svs4dr, gh02svs4qa, gh03svhnpro, gh03svs4pro, gh04svpodev, gh04svpopro, gh04svpoqadr, gh05svsopro</t>
  </si>
  <si>
    <t>TAS000000213112 - EXP-EMPRESAS-SISTEMASLINUX</t>
  </si>
  <si>
    <t>CRQ000000236256</t>
  </si>
  <si>
    <t>POOL - GRUPO ANTOLIN IRAUSA - Actualización SUDO para corregir vulnerabilidad cve-2021-3156</t>
  </si>
  <si>
    <t>A09092305 - GRUPO ANTOLIN IRAUSA S.A.</t>
  </si>
  <si>
    <t>ganvmbpd01, ganvmbpp01</t>
  </si>
  <si>
    <t>TAS000000212824 - EXP-EMPRESAS-SISTEMASLINUX</t>
  </si>
  <si>
    <t>CRQ000000234550</t>
  </si>
  <si>
    <t>TAS000000210798 - SDNIVEL1
TAS000000210440 - EXP-WINTEL TIC-SUM
TAS000000210651 - EXP-SQLSERVER TIC-SUM
TAS000000210799 - SDNIVEL1</t>
  </si>
  <si>
    <t>CRQ000000232024</t>
  </si>
  <si>
    <t>CRA - CAJA ASTURIAS - Actualizar parches de Microsoft mes de Enero</t>
  </si>
  <si>
    <t>TAS000000207901 - EXP-CCT_CITRIX-TICLIENTES-SUM</t>
  </si>
  <si>
    <t>CRQ000000234986</t>
  </si>
  <si>
    <t>NED - VITHAS - Restructuración Instancia Xhis centro Vigo PRO</t>
  </si>
  <si>
    <t>TAS000000210855 - EXP-SQLSERVER TIC-SUM</t>
  </si>
  <si>
    <t>CLOUD PUBLICA AWS</t>
  </si>
  <si>
    <t>CRQ000000235386</t>
  </si>
  <si>
    <t>FLG - CORREOS - Pro - Actualización de las BBDD “Autenticacion” AWS PostgreSQL de v10 a v11</t>
  </si>
  <si>
    <t>TAS000000212432 - CLOUD PÚBLICA NIVEL 2_AWS</t>
  </si>
  <si>
    <t>CRQ000000232501</t>
  </si>
  <si>
    <t>MAC - TUI - Reinicio de ft1mpp01</t>
  </si>
  <si>
    <t>ft1mpp01</t>
  </si>
  <si>
    <t>TAS000000208370 - SDNIVEL1
TAS000000207988 - EXP-EMPRESAS-SISTEMASLINUX
TAS000000208428 - SDNIVEL1</t>
  </si>
  <si>
    <t>CRQ000000236176</t>
  </si>
  <si>
    <t>TAS000000213239 - EXP-EMPRESAS-MIDDLEWARE</t>
  </si>
  <si>
    <t>CRQ000000235983</t>
  </si>
  <si>
    <t>WebVithasProB.kepler21.net, webVithasProA.kepler21.net</t>
  </si>
  <si>
    <t>TAS000000213060 - EXP-EMPRESAS-MIDDLEWARE</t>
  </si>
  <si>
    <t>CRQ000000236324</t>
  </si>
  <si>
    <t>OAC - MELIA - Habilitar el debug en el log del DNS</t>
  </si>
  <si>
    <t>mhitadnsprod01</t>
  </si>
  <si>
    <t>TAS000000213610 - EXP-EMPRESAS-SISTEMASLINUX
TAS000000213611 - EXP-EMPRESAS-SISTEMASLINUX</t>
  </si>
  <si>
    <t>CRQ000000236561</t>
  </si>
  <si>
    <t>POOL - HOTELES ELBA - Actualización SUDO para corregir vulnerabilidad cve-2021-3156</t>
  </si>
  <si>
    <t>hesapdes01, hesapdes02, hesapdes03, hesappro01, hesappro02, hesappro03, hesappro04, hesappro05, hesappro06, hesappro07, hesappro08, hesappro09, hesappro10, hesappro12, hesappro13, hesappro15, hesapcal01, hesapcal02, hesapcal03</t>
  </si>
  <si>
    <t>TAS000000213212 - EXP-EMPRESAS-SISTEMASLINUX</t>
  </si>
  <si>
    <t>CRQ000000236342</t>
  </si>
  <si>
    <t>CRM - TELEFONICA DE ESPAÑA, S.A.UNIPERSON - Modificación en la config. de CPU´S y RAM de SHERPA_IIS1</t>
  </si>
  <si>
    <t>A82018474 - TELEFONICA DE ESPAÑA, S.A.UNIPERSON</t>
  </si>
  <si>
    <t>CARLOS RODRIGUEZ MIGUEL</t>
  </si>
  <si>
    <t>SHERPA_IIS1</t>
  </si>
  <si>
    <t>TAS000000213635 - SDNIVEL1
TAS000000213545 - EXP-EMPRESAS-VIRTUALIZADOS
TAS000000213636 - SDNIVEL1</t>
  </si>
  <si>
    <t>CRQ000000236315</t>
  </si>
  <si>
    <t>NED - VITHAS - Apagado y encendido del centro hospitalario MAD-NSA por intervención para cambio de SAI</t>
  </si>
  <si>
    <t>Planta entera de Hospital de MAD-NSA</t>
  </si>
  <si>
    <t>TAS000000213333 - SOC SEGURIDAD
TAS000000213334 - EXP-EMPRESAS-BBDD
TAS000000212992 - EXP-EMPRESAS-VIRTUALIZADOS
TAS000000213195 - VDI_Vithas
TAS000000213284 - EXP-EMPRESAS-SISTEMASLINUX
TAS000000213448 - EXP-EMPRESAS-MIDDLEWARE
TAS000000213335 - CDSCLOUD_STORAGE_VITHAS
TAS000000213336 - SDNIVEL1</t>
  </si>
  <si>
    <t>Escalado: solicitud de generar el cambio con &lt; 48 horas de pre aviso.
ALEJANDRO FERNANDEZ PEREZ: "Se realizó el intento de instalación del wildcard en producción.
Lanzamos el playbook de aplicación y las aplicaciones dejaron de estar accesibles.
Estuvimos inspeccionando los objetos que había tocado el playbook y cargó los certificados en el router de default, pero las aplicaciones se quedaron inaccesibles.
Hicimos un par de pruebas antes de darle marcha atrás, pero finalmente tuvimos que aplicarla igualmente al tener las aplicaciones indisponibles."</t>
  </si>
  <si>
    <t>CRQ000000237096</t>
  </si>
  <si>
    <t>FLG - CORREOS - PRO Configuración de certificados wildcard en OCP</t>
  </si>
  <si>
    <t>Aplicaciones ejecutándose en el entorno de producción de OCP</t>
  </si>
  <si>
    <t>TAS000000213727 - CDSCLOUD_OPENSHIFT</t>
  </si>
  <si>
    <t>CLOUD PUBLICA AZURE</t>
  </si>
  <si>
    <t>CRQ000000237255</t>
  </si>
  <si>
    <t>FLG - CORREOS - PRO - Eliminar en Default documents la entrada hostingstart.html y eliminar el archi</t>
  </si>
  <si>
    <t>azam-p-pwebrrhh-a0-svc-dotnet-bolsa-01</t>
  </si>
  <si>
    <t>TAS000000213683 - CLOUD PÚBLICA NIVEL 2_AZURE</t>
  </si>
  <si>
    <t>CRQ000000236705</t>
  </si>
  <si>
    <t>PRP - AXACTOR - Solicitud de apagado de los servidores GIRA32 y GIRA63</t>
  </si>
  <si>
    <t>GIRA32, GIRA63</t>
  </si>
  <si>
    <t>TAS000000213422 - SSO SG EVENTOS
TAS000000213189 - EXP-WINTEL TIC-SUM
TAS000000213266 - SISTEMAS BACKUP
TAS000000213308 - SOPORTE ENDPOINT
TAS000000213423 - EXP-WINTEL TIC-SUM</t>
  </si>
  <si>
    <t>CRQ000000236216</t>
  </si>
  <si>
    <t>SMP - PENGUIN - Solicitud de apagado de servidores</t>
  </si>
  <si>
    <t>A08116147 - PENGUIN RANDOM HOUSE, S.A.</t>
  </si>
  <si>
    <t>SERGI MESTRES PEREZ</t>
  </si>
  <si>
    <t>ESMABOD-1, BASMD-1, ESMAPGE-1, ESMAPGE-2, CLAPP-1, BASUPRELAY-1, BASMP-1, ESMAALEP-2, ESMAPROVDB-1, ESMAALEP-1, ESMAPROV-1, ESMASERVICIOS, ARSAPPOD, ARSAPPOQ</t>
  </si>
  <si>
    <t>TAS000000212559 - SSO SG EVENTOS
TAS000000213404 - EXP-WINTEL TIC-SUM
TAS000000212560 - SISTEMAS BACKUP
TAS000000213263 - SOPORTE ENDPOINT
TAS000000213187 - EXP-WINTEL TIC-SUM</t>
  </si>
  <si>
    <t>CRQ000000236716</t>
  </si>
  <si>
    <t>PRP - AEPD - Actualización SUDO para corregir vulnerabilidad cve-2021-3156</t>
  </si>
  <si>
    <t>agpdsedred01n, agpdsedred01n_tmp, agpdweb03n, xcmsn, aepd-portalweb-pro, aepd-solr-pro, AEPDEOS, AEPDRENO, aepdsonda1, Alfresco-secundario, ANONIMIZADOR, APLIC,ECM_PROD, ECM_PROD_BBDD_5_2, EvaluaRiesgosAEPD, FAQS_CIUDADANO_AGPD, PENTAHO, PORTAFIRMASAGENCIA, redipd_portalweb_pro, RESTA_1,RESTA_2, RESTA_BA, SERVNOM28, SIGRID3, TRAMA2016, aepd-bbdd-pro, MINHAP, MINHAP_1_TEL, MINHAP_2_TEL</t>
  </si>
  <si>
    <t>TAS000000213199 - EXP-EMPRESAS-SISTEMASLINUX</t>
  </si>
  <si>
    <t>CRQ000000236708</t>
  </si>
  <si>
    <t>TAS000000213431 - EXP-EMPRESAS-MIDDLEWARE</t>
  </si>
  <si>
    <t>CRQ000000236728</t>
  </si>
  <si>
    <t>SCT - COMUNIDAD AUTONOMA DE LA RIOJA - Actualizar imagen Rioja aplicaciones Autofirma y Teclado en Pantalla</t>
  </si>
  <si>
    <t>TAS000000213346 - EXP-CCT_CITRIX-TICLIENTES-SUM</t>
  </si>
  <si>
    <t>CRQ000000234457</t>
  </si>
  <si>
    <t>TAS000000210369 - SDNIVEL1
TAS000000210292 - EXP-SQLSERVER TIC-SUM
TAS000000210547 - EXP-WINTEL TIC-SUM
TAS000000210804 - EXP-SQLSERVER TIC-SUM
TAS000000210549 - SDNIVEL1</t>
  </si>
  <si>
    <t>CRQ000000231634</t>
  </si>
  <si>
    <t>POOL - CAF - Actualizar parches de Microsoft mes de Enero</t>
  </si>
  <si>
    <t>TAS000000207732 - EXP-CCT_CITRIX-TICLIENTES-SUM</t>
  </si>
  <si>
    <t>CRQ000000236949</t>
  </si>
  <si>
    <t>PRP - AXACTOR - Solicitud de apagado del servidor GIRA28</t>
  </si>
  <si>
    <t>GIRA28</t>
  </si>
  <si>
    <t>TAS000000213527 - SSO SG EVENTOS
TAS000000213295 - EXP-WINTEL TIC-SUM
TAS000000213528 - SISTEMAS BACKUP
TAS000000213353 - SOPORTE ENDPOINT
TAS000000213620 - EXP-WINTEL TIC-SUM</t>
  </si>
  <si>
    <t>Parcheado Seguridad Febrero 2021</t>
  </si>
  <si>
    <t>CRQ000000234320</t>
  </si>
  <si>
    <t>TAS000000210806 - SDNIVEL1
TAS000000210807 - EXP-WINTEL TIC-SUM
TAS000000210654 - EXP-SQLSERVER TIC-SUM
TAS000000210655 - SDNIVEL1</t>
  </si>
  <si>
    <t>CRQ000000231636</t>
  </si>
  <si>
    <t>POOL - SPACECARGO - Actualizar parches de Microsoft mes de Enero</t>
  </si>
  <si>
    <t>TAS000000207279 - EXP-CCT_CITRIX-TICLIENTES-SUM</t>
  </si>
  <si>
    <t>AITOR GARCIA LOPEZ: "Recibimos llamada del command, segun indicaciones de GTS para dar marcha atras al cambio."</t>
  </si>
  <si>
    <t>CRQ000000237297</t>
  </si>
  <si>
    <t>DJS - GRUPO ALIMENTARIO CITRUS - Importar a VDC SRVSAPPRO</t>
  </si>
  <si>
    <t>B97502363 - GRUPO ALIMENTARIO CITRUS, S.L.</t>
  </si>
  <si>
    <t>SRVSAPPRO</t>
  </si>
  <si>
    <t>TAS000000214703 - SDNIVEL1
TAS000000214229 - EXP-EMPRESAS-VIRTUALIZADOS
TAS000000214824 - EXP-SISTEMAS VIRTUALIZADOS TIC-SUM
TAS000000214230 - SDNIVEL1</t>
  </si>
  <si>
    <t>CRQ000000234473</t>
  </si>
  <si>
    <t>TAS000000211105 - SDNIVEL1
TAS000000210449 - EXP-WINTEL TIC-SUM
TAS000000210569 - SDNIVEL1</t>
  </si>
  <si>
    <t>CRQ000000233943</t>
  </si>
  <si>
    <t>PRP - AXACTOR - Instalación de parches de seguridad de Microsoft</t>
  </si>
  <si>
    <t>TAS000000210570 - SDNIVEL1
TAS000000210829 - EXP-WINTEL TIC-SUM
TAS000000210391 - SDNIVEL1</t>
  </si>
  <si>
    <t>CRQ000000237419</t>
  </si>
  <si>
    <t>TAS000000214823 - EXP-EMPRESAS-MIDDLEWARE</t>
  </si>
  <si>
    <t>CRQ000000236968</t>
  </si>
  <si>
    <t>MAC - TUI - Solicitud de apagado del servidor tuidsdns01 y tuidsdns02</t>
  </si>
  <si>
    <t>tuidsdns01, tuidsdns02</t>
  </si>
  <si>
    <t>TAS000000213557 - SSO SG EVENTOS
TAS000000213638 - EXP-EMPRESAS-SISTEMASLINUX
TAS000000213559 - EMP-BACKUP REMOTO-OMA-TE
TAS000000213639 - ENDPOINT SEGURIDAD
TAS000000213368 - EXP-EMPRESAS-SISTEMASLINUX</t>
  </si>
  <si>
    <t>CRQ000000237547</t>
  </si>
  <si>
    <t>TelradsALM-VM, TelradsGC-SC, TelradsGRA-LS, TelradsMLG-PSA, TelradsVTO-SJ</t>
  </si>
  <si>
    <t>TAS000000214726 - SSO SG EVENTOS
TAS000000214178 - SISTEMAS BACKUP
TAS000000214256 - SOPORTE ENDPOINT
TAS000000214257 - EXP-WINTEL TIC-SUM
TAS000000214179 - CDSCLOUD_BACKUP_VITHAS
TAS000000214727 - EXP-EMPRESAS-BBDD</t>
  </si>
  <si>
    <t>CRQ000000237766</t>
  </si>
  <si>
    <t>TAS000000214655 - EXP-EMPRESAS-MIDDLEWARE</t>
  </si>
  <si>
    <t>CRQ000000234374</t>
  </si>
  <si>
    <t>TAS000000210552 - SDNIVEL1
TAS000000210370 - EXP-WINTEL TIC-SUM
TAS000000210663 - SDNIVEL1</t>
  </si>
  <si>
    <t>CRQ000000231639</t>
  </si>
  <si>
    <t>JLB - KAO - Actualizar parches de Microsoft mes de Enero</t>
  </si>
  <si>
    <t>KAOWS16HSD18, KAOWS16HSD19, KAOWS16HSD20, KAOWS16HSD21, KAOWS16HSD22, KAOWS16HSD23, KAOWS16HSD24, KAOWS16HSD25, KAOWS16HSD26, KAOWS16HSD27, KAOWS16HSD28, KAOWS16HSD29, KAOWS16HSD30, KAOWS16HSD31, KAOWS16HSD32, KAOWS16HSD33, KAOWS16HSD34, KAOWS16HSD35, KAOWS16HSD01, KAOWS16HSD02, KAOWS16HSD03, KAOWS16HSD04, KAOWS16HSD05, KAOWS16HSD06, KAOWS16HSD07, KAOWS16HSD08, KAOWS16HSD09, KAOWS16HSD10, KAOWS16HSD11, KAOWS16HSD12, KAOWS16HSD13, KAOWS16HSD14, KAOWS16HSD15, KAOWS16HSD16, KAOWS16HSD17, KAOWS16HSD36</t>
  </si>
  <si>
    <t>TAS000000207909 - EXP-CCT_CITRIX-TICLIENTES-SUM</t>
  </si>
  <si>
    <t>CRQ000000234124</t>
  </si>
  <si>
    <t>TAS000000210575 - SDNIVEL1
TAS000000210830 - EXP-WINTEL TIC-SUM
TAS000000210694 - SDNIVEL1</t>
  </si>
  <si>
    <t>CRQ000000233680</t>
  </si>
  <si>
    <t>CGG - IDC SALUD - Instalación de parches de seguridad JC (CED)</t>
  </si>
  <si>
    <t>CED-102JC-BE01, CED-102JC-BE02, CED-102JC-BE03, CED-102JC-BE04</t>
  </si>
  <si>
    <t>TAS000000209581 - SDNIVEL1
TAS000000209761 - EXP-CORREO COLABORATIVO EXCHANGE TIC-SUM
TAS000000209763 - SDNIVEL1</t>
  </si>
  <si>
    <t>CRQ000000234950</t>
  </si>
  <si>
    <t>TAS000000210580 - SDNIVEL1
TAS000000210465 - EXP-WINTEL TIC-SUM
TAS000000210698 - EXP-SQLSERVER TIC-SUM
TAS000000210466 - SDNIVEL1</t>
  </si>
  <si>
    <t>CRQ000000234477</t>
  </si>
  <si>
    <t>TAS000000211133 - SDNIVEL1
TAS000000211401 - EXP-WINTEL TIC-SUM
TAS000000211134 - EXP-SQLSERVER TIC-SUM
TAS000000211402 - SDNIVEL1</t>
  </si>
  <si>
    <t>CRQ000000234952</t>
  </si>
  <si>
    <t>AAT - BANCA MARCH - Instalación de parches de seguridad de Microsoft</t>
  </si>
  <si>
    <t>ADOLFO AGUEDA TIRADO</t>
  </si>
  <si>
    <t>TAS000000211135 - SDNIVEL1
TAS000000210468 - EXP-WINTEL TIC-SUM
TAS000000211136 - SDNIVEL1</t>
  </si>
  <si>
    <t>CRQ000000232033</t>
  </si>
  <si>
    <t>RBG - NOVOBANCO - Actualizar parches de Microsoft mes de Enero</t>
  </si>
  <si>
    <t>TAS000000207746 - EXP-CCT_CITRIX-TICLIENTES-SUM</t>
  </si>
  <si>
    <t>CRQ000000233682</t>
  </si>
  <si>
    <t>CGG - IDC SALUD - Instalación de parches de seguridad AL (CED)</t>
  </si>
  <si>
    <t>CED-102AL-BE01, CED-102AL-BE02, CED-102AL-BE03, CED-102AL-BE04</t>
  </si>
  <si>
    <t>TAS000000209654 - SDNIVEL1
TAS000000209937 - EXP-CORREO COLABORATIVO EXCHANGE TIC-SUM
TAS000000209655 - SDNIVEL1</t>
  </si>
  <si>
    <t>CRQ000000238459</t>
  </si>
  <si>
    <t>FLG - CORREOS - reiniciar los 2 router que dan acceso al servicio CLOUD de Correos</t>
  </si>
  <si>
    <t>AWS, AZURE</t>
  </si>
  <si>
    <t>TAS000000215373 - CDSCLOUD_OPENSHIFT
TAS000000215485 - CLOUD PÚBLICA NIVEL 2_AWS
TAS000000214985 - CLOUD PÚBLICA NIVEL 2_AZURE</t>
  </si>
  <si>
    <t>CRQ000000235164</t>
  </si>
  <si>
    <t>TAS000000211611 - SDNIVEL1
TAS000000211345 - EXP-WINTEL TIC-SUM
TAS000000211525 - SDNIVEL1</t>
  </si>
  <si>
    <t>CRQ000000234513</t>
  </si>
  <si>
    <t>TAS000000211179 - SDNIVEL1
TAS000000211530 - EXP-WINTEL TIC-SUM
TAS000000210869 - SDNIVEL1</t>
  </si>
  <si>
    <t>CRQ000000237794</t>
  </si>
  <si>
    <t>JLB - KAO CORPORACION - Solicitud de apagado de servidores</t>
  </si>
  <si>
    <t>KCECHEM01, KCEDMW01, KCESENG1, KCESENG2, KCESENG3, KCESENG4, KCEREACH02</t>
  </si>
  <si>
    <t>TAS000000214864 - SSO SG EVENTOS
TAS000000215303 - EXP-WINTEL TIC-SUM
TAS000000215139 - SISTEMAS BACKUP
TAS000000215028 - SOPORTE ENDPOINT
TAS000000215140 - EXP-WINTEL TIC-SUM</t>
  </si>
  <si>
    <t>CRQ000000237709</t>
  </si>
  <si>
    <t>TUIAVSFPRO01, TUITMARTWINPRO01, TUIWSUSWINPRO01</t>
  </si>
  <si>
    <t>TAS000000215202 - SSO SG EVENTOS
TAS000000215136 - EXP-WINTEL TIC-SUM
TAS000000215301 - SISTEMAS BACKUP
TAS000000215025 - SOPORTE ENDPOINT
TAS000000214931 - EXP-WINTEL TIC-SUM</t>
  </si>
  <si>
    <t>CRQ000000238392</t>
  </si>
  <si>
    <t>ESV - NH HOTEL GROUP - Eliminación disco 600G en el servidor NHSAPHANAPRE1</t>
  </si>
  <si>
    <t>NHSAPHANAPRE1</t>
  </si>
  <si>
    <t>TAS000000215376 - SDNIVEL1
TAS000000215624 - EXP-EMPRESAS-SISTEMASLINUX
TAS000000215625 - EXP-EMPRESAS-SISTEMASLINUX
TAS000000215626 - EXP-EMPRESAS-SISTEMASLINUX
TAS000000215627 - SDNIVEL1</t>
  </si>
  <si>
    <t>CRQ000000234620</t>
  </si>
  <si>
    <t>TAS000000210900 - SDNIVEL1
TAS000000211901 - EXP-WINTEL TIC-SUM
TAS000000211902 - SDNIVEL1</t>
  </si>
  <si>
    <t>CRQ000000235000</t>
  </si>
  <si>
    <t>TAS000000211531 - SDNIVEL1
TAS000000210871 - EXP-WINTEL TIC-SUM
TAS000000211180 - SDNIVEL1</t>
  </si>
  <si>
    <t>CRQ000000231238</t>
  </si>
  <si>
    <t>RLC - DGOJ - Actualizar parches de Microsoft mes de Enero</t>
  </si>
  <si>
    <t>TAS000000207287 - EXP-CCT_CITRIX-TICLIENTES-SUM</t>
  </si>
  <si>
    <t>CRQ000000234414</t>
  </si>
  <si>
    <t>TAS000000211170 - SDNIVEL1
TAS000000211171 - EXP-SQLSERVER TIC-SUM
TAS000000211423 - EXP-WINTEL TIC-SUM
TAS000000210859 - EXP-SQLSERVER TIC-SUM
TAS000000211610 - SDNIVEL1</t>
  </si>
  <si>
    <t>CRQ000000238689</t>
  </si>
  <si>
    <t>FLG - CORREOS - PRO - Bolsas de Empleo - Despublicación día 17 a las 00:00</t>
  </si>
  <si>
    <t>Azure Bolsa de Empleo</t>
  </si>
  <si>
    <t>TAS000000215846 - CLOUD PÚBLICA NIVEL 2_AZURE</t>
  </si>
  <si>
    <t>CRQ000000235192</t>
  </si>
  <si>
    <t>TAS000000211544 - SDNIVEL1
TAS000000211904 - EXP-WINTEL TIC-SUM
TAS000000211380 - EXP-SQLSERVER TIC-SUM
TAS000000211381 - EXP-EMPRESAS-MIDDLEWARE
TAS000000211546 - SDNIVEL1</t>
  </si>
  <si>
    <t>CRQ000000235195</t>
  </si>
  <si>
    <t>TAS000000211822 - SDNIVEL1
TAS000000211905 - EXP-WINTEL TIC-SUM
TAS000000211823 - SDNIVEL1</t>
  </si>
  <si>
    <t>CRQ000000238041</t>
  </si>
  <si>
    <t>NED - VITHAS - Cambio MAXDOP y POWER PLAN SQLXHIS centro Madrid PRO</t>
  </si>
  <si>
    <t>SqlMAD-NSAPro.Nehos21.net</t>
  </si>
  <si>
    <t>TAS000000216323 - EXP-SQLSERVER TIC-SUM</t>
  </si>
  <si>
    <t>CRQ000000238338</t>
  </si>
  <si>
    <t>POOL - AMA - Actualización SUDO para corregir vulnerabilidad cve-2021-3156</t>
  </si>
  <si>
    <t>AMAPRELABTOM401, AMAPRELABTOM301</t>
  </si>
  <si>
    <t>TAS000000215665 - EXP-EMPRESAS-SISTEMASLINUX</t>
  </si>
  <si>
    <t>CRQ000000238661</t>
  </si>
  <si>
    <t>POOL - RENAULT - Actualización SUDO para corregir vulnerabilidad cve-2021-3156</t>
  </si>
  <si>
    <t>DMS, renault-server1, renault-server11, renault-server2, renault-server8</t>
  </si>
  <si>
    <t>TAS000000216012 - EXP-EMPRESAS-SISTEMASLINUX</t>
  </si>
  <si>
    <t>CRQ000000238341</t>
  </si>
  <si>
    <t>TAS000000215666 - EXP-EMPRESAS-MIDDLEWARE</t>
  </si>
  <si>
    <t>CRQ000000235198</t>
  </si>
  <si>
    <t>TAS000000211913 - SDNIVEL1
TAS000000211554 - EXP-WINTEL TIC-SUM
TAS000000211693 - SDNIVEL1</t>
  </si>
  <si>
    <t>CRQ000000235030</t>
  </si>
  <si>
    <t>TAS000000212014 - SDNIVEL1
TAS000000211695 - EXP-WINTEL TIC-SUM
TAS000000211829 - SDNIVEL1</t>
  </si>
  <si>
    <t>Sergi Mestres Pérez: "Os informo que finalmente se cancela el CRQ000000232444 a petición de cliente dados los recientes problemas identificados en la plataforma."</t>
  </si>
  <si>
    <t>CRQ000000232444</t>
  </si>
  <si>
    <t>OCS - LEGALITAS - Actualizar parches de Microsoft mes de Enero</t>
  </si>
  <si>
    <t>TAS000000207461 - EXP-CCT_CITRIX-TICLIENTES-SUM</t>
  </si>
  <si>
    <t>CRQ000000235031</t>
  </si>
  <si>
    <t>TAS000000212103 - SDNIVEL1
TAS000000211696 - EXP-WINTEL TIC-SUM
TAS000000211916 - SDNIVEL1</t>
  </si>
  <si>
    <t>CRQ000000235446</t>
  </si>
  <si>
    <t>TAS000000211830 - SDNIVEL1
TAS000000211918 - EXP-WINTEL TIC-SUM
TAS000000211697 - SDNIVEL1</t>
  </si>
  <si>
    <t>CRQ000000235091</t>
  </si>
  <si>
    <t>TAS000000211832 - SDNIVEL1
TAS000000212107 - EXP-WINTEL TIC-SUM
TAS000000212108 - SDNIVEL1</t>
  </si>
  <si>
    <t>CRQ000000235354</t>
  </si>
  <si>
    <t>TAS000000211834 - SDNIVEL1
TAS000000211924 - EXP-WINTEL TIC-SUM
TAS000000211835 - SDNIVEL1</t>
  </si>
  <si>
    <t>CRQ000000235114</t>
  </si>
  <si>
    <t>TAS000000212118 - SDNIVEL1
TAS000000212027 - EXP-WINTEL TIC-SUM
TAS000000212119 - SDNIVEL1</t>
  </si>
  <si>
    <t>CRQ000000235566</t>
  </si>
  <si>
    <t>TAS000000212227 - SDNIVEL1
TAS000000211592 - EXP-WINTEL TIC-SUM
TAS000000212028 - SDNIVEL1</t>
  </si>
  <si>
    <t>CRQ000000235372</t>
  </si>
  <si>
    <t>TAS000000211595 - SDNIVEL1
TAS000000211876 - EXP-WINTEL TIC-SUM
TAS000000211877 - SDNIVEL1</t>
  </si>
  <si>
    <t>Aprobado en el CAB TI INTERNA 18/02/2021</t>
  </si>
  <si>
    <t>CRQ000000237808</t>
  </si>
  <si>
    <t>TIENDAS MOVISTAR - Bastionado de seguridad Validación</t>
  </si>
  <si>
    <t>TAS000000215046 - EXP-CCT_CITRIX-TICLIENTES-SUM</t>
  </si>
  <si>
    <t>CRQ000000235124</t>
  </si>
  <si>
    <t>TAS000000212131 - SDNIVEL1
TAS000000212132 - EXP-WINTEL TIC-SUM
TAS000000211942 - SDNIVEL1</t>
  </si>
  <si>
    <t>CRQ000000239128</t>
  </si>
  <si>
    <t>CRM16Appsta.Nehos21.net</t>
  </si>
  <si>
    <t>TAS000000217035 - EXP-EMPRESAS-MIDDLEWARE</t>
  </si>
  <si>
    <t>CRQ000000239345</t>
  </si>
  <si>
    <t>POOL - ABERTIS AUTOPISTAS ESPAÑA - Actualización SUDO para corregir vulnerabilidad cve-2021-3156</t>
  </si>
  <si>
    <t>A81545790 - ABERTIS AUTOPISTAS ESPAÑA S.A.U.</t>
  </si>
  <si>
    <t>ec2-abeldap-01, ec2-bhost-01, ec2-kafbro-01, ec2-kafbro-02, ec2-kafbro-03, ec2-kafbro-04, ec2-kafmon-01</t>
  </si>
  <si>
    <t>TAS000000217107 - EXP-EMPRESAS-SISTEMASLINUX</t>
  </si>
  <si>
    <t>CRQ000000239347</t>
  </si>
  <si>
    <t>POOL - BBVA - Actualización SUDO para corregir vulnerabilidad cve-2021-3156</t>
  </si>
  <si>
    <t>A48265169 - BANCO BILBAO VIZCAYA ARGENTARIA, S.A.</t>
  </si>
  <si>
    <t>DataAggregator, DataCollector1, DataCollector2, DataRepository1, DataRepository2, DataRepository3, Harvester1, Harvester2, JasperReports, OneClick1, OneClick2, PerformanceC, Spectro01Backup, Spectro02Backup, Spectro1Backup, Spectro2Backup</t>
  </si>
  <si>
    <t>TAS000000216823 - EXP-EMPRESAS-SISTEMASLINUX</t>
  </si>
  <si>
    <t>CRQ000000239108</t>
  </si>
  <si>
    <t>TAS000000216782 - EXP-EMPRESAS-MIDDLEWARE</t>
  </si>
  <si>
    <t>CRQ000000235120</t>
  </si>
  <si>
    <t>POOL - DAVASA AUTOMOCION - Instalación de parches de seguridad de Microsoft</t>
  </si>
  <si>
    <t>TAS000000212232 - SDNIVEL1
TAS000000211599 - EXP-WINTEL TIC-SUM
TAS000000211939 - SDNIVEL1</t>
  </si>
  <si>
    <t>CRQ000000238907</t>
  </si>
  <si>
    <t>TAS000000216737 - EXP-EMPRESAS-MIDDLEWARE
TAS000000216908 - EXP-EMPRESAS-BBDD</t>
  </si>
  <si>
    <t>CRQ000000235672</t>
  </si>
  <si>
    <t>TAS000000212140 - SDNIVEL1
TAS000000212141 - EXP-WINTEL TIC-SUM
TAS000000212142 - EXP-EMPRESAS-MIDDLEWARE
TAS000000212304 - SDNIVEL1</t>
  </si>
  <si>
    <t>CRQ000000239197</t>
  </si>
  <si>
    <t>NED - VITHAS - Ejecución Scripts INDEX Parte1 SQLXHIS centro Madrid PRO</t>
  </si>
  <si>
    <t>TAS000000216850 - EXP-SQLSERVER TIC-SUM</t>
  </si>
  <si>
    <t>CRQ000000235346</t>
  </si>
  <si>
    <t>TAS000000211820 - SDNIVEL1
TAS000000211489 - EXP-WINTEL TIC-SUM
TAS000000211374 - SDNIVEL1</t>
  </si>
  <si>
    <t>CRQ000000238945</t>
  </si>
  <si>
    <t>ced-104-adco01, ced-104-adco02</t>
  </si>
  <si>
    <t>TAS000000216468 - SDNIVEL1
TAS000000216093 - EXP-CCT_O365 TIC-SUM
TAS000000216094 - EXP-CCT_O365 TIC-SUM
TAS000000216469 - EXP-CCT_O365 TIC-SUM
TAS000000216505 - EXP-CCT_O365 TIC-SUM
TAS000000216470 - SDNIVEL1</t>
  </si>
  <si>
    <t>Escalado: solicitud de generar el cambio con &lt; 48 horas de pre aviso.
JOSE BARBA GUTIERREZ: "Tras la reunión finalizada ahora con Arquitectura se decide que NO se va a realizar la intervención de esta noche. Quieren revisarlo con calma y además quieren ponerse en contacto con los ingenieros de Red Hat que les montaron el cluster. Se cancela la intervención para esta noche"</t>
  </si>
  <si>
    <t>CRQ000000239914</t>
  </si>
  <si>
    <t>FLG - CORREOS - PRO - Activación de certificados wildcard en OCP</t>
  </si>
  <si>
    <t>TAS000000218037 - CDSCLOUD_OPENSHIFT</t>
  </si>
  <si>
    <t>CRQ000000239315</t>
  </si>
  <si>
    <t>TIENDAS MOVISTAR - Actualizar el certificado de firmas expirado en Validación</t>
  </si>
  <si>
    <t>TAS000000217643 - EXP-CCT_CITRIX-TICLIENTES-SUM</t>
  </si>
  <si>
    <t>CRQ000000238019</t>
  </si>
  <si>
    <t>TAS000000215669 - SDNIVEL1
TAS000000215932 - EXP-WINTEL TIC-SUM
TAS000000216211 - SDNIVEL1</t>
  </si>
  <si>
    <t>CRQ000000239129</t>
  </si>
  <si>
    <t>TAS000000216686 - EXP-EMPRESAS-MIDDLEWARE</t>
  </si>
  <si>
    <t>CRQ000000235239</t>
  </si>
  <si>
    <t>TAS000000211883 - SDNIVEL1
TAS000000211947 - EXP-WINTEL TIC-SUM
TAS000000212306 - EXP-SQLSERVER TIC-SUM
TAS000000211948 - SDNIVEL1</t>
  </si>
  <si>
    <t>CRQ000000235475</t>
  </si>
  <si>
    <t>TAS000000212315 - SDNIVEL1
TAS000000211885 - EXP-WINTEL TIC-SUM
TAS000000212147 - SDNIVEL1</t>
  </si>
  <si>
    <t>CRQ000000238043</t>
  </si>
  <si>
    <t>MHITAADCONNECT01</t>
  </si>
  <si>
    <t>TAS000000216451 - SDNIVEL1
TAS000000216088 - EXP-CCT_O365 TIC-SUM
TAS000000216324 - EXP-CCT_O365 TIC-SUM
TAS000000215849 - EXP-CCT_O365 TIC-SUM
TAS000000216325 - EXP-CCT_O365 TIC-SUM
TAS000000216452 - SDNIVEL1</t>
  </si>
  <si>
    <t>CRQ000000238935</t>
  </si>
  <si>
    <t>NED - VITHAS - Ejecución Scripts INDEX Parte2 SQLXHIS centro Madrid PRO</t>
  </si>
  <si>
    <t>TAS000000216851 - EXP-SQLSERVER TIC-SUM</t>
  </si>
  <si>
    <t>CRQ000000239686</t>
  </si>
  <si>
    <t>TIENDAS MOVISTAR - Actualizar el certificado de firmas expirado en Producción</t>
  </si>
  <si>
    <t>TAS000000217080 - EXP-CCT_CITRIX-TICLIENTES-SUM</t>
  </si>
  <si>
    <t>CRQ000000239713</t>
  </si>
  <si>
    <t>NED - VITHAS - Cambio configuración SMTP en PRO</t>
  </si>
  <si>
    <t>webvithasproa.Nehos21.net, webvithasprob.Nehos21.net</t>
  </si>
  <si>
    <t>TAS000000217917 - EXP-EMPRESAS-MIDDLEWARE</t>
  </si>
  <si>
    <t>CRQ000000239988</t>
  </si>
  <si>
    <t>OAC - MELIA - Instalación parche de Seguridad y Cumulative SQL - PRO</t>
  </si>
  <si>
    <t>GPT-MHIMBAM-SQL</t>
  </si>
  <si>
    <t>TAS000000218215 - SDNIVEL1
TAS000000217875 - EXP-EMPRESAS-VIRTUALIZADOS
TAS000000217694 - EXP-EMPRESAS-VIRTUALIZADOS
TAS000000217870 - EXP-SQLSERVER TIC-SUM
TAS000000217940 - EXP-SQLSERVER TIC-SUM
TAS000000218056 - EXP-SQLSERVER TIC-SUM
TAS000000217941 - EXP-SQLSERVER TIC-SUM
TAS000000218214 - EXP-EMPRESAS-VIRTUALIZADOS
TAS000000218216 - SDNIVEL1</t>
  </si>
  <si>
    <t>CRQ000000239920</t>
  </si>
  <si>
    <t>LCH - ENEL IBEROAMERICA - Solicitud de apagado del servidor SVC_CSCR5</t>
  </si>
  <si>
    <t>SVC_CSCR5</t>
  </si>
  <si>
    <t>TAS000000217927 - SSO SG EVENTOS
TAS000000217787 - EXP-WINTEL TIC-SUM
TAS000000218116 - SISTEMAS BACKUP
TAS000000217683 - SOPORTE ENDPOINT
TAS000000218046 - EXP-WINTEL TIC-SUM</t>
  </si>
  <si>
    <t>CRQ000000239733</t>
  </si>
  <si>
    <t>POOL - SECURITAS DIRECT ESPAÑA - Solicitud de apagado de servidores</t>
  </si>
  <si>
    <t>A26106013 - SECURITAS DIRECT ESPAÑA S.A.</t>
  </si>
  <si>
    <t>securit-zeus1, securit-afaria, securitas-slb02, securit-jboss1, securit-jboss2, securit-bbdd1, securit-bbdd2, securitasfw02, securitasfw01</t>
  </si>
  <si>
    <t>TAS000000218050 - SSO SG EVENTOS
TAS000000217788 - EXP-WINTEL TIC-SUM
TAS000000218118 - SISTEMAS BACKUP
TAS000000217869 - SOPORTE ENDPOINT
TAS000000217937 - EXP-WINTEL TIC-SUM</t>
  </si>
  <si>
    <t>CRQ000000240157</t>
  </si>
  <si>
    <t>TAS000000217951 - EXP-EMPRESAS-MIDDLEWARE</t>
  </si>
  <si>
    <t>CRQ000000240283</t>
  </si>
  <si>
    <t>FLG - CORREOS - PRO - Corrección de vulnerabilidades en protocolos/ciphersuites</t>
  </si>
  <si>
    <t>Aplicaciones con FQDN con cifrado en el entorno de producción de OCP</t>
  </si>
  <si>
    <t>TAS000000218440 - CDSCLOUD_OPENSHIFT</t>
  </si>
  <si>
    <t>CRQ000000240254</t>
  </si>
  <si>
    <t>NED - VITHAS - Apagado y encendido del centro hospitalario MALAGA por intervención para cambio de SAI</t>
  </si>
  <si>
    <t>Planta entera de Hospital de MALAGA</t>
  </si>
  <si>
    <t>TAS000000217879 - SOC SEGURIDAD
TAS000000218137 - EXP-EMPRESAS-BBDD
TAS000000218077 - EXP-EMPRESAS-VIRTUALIZADOS
TAS000000217880 - VDI_Vithas
TAS000000218078 - EXP-EMPRESAS-SISTEMASLINUX
TAS000000217980 - CDSCLOUD_STORAGE_VITHAS
TAS000000217882 - SDNIVEL1
TAS000000218223 - EXP-EMPRESAS-MIDDLEWARE</t>
  </si>
  <si>
    <t>CRQ000000235845</t>
  </si>
  <si>
    <t>TAS000000212152 - SDNIVEL1
TAS000000212319 - EXP-WINTEL TIC-SUM
TAS000000212406 - SDNIVEL1</t>
  </si>
  <si>
    <t>CRQ000000235585</t>
  </si>
  <si>
    <t>TAS000000212408 - SDNIVEL1
TAS000000212409 - EXP-WINTEL TIC-SUM
TAS000000211888 - SDNIVEL1</t>
  </si>
  <si>
    <t>Se replanifica el cambio para el 27/02/2021 a las 19:00:00 hasta el 28/02/2021 a las 23:59:00.</t>
  </si>
  <si>
    <t>CRQ000000238810</t>
  </si>
  <si>
    <t>FLG - CORREOS - Des, Pre, Qa - Encendido, Apagado y Soporte en entornos OCP / BBDD y soporte a Desarrollo correos puesta SHIVA LOGMAE en explotación</t>
  </si>
  <si>
    <t>RDS y Plataforma OCP de los entornos DES, PRE y QA. (AWS OCP)</t>
  </si>
  <si>
    <t>TAS000000216373 - CLOUD PÚBLICA NIVEL 2_AWS
TAS000000216374 - CLOUD PÚBLICA NIVEL 2_AWS
TAS000000215883 - CLOUD PÚBLICA NIVEL 2_AWS
TAS000000216497 - CLOUD PÚBLICA NIVEL 2_AWS
TAS000000216498 - CLOUD PÚBLICA NIVEL 2_AWS
TAS000000216375 - CLOUD PÚBLICA NIVEL 2_AWS
TAS000000216562 - CLOUD PÚBLICA NIVEL 2_AWS</t>
  </si>
  <si>
    <t>CRQ000000235749</t>
  </si>
  <si>
    <t>TAS000000212155 - SDNIVEL1
TAS000000212045 - EXP-WINTEL TIC-SUM
TAS000000212415 - SDNIVEL1</t>
  </si>
  <si>
    <t>CRQ000000237812</t>
  </si>
  <si>
    <t>TIENDAS MOVISTAR - Bastionado de seguridad Producción</t>
  </si>
  <si>
    <t>TAS000000215216 - EXP-CCT_CITRIX-TICLIENTES-SUM</t>
  </si>
  <si>
    <t>CRQ000000240028</t>
  </si>
  <si>
    <t>CRM - TELEFONICA DE ESPAÑA, S.A.UNIPERSON - Despliegue del nuevo war en los tomcats de PRO</t>
  </si>
  <si>
    <t>FE-RIS-PROD-1, FE-RIS-PROD-2</t>
  </si>
  <si>
    <t>TAS000000218168 - EXP-EMPRESAS-MIDDLEWARE</t>
  </si>
  <si>
    <t>CRQ000000240325</t>
  </si>
  <si>
    <t>TAS000000218947 - EXP-EMPRESAS-MIDDLEWARE</t>
  </si>
  <si>
    <t>CRQ000000240962</t>
  </si>
  <si>
    <t>TAS000000219305 - EXP-EMPRESAS-MIDDLEWARE</t>
  </si>
  <si>
    <t>CRQ000000240309</t>
  </si>
  <si>
    <t>OAC - MELIA - Actualización parches MHITAEPO02 - PRO</t>
  </si>
  <si>
    <t>MHITAEPO02</t>
  </si>
  <si>
    <t>TAS000000218760 - SDNIVEL1
TAS000000218198 - EXP-EMPRESAS-VIRTUALIZADOS
TAS000000218828 - EXP-EMPRESAS-VIRTUALIZADOS
TAS000000218932 - EXP-SQLSERVER TIC-SUM
TAS000000218199 - EXP-SQLSERVER TIC-SUM
TAS000000219019 - EXP-SQLSERVER TIC-SUM
TAS000000218829 - EXP-SQLSERVER TIC-SUM
TAS000000219020 - SDNIVEL1
TAS000000218933 - EXP-EMPRESAS-VIRTUALIZADOS</t>
  </si>
  <si>
    <t>JAIME MUÑOZ MIGUEL: "Podrías cancelar el cambio CRQ000000239418, no tengo permisos, era para una reconstrucción de una cabina que de momento no se va a hacer, estamos pendientes de un cambio de disco, si hubiera que hacerla tras la sustitución,  ya se crearía otro cambio."</t>
  </si>
  <si>
    <t>CRQ000000239418</t>
  </si>
  <si>
    <t>NED - VITHAS - Reconfiguración Cabina INFTGC-SC Gran Canaria</t>
  </si>
  <si>
    <t>DPM3GC-SC.Nehos21.net, INFTGC-SC</t>
  </si>
  <si>
    <t>TAS000000217544 - EXP-SQLSERVER TIC-SUM
TAS000000217631 - CDSCLOUD_STORAGE_VITHAS</t>
  </si>
  <si>
    <t>CRQ000000239280</t>
  </si>
  <si>
    <t>CED-104JC-HV01, CED-104JC-DC01, CED-104JC-BE01, CED-104JC-BE02, CED-104JC-BE03</t>
  </si>
  <si>
    <t>TAS000000216971 - SDNIVEL1
TAS000000216972 - EXP-CORREO COLABORATIVO EXCHANGE TIC-SUM
TAS000000216973 - SDNIVEL1</t>
  </si>
  <si>
    <t>CRQ000000241004</t>
  </si>
  <si>
    <t>JPP - UNIVERSIDAD ANTONIO NEBRIJA - Reinicio servidor cdgldap</t>
  </si>
  <si>
    <t>A78094158 - UNIVERSIDAD ANTONIO DE NEBRIJA</t>
  </si>
  <si>
    <t>JORGE PADILLA PARRAS</t>
  </si>
  <si>
    <t>CDGLDAP</t>
  </si>
  <si>
    <t>TAS000000219373 - SDNIVEL1
TAS000000219445 - EXP-EMPRESAS-SISTEMASLINUX
TAS000000219635 - SDNIVEL1</t>
  </si>
  <si>
    <t>CRQ000000239990</t>
  </si>
  <si>
    <t>OAC - MELIA - Actualización software BIND en el servidor MHITADNSPROD01</t>
  </si>
  <si>
    <t>MHITADNSPROD01</t>
  </si>
  <si>
    <t>TAS000000218059 - SDNIVEL1
TAS000000218065 - EXP-EMPRESAS-SISTEMASLINUX
TAS000000217943 - EXP-EMPRESAS-SISTEMASLINUX
TAS000000218209 - EXP-EMPRESAS-SISTEMASLINUX
TAS000000218211 - SDNIVEL1</t>
  </si>
  <si>
    <t>CRQ000000240828</t>
  </si>
  <si>
    <t>FNG - COSTCO - Realización de Failover Move de Alcalá a JC8 y vuelta a origen</t>
  </si>
  <si>
    <t>B86509460 - COST CO WHOLESALE SPAIN S.L.</t>
  </si>
  <si>
    <t>FRANCISCO JAVIER NUÑEZ GARCIA</t>
  </si>
  <si>
    <t>a2pdi05500p00, a2pscs05500p01a</t>
  </si>
  <si>
    <t>TAS000000219366 - EXP-EMPRESAS-VIRTUALIZADOS
TAS000000219436 - EXP-EMPRESAS-VIRTUALIZADOS
TAS000000219367 - EXP-EMPRESAS-VIRTUALIZADOS</t>
  </si>
  <si>
    <t>CRQ000000241550</t>
  </si>
  <si>
    <t>POOL - COMERCIAL AUTO TRACTOR - Actualización parches y desfragmentación DCTR01-BDT101- PRO</t>
  </si>
  <si>
    <t>TAS000000219986 - SDNIVEL1
TAS000000220053 - EXP-EMPRESAS-VIRTUALIZADOS
TAS000000220215 - EXP-EMPRESAS-VIRTUALIZADOS
TAS000000219790 - EXP-EMPRESAS-VIRTUALIZADOS
TAS000000219988 - EXP-SQLSERVER TIC-SUM
TAS000000219990 - EXP-SQLSERVER TIC-SUM
TAS000000219991 - EXP-SQLSERVER TIC-SUM
TAS000000219794 - EXP-SQLSERVER TIC-SUM
TAS000000220135 - SDNIVEL1
TAS000000219795 - EXP-EMPRESAS-VIRTUALIZADOS</t>
  </si>
  <si>
    <t>Parcheado Seguridad Diciembre 2020 / Enero 2021</t>
  </si>
  <si>
    <t>CRQ000000239768</t>
  </si>
  <si>
    <t>RMN - TALGO - Instalación de parches de seguridad de Windows - Grupo 1</t>
  </si>
  <si>
    <t>TALVM2AFOi00, TALVM2LFYi00, TALVM2MSQLi00, TALVM2SHF01, TALVM2SHF02, TALVM2SVN01, TALCA01ALPRO, TALCA02ALPRO, TALQSE01DES, TALDLT01PRO, TALQVW01TEST, TALAPP10TEST, TALCAS01TEST, TALCAS01NEWTEST, TALSQL01TEST, TALTIM01TEST, TALBCOM01PRO, TALAPP11TEST, TALCAS02TEST, TALDRS01TEST, TALTCENT01TST, TALKZAST01PRO, TALSVN01PRO</t>
  </si>
  <si>
    <t>TAS000000217646 - SDNIVEL1
TAS000000217570 - EXP-WINTEL TIC-SUM
TAS000000217749 - EXP-SQLSERVER TIC-SUM
TAS000000217823 - SDNIVEL1</t>
  </si>
  <si>
    <t>CRQ000000239211</t>
  </si>
  <si>
    <t>CED-104AL-HV01, CED-104AL-DC01, CED-104AL-BE01, CED-104AL-BE02, CED-104AL-BE03, CED-RTVE-OIAM</t>
  </si>
  <si>
    <t>TAS000000216866 - SDNIVEL1
TAS000000216867 - EXP-CORREO COLABORATIVO EXCHANGE TIC-SUM
TAS000000217039 - SDNIVEL1</t>
  </si>
  <si>
    <t>CRQ000000241291</t>
  </si>
  <si>
    <t>RMN - TALGO - Mejora rendimiento maquina TALFTP01PRO</t>
  </si>
  <si>
    <t>TALFTP01PRO</t>
  </si>
  <si>
    <t>TAS000000219666 - EXP-WINTEL TIC-SUM</t>
  </si>
  <si>
    <t>CRQ000000241057</t>
  </si>
  <si>
    <t>TAS000000219062 - EXP-EMPRESAS-MIDDLEWARE</t>
  </si>
  <si>
    <t>CRQ000000240808</t>
  </si>
  <si>
    <t>JRG - TIREA - Desprovisón de los servidores AVS-LSU-285 y AVS-W12-286</t>
  </si>
  <si>
    <t>A81864498 - TIREA</t>
  </si>
  <si>
    <t>JOSE MANUEL RAMOS GARCIA</t>
  </si>
  <si>
    <t>AVS-LSU-285, AVS-W12-286</t>
  </si>
  <si>
    <t>TAS000000218883 - SSO SG EVENTOS
TAS000000219160 - EXP-WINTEL TIC-SUM
TAS000000219162 - SISTEMAS BACKUP
TAS000000219325 - SOPORTE ENDPOINT
TAS000000219327 - EXP-WINTEL TIC-SUM</t>
  </si>
  <si>
    <t>CRQ000000240887</t>
  </si>
  <si>
    <t>OAC - MELIA - Actualización parches MHITAGIDBDES01 - PRE</t>
  </si>
  <si>
    <t>MHITAGIDBDES01</t>
  </si>
  <si>
    <t>TAS000000219719 - SDNIVEL1
TAS000000219720 - EXP-EMPRESAS-VIRTUALIZADOS
TAS000000219349 - EXP-EMPRESAS-VIRTUALIZADOS
TAS000000219350 - EXP-SQLSERVER TIC-SUM
TAS000000219426 - EXP-SQLSERVER TIC-SUM
TAS000000219351 - EXP-SQLSERVER TIC-SUM
TAS000000219280 - EXP-SQLSERVER TIC-SUM
TAS000000219356 - SDNIVEL1
TAS000000219721 - EXP-EMPRESAS-VIRTUALIZADOS</t>
  </si>
  <si>
    <t>CRQ000000239140</t>
  </si>
  <si>
    <t>FERSMTPDC01, FERSMTPEXCH01, FERSMTPEXCH03</t>
  </si>
  <si>
    <t>TAS000000217041 - SDNIVEL1
TAS000000217315 - EXP-CORREO COLABORATIVO EXCHANGE TIC-SUM
TAS000000217316 - SDNIVEL1</t>
  </si>
  <si>
    <t>CRQ000000241412</t>
  </si>
  <si>
    <t>CGG - IDC SALUD - Mover Hard disk4</t>
  </si>
  <si>
    <t>CPDIMSAPPUB01</t>
  </si>
  <si>
    <t>TAS000000219695 - EXP-EMPRESAS-VIRTUALIZADOS</t>
  </si>
  <si>
    <t>CRQ000000239694</t>
  </si>
  <si>
    <t>RMN - TALGO - Instalación de parches de seguridad de Windows - Grupo 2</t>
  </si>
  <si>
    <t>TALVM2CRM01, TALVM2SAG01, TALTCWEB01TEST, TALTCWEB02TEST, TALTCENT01TEST, TALTCENT02TEST, TALTCVOL01TEST, TALTCVOL02TEST, TALTCDIS01TEST, TALTCT4S01TEST, TALTCENT01DES, TALTCDIS01DES, TALTCENT01FOR, TALTCDIS01FOR, TALGCLOUD01PRO, TALSFF01PRO, TALBCM01PRO</t>
  </si>
  <si>
    <t>TAS000000217086 - SDNIVEL1
TAS000000217575 - EXP-WINTEL TIC-SUM
TAS000000217088 - SDNIVEL1</t>
  </si>
  <si>
    <t>CRQ000000240888</t>
  </si>
  <si>
    <t>OAC - MELIA - Actualización parches MHITAGIDBDES801 - PRE</t>
  </si>
  <si>
    <t>MHITAGIDBDES801</t>
  </si>
  <si>
    <t>TAS000000219431 - SDNIVEL1
TAS000000219357 - EXP-EMPRESAS-VIRTUALIZADOS
TAS000000219358 - EXP-EMPRESAS-VIRTUALIZADOS
TAS000000219432 - EXP-SQLSERVER TIC-SUM
TAS000000219198 - EXP-SQLSERVER TIC-SUM
TAS000000219281 - EXP-SQLSERVER TIC-SUM
TAS000000219282 - SDNIVEL1
TAS000000219283 - EXP-EMPRESAS-VIRTUALIZADOS</t>
  </si>
  <si>
    <t>CRQ000000239379</t>
  </si>
  <si>
    <t>FERSMTPDC02, FERSMTPEXCH02, FERSMTPEXCH04</t>
  </si>
  <si>
    <t>TAS000000217319 - SDNIVEL1
TAS000000216696 - EXP-CORREO COLABORATIVO EXCHANGE TIC-SUM
TAS000000216976 - SDNIVEL1</t>
  </si>
  <si>
    <t>CRQ000000241423</t>
  </si>
  <si>
    <t>TAS000000220352 - EXP-EMPRESAS-MIDDLEWARE</t>
  </si>
  <si>
    <t>Escalado: solicitud de generar el cambio con &lt; 48 horas de pre aviso.
Se ha finalizado el CRQ con éxito pero fuera de la ventana de implantación.</t>
  </si>
  <si>
    <t>CRQ000000241414</t>
  </si>
  <si>
    <t>CGG - IDC SALUD - Mover Hard disk1</t>
  </si>
  <si>
    <t>TAS000000220086 - EXP-EMPRESAS-VIRTUALIZADOS</t>
  </si>
  <si>
    <t>CRQ000000242172</t>
  </si>
  <si>
    <t>NED - VITHAS - Reinicio del servidor FSMAD-OFC1</t>
  </si>
  <si>
    <t>FSMAD-OFC1</t>
  </si>
  <si>
    <t>TAS000000220584 - EXP-WINTEL TIC-SUM</t>
  </si>
  <si>
    <t>CRQ000000239772</t>
  </si>
  <si>
    <t>RMN - TALGO - Instalación de parches de seguridad de Windows - Grupo 3</t>
  </si>
  <si>
    <t>talapp01pro, talapp02pro, talapp03pro, talapp04pro, TALAPP11PRO, TALCXD01PRO, TALCXD02PRO, TALDDC01PRO, TALDDC02PRO, TALLIX01PRO, TALSRF01PRO, TALSRF02PRO, TALVM2LFY72, TALMEDPRO, TALSEALP01PRO, TALSEALP02PRO</t>
  </si>
  <si>
    <t>TAS000000217827 - SDNIVEL1
TAS000000217385 - EXP-WINTEL TIC-SUM
TAS000000217094 - SDNIVEL1</t>
  </si>
  <si>
    <t>CRQ000000237428</t>
  </si>
  <si>
    <t>TAS000000215110 - EXP-CCT_CITRIX-TICLIENTES-SUM
TAS000000215109 - EXP-CCT-WINTEL TIC-SUM
TAS000000214915 - EXP-CCT-SQLSERVER TIC-SUM</t>
  </si>
  <si>
    <t>Parcheado Seguridad Diciembre 2020 / Enero 2021
WINTEL: "En TALTCLIC02PRO y TALDHCP01PRO no se ha podido instalar el parche de Diciembre ya que reiteradamente da error de instalación. Tiene instalado el parche de enero.  No sabemos el motivo por el cual fallo el parche de diciembre pero si instalo el de enero. EL parche que quedaría pendiente de instalación seria el KB4593226. Los servidores quedan levantados y operativos."</t>
  </si>
  <si>
    <t>CRQ000000239945</t>
  </si>
  <si>
    <t>RMN - TALGO - Instalación de parches de seguridad de Windows - Grupo 4</t>
  </si>
  <si>
    <t>TALDC01ALPRO, TALDC02ALPRO, TALDC01JCPRO, TALVM2AFO01, TALVM2CASI01, TALVM2CASI02NEW, TALFTP01PRO, TALVM2LFY01, TALLFY02PRO, TALVM2MSQL01, TALVM2PC01, TALVM2SQL02, TALTCENT01PRO, TALTCENT02PRO, TALTCENT03PRO, TALTCENT04PRO, TALTCWEB01PRO, TALTCWEB02PRO, TALTCVOL01PRO, TALTCVOL02PRO, TALTCDIS01PRO, TALTCDIS02PRO, TALTCDIS03PRO, TALTCDIS04PRO, TALTCDIS05PRO, TALTCT4S01PRO, TALTCDIS06PRO, TALOMI01PRO, TALQSE01PRO, TALADFS01PRO, TALADFS02PRO, TALAPP10PRO, TALVM2SQL03, TALLFY01EXT, TALTIM01PRO, TALTCDIS07PRO, TALCAS2PRO, TALADC01PRO, TALADC02PRO, TALTCLIC01PRO, TALLFY01TCOM, TALDRS01PRO, TALTCLIC02PRO, TALDHCP01PRO</t>
  </si>
  <si>
    <t>TAS000000217096 - SDNIVEL1
TAS000000217097 - EXP-WINTEL TIC-SUM
TAS000000217652 - EXP-SQLSERVER TIC-SUM
TAS000000217098 - SDNIVEL1</t>
  </si>
  <si>
    <t>CRQ000000241322</t>
  </si>
  <si>
    <t>RDS y Plataforma OCP de los entornos DES, PRE y QA</t>
  </si>
  <si>
    <t>TAS000000220257 - CLOUD PÚBLICA NIVEL 2_AWS
TAS000000220178 - CLOUD PÚBLICA NIVEL 2_AWS
TAS000000220417 - CLOUD PÚBLICA NIVEL 2_AWS
TAS000000220179 - CLOUD PÚBLICA NIVEL 2_AWS
TAS000000220098 - CLOUD PÚBLICA NIVEL 2_AWS
TAS000000220099 - CLOUD PÚBLICA NIVEL 2_AWS
TAS000000220502 - CLOUD PÚBLICA NIVEL 2_AWS</t>
  </si>
  <si>
    <t>CRQ000000237429</t>
  </si>
  <si>
    <t>TAS000000215118 - EXP-CCT_CITRIX-TICLIENTES-SUM
TAS000000215117 - EXP-CCT-WINTEL TIC-SUM
TAS000000215009 - EXP-CCT-SQLSERVER TIC-SUM</t>
  </si>
  <si>
    <t>CRQ000000242126</t>
  </si>
  <si>
    <t>TAS000000220966 - EXP-EMPRESAS-MIDDLEWARE</t>
  </si>
  <si>
    <t>CRQ000000240920</t>
  </si>
  <si>
    <t>JLB - KAO - Actualizar parches de Microsoft mes de Febrero</t>
  </si>
  <si>
    <t>KAOWS16HSD18, KAOWS16HSD01, KAOWS16HSD02, KAOWS16HSD04, KAOWS16HSD05, KAOWS16HSD06, KAOWS16HSD07, KAOWS16HSD08, KAOWS16HSD09, KAOWS16HSD10, KAOWS16HSD11, KAOWS16HSD12, KAOWS16HSD13, KAOWS16HSD14, KAOWS16HSD15, KAOWS16HSD16, KAOWS16HSD17, KAOWS16HSD36</t>
  </si>
  <si>
    <t>TAS000000219963 - EXP-CCT_CITRIX-TICLIENTES-SUM</t>
  </si>
  <si>
    <t>CRQ000000239793</t>
  </si>
  <si>
    <t>PRP - GMS - Instalación de parches de seguridad - JC</t>
  </si>
  <si>
    <t>CED-103JC-BE01, CED-103JC-DC01, CED-103JC-HV01</t>
  </si>
  <si>
    <t>TAS000000217587 - SDNIVEL1
TAS000000217588 - EXP-CORREO COLABORATIVO EXCHANGE TIC-SUM
TAS000000217910 - SDNIVEL1</t>
  </si>
  <si>
    <t>CRQ000000242420</t>
  </si>
  <si>
    <t>TAS000000221623 - EXP-EMPRESAS-MIDDLEWARE
TAS000000221383 - EXP-EMPRESAS-BBDD</t>
  </si>
  <si>
    <t>CRQ000000242325</t>
  </si>
  <si>
    <t>OAC - MELIA - Actualización parches MHITAGIBD801 - PRE</t>
  </si>
  <si>
    <t>MHITAGIBD801</t>
  </si>
  <si>
    <t>TAS000000221082 - SDNIVEL1
TAS000000221482 - EXP-EMPRESAS-VIRTUALIZADOS
TAS000000220996 - EXP-EMPRESAS-VIRTUALIZADOS
TAS000000221625 - EXP-SQLSERVER TIC-SUM
TAS000000221483 - EXP-SQLSERVER TIC-SUM
TAS000000221547 - EXP-SQLSERVER TIC-SUM
TAS000000220997 - SDNIVEL1
TAS000000220998 - EXP-EMPRESAS-VIRTUALIZADOS</t>
  </si>
  <si>
    <t>CRQ000000241750</t>
  </si>
  <si>
    <t>OAC - MELIA - Actualización software BIND en el servidor MHIJCDNSPROD01</t>
  </si>
  <si>
    <t>MHIJCDNSPROD01</t>
  </si>
  <si>
    <t>TAS000000220092 - SDNIVEL1
TAS000000220413 - EXP-EMPRESAS-SISTEMASLINUX
TAS000000220093 - EXP-EMPRESAS-SISTEMASLINUX
TAS000000220414 - EXP-EMPRESAS-SISTEMASLINUX
TAS000000220415 - SDNIVEL1</t>
  </si>
  <si>
    <t>CRQ000000242677</t>
  </si>
  <si>
    <t>RAM - TELEFONICA INTERN. WHOLESALE SERV. - Mover maquinas del cluster dedicado en VDC</t>
  </si>
  <si>
    <t>B83616920 - TELEFONICA INTERN. WHOLESALE SERV. S.L.</t>
  </si>
  <si>
    <t>ROCIO AGUSTI MORENO</t>
  </si>
  <si>
    <t>gllsualhta02, gplsualhta01, gplsualhta03, gplsualhta04, gplsualhta06, gplsualhta07, gplsualhta08, gplsualhta09, gplsualhta10, gplsualhta11, gplsualhta12, gplsualhta13, gplsualhta14, gplsualhta16, gplsualhta02, gplsualhta05, gllncalhta04</t>
  </si>
  <si>
    <t>TAS000000221559 - EXP-EMPRESAS-VIRTUALIZADOS</t>
  </si>
  <si>
    <t>CRQ000000242611</t>
  </si>
  <si>
    <t>SCT - COMUNIDAD AUTONOMA DE LA RIOJA - Actualizar catálogo de Producción para incluir fuentes nuevas</t>
  </si>
  <si>
    <t>TAS000000222191 - EXP-CCT_CITRIX-TICLIENTES-SUM</t>
  </si>
  <si>
    <t>CRQ000000241532</t>
  </si>
  <si>
    <t>TAS000000220442 - SDNIVEL1
TAS000000220443 - EXP-WINTEL TIC-SUM
TAS000000220299 - EXP-SQLSERVER TIC-SUM
TAS000000220373 - SDNIVEL1</t>
  </si>
  <si>
    <t>CRQ000000241034</t>
  </si>
  <si>
    <t>POOL - CAF - Actualizar parches de Microsoft mes de Febrero</t>
  </si>
  <si>
    <t>TAS000000220018 - EXP-CCT_CITRIX-TICLIENTES-SUM</t>
  </si>
  <si>
    <t>CRQ000000242827</t>
  </si>
  <si>
    <t>JLB - KAO - Actualización imagen maestra a 32 GB de RAM</t>
  </si>
  <si>
    <t>KAOWS16HSD18, KAOWS16HSD19, KAOWS16HSD20, KAOWS16HSD21, KAOWS16HSD22, KAOWS16HSD23, KAOWS16HSD24, KAOWS16HSD25, KAOWS16HSD26, KAOWS16HSD27, KAOWS16HSD28, KAOWS16HSD29, KAOWS16HSD30, KAOWS16HSD31, KAOWS16HSD32, KAOWS16HSD33, KAOWS16HSD34, KAOWS16HSD35, KAOWS16HSD01, KAOWS16HSD02, KAOWS16HSD03, KAOWS16HSD04, KAOWS16HSD05, KAOWS16HSD06, KAOWS16HSD07, KAOWS16HSD08, KAOWS16HSD09, KAOWS16HSD10, KAOWS16HSD11, KAOWS16HSD12, KAOWS16HSD13, KAOWS16HSD14, KAOWS16HSD15,KAOWS16HSD16, KAOWS16HSD17, KAOWS16HSD36</t>
  </si>
  <si>
    <t>TAS000000222615 - EXP-CCT_CITRIX-TICLIENTES-SUM</t>
  </si>
  <si>
    <t>CRQ000000239606</t>
  </si>
  <si>
    <t>PRP - GMS - Instalación de parches de seguridad - AL</t>
  </si>
  <si>
    <t>CED-103AL-BE02, CED-103AL-DC01, CED-103AL-HV01</t>
  </si>
  <si>
    <t>TAS000000217666 - SDNIVEL1
TAS000000218017 - EXP-CORREO COLABORATIVO EXCHANGE TIC-SUM
TAS000000218018 - SDNIVEL1</t>
  </si>
  <si>
    <t>CRQ000000242815</t>
  </si>
  <si>
    <t>NED - VITHAS - Reinicio xHisFacPLER-MS</t>
  </si>
  <si>
    <t>xHisFacPLER-MS</t>
  </si>
  <si>
    <t>TAS000000222349 - SDNIVEL1
TAS000000221983 - EXP-WINTEL TIC-SUM
TAS000000222604 - SDNIVEL1</t>
  </si>
  <si>
    <t>CRQ000000242750</t>
  </si>
  <si>
    <t>OAC - MELIA - Actualización parches MHITATOUCHPRE02 - PRO</t>
  </si>
  <si>
    <t>MHITATOUCHPRE02</t>
  </si>
  <si>
    <t>TAS000000221000 - SDNIVEL1
TAS000000221627 - EXP-EMPRESAS-VIRTUALIZADOS
TAS000000221487 - EXP-EMPRESAS-VIRTUALIZADOS
TAS000000221550 - EXP-SQLSERVER TIC-SUM
TAS000000221397 - EXP-SQLSERVER TIC-SUM
TAS000000221801 - EXP-SQLSERVER TIC-SUM
TAS000000221398 - EXP-SQLSERVER TIC-SUM
TAS000000221802 - SDNIVEL1
TAS000000221628 - EXP-EMPRESAS-VIRTUALIZADOS</t>
  </si>
  <si>
    <t>CRQ000000242628</t>
  </si>
  <si>
    <t>MAC - TUI - Apagado temporal de sa5smp01</t>
  </si>
  <si>
    <t>sa5smp01</t>
  </si>
  <si>
    <t>TAS000000221991 - SDNIVEL1
TAS000000221992 - EXP-EMPRESAS-VIRTUALIZADOS</t>
  </si>
  <si>
    <t>CRQ000000242873</t>
  </si>
  <si>
    <t>OAC - MELIA - Actualización parches MHITAGIBD01 - PRO</t>
  </si>
  <si>
    <t>MHITAGIBD01</t>
  </si>
  <si>
    <t>TAS000000221944 - SDNIVEL1
TAS000000221746 - EXP-EMPRESAS-VIRTUALIZADOS
TAS000000221692 - EXP-EMPRESAS-VIRTUALIZADOS
TAS000000221595 - EXP-SQLSERVER TIC-SUM
TAS000000221870 - EXP-SQLSERVER TIC-SUM
TAS000000221747 - EXP-SQLSERVER TIC-SUM
TAS000000221748 - EXP-SQLSERVER TIC-SUM
TAS000000221693 - SDNIVEL1
TAS000000221596 - EXP-EMPRESAS-VIRTUALIZADOS</t>
  </si>
  <si>
    <t>CRQ000000241137</t>
  </si>
  <si>
    <t>CRA - CAJA ASTURIAS - Actualizar parches de Microsoft mes de Febrero</t>
  </si>
  <si>
    <t>TAS000000219766 - EXP-CCT_CITRIX-TICLIENTES-SUM</t>
  </si>
  <si>
    <t>CRQ000000239901</t>
  </si>
  <si>
    <t>CED-105JC-BE01, CED-105JC-DC01, CED-105JC-HV01</t>
  </si>
  <si>
    <t>TAS000000217671 - SDNIVEL1
TAS000000217593 - EXP-CORREO COLABORATIVO EXCHANGE TIC-SUM
TAS000000218019 - SDNIVEL1</t>
  </si>
  <si>
    <t>CRQ000000243258</t>
  </si>
  <si>
    <t>AMAPRORHBTOM701, AMAPRORHBTOM801</t>
  </si>
  <si>
    <t>TAS000000222266 - EXP-EMPRESAS-MIDDLEWARE</t>
  </si>
  <si>
    <t>CRQ000000241724</t>
  </si>
  <si>
    <t>SVC-BBDD1CLUS, SVC-BBDD2CLUS, SVC-CIC1, SVC-CIC2, SVCTIMSR1-ALC, SVCTIMSR2-ALC, SVCTIMSR3-ALC, SVCTIMSR4-ALC, SVCTIMSR5-ALC, SVCTIMSR6-ALC, SVC-CCS1, SVC-CCS2, SVC-CSCR1, SVC-CSCR2, SVC-CSCR3, SVC-CSCR4, SVC-CSCR6, SVC-RCS1, SVC-RCS2, SVC-SRS, SVC_DC1, SVC_DC2</t>
  </si>
  <si>
    <t>TAS000000220801 - SDNIVEL1
TAS000000220444 - EXP-SQLSERVER TIC-SUM
TAS000000220544 - EXP-WINTEL TIC-SUM
TAS000000220769 - EXP-SQLSERVER TIC-SUM
TAS000000220447 - SDNIVEL1</t>
  </si>
  <si>
    <t>CRQ000000241268</t>
  </si>
  <si>
    <t>SMP - LEGALITAS - Actualizar parches de Microsoft mes de Febrero</t>
  </si>
  <si>
    <t>TAS000000219767 - EXP-CCT_CITRIX-TICLIENTES-SUM</t>
  </si>
  <si>
    <t>CRQ000000243281</t>
  </si>
  <si>
    <t>TAS000000222644 - CDSCLOUD_OPENSHIFT</t>
  </si>
  <si>
    <t>CRQ000000239902</t>
  </si>
  <si>
    <t>CED-105AL-BE01, CED-105AL-DC01, CED-105AL-HV01</t>
  </si>
  <si>
    <t>TAS000000217777 - SDNIVEL1
TAS000000217596 - EXP-CORREO COLABORATIVO EXCHANGE TIC-SUM
TAS000000218021 - SDNIVEL1</t>
  </si>
  <si>
    <t>Parcheado Seguridad Marzo 2021</t>
  </si>
  <si>
    <t>CRQ000000242777</t>
  </si>
  <si>
    <t>TAS000000222130 - SDNIVEL1
TAS000000221839 - EXP-WINTEL TIC-SUM
TAS000000221730 - EXP-SQLSERVER TIC-SUM
TAS000000222131 - SDNIVEL1</t>
  </si>
  <si>
    <t>CRQ000000242940</t>
  </si>
  <si>
    <t>CRM - TELEFONICA DE ESPAÑA, S.A.UNIPERSON - Actualización de certificados en PRO</t>
  </si>
  <si>
    <t>TAS000000222834 - EXP-EMPRESAS-MIDDLEWARE</t>
  </si>
  <si>
    <t>CRQ000000243689</t>
  </si>
  <si>
    <t>MAC - TUI - Parar el servicio proftp de la máquina ft1mpp01</t>
  </si>
  <si>
    <t>TAS000000222695 - EXP-EMPRESAS-SISTEMASLINUX</t>
  </si>
  <si>
    <t>CRQ000000242783</t>
  </si>
  <si>
    <t>TAS000000221846 - SDNIVEL1
TAS000000221847 - EXP-WINTEL TIC-SUM
TAS000000222144 - SDNIVEL1</t>
  </si>
  <si>
    <t>CRQ000000243743</t>
  </si>
  <si>
    <t>MAC - TUI - Solicitud de apagado del servidor sa5smp01</t>
  </si>
  <si>
    <t>TAS000000223549 - SSO SG EVENTOS
TAS000000223550 - EXP-EMPRESAS-SISTEMASLINUX
TAS000000223273 - EMP-BACKUP REMOTO-OMA-TE
TAS000000223640 - ENDPOINT SEGURIDAD
TAS000000223827 - EXP-EMPRESAS-SISTEMASLINUX</t>
  </si>
  <si>
    <t>CRQ000000243234</t>
  </si>
  <si>
    <t>NED - VITHAS - Desprovisión de servidores</t>
  </si>
  <si>
    <t>ECALC-PSPRO, ECGC-SCDesa, ECGC-SCPRO, ECGRA-LSPRO, ECLER-MSPRO, ECMAD-NSAPRO, ECMLG-PSADesa, ECMLG-PSADev, ECMLG-PSADev2, ECMLG-PSAPRO, ECTFE-SCPRO, ECVIG-NSFDesa, ECVIG-NSFPRO, ECVTO-SJDesa, ECVTO-SJPRO</t>
  </si>
  <si>
    <t>TAS000000222675 - SSO SG EVENTOS
TAS000000223128 - SISTEMAS BACKUP
TAS000000223043 - SOPORTE ENDPOINT
TAS000000222676 - EXP-WINTEL TIC-SUM
TAS000000223044 - CDSCLOUD_BACKUP_VITHAS
TAS000000223212 - EXP-EMPRESAS-BBDD</t>
  </si>
  <si>
    <t>CRQ000000243597</t>
  </si>
  <si>
    <t>CCAAMAD-SCTMgt, CCAAMAD-SCTPRE, CCAAMAD-SCTPRO</t>
  </si>
  <si>
    <t>TAS000000222678 - SSO SG EVENTOS
TAS000000223130 - SISTEMAS BACKUP
TAS000000222679 - SOPORTE ENDPOINT
TAS000000222992 - EXP-WINTEL TIC-SUM
TAS000000222993 - CDSCLOUD_BACKUP_VITHAS
TAS000000222680 - EXP-EMPRESAS-BBDD</t>
  </si>
  <si>
    <t>CRQ000000243484</t>
  </si>
  <si>
    <t>ViaMLG-PSADesa, ViaMLG-PSAPre, ViaVIG-NSFDesa</t>
  </si>
  <si>
    <t>TAS000000222682 - SSO SG EVENTOS
TAS000000223047 - SISTEMAS BACKUP
TAS000000222684 - SOPORTE ENDPOINT
TAS000000223132 - EXP-WINTEL TIC-SUM
TAS000000223133 - CDSCLOUD_BACKUP_VITHAS
TAS000000223048 - EXP-EMPRESAS-BBDD</t>
  </si>
  <si>
    <t>CRQ000000243412</t>
  </si>
  <si>
    <t>CHKINALC-MEDPro, CHKINALC-MEDSta, CHKINALC-PSPro, CHKINALC-PSSta, CHKINGC-SCPro, CHKINGC-SCSta, CHKINLER-MSPro, CHKINLER-MSSta, ChkInMAD-NSAPro, ChkInMAD-NSASta, CHKINMLG-PSAPro, CHKINMLG-PSASta, CHKINTFE-SCPro, CHKINTFE-SCSta, CHKINVTO-SJPro, CHKINVTO-SJSta</t>
  </si>
  <si>
    <t>TAS000000222870 - SSO SG EVENTOS
TAS000000222686 - SISTEMAS BACKUP
TAS000000222687 - SOPORTE ENDPOINT
TAS000000223049 - EXP-WINTEL TIC-SUM
TAS000000223220 - CDSCLOUD_BACKUP_VITHAS
TAS000000223050 - EXP-EMPRESAS-BBDD</t>
  </si>
  <si>
    <t>CRQ000000243682</t>
  </si>
  <si>
    <t>ICAROMAD-SCTSta, CCAAMAD-NSA2, CHCCorreo</t>
  </si>
  <si>
    <t>TAS000000223135 - SSO SG EVENTOS
TAS000000223137 - SISTEMAS BACKUP
TAS000000223051 - SOPORTE ENDPOINT
TAS000000222690 - EXP-WINTEL TIC-SUM
TAS000000222994 - CDSCLOUD_BACKUP_VITHAS
TAS000000222691 - EXP-EMPRESAS-BBDD</t>
  </si>
  <si>
    <t>CRQ000000241628</t>
  </si>
  <si>
    <t>TAS000000220908 - SDNIVEL1
TAS000000220782 - EXP-WINTEL TIC-SUM
TAS000000220909 - SDNIVEL1</t>
  </si>
  <si>
    <t>CRQ000000240923</t>
  </si>
  <si>
    <t>DGF - VERDIFRESH - Actualizar parches de Microsoft mes de Febrero</t>
  </si>
  <si>
    <t>TAS000000219658 - EXP-CCT_CITRIX-TICLIENTES-SUM</t>
  </si>
  <si>
    <t>Parcheado Seguridad Marzo 2021
CRQ cerrado de manera incorrecta (en relalidad se ha cancelado).
Se cancela la intervención ya que no se ha recibido el OK del cliente.
Se replanifica la misma con el CRQ000000244555.</t>
  </si>
  <si>
    <t>CRQ000000242708</t>
  </si>
  <si>
    <t>TAS000000221678 - SDNIVEL1
TAS000000221931 - EXP-WINTEL TIC-SUM
TAS000000221844 - SDNIVEL1</t>
  </si>
  <si>
    <t>CRQ000000242623</t>
  </si>
  <si>
    <t>CED-102JC-HV01, CED-102JC-DC01, CED-102JC-BE01, CED-102JC-BE02, CED-102JC-BE03, CED-102JC-BE04</t>
  </si>
  <si>
    <t>TAS000000222351 - SDNIVEL1
TAS000000222235 - EXP-CORREO COLABORATIVO EXCHANGE TIC-SUM
TAS000000222352 - SDNIVEL1</t>
  </si>
  <si>
    <t>Parcheado Seguridad Marzo 2021
WINTEL: "Por problemas en la instalación de parches y consecutivos retrasos queda pendiente el reinicio de la máquina vdcadcottet01, por lo que solicitamos ventana para poder realizarlo."
"Tras hablarlo por Telefono, se procede al reinicio del último equipo dejandolos todos parcheados."</t>
  </si>
  <si>
    <t>CRQ000000242958</t>
  </si>
  <si>
    <t>TAS000000221685 - SDNIVEL1
TAS000000221869 - EXP-WINTEL TIC-SUM
TAS000000221686 - SDNIVEL1</t>
  </si>
  <si>
    <t>CRQ000000243869</t>
  </si>
  <si>
    <t>MAC - TUI - Solicitud de apagado de los servidores tuidsimpre y tuidsimproapp</t>
  </si>
  <si>
    <t>tuidsimpre, tuidsimproapp</t>
  </si>
  <si>
    <t>TAS000000223643 - SSO SG EVENTOS
TAS000000223469 - EXP-EMPRESAS-SISTEMASLINUX
TAS000000223470 - EMP-BACKUP REMOTO-OMA-TE
TAS000000223471 - EXP-EMPRESAS-MIDDLEWARE
TAS000000223828 - EXP-EMPRESAS-BBDD
TAS000000223829 - ENDPOINT SEGURIDAD
TAS000000223644 - EXP-EMPRESAS-SISTEMASLINUX</t>
  </si>
  <si>
    <t>CRQ000000243620</t>
  </si>
  <si>
    <t>OAC - MELIA - Actualización parches MHITAMEDTRASQL - PRO</t>
  </si>
  <si>
    <t>MHITAMEDTRASQL</t>
  </si>
  <si>
    <t>TAS000000222699 - SDNIVEL1
TAS000000223058 - EXP-EMPRESAS-VIRTUALIZADOS
TAS000000223404 - EXP-EMPRESAS-VIRTUALIZADOS
TAS000000223405 - EXP-SQLSERVER TIC-SUM
TAS000000223228 - EXP-SQLSERVER TIC-SUM
TAS000000222700 - EXP-SQLSERVER TIC-SUM
TAS000000223406 - EXP-SQLSERVER TIC-SUM
TAS000000223143 - SDNIVEL1
TAS000000223407 - EXP-EMPRESAS-VIRTUALIZADOS</t>
  </si>
  <si>
    <t>CRQ000000242957</t>
  </si>
  <si>
    <t>TAS000000221684 - SDNIVEL1
TAS000000222154 - EXP-WINTEL TIC-SUM
TAS000000221745 - EXP-SQLSERVER TIC-SUM
TAS000000221941 - SDNIVEL1</t>
  </si>
  <si>
    <t>CRQ000000242506</t>
  </si>
  <si>
    <t>TAS000000221743 - SDNIVEL1
TAS000000222152 - EXP-WINTEL TIC-SUM
TAS000000221744 - SDNIVEL1</t>
  </si>
  <si>
    <t>CRQ000000244555</t>
  </si>
  <si>
    <t>TAS000000224801 - SDNIVEL1
TAS000000224395 - EXP-WINTEL TIC-SUM
TAS000000224438 - SDNIVEL1</t>
  </si>
  <si>
    <t>CRQ000000241203</t>
  </si>
  <si>
    <t>RLC - DGOJ - Actualizar parches de Microsoft mes de Febrero</t>
  </si>
  <si>
    <t>TAS000000219769 - EXP-CCT_CITRIX-TICLIENTES-SUM</t>
  </si>
  <si>
    <t>CRQ000000242625</t>
  </si>
  <si>
    <t>CED-102AL-HV01, CED-102AL-DC01, CED-102AL-BE01, CED-102AL-BE02, CED-102AL-BE03, CED-102AL-BE04</t>
  </si>
  <si>
    <t>TAS000000221985 - SDNIVEL1
TAS000000222548 - EXP-CORREO COLABORATIVO EXCHANGE TIC-SUM
TAS000000222549 - SDNIVEL1</t>
  </si>
  <si>
    <t>CRQ000000244477</t>
  </si>
  <si>
    <t>SRV-APP-MOVIL,  SRV-EST-391, SRV-EST-TOL, SRVLINX-BBDD, SRV-SCOBOSS, SRV-SDM, TPV001-391</t>
  </si>
  <si>
    <t>TAS000000224805 - SDNIVEL1
TAS000000224168 - EXP-WINTEL TIC-SUM
TAS000000224806 - SDNIVEL1</t>
  </si>
  <si>
    <t>CRQ000000243462</t>
  </si>
  <si>
    <t>TAS000000222967 - SDNIVEL1
TAS000000222284 - EXP-WINTEL TIC-SUM
TAS000000222968 - SDNIVEL1</t>
  </si>
  <si>
    <t>CRQ000000243651</t>
  </si>
  <si>
    <t>TAS000000223108 - SDNIVEL1
TAS000000222285 - EXP-WINTEL TIC-SUM
TAS000000222970 - SDNIVEL1</t>
  </si>
  <si>
    <t>CRQ000000244486</t>
  </si>
  <si>
    <t>tuidsdns01, tuidsdns02, tuidsdns03, dsbdta02</t>
  </si>
  <si>
    <t>TAS000000224925 - SSO SG EVENTOS
TAS000000224671 - EXP-WINTEL TIC-SUM
TAS000000224672 - SISTEMAS BACKUP
TAS000000224177 - SOPORTE ENDPOINT
TAS000000224816 - EXP-WINTEL TIC-SUM</t>
  </si>
  <si>
    <t>CRQ000000244139</t>
  </si>
  <si>
    <t>NED - VITHAS - Solicitud de apagado del servidor CManOraDWDev</t>
  </si>
  <si>
    <t>CManOraDWDev</t>
  </si>
  <si>
    <t>TAS000000224818 - SSO SG EVENTOS
TAS000000224674 - SISTEMAS BACKUP
TAS000000225011 - ENDPOINT SEGURIDAD
TAS000000224933 - EXP-WINTEL TIC-SUM
TAS000000224819 - CDSCLOUD_BACKUP_VITHAS
TAS000000224675 - EXP-EMPRESAS-BBDD</t>
  </si>
  <si>
    <t>CRQ000000244356</t>
  </si>
  <si>
    <t>OAC - MELIA - Actualización parches AllwaysOn Nodo MHITATOUCHPRO03 - PRO</t>
  </si>
  <si>
    <t>MHITATOUCHPRO03</t>
  </si>
  <si>
    <t>TAS000000223874 - SDNIVEL1
TAS000000223194 - EXP-SQLSERVER TIC-SUM
TAS000000223296 - EXP-SQLSERVER TIC-SUM
TAS000000223297 - EXP-SQLSERVER TIC-SUM
TAS000000224001 - EXP-SQLSERVER TIC-SUM
TAS000000223482 - EXP-SQLSERVER TIC-SUM
TAS000000223875 - EXP-SQLSERVER TIC-SUM
TAS000000223666 - EXP-SQLSERVER TIC-SUM
TAS000000224002 - EXP-SQLSERVER TIC-SUM
TAS000000224003 - EXP-SQLSERVER TIC-SUM
TAS000000223195 - SDNIVEL1</t>
  </si>
  <si>
    <t>CRQ000000242627</t>
  </si>
  <si>
    <t>OAC - MELIA - Instalación de parches de seguridad</t>
  </si>
  <si>
    <t>TAS000000222353 - SDNIVEL1
TAS000000222354 - EXP-CORREO COLABORATIVO EXCHANGE TIC-SUM
TAS000000222605 - SDNIVEL1</t>
  </si>
  <si>
    <t>CRQ000000244497</t>
  </si>
  <si>
    <t>NED - VITHAS - Remontar volumen ims2-ssd en kvmimsvig-nsf1</t>
  </si>
  <si>
    <t>kvmimsvig-nsf1, fsimsvig-nsf</t>
  </si>
  <si>
    <t>TAS000000225017 - SDNIVEL1
TAS000000224945 - EXP-WINTEL TIC-SUM
TAS000000224464 - EXP-EMPRESAS-SISTEMASLINUX
TAS000000224949 - SDNIVEL1</t>
  </si>
  <si>
    <t>CRQ000000244099</t>
  </si>
  <si>
    <t>AMAPROLABTOM701, AMAPROLABTOM801</t>
  </si>
  <si>
    <t>TAS000000224044 - EXP-EMPRESAS-MIDDLEWARE</t>
  </si>
  <si>
    <t>CRQ000000241370</t>
  </si>
  <si>
    <t>POOL - INVERAMA - Actualizar parches de Microsoft mes de Febrero</t>
  </si>
  <si>
    <t>TAS000000220205 - EXP-CCT_CITRIX-TICLIENTES-SUM</t>
  </si>
  <si>
    <t>CRQ000000243389</t>
  </si>
  <si>
    <t>TAS000000222287 - SDNIVEL1
TAS000000222978 - EXP-WINTEL TIC-SUM
TAS000000222288 - EXP-SQLSERVER TIC-SUM
TAS000000222979 - SDNIVEL1</t>
  </si>
  <si>
    <t>CRQ000000243211</t>
  </si>
  <si>
    <t>TAS000000222290 - SDNIVEL1
TAS000000222854 - EXP-WINTEL TIC-SUM
TAS000000222291 - SDNIVEL1</t>
  </si>
  <si>
    <t>CRQ000000244508</t>
  </si>
  <si>
    <t>FLG - CORREOS - PRO - Organizar volúmenes lógicos de los nodos en OCP</t>
  </si>
  <si>
    <t>TAS000000225301 - CDSCLOUD_OPENSHIFT</t>
  </si>
  <si>
    <t>Parcheado Seguridad Marzo 2021
WINTEL: "Ha fallado la instalación del KB5000803 En los siguientes servidores: melazusrvlivo02, melazusrvliva02, melazusrvlivc02, melazusrvlivf04, melazusrvlivo01, melazusrvliva01, melazusrvlivc01, melazusrvlivf01, melazusrvlivp01, melazusrvliv1.
La instalación inicial del parche fue ok pero tras el reinicio aparece como fallido. Los intentos de reinstalación dan error (parche ya instalado). Al no salir como instalado no se puede desinstalar para volver a instalar.
Desconocemos porque  falla en estos servidores. Este error tendrá que ser analizado."</t>
  </si>
  <si>
    <t>CRQ000000242070</t>
  </si>
  <si>
    <t>TAS000000220910 - SDNIVEL1
TAS000000220807 - EXP-SQLSERVER TIC-SUM
TAS000000220783 - EXP-WINTEL TIC-SUM
TAS000000220460 - EXP-SQLSERVER TIC-SUM
TAS000000220785 - SDNIVEL1</t>
  </si>
  <si>
    <t>CRQ000000243655</t>
  </si>
  <si>
    <t>TAS000000222293 - SDNIVEL1
TAS000000222294 - EXP-WINTEL TIC-SUM
TAS000000222981 - EXP-SQLSERVER TIC-SUM
TAS000000222295 - EXP-EMPRESAS-MIDDLEWARE
TAS000000222652 - SDNIVEL1</t>
  </si>
  <si>
    <t>CRQ000000243214</t>
  </si>
  <si>
    <t>TAS000000222982 - SDNIVEL1
TAS000000222983 - EXP-WINTEL TIC-SUM
TAS000000222296 - SDNIVEL1</t>
  </si>
  <si>
    <t>CRQ000000244898</t>
  </si>
  <si>
    <t>sa6ldp03, ft1mpp01, tuisftpsec, sa6ldp02, sa6ldp04</t>
  </si>
  <si>
    <t>TAS000000225165 - SSO SG EVENTOS
TAS000000225372 - EXP-EMPRESAS-SISTEMASLINUX
TAS000000225166 - EMP-BACKUP REMOTO-OMA-TE
TAS000000225638 - EXP-EMPRESAS-MIDDLEWARE
TAS000000225167 - ENDPOINT SEGURIDAD
TAS000000225558 - EXP-EMPRESAS-SISTEMASLINUX</t>
  </si>
  <si>
    <t>CRQ000000244077</t>
  </si>
  <si>
    <t>OAC - MELIA - Actualización parches AllwaysOn Nodo MHITATOUCHPRO04 - PRO</t>
  </si>
  <si>
    <t>MHITATOUCHPRO04</t>
  </si>
  <si>
    <t>TAS000000223877 - SDNIVEL1
TAS000000223560 - EXP-SQLSERVER TIC-SUM
TAS000000224007 - EXP-SQLSERVER TIC-SUM
TAS000000223484 - EXP-SQLSERVER TIC-SUM
TAS000000223671 - EXP-SQLSERVER TIC-SUM
TAS000000224008 - EXP-SQLSERVER TIC-SUM
TAS000000223671 - EXP-SQLSERVER TIC-SUM
TAS000000224008 - EXP-SQLSERVER TIC-SUM
TAS000000224009 - EXP-SQLSERVER TIC-SUM
TAS000000224010 - EXP-SQLSERVER TIC-SUM
TAS000000224011 - EXP-SQLSERVER TIC-SUM
TAS000000224012 - EXP-SQLSERVER TIC-SUM
TAS000000223673 - SDNIVEL1</t>
  </si>
  <si>
    <t>CRQ000000242539</t>
  </si>
  <si>
    <t>TAS000000222355 - SDNIVEL1
TAS000000221988 - EXP-CORREO COLABORATIVO EXCHANGE TIC-SUM
TAS000000222802 - SDNIVEL1</t>
  </si>
  <si>
    <t>CRQ000000244130</t>
  </si>
  <si>
    <t>SRV-DQUEST, SRV-DQUESTFE, SRV-QLIKPRO3, SRVGVS09C01</t>
  </si>
  <si>
    <t>TAS000000224286 - SDNIVEL1
TAS000000224807 - EXP-WINTEL TIC-SUM
TAS000000224652 - SDNIVEL1</t>
  </si>
  <si>
    <t>CRQ000000243573</t>
  </si>
  <si>
    <t>TAS000000222857 - SDNIVEL1
TAS000000222858 - EXP-WINTEL TIC-SUM
TAS000000222297 - SDNIVEL1</t>
  </si>
  <si>
    <t>CRQ000000244607</t>
  </si>
  <si>
    <t>NED - VITHAS - Instalación roles licencing server en XHISVIC04</t>
  </si>
  <si>
    <t>DNSMaster, XHISVIC04</t>
  </si>
  <si>
    <t>TAS000000225061 - EXP-WINTEL TIC-SUM</t>
  </si>
  <si>
    <t>CRQ000000243392</t>
  </si>
  <si>
    <t>TAS000000222860 - SDNIVEL1
TAS000000222298 - EXP-WINTEL TIC-SUM
TAS000000222985 - SDNIVEL1</t>
  </si>
  <si>
    <t>CRQ000000244973</t>
  </si>
  <si>
    <t>MAC - TUI - Solicitud de baja definitiva de servidores</t>
  </si>
  <si>
    <t>bd1rhp01, sa3csd01, sa5sad01, dssapbddr01, dssapbddr02, sa5sap01, dssapbdpro01, dssapbdpro02, sa2sap02, sa6csp04, sa6sat02, dsoem01</t>
  </si>
  <si>
    <t>TAS000000225146 - SSO SG EVENTOS
TAS000000225524 - EXP-EMPRESAS-SISTEMASLINUX
TAS000000225147 - ENDPOINT SEGURIDAD
TAS000000225148 - EXP-EMPRESAS-SISTEMASLINUX</t>
  </si>
  <si>
    <t>CRQ000000244796</t>
  </si>
  <si>
    <t>MAC - TUI - Solicitud de baja definitiva del servidor tuidsimpre, tuidsimproapp</t>
  </si>
  <si>
    <t>TAS000000225517 - SSO SG EVENTOS
TAS000000224856 - EXP-EMPRESAS-SISTEMASLINUX
TAS000000225144 - ENDPOINT SEGURIDAD
TAS000000224858 - EXP-EMPRESAS-SISTEMASLINUX</t>
  </si>
  <si>
    <t>CRQ000000243670</t>
  </si>
  <si>
    <t>TAS000000222673 - SDNIVEL1
TAS000000222990 - EXP-WINTEL TIC-SUM
TAS000000222674 - SDNIVEL1</t>
  </si>
  <si>
    <t>CRQ000000243615</t>
  </si>
  <si>
    <t>TAS000000223053 - SDNIVEL1
TAS000000222997 - EXP-WINTEL TIC-SUM
TAS000000223223 - SDNIVEL1</t>
  </si>
  <si>
    <t>CRQ000000243494</t>
  </si>
  <si>
    <t>TAS000000222887 - SDNIVEL1
TAS000000223055 - EXP-WINTEL TIC-SUM
TAS000000223402 - SDNIVEL1</t>
  </si>
  <si>
    <t>CRQ000000244431</t>
  </si>
  <si>
    <t>TAS000000224905 - SDNIVEL1
TAS000000224655 - EXP-WINTEL TIC-SUM
TAS000000224914 - SDNIVEL1</t>
  </si>
  <si>
    <t>CRQ000000243327</t>
  </si>
  <si>
    <t>TAS000000223418 - SDNIVEL1
TAS000000223144 - EXP-WINTEL TIC-SUM
TAS000000223231 - SDNIVEL1</t>
  </si>
  <si>
    <t>CRQ000000243212</t>
  </si>
  <si>
    <t>TAS000000226312 - SDNIVEL1
TAS000000226313 - EXP-WINTEL TIC-SUM
TAS000000226194 - SDNIVEL1</t>
  </si>
  <si>
    <t>WINTEL: "Por problemas en tasa de transferencia la implantación se demorará mas allá de la ventana. Esta GTS informado."</t>
  </si>
  <si>
    <t>CRQ000000245091</t>
  </si>
  <si>
    <t>JBQ - LA FABRICA DE LA TELE - Solicitud de migración de los datos en archivodig a 172.19.22.214/NASLFT</t>
  </si>
  <si>
    <t>B84603935 - LA FABRICA DE LA TELE S.L.</t>
  </si>
  <si>
    <t>JUAN ANTONIO BENEYTO QUINTAS</t>
  </si>
  <si>
    <t>archivodig, SVM_5170_LFT 172.19.22.214/NASLFT</t>
  </si>
  <si>
    <t>TAS000000225398 - EXP-WINTEL TIC-SUM</t>
  </si>
  <si>
    <t>CRQ000000243428</t>
  </si>
  <si>
    <t>TAS000000223511 - SDNIVEL1
TAS000000223429 - EXP-WINTEL TIC-SUM
TAS000000223512 - SDNIVEL1</t>
  </si>
  <si>
    <t>CRQ000000244885</t>
  </si>
  <si>
    <t>MAC - TUI - Solicitud de baja definitiva del servidor dsbdta02</t>
  </si>
  <si>
    <t>dsbdta02</t>
  </si>
  <si>
    <t>TAS000000224884 - SSO SG EVENTOS
TAS000000225149 - EXP-EMPRESAS-SISTEMASLINUX
TAS000000225532 - ENDPOINT SEGURIDAD
TAS000000225150 - EXP-EMPRESAS-SISTEMASLINUX</t>
  </si>
  <si>
    <t>CRQ000000244950</t>
  </si>
  <si>
    <t>bck1mad-sct.wmanager.cloud, dns1mad-sct.wmanager.cloud, dns2mad-sct.wmanager.cloud, kdc1mad-sct.wmanager.cloud, kdc2mad-sct.wmanager.cloud, ldap1mad-sct.wmanager.cloud, ldap2mad-sct.wmanager.cloud, nfs1mad-sct.wmanager.cloud</t>
  </si>
  <si>
    <t>TAS000000224468 - SSO SG EVENTOS
TAS000000224685 - EXP-EMPRESAS-SISTEMASLINUX
TAS000000225107 - EXP-EMPRESAS-SISTEMASLINUX</t>
  </si>
  <si>
    <t>CRQ000000243705</t>
  </si>
  <si>
    <t>TAS000000223068 - SDNIVEL1
TAS000000223241 - EXP-WINTEL TIC-SUM
TAS000000223069 - SDNIVEL1</t>
  </si>
  <si>
    <t>CRQ000000244745</t>
  </si>
  <si>
    <t>JPP - GRUPO EMPRESARIAL RACE - Instalación de parches de seguridad - JC</t>
  </si>
  <si>
    <t>CED-09JC-BE01, CED-09JC-DC01, CED-JCHV-03</t>
  </si>
  <si>
    <t>TAS000000225003 - SDNIVEL1
TAS000000224669 - EXP-CORREO COLABORATIVO EXCHANGE TIC-SUM
TAS000000225004 - SDNIVEL1</t>
  </si>
  <si>
    <t>CRQ000000244560</t>
  </si>
  <si>
    <t>RMN - TALGO - Instalación de parches de seguridad - JC</t>
  </si>
  <si>
    <t>CED-08JC-BE01, CED-08JC-DC01, CED-JCHV-03</t>
  </si>
  <si>
    <t>TAS000000224443 - SDNIVEL1
TAS000000224808 - EXP-CORREO COLABORATIVO EXCHANGE TIC-SUM
TAS000000225001 - SDNIVEL1</t>
  </si>
  <si>
    <t>CRQ000000244635</t>
  </si>
  <si>
    <t>TAS000000225669 - EXP-EMPRESAS-MIDDLEWARE
TAS000000225397 - EXP-EMPRESAS-BBDD</t>
  </si>
  <si>
    <t>CRQ000000245233</t>
  </si>
  <si>
    <t>JPG - SEMARK - Solicitud de desprovisión del servidor SRV-VOCOLLECT</t>
  </si>
  <si>
    <t>SRV-VOCOLLECT</t>
  </si>
  <si>
    <t>TAS000000226767 - SSO SG EVENTOS
TAS000000226768 - SISTEMAS BACKUP
TAS000000226389 - SOPORTE ENDPOINT
TAS000000227115 - EXP-WINTEL TIC-SUM</t>
  </si>
  <si>
    <t>CRQ000000244797</t>
  </si>
  <si>
    <t>MAC - TUI - Solicitud de baja definitiva del servidor sa5smp01</t>
  </si>
  <si>
    <t>TAS000000225520 - SSO SG EVENTOS
TAS000000225521 - EXP-EMPRESAS-SISTEMASLINUX
TAS000000225345 - ENDPOINT SEGURIDAD
TAS000000225233 - EXP-EMPRESAS-SISTEMASLINUX</t>
  </si>
  <si>
    <t>CRQ000000245479</t>
  </si>
  <si>
    <t>NED - VITHAS - Solicitud de apagado del servidor ChkInGRA-LSDev</t>
  </si>
  <si>
    <t>ChkInGRA-LSDev</t>
  </si>
  <si>
    <t>TAS000000226848 - SSO SG EVENTOS
TAS000000227113 - SISTEMAS BACKUP
TAS000000226595 - SOPORTE ENDPOINT
TAS000000227067 - EXP-WINTEL TIC-SUM
TAS000000227114 - CDSCLOUD_BACKUP_VITHAS
TAS000000226388 - EXP-EMPRESAS-BBDD</t>
  </si>
  <si>
    <t>CRQ000000245398</t>
  </si>
  <si>
    <t>TAS000000226839 - SDNIVEL1
TAS000000226374 - EXP-WINTEL TIC-SUM
TAS000000226840 - SDNIVEL1</t>
  </si>
  <si>
    <t>CRQ000000243763</t>
  </si>
  <si>
    <t>TAS000000223244 - SDNIVEL1
TAS000000223245 - EXP-WINTEL TIC-SUM
TAS000000223077 - EXP-EMPRESAS-MIDDLEWARE
TAS000000223436 - SDNIVEL1</t>
  </si>
  <si>
    <t>CRQ000000244437</t>
  </si>
  <si>
    <t>RMN - TALGO - Instalación de parches de seguridad - AL</t>
  </si>
  <si>
    <t>CED-08AL-BE01, CED-08AL-DC01, CED-AL-HV03</t>
  </si>
  <si>
    <t>TAS000000224919 - SDNIVEL1
TAS000000224921 - EXP-CORREO COLABORATIVO EXCHANGE TIC-SUM
TAS000000224922 - SDNIVEL1</t>
  </si>
  <si>
    <t>CRQ000000243504</t>
  </si>
  <si>
    <t>TAS000000222897 - SDNIVEL1
TAS000000223432 - EXP-CCT_O365 TIC-SUM
TAS000000223074 - EXP-CCT_O365 TIC-SUM
TAS000000223075 - EXP-CCT_O365 TIC-SUM
TAS000000223146 - EXP-CCT_O365 TIC-SUM
TAS000000223147 - SDNIVEL1</t>
  </si>
  <si>
    <t>CRQ000000244438</t>
  </si>
  <si>
    <t>JPP - GRUPO EMPRESARIAL RACE - Instalación de parches de seguridad - AL</t>
  </si>
  <si>
    <t>CED-09AL-BE01, CED-09AL-DC01, CED-AL-HV03</t>
  </si>
  <si>
    <t>TAS000000224813 - SDNIVEL1
TAS000000224455 - EXP-CORREO COLABORATIVO EXCHANGE TIC-SUM
TAS000000224814 - SDNIVEL1</t>
  </si>
  <si>
    <t>CRQ000000246159</t>
  </si>
  <si>
    <t>TAS000000227781 - EXP-EMPRESAS-MIDDLEWARE</t>
  </si>
  <si>
    <t>CRQ000000243637</t>
  </si>
  <si>
    <t>TAS000000223158 - SDNIVEL1
TAS000000223515 - EXP-WINTEL TIC-SUM
TAS000000223249 - EXP-SQLSERVER TIC-SUM
TAS000000223437 - SDNIVEL1</t>
  </si>
  <si>
    <t>CRQ000000246268</t>
  </si>
  <si>
    <t>MAC - TUI - Solicitud de apagado del servidor tuilogmppr01</t>
  </si>
  <si>
    <t>tuilogmppr01</t>
  </si>
  <si>
    <t>TAS000000227812 - SSO SG EVENTOS
TAS000000227642 - EXP-EMPRESAS-SISTEMASLINUX
TAS000000227643 - EMP-BACKUP REMOTO-OMA-TE
TAS000000227644 - ENDPOINT SEGURIDAD
TAS000000227735 - EXP-EMPRESAS-SISTEMASLINUX</t>
  </si>
  <si>
    <t>CRQ000000245861</t>
  </si>
  <si>
    <t>sa6ldp03, ft1mpp01, tuisftpsec, sa6ldp04, sa6ldp02</t>
  </si>
  <si>
    <t>TAS000000227568 - SSO SG EVENTOS
TAS000000227453 - EXP-EMPRESAS-SISTEMASLINUX
TAS000000226892 - ENDPOINT SEGURIDAD
TAS000000227248 - EXP-EMPRESAS-SISTEMASLINUX</t>
  </si>
  <si>
    <t>CRQ000000244759</t>
  </si>
  <si>
    <t>TAS000000225101 - EXP-CORREO COLABORATIVO EXCHANGE TIC-SUM</t>
  </si>
  <si>
    <t>CRQ000000243719</t>
  </si>
  <si>
    <t>TAS000000223805 - SDNIVEL1
TAS000000223622 - EXP-WINTEL TIC-SUM
TAS000000223535 - SDNIVEL1</t>
  </si>
  <si>
    <t>CRQ000000243947</t>
  </si>
  <si>
    <t>TAS000000223624 - SDNIVEL1
TAS000000223806 - EXP-CCT_O365 TIC-SUM
TAS000000223260 - EXP-CCT_O365 TIC-SUM
TAS000000223625 - EXP-CCT_O365 TIC-SUM
TAS000000223449 - EXP-CCT_O365 TIC-SUM
TAS000000223450 - SDNIVEL1</t>
  </si>
  <si>
    <t>CRQ000000245282</t>
  </si>
  <si>
    <t>TAS000000226842 - SDNIVEL1
TAS000000226493 - EXP-SQLSERVER TIC-SUM
TAS000000226375 - EXP-WINTEL TIC-SUM
TAS000000226740 - EXP-SQLSERVER TIC-SUM
TAS000000226843 - SDNIVEL1</t>
  </si>
  <si>
    <t>Escalado: solicitud de generar el cambio con &lt; 48 horas de pre aviso.
Se replanifica el CRQ para el 25/03/2021 a las 8:00:00 por petición del cliente.</t>
  </si>
  <si>
    <t>CRQ000000246255</t>
  </si>
  <si>
    <t>OAC - MELIA - Cambio en directorio de logs escevws032solrm (PRE)</t>
  </si>
  <si>
    <t>escevws032solrm</t>
  </si>
  <si>
    <t>TAS000000227640 - EXP-EMPRESAS-MIDDLEWARE</t>
  </si>
  <si>
    <t>CRQ000000246421</t>
  </si>
  <si>
    <t>OAC - MELIA - Modificación vCPU en el servidor ESCEVDB032SOLRM de 8 vCPU a 6 vCPU</t>
  </si>
  <si>
    <t>ESCEVDB032SOLRM</t>
  </si>
  <si>
    <t>TAS000000228316 - SDNIVEL1
TAS000000228146 - EXP-SQLSERVER TIC-SUM
TAS000000228147 - EXP-EMPRESAS-VIRTUALIZADOS
TAS000000228317 - EXP-EMPRESAS-VIRTUALIZADOS
TAS000000228156 - EXP-EMPRESAS-SISTEMASLINUX
TAS000000227691 - EXP-SQLSERVER TIC-SUM
TAS000000228401 - SDNIVEL1</t>
  </si>
  <si>
    <t>CRQ000000246371</t>
  </si>
  <si>
    <t>MAC - TUI - Solicitud de baja definitiva del servidor tuilogmppr01</t>
  </si>
  <si>
    <t>TAS000000227486 - EXP-EMPRESAS-SISTEMASLINUX</t>
  </si>
  <si>
    <t>CRQ000000244580</t>
  </si>
  <si>
    <t>TAS000000224830 - EXP-CORREO COLABORATIVO EXCHANGE TIC-SUM</t>
  </si>
  <si>
    <t>CRQ000000245837</t>
  </si>
  <si>
    <t>TAS000000227390 - EXP-EMPRESAS-MIDDLEWARE</t>
  </si>
  <si>
    <t>CRQ000000246947</t>
  </si>
  <si>
    <t>SCT - COMUNIDAD AUTONOMA DE LA RIOJA - Actualización catálogos para acceso vedoque y configuración sticky notes</t>
  </si>
  <si>
    <t>TAS000000228712 - EXP-CCT_CITRIX-TICLIENTES-SUM</t>
  </si>
  <si>
    <t>Parcheado Seguridad Marzo 2021
Debido a problemas técnicos no se ha podido realizar este CRQ en la fecha planificada. Se replanifica la intervención para el 26/03/2021 de 0:00 a 5:00 (fecha consensuada con el cliente).</t>
  </si>
  <si>
    <t>CRQ000000243431</t>
  </si>
  <si>
    <t>TAS000000227625 - SDNIVEL1
TAS000000227715 - EXP-WINTEL TIC-SUM
TAS000000227717 - SDNIVEL1</t>
  </si>
  <si>
    <t>CRQ000000245889</t>
  </si>
  <si>
    <t>NED - VITHAS - Subida de ficheros en PRO</t>
  </si>
  <si>
    <t>TAS000000228163 - EXP-EMPRESAS-MIDDLEWARE</t>
  </si>
  <si>
    <t>CRQ000000246239</t>
  </si>
  <si>
    <t>NED - VITHAS - Solicitud de apagado del servidor vumaops</t>
  </si>
  <si>
    <t>vumaops</t>
  </si>
  <si>
    <t>TAS000000228714 - SSO SG EVENTOS
TAS000000228927 - EXP-EMPRESAS-SISTEMASLINUX
TAS000000228928 - EXP-EMPRESAS-SISTEMASLINUX</t>
  </si>
  <si>
    <t>CRQ000000243727</t>
  </si>
  <si>
    <t>TAS000000223629 - SDNIVEL1
TAS000000223167 - EXP-WINTEL TIC-SUM
TAS000000223811 - SDNIVEL1</t>
  </si>
  <si>
    <t>CRQ000000243724</t>
  </si>
  <si>
    <t>TAS000000223627 - SDNIVEL1
TAS000000223810 - EXP-WINTEL TIC-SUM
TAS000000223628 - SDNIVEL1</t>
  </si>
  <si>
    <t>CRQ000000246538</t>
  </si>
  <si>
    <t>CRA - CAJA ASTURIAS - Actualización parches Microsoft Marzo e Inclusión Sufijos DNS</t>
  </si>
  <si>
    <t>TAS000000228354 - EXP-CCT_CITRIX-TICLIENTES-SUM</t>
  </si>
  <si>
    <t>CRQ000000243628</t>
  </si>
  <si>
    <t>TAS000000223232 - SDNIVEL1
TAS000000223233 - EXP-WINTEL TIC-SUM
TAS000000222891 - SDNIVEL1</t>
  </si>
  <si>
    <t>CRQ000000246740</t>
  </si>
  <si>
    <t>AMP - TRANS-SESE, S.L. - Acciones correctivas PROTASESE1, PROTASESE2, PROTAHASQL2 y PROTAHASQL1</t>
  </si>
  <si>
    <t>B50600527 - TRANS-SESE, S.L.</t>
  </si>
  <si>
    <t>ANGEL MARTINEZ PAYERPAJ</t>
  </si>
  <si>
    <t>PROTASESE1, PROTASESE2, PROTAHASQL2, PROTAHASQL1</t>
  </si>
  <si>
    <t>TAS000000228960 - EXP-WINTEL TIC-SUM</t>
  </si>
  <si>
    <t>WINTEL: "Se eliminan las máquinas solicitadas a excepción de:
ECLER-MSPRO	172.21.112.24
ECMAD-NSAPRO	172.21.192.24
ChkInMAD-NSAPro	172.21.192.128
ChkInMAD-NSASta	172.21.192.129
CCAAMAD-NSA2	172.21.207.90
Puesto que se encuentran encendidas."</t>
  </si>
  <si>
    <t>CRQ000000246713</t>
  </si>
  <si>
    <t>NED - VITHAS - Solicitud de desprovisión de servidores</t>
  </si>
  <si>
    <t>CHKINALC-MEDPRO, CHKINALC-MEDSTA, CHKINALC-PSPRO, CHKINALC-PSSTA, CHKINGC-SCPRO, CHKINGC-SCSTA, CHKINLER-MSPRO, CHKINLER-MSSTA, ChkInMAD-NSAPro, ChkInMAD-NSASta, CHKINMLG-PSAPRO, CHKINMLG-PSASTA, CHKINTFE-SCPRO, CHKINTFE-SCSTA, CHKINVTO-SJPRO, CHKINVTO-SJSTA, CCAAMAD-SCTMgt, CCAAMAD-SCTPRE, CCAAMAD-SCTPRO, ECALC-PSPRO, ECGC-SCDesa, ECGC-SCPRO, ECGRA-LSPRO, ECLER-MSPRO, ECMAD-NSAPRO, ECMLG-PSADesa, ECMLG-PSADev, ECMLG-PSADev2, ECMLG-PSAPRO, ECTFE-SCPRO, ECVIG-NSFDesa, ECVIG-NSFPRO, ECVTO-SJDesa, ECVTO-SJPRO, ICAROMAD-SCTSta, CCAAMAD-NSA2, CHCCorreo, CManOraDWDev</t>
  </si>
  <si>
    <t>TAS000000228641 - SSO SG EVENTOS
TAS000000228535 - SISTEMAS BACKUP
TAS000000228914 - SOPORTE ENDPOINT
TAS000000228915 - EXP-WINTEL TIC-SUM
TAS000000228710 - CDSCLOUD_BACKUP_VITHAS</t>
  </si>
  <si>
    <t>CRQ000000247271</t>
  </si>
  <si>
    <t>FLG - CORREOS - PRO - Actualización de Datadog</t>
  </si>
  <si>
    <t>Solo la monitorización de Datadog</t>
  </si>
  <si>
    <t>TAS000000229322 - CDSCLOUD_OPENSHIFT</t>
  </si>
  <si>
    <t>CRQ000000243730</t>
  </si>
  <si>
    <t>TAS000000223631 - SDNIVEL1
TAS000000223169 - EXP-WINTEL TIC-SUM
TAS000000223632 - SDNIVEL1</t>
  </si>
  <si>
    <t>CRQ000000247246</t>
  </si>
  <si>
    <t>xHisDepMAD-SCT.nehos21.net, TRMonApp.nehos21.net, scsmcaumgt.nehos21.net, SysMGTMAD-SCT.nehos21.net</t>
  </si>
  <si>
    <t>TAS000000228676 - SSO SG EVENTOS
TAS000000228393 - SISTEMAS BACKUP
TAS000000229124 - SOPORTE ENDPOINT
TAS000000228889 - EXP-WINTEL TIC-SUM
TAS000000228678 - CDSCLOUD_BACKUP_VITHAS
TAS000000228890 - EXP-EMPRESAS-BBDD</t>
  </si>
  <si>
    <t>CRQ000000247109</t>
  </si>
  <si>
    <t>SMP - LEGALITAS - Actualizar parches de Microsoft mes de Marzo y cliente Velneo</t>
  </si>
  <si>
    <t>TAS000000229345 - EXP-CCT_CITRIX-TICLIENTES-SUM</t>
  </si>
  <si>
    <t>CRQ000000244081</t>
  </si>
  <si>
    <t>TAS000000223880 - EXP-CCT_CITRIX-TICLIENTES-SUM
TAS000000223489 - EXP-CCT-SQLSERVER TIC-SUM
TAS000000223879 - EXP-CCT-WINTEL TIC-SUM</t>
  </si>
  <si>
    <t>CRQ000000244083</t>
  </si>
  <si>
    <t>TAS000000223882 - EXP-CCT_CITRIX-TICLIENTES-SUM
TAS000000224022 - EXP-CCT-SQLSERVER TIC-SUM
TAS000000224108 - EXP-CCT-WINTEL TIC-SUM</t>
  </si>
  <si>
    <t>CRQ000000247662</t>
  </si>
  <si>
    <t>PRP - AEPD - Despliegue del nuevo war en PRO y añadir redirección en Apache</t>
  </si>
  <si>
    <t>TAS000000229824 - EXP-EMPRESAS-MIDDLEWARE</t>
  </si>
  <si>
    <t>CRQ000000246843</t>
  </si>
  <si>
    <t>TAS000000229328 - SSO SG EVENTOS
TAS000000229329 - SISTEMAS BACKUP
TAS000000229163 - SOPORTE ENDPOINT
TAS000000229415 - EXP-WINTEL TIC-SUM</t>
  </si>
  <si>
    <t>CRQ000000247533</t>
  </si>
  <si>
    <t>nav2018dev.kepler21.net, navsql17dev.kepler21.net, wxhiswine</t>
  </si>
  <si>
    <t>TAS000000230376 - SSO SG EVENTOS
TAS000000230716 - EXP-EMPRESAS-SISTEMASLINUX
TAS000000230377 - EXP-EMPRESAS-SISTEMASLINUX</t>
  </si>
  <si>
    <t>CRQ000000247700</t>
  </si>
  <si>
    <t>NED - VITHAS - Solicitud de baja definitiva de servidores</t>
  </si>
  <si>
    <t>bck1mad-sct.wmanager.cloud
dns1mad-sct.wmanager.cloud
dns2mad-sct.wmanager.cloud
kdc1mad-sct.wmanager.cloud
kdc2mad-sct.wmanager.cloud
ldap1mad-sct.wmanager.cloud
ldap2mad-sct.wmanager.cloud
nfs1mad-sct.wmanager.cloud 
kbmastergc-sc.kepler21.net
kubeimsgc-sc4.kepler21.net
kbmastergra-ls.kepler21.net
kubeimsgra-ls1.kepler21.net
kubeimsgra-ls2.kepler21.net
kubeimsgra-ls3.kepler21.net
kubeimsgra-ls4.kepler21.net
kubeimsgra-ls5.kepler21.net
kubeimsgra-ls6.kepler21.net
kbmasterler-ms.kepler21.net
kubeimsler-ms1.kepler21.net
kubeimsler-ms2.kepler21.net
kubeimsler-ms3.kepler21.net
kubeimsler-ms4.kepler21.net
kubeimsler-ms5.kepler21.net
kubeimsler-ms6.kepler21.net
kubeimsmlg-psa5.kepler21.net
kubeimsmlg-psa6.kepler21.net
kbmastervig-nsf.kepler21.net
kubeimsvig-nsf1.kepler21.net
kubeimsvig-nsf2.kepler21.net
kubeimsvig-nsf3.kepler21.net
kubeimsvig-nsf4.kepler21.net
kubeimsvig-nsf5.kepler21.net
kubeimsvig-nsf6.kepler21.net
kbmastervto-sj.kepler21.net
kubeimsvto-sj1.kepler21.net
kubeimsvto-sj2.kepler21.net
kubeimsvto-sj3.kepler21.net
kubeimsvto-sj4.kepler21.net
kubeimsvto-sj5.kepler21.net
kubeimsvto-sj6.kepler21.net
vumaops</t>
  </si>
  <si>
    <t>TAS000000230481 - SSO SG EVENTOS
TAS000000230627 - EXP-EMPRESAS-SISTEMASLINUX
TAS000000230297 - EXP-EMPRESAS-SISTEMASLINUX</t>
  </si>
  <si>
    <t>Escalado: solicitud de generar el cambio con &lt; 48 horas de pre aviso.
BBDD: "Se aplica el parche al software, pero no se ha podido aplicar a la bbdd ya que un parche antiguo se ha borrado su carpeta y no puede hacer rollback de el para poder quitarlo y sustituirlo por los nuevos:
Error: prereq checks failed!
patch 22674709: Archived patch directory is empty
Prereq check failed, exiting without installing any patches.
Hemos tratado de descargar este parche pero nos pide una contraseña. Hemos solicita acceso a soporte oracle para que nos den el parche.
Quedamos a la espera a de que mañana compruebe aplicativo segun Oscar para borrar snap y finalizar CRQ."</t>
  </si>
  <si>
    <t>ORACLE</t>
  </si>
  <si>
    <t>CRQ000000247722</t>
  </si>
  <si>
    <t>OAC - MELIA - Actualización parches escevdb032solrm - PRE</t>
  </si>
  <si>
    <t>TAS000000231357 - SDNIVEL1
TAS000000231358 - EXP-EMPRESAS-VIRTUALIZADOS
TAS000000231359 - EXP-EMPRESAS-VIRTUALIZADOS
TAS000000231360 - EXP-EMPRESAS-BBDD
TAS000000231162 - EXP-EMPRESAS-BBDD
TAS000000231163 - SDNIVEL1
TAS000000231055 - EXP-EMPRESAS-VIRTUALIZADOS</t>
  </si>
  <si>
    <t>Escalado: solicitud de generar el cambio con &lt; 48 horas de pre aviso.
Francisco Javier Pérez Miguel: "Tras hablar con el gestor de servicio y con el cliente, se cancela el cambio descrito. Finalmente el proveedor de cliente será el que migre las BBDD, por lo que no es necesaria ya la sincronización de las mismas ni la realización del backup. Se les dará permisos de sysadmin al usuario del proveedor para la realización de las tareas hasta el cambio. Pepe, quizás a Belén haya que decirle que durante el tiempo que el proveedor sea sysadmin, nosotros no podemos garantizar ningún servicio."</t>
  </si>
  <si>
    <t>CRQ000000247916</t>
  </si>
  <si>
    <t>POOL - COMERCIAL AUTO TRACTOR - Backup de Bases de Datos en DCTR01-BDT101</t>
  </si>
  <si>
    <t>TAS000000231068 - EXP-EMPRESAS-BBDD</t>
  </si>
  <si>
    <t>CRQ000000247079</t>
  </si>
  <si>
    <t>POOL - CAF - Actualizar parches de Microsoft mes de Marzo</t>
  </si>
  <si>
    <t>TAS000000229133 - EXP-CCT_CITRIX-TICLIENTES-SUM</t>
  </si>
  <si>
    <t>CRQ000000247288</t>
  </si>
  <si>
    <t>TAS000000229350 - SDNIVEL1
TAS000000229351 - EXP-CORREO COLABORATIVO EXCHANGE TIC-SUM
TAS000000229352 - SDNIVEL1</t>
  </si>
  <si>
    <t>CRQ000000247294</t>
  </si>
  <si>
    <t>TAS000000229377 - EXP-EMPRESAS-BBDD
TAS000000229547 - EXP-EMPRESAS-MIDDLEWARE
TAS000000229437 - EXP-EMPRESAS-BBDD</t>
  </si>
  <si>
    <t>CRQ000000247791</t>
  </si>
  <si>
    <t>OAC - MELIA - Cambio de URL en servidor Apache</t>
  </si>
  <si>
    <t>mhitaalbum01</t>
  </si>
  <si>
    <t>TAS000000230265 - EXP-EMPRESAS-MIDDLEWARE</t>
  </si>
  <si>
    <t>CRQ000000246911</t>
  </si>
  <si>
    <t>DJS - VERDIFRESH - Actualizar parches de Microsoft mes de Marzo</t>
  </si>
  <si>
    <t xml:space="preserve">TAS000000229301 - EXP-CCT_CITRIX-TICLIENTES-SUM
</t>
  </si>
  <si>
    <t>CRQ000000247460</t>
  </si>
  <si>
    <t>TAS000000229432 - SDNIVEL1
TAS000000229375 - EXP-CORREO COLABORATIVO EXCHANGE TIC-SUM
TAS000000229193 - SDNIVEL1</t>
  </si>
  <si>
    <t>CRQ000000247773</t>
  </si>
  <si>
    <t>JPG - SEMARK - Reinicio de servidores</t>
  </si>
  <si>
    <t>SRV-GESDOC2, SRV-RRHHBD</t>
  </si>
  <si>
    <t>TAS000000228786 - SDNIVEL1
TAS000000230130 - EXP-WINTEL TIC-SUM
TAS000000228787 - SDNIVEL1</t>
  </si>
  <si>
    <t>CRQ000000247462</t>
  </si>
  <si>
    <t>TAS000000229438 - SDNIVEL1
TAS000000229701 - EXP-CORREO COLABORATIVO EXCHANGE TIC-SUM
TAS000000229439 - SDNIVEL1</t>
  </si>
  <si>
    <t>CRQ000000246983</t>
  </si>
  <si>
    <t>POOL - INVERAMA - Actualizar parches de Microsoft mes de Marzo</t>
  </si>
  <si>
    <t>TAS000000228687 - EXP-CCT_CITRIX-TICLIENTES-SUM</t>
  </si>
  <si>
    <t>MANUEL GARCIA GONZALEZ: "He visto que en la TAS000000191344, has abierto un CRQ000000248392, para apagar los servidores de Zeta Digital y sólo quería aclararte unos puntos:
Actualmente el cliente migro los servidores y los que se encuentran encendidos no tenemos que tocarlos ya que son autogestionados. Los que hago referencia en la TAS se encuentran en el VDC:
VDC:  VDC_ADMGZETA_estandar_AL_01
ORG: ADMGZETA
Cliente: ZETA DIGITAL S.L.
Y todos están apagados."</t>
  </si>
  <si>
    <t>CRQ000000248392</t>
  </si>
  <si>
    <t>JBQ - ZETA DIGITAL S.L. - Solicitud de apagado de servidores</t>
  </si>
  <si>
    <t>B61957114 - ZETA DIGITAL S.L.</t>
  </si>
  <si>
    <t>vdczetavdns01, vdczetavtrans01, vdczetavtrans02, vdczetavpubl01, vdczetavpubl02, vdczetavpubn03, vdczetavpubn04, vdczetavpubn01, vdczetavpubn02, vdczetavcms01, vdczetavcms02, vdczetavsmtp0, vdczetavfron01, vdczetavfron02, vdczetavfron03, vdczetavfron04, vdczetavfron05, vdczetavfron06</t>
  </si>
  <si>
    <t>TAS000000232033 - SSO SG EVENTOS
TAS000000231949 - SISTEMAS BACKUP
TAS000000232034 - SOPORTE ENDPOINT</t>
  </si>
  <si>
    <t>CRQ000000247363</t>
  </si>
  <si>
    <t>TAS000000229198 - SDNIVEL1
TAS000000229379 - EXP-CORREO COLABORATIVO EXCHANGE TIC-SUM
TAS000000228746 - SDNIVEL1</t>
  </si>
  <si>
    <t>CRQ000000248211</t>
  </si>
  <si>
    <t>TAS000000231646 - EXP-EMPRESAS-MIDDLEWARE</t>
  </si>
  <si>
    <t>CRQ000000248638</t>
  </si>
  <si>
    <t>FLG - CORREOS - PRO - Autoescalado de nodos</t>
  </si>
  <si>
    <t>Nodos de cómputo del cluster de PRO</t>
  </si>
  <si>
    <t>TAS000000231579 - CDSCLOUD_OPENSHIFT</t>
  </si>
  <si>
    <t>CRQ000000246940</t>
  </si>
  <si>
    <t>RLC - DGOJ - Actualizar parches de Microsoft mes de Marzo</t>
  </si>
  <si>
    <t>TAS000000229168 - EXP-CCT_CITRIX-TICLIENTES-SUM</t>
  </si>
  <si>
    <t>CRQ000000249154</t>
  </si>
  <si>
    <t>XHISVIC01, XHISVIC03</t>
  </si>
  <si>
    <t>TAS000000232432 - SSO SG EVENTOS
TAS000000232188 - SISTEMAS BACKUP
TAS000000231997 - SOPORTE ENDPOINT
TAS000000232190 - EXP-EMPRESAS-VIRTUALIZADOS</t>
  </si>
  <si>
    <t>CRQ000000248433</t>
  </si>
  <si>
    <t>ECLER-MSPRO, ECMAD-NSAPRO, ChkInMAD-NSAPro, ChkInMAD-NSASta, CCAAMAD-NSA2</t>
  </si>
  <si>
    <t>TAS000000232197 - SSO SG EVENTOS
TAS000000233005 - SISTEMAS BACKUP
TAS000000232455 - SOPORTE ENDPOINT
TAS000000232456 - EXP-EMPRESAS-VIRTUALIZADOS</t>
  </si>
  <si>
    <t>CRQ000000249078</t>
  </si>
  <si>
    <t>POOL - DESTILERIAS AREHUCAS - Solicitud de apagado de servidores</t>
  </si>
  <si>
    <t>A35005743 - DESTILERIAS AREHUCAS S.A.</t>
  </si>
  <si>
    <t>S01VDC001, S01VDC002</t>
  </si>
  <si>
    <t>TAS000000232183 - SISTEMAS BACKUP
TAS000000231986 - SOPORTE ENDPOINT
TAS000000232507 - EXP-EMPRESAS-VIRTUALIZADOS</t>
  </si>
  <si>
    <t>CRQ000000249249</t>
  </si>
  <si>
    <t>POOL - RENAULT - Solicitud de apagado de servidores</t>
  </si>
  <si>
    <t>QAEREA, DMSREA</t>
  </si>
  <si>
    <t>TAS000000231991 - SSO SG EVENTOS
TAS000000232510 - SISTEMAS BACKUP
TAS000000232512 - EXP-EMPRESAS-SISTEMASLINUX</t>
  </si>
  <si>
    <t>CRQ000000244297</t>
  </si>
  <si>
    <t>RBG - NOVOBANCO - Comprobación Plan de contingencia (BRS) para VDI</t>
  </si>
  <si>
    <t>TAF140DCMX01.daas.telefonica.local, TAF140DCMX02.daas.telefonica.local, TAF160DCMX03.daas.telefonica.local, TAF160DCMX04.daas.telefonica.local, TAFVDIVPX01-N5, TAFVDIVPX01-N6, TAFvdiN003, TAFvdiN002</t>
  </si>
  <si>
    <t>TAS000000225264 - CCT_COMUNICACIONES
TAS000000225265 - EXP-CCT_CITRIX-TICLIENTES-SUM
TAS000000225153 - EXP-CCT_CITRIX-TICLIENTES-SUM
TAS000000225266 - CCT_COMUNICACIONES
TAS000000225537 - EXP-CCT_CITRIX-TICLIENTES-SUM</t>
  </si>
  <si>
    <t>CRQ000000247100</t>
  </si>
  <si>
    <t>POOL - SPACECARGO - Actualizar parches de Microsoft mes de Marzo</t>
  </si>
  <si>
    <t>TAS000000229333 - EXP-CCT_CITRIX-TICLIENTES-SUM</t>
  </si>
  <si>
    <t>LINUX: "La máquina nav2018dev.kepler21.net se encuentra en estado Stopping y no deja interactuar sobre ella, se abre el siguiente ticket para que se revise: INC000006474225."</t>
  </si>
  <si>
    <t>CRQ000000249556</t>
  </si>
  <si>
    <t>NED - VITHAS - Solicitud de baja definitiva del servidor</t>
  </si>
  <si>
    <t>wxhiswine.kepler21.net, nav2018dev.kepler21.net, navsql17dev.kepler21.net</t>
  </si>
  <si>
    <t>TAS000000233271 - SSO SG EVENTOS
TAS000000233272 - EMP-BACKUP REMOTO-OMA-TE
TAS000000233079 - EXP-EMPRESAS-SISTEMASLINUX
TAS000000233313 - EXP-EMPRESAS-SISTEMASLINUX</t>
  </si>
  <si>
    <t>CRQ000000248129</t>
  </si>
  <si>
    <t>TAS000000232012 - SDNIVEL1
TAS000000232115 - EXP-CORREO COLABORATIVO EXCHANGE TIC-SUM
TAS000000231833 - SDNIVEL1</t>
  </si>
  <si>
    <t>CRQ000000249296</t>
  </si>
  <si>
    <t>POOL - CEOE - Despliegue de aplicativo en PRO</t>
  </si>
  <si>
    <t>G28496636 - CONFED.ESP.ORGANIZACIONES EMPRESARI</t>
  </si>
  <si>
    <t>ceoe-vm-prod01-weu, ceoe-vm-prod02-weu</t>
  </si>
  <si>
    <t>TAS000000232679 - EXP-EMPRESAS-MIDDLEWARE</t>
  </si>
  <si>
    <t>CRQ000000247357</t>
  </si>
  <si>
    <t>JLB - KAO - Actualizar parches de Microsoft mes de Marzo</t>
  </si>
  <si>
    <t>KAOWS16HSD18, KAOWS16HSD01, KAOWS16HSD02, KAOWS16HSD04, KAOWS16HSD05, KAOWS16HSD06, KAOWS16HSD07, KAOWS16HSD08, KAOWS16HSD09, KAOWS16HSD10, KAOWS16HSD11, KAOWS16HSD12, KAOWS16HSD13, KAOWS16HSD14, KAOWS16HSD15, KAOWS16HSD16, KAOWS16HSD17, KAOWS16HSD36, KAOWS16HSD03</t>
  </si>
  <si>
    <t>TAS000000229517 - EXP-CCT_CITRIX-TICLIENTES-SUM</t>
  </si>
  <si>
    <t>CRQ000000249973</t>
  </si>
  <si>
    <t>POOL - ZURICH - Solicitud de reinicio del servidor niceair2bcn</t>
  </si>
  <si>
    <t>W0072130H - ZURICH INSURANCE PLC, SUCURSAL EN ESPAÑA</t>
  </si>
  <si>
    <t>niceair2bcn</t>
  </si>
  <si>
    <t>TAS000000233383 - EXP-WINTEL TIC-SUM</t>
  </si>
  <si>
    <t>CRQ000000249102</t>
  </si>
  <si>
    <t>NED - VITHAS - Solicitud de eliminación de servidores</t>
  </si>
  <si>
    <t>TAS000000232451 - SSO SG EVENTOS
TAS000000232452 - SISTEMAS BACKUP
TAS000000232546 - SOPORTE ENDPOINT
TAS000000232547 - EXP-EMPRESAS-VIRTUALIZADOS</t>
  </si>
  <si>
    <t>CRQ000000249106</t>
  </si>
  <si>
    <t>TAS000000232198 - SSO SG EVENTOS
TAS000000232457 - SISTEMAS BACKUP
TAS000000232199 - SOPORTE ENDPOINT
TAS000000232458 - EXP-EMPRESAS-VIRTUALIZADOS</t>
  </si>
  <si>
    <t>CRQ000000248436</t>
  </si>
  <si>
    <t>POOL - DESTILERIAS AREHUCAS - Solicitud de eliminación de servidores</t>
  </si>
  <si>
    <t>TAS000000232200 - SSO SG EVENTOS
TAS000000232559 - SISTEMAS BACKUP
TAS000000233101 - SOPORTE ENDPOINT
TAS000000232462 - EXP-EMPRESAS-VIRTUALIZADOS</t>
  </si>
  <si>
    <t>CRQ000000248565</t>
  </si>
  <si>
    <t>TAS000000232013 - SDNIVEL1
TAS000000232118 - EXP-CORREO COLABORATIVO EXCHANGE TIC-SUM
TAS000000231835 - SDNIVEL1</t>
  </si>
  <si>
    <t>CRQ000000249091</t>
  </si>
  <si>
    <t>TAS000000232611 - SDNIVEL1
TAS000000232000 - EXP-WINTEL TIC-SUM
TAS000000232801 - EXP-SQLSERVER TIC-SUM
TAS000000232192 - SDNIVEL1</t>
  </si>
  <si>
    <t>CRQ000000250375</t>
  </si>
  <si>
    <t>FLG - CORREOS - PRO - Bolsas de Empleo - Des publicación día 13/04/2021 a las 23:59:59</t>
  </si>
  <si>
    <t>TAS000000234762 - CLOUD PÚBLICA NIVEL 2_AZURE</t>
  </si>
  <si>
    <t>CRQ000000247449</t>
  </si>
  <si>
    <t>RBG - NOVOBANCO - Actualizar parches de Microsoft mes de Marzo</t>
  </si>
  <si>
    <t>TAS000000228990 - EXP-CCT_CITRIX-TICLIENTES-SUM</t>
  </si>
  <si>
    <t>CRQ000000250368</t>
  </si>
  <si>
    <t>OAC - MELIA - Actualización parches MELAZUSRVINTS01 - PRE</t>
  </si>
  <si>
    <t>MELAZUSRVINTS01</t>
  </si>
  <si>
    <t>TAS000000234513 - EXP-EMPRESAS-VIRTUALIZADOS
TAS000000234150 - EXP-SQLSERVER TIC-SUM
TAS000000234850 - EXP-SQLSERVER TIC-SUM
TAS000000234327 - EXP-SQLSERVER TIC-SUM
TAS000000234447 - EXP-SQLSERVER TIC-SUM
TAS000000234851 - EXP-EMPRESAS-VIRTUALIZADOS</t>
  </si>
  <si>
    <t>CRQ000000248377</t>
  </si>
  <si>
    <t>TAS000000232010 - SDNIVEL1
TAS000000232111 - EXP-CORREO COLABORATIVO EXCHANGE TIC-SUM
TAS000000231523 - SDNIVEL1</t>
  </si>
  <si>
    <t>CRQ000000250382</t>
  </si>
  <si>
    <t>POOL - RENAULT - Solicitud de eliminación de servidores</t>
  </si>
  <si>
    <t>TAS000000234717 - SSO SG EVENTOS
TAS000000234453 - SISTEMAS BACKUP
TAS000000234156 - EXP-EMPRESAS-SISTEMASLINUX</t>
  </si>
  <si>
    <t>CRQ000000250596</t>
  </si>
  <si>
    <t>POOL - CEOE - Despliegue de aplicativo en PRE</t>
  </si>
  <si>
    <t>CEOE-VM-tra-weu</t>
  </si>
  <si>
    <t>TAS000000235114 - EXP-EMPRESAS-MIDDLEWARE</t>
  </si>
  <si>
    <t>CRQ000000250190</t>
  </si>
  <si>
    <t>TAS000000235103 - EXP-EMPRESAS-MIDDLEWARE</t>
  </si>
  <si>
    <t>CRQ000000249093</t>
  </si>
  <si>
    <t>TAS000000232802 - SDNIVEL1
TAS000000231595 - EXP-SQLSERVER TIC-SUM
TAS000000232434 - EXP-WINTEL TIC-SUM
TAS000000231596 - EXP-SQLSERVER TIC-SUM
TAS000000232612 - SDNIVEL1</t>
  </si>
  <si>
    <t>CRQ000000251361</t>
  </si>
  <si>
    <t>POOL - AMMA - Intervención mover máquinas datastore</t>
  </si>
  <si>
    <t>Filesystem01, Filesystem02, UDS Server 2.2.0</t>
  </si>
  <si>
    <t>TAS000000235535 - EXP-WINTEL TIC-SUM</t>
  </si>
  <si>
    <t>Néstor Barberá Morales: "Por favor, cancelad el CRQ de hoy CRQ000000248563. Debido a la vulnerabilidad que nos informó Microsoft y que era crítica en los servidores de Exchange, hemos tenido que instalar los parches en todas la máquinas de CED."</t>
  </si>
  <si>
    <t>CRQ000000248563</t>
  </si>
  <si>
    <t>TAS000000231647 - SDNIVEL1
TAS000000232112 - EXP-CORREO COLABORATIVO EXCHANGE TIC-SUM
TAS000000231648 - SDNIVEL1</t>
  </si>
  <si>
    <t>CRQ000000250643</t>
  </si>
  <si>
    <t>RMN - TALGO - Solicitud de apagado de servidores</t>
  </si>
  <si>
    <t>TALS4HTEST, TALS4HPRO</t>
  </si>
  <si>
    <t>TAS000000235333 - SSO SG EVENTOS
TAS000000235334 - SISTEMAS BACKUP
TAS000000235051 - EXP-EMPRESAS-SISTEMASLINUX</t>
  </si>
  <si>
    <t>Parcheado Seguridad Abril 2021</t>
  </si>
  <si>
    <t>CRQ000000249557</t>
  </si>
  <si>
    <t>TAS000000233315 - SDNIVEL1
TAS000000233080 - EXP-WINTEL TIC-SUM
TAS000000233403 - EXP-SQLSERVER TIC-SUM
TAS000000233316 - SDNIVEL1</t>
  </si>
  <si>
    <t>Parcheado Seguridad Abril 2021
Pedro Romero Peguero: "El cliente AXACTOR está desprovionando su VDV; por tal motivo las máquinas GIRA10 y GIRA20 están apagadas a la espera de ejecutarse sus Bajas. Por favor, cancelad ambos cambios."</t>
  </si>
  <si>
    <t>CRQ000000250019</t>
  </si>
  <si>
    <t>TAS000000234504 - SDNIVEL1
TAS000000234138 - EXP-WINTEL TIC-SUM
TAS000000234703 - SDNIVEL1</t>
  </si>
  <si>
    <t>CRQ000000251208</t>
  </si>
  <si>
    <t>TAS000000235572 - EXP-EMPRESAS-MIDDLEWARE</t>
  </si>
  <si>
    <t>CRQ000000251263</t>
  </si>
  <si>
    <t>POOL - PENGUIN - Solicitud de apagado de servidores</t>
  </si>
  <si>
    <t>ESMAJIRAP-1, ESMACONFP-1, ESMAPOSTP-1, ESMAFEPE-1, BAAPPS-3, PADAR-1, CONECTADOS-DES, ESMAFEAR-1, ESMAFECL-1, ESMAFEUY-1</t>
  </si>
  <si>
    <t>TAS000000235807 - SSO SG EVENTOS
TAS000000235462 - SISTEMAS BACKUP
TAS000000235534 - EXP-EMPRESAS-VIRTUALIZADOS</t>
  </si>
  <si>
    <t>CRQ000000251452</t>
  </si>
  <si>
    <t>ARSAPPOP, BAGWD-1, BAPIQ-1, BARHD-1, esmaionic, ESMASM-1, ESMIXCAS-10V, ESMIXCAS-12V, ESMIXHUB-10V, ESMIXMBX-10V, MIBIP-1, MIPES-1, MIPIP-1, PAHPQ-1, USMIPSU-1</t>
  </si>
  <si>
    <t>TAS000000235856 - SSO SG EVENTOS
TAS000000235643 - SISTEMAS BACKUP
TAS000000236218 - EXP-EMPRESAS-VIRTUALIZADOS</t>
  </si>
  <si>
    <t>CRQ000000249426</t>
  </si>
  <si>
    <t>TAS000000233621 - SDNIVEL1
TAS000000233452 - EXP-WINTEL TIC-SUM
TAS000000233726 - SDNIVEL1</t>
  </si>
  <si>
    <t>CRQ000000250153</t>
  </si>
  <si>
    <t>TAS000000234705 - SDNIVEL1
TAS000000234143 - EXP-WINTEL TIC-SUM
TAS000000234801 - SDNIVEL1</t>
  </si>
  <si>
    <t>CRQ000000249717</t>
  </si>
  <si>
    <t>TAS000000234713 - SDNIVEL1
TAS000000234840 - EXP-WINTEL TIC-SUM
TAS000000234841 - SDNIVEL1</t>
  </si>
  <si>
    <t>CRQ000000251654</t>
  </si>
  <si>
    <t>TAS000000235772 - EXP-EMPRESAS-MIDDLEWARE
TAS000000236239 - EXP-EMPRESAS-BBDD</t>
  </si>
  <si>
    <t>CRQ000000250713</t>
  </si>
  <si>
    <t>TAS000000236708 - EXP-EMPRESAS-MIDDLEWARE</t>
  </si>
  <si>
    <t>CRQ000000250036</t>
  </si>
  <si>
    <t>TAS000000234716 - SDNIVEL1
TAS000000234153 - EXP-WINTEL TIC-SUM
TAS000000234869 - EXP-SQLSERVER TIC-SUM
TAS000000234870 - SDNIVEL1</t>
  </si>
  <si>
    <t>CRQ000000250043</t>
  </si>
  <si>
    <t>TAS000000234720 - SDNIVEL1
TAS000000234524 - EXP-WINTEL TIC-SUM
TAS000000234875 - SDNIVEL1</t>
  </si>
  <si>
    <t>CRQ000000251170</t>
  </si>
  <si>
    <t>SCT - COMUNIDAD AUTONOMA DE LA RIOJA - Instalación de PDF24 y parches de Microsoft de Abril</t>
  </si>
  <si>
    <t>TAS000000235842 - EXP-CCT_CITRIX-TICLIENTES-SUM</t>
  </si>
  <si>
    <t>CRQ000000251224</t>
  </si>
  <si>
    <t>TAS000000236253 - SDNIVEL1
TAS000000236617 - EXP-CCT_O365 TIC-SUM
TAS000000236350 - EXP-CCT_O365 TIC-SUM
TAS000000236618 - EXP-CCT_O365 TIC-SUM
TAS000000236254 - EXP-CCT_O365 TIC-SUM
TAS000000235682 - SDNIVEL1</t>
  </si>
  <si>
    <t>CRQ000000250347</t>
  </si>
  <si>
    <t>TAS000000234805 - SDNIVEL1
TAS000000234806 - EXP-WINTEL TIC-SUM
TAS000000234807 - SDNIVEL1</t>
  </si>
  <si>
    <t>CRQ000000250547</t>
  </si>
  <si>
    <t>TAS000000234722 - SDNIVEL1
TAS000000234877 - EXP-WINTEL TIC-SUM
TAS000000234334 - SDNIVEL1</t>
  </si>
  <si>
    <t>Parcheado Seguridad Abril 2021
Pedro Romero Peguero: "El cliente AXACTOR está desprovisionando su VDV; por tal motivo las máquinas GIRA10 y GIRA20 están apagadas a la espera de ejecutarse sus Bajas. Por favor, cancelad ambos cambios."</t>
  </si>
  <si>
    <t>CRQ000000249614</t>
  </si>
  <si>
    <t xml:space="preserve">TAS000000234505 - SDNIVEL1
TAS000000234139 - EXP-WINTEL TIC-SUM
TAS000000234413 - SDNIVEL1 </t>
  </si>
  <si>
    <t>CRQ000000252752</t>
  </si>
  <si>
    <t>POOL - AYUNTAMIENTO DE CADIZ - Renovación de certificados para el dominio institucional.cadiz.es</t>
  </si>
  <si>
    <t>cadizwebs-fe01, cadizwebs-fe02, cadizwebs-fe03, cadizwebs-fe04</t>
  </si>
  <si>
    <t>TAS000000237808 - EXP-EMPRESAS-SISTEMASLINUX</t>
  </si>
  <si>
    <t>CRQ000000253477</t>
  </si>
  <si>
    <t>FLG - CORREOS - PRO - B2BMail recuperación de log Elasticsearch</t>
  </si>
  <si>
    <t>TAS000000238539 - CDSCLOUD_OPENSHIFT</t>
  </si>
  <si>
    <t>CRQ000000251229</t>
  </si>
  <si>
    <t>TAS000000236256 - SDNIVEL1
TAS000000236257 - EXP-CCT_O365 TIC-SUM
TAS000000236258 - EXP-CCT_O365 TIC-SUM
TAS000000236259 - EXP-CCT_O365 TIC-SUM
TAS000000236355 - EXP-CCT_O365 TIC-SUM
TAS000000236260 - SDNIVEL1</t>
  </si>
  <si>
    <t>CRQ000000250551</t>
  </si>
  <si>
    <t>TAS000000234458 - SDNIVEL1
TAS000000234459 - EXP-WINTEL TIC-SUM
TAS000000234723 - EXP-SQLSERVER TIC-SUM
TAS000000234724 - SDNIVEL1</t>
  </si>
  <si>
    <t>CRQ000000250452</t>
  </si>
  <si>
    <t>TAS000000234170 - SDNIVEL1
TAS000000234726 - EXP-WINTEL TIC-SUM
TAS000000234727 - SDNIVEL1</t>
  </si>
  <si>
    <t>CRQ000000250557</t>
  </si>
  <si>
    <t>TAS000000234733 - SDNIVEL1
TAS000000234461 - EXP-WINTEL TIC-SUM
TAS000000234176 - SDNIVEL1</t>
  </si>
  <si>
    <t>CRQ000000249427</t>
  </si>
  <si>
    <t>TAS000000233193 - SDNIVEL1
TAS000000233646 - EXP-SQLSERVER TIC-SUM
TAS000000233752 - EXP-WINTEL TIC-SUM
TAS000000233647 - EXP-SQLSERVER TIC-SUM
TAS000000233363 - SDNIVEL1</t>
  </si>
  <si>
    <t>CRQ000000250455</t>
  </si>
  <si>
    <t>TAS000000234471 - SDNIVEL1
TAS000000234339 - EXP-WINTEL TIC-SUM
TAS000000234741 - EXP-SQLSERVER TIC-SUM
TAS000000234743 - EXP-EMPRESAS-MIDDLEWARE
TAS000000234744 - SDNIVEL1</t>
  </si>
  <si>
    <t>CRQ000000250589</t>
  </si>
  <si>
    <t>TAS000000234774 - SDNIVEL1
TAS000000234362 - EXP-WINTEL TIC-SUM
TAS000000234531 - SDNIVEL1</t>
  </si>
  <si>
    <t>CRQ000000253256</t>
  </si>
  <si>
    <t>RAM - TELEFÓNICA GLOBAL SOLUTIONS - Cambio de UUID por duplicidad en gpltfmadpe02</t>
  </si>
  <si>
    <t>B85627792 - TELEFÓNICA GLOBAL SOLUTIONS, SLU</t>
  </si>
  <si>
    <t>gpltfmadpe02</t>
  </si>
  <si>
    <t>TAS000000238316 - SDNIVEL1
TAS000000238317 - EXP-EMPRESAS-VIRTUALIZADOS
TAS000000238508 - SOPORTE_SOYCLOUDER
TAS000000238405 - SISTEMAS BACKUP
TAS000000238616 - CCT_IAAS_PLATAFORMA VIRTUAL
TAS000000238119 - SDNIVEL1</t>
  </si>
  <si>
    <t>CRQ000000250350</t>
  </si>
  <si>
    <t>TAS000000234145 - SDNIVEL1
TAS000000234827 - EXP-WINTEL TIC-SUM
TAS000000234707 - SDNIVEL1</t>
  </si>
  <si>
    <t>CRQ000000253282</t>
  </si>
  <si>
    <t>OAC - MELIA - Crear nuevo filesystem para los logs de mysql</t>
  </si>
  <si>
    <t>mhitaswlog</t>
  </si>
  <si>
    <t>TAS000000238541 - SDNIVEL1
TAS000000238542 - EXP-EMPRESAS-SISTEMASLINUX
TAS000000238429 - SDNIVEL1</t>
  </si>
  <si>
    <t>CRQ000000250478</t>
  </si>
  <si>
    <t>TAS000000235109 - SDNIVEL1
TAS000000234533 - EXP-WINTEL TIC-SUM
TAS000000235011 - SDNIVEL1</t>
  </si>
  <si>
    <t>CRQ000000250599</t>
  </si>
  <si>
    <t>TAS000000235115 - SDNIVEL1
TAS000000234788 - EXP-WINTEL TIC-SUM
TAS000000234370 - SDNIVEL1</t>
  </si>
  <si>
    <t>CRQ000000253460</t>
  </si>
  <si>
    <t>BARHQ-1,BAGWP-1,BAHPP-1, ESMASOFTM00, ESMASOFTM02, ESMASOFTM01, BAPES-5, BARHP-1, BAAPPS-6, MASYNC, prhalsrm</t>
  </si>
  <si>
    <t>TAS000000238017 - SSO SG EVENTOS
TAS000000238516 - SISTEMAS BACKUP
TAS000000238408 - EXP-EMPRESAS-VIRTUALIZADOS</t>
  </si>
  <si>
    <t>CRQ000000253156</t>
  </si>
  <si>
    <t>badam-5, badam-6, BAPES-3, BAPES-4, Prhalrp1, Prhalrp2</t>
  </si>
  <si>
    <t>TAS000000238319 - SSO SG EVENTOS
TAS000000238320 - SISTEMAS BACKUP
TAS000000238618 - EXP-EMPRESAS-VIRTUALIZADOS</t>
  </si>
  <si>
    <t>CRQ000000253753</t>
  </si>
  <si>
    <t>TAS000000238326 - EXP-EMPRESAS-MIDDLEWARE</t>
  </si>
  <si>
    <t>CRQ000000250653</t>
  </si>
  <si>
    <t>TAS000000234488 - SDNIVEL1
TAS000000234791 - EXP-WINTEL TIC-SUM
TAS000000235116 - SDNIVEL1</t>
  </si>
  <si>
    <t>CRQ000000250612</t>
  </si>
  <si>
    <t>TAS000000234375 - SDNIVEL1
TAS000000234797 - EXP-WINTEL TIC-SUM
TAS000000234798 - SDNIVEL1</t>
  </si>
  <si>
    <t>CRQ000000250615</t>
  </si>
  <si>
    <t>TAS000000234538 - SDNIVEL1
TAS000000235303 - EXP-WINTEL TIC-SUM
TAS000000235305 - SDNIVEL1</t>
  </si>
  <si>
    <t>CRQ000000250154</t>
  </si>
  <si>
    <t>SRV-MANTIS, SRV-SCADAR, SRVSDC03, SRV-TDX, SRVTEF2</t>
  </si>
  <si>
    <t>TAS000000234436 - SDNIVEL1
TAS000000234708 - EXP-WINTEL TIC-SUM
TAS000000234437 - SDNIVEL1</t>
  </si>
  <si>
    <t>CRQ000000250210</t>
  </si>
  <si>
    <t>MSWASCIP01, MSWJIRAP01, MSWFEPNP01, MSWLKMSP02, MSWMSQLD01, MSWWEBSD01, MSWAPPGD01, MSWAPPRD01</t>
  </si>
  <si>
    <t>TAS000000234544 - SDNIVEL1
TAS000000235309 - EXP-WINTEL TIC-SUM
TAS000000235310 - SDNIVEL1</t>
  </si>
  <si>
    <t>CRQ000000250508</t>
  </si>
  <si>
    <t>TAS000000235506 - SDNIVEL1
TAS000000235337 - EXP-WINTEL TIC-SUM
TAS000000235338 - SDNIVEL1</t>
  </si>
  <si>
    <t>Parcheado Seguridad Abril 2021
WINTEL: "Tras la actualización de LYNXH13TV1 ssu kb5001403 y kb seguridad mensual kb5001393, se ha procedido al reinicio quedando el host  en alarma y sin iniciar.
Se ha intentado acceder a la IDRAC del mismo pero nos da un error de licencia.
Se ha llamado a JC OPERACIONES y se le ha pedido un reinicio fisico del host, tras el cual nos brinda un error en la consola 
Tipo de alarma: "Fault detected on drive 2 in disk drive bay 1. Check drive."
Los datos del equipo afectado:
S160 B17008
S/N 34659178238
U 30-31
TDE 645754
actor01.
Tras abrir severidad3 con el COMMAND se abre caso en HP nº: 5355223031
Los datos del servidor afectado son los siguientes: - Ubicación: Avenida Punto Com, 23, 28805 Alcalá de Henares, Madrid - CDG ALCALA DE HENARES-SALA 160-17/08 - Modelo: DELL PowerEdge R520, PowerEdge R520 - Numero de serie: FX76H32
Se abrirá un ticket para accesos y se seguirá con este problema en la INC000006553503."</t>
  </si>
  <si>
    <t>CRQ000000250627</t>
  </si>
  <si>
    <t>TAS000000234398 - SDNIVEL1
TAS000000234566 - EXP-WINTEL TIC-SUM
TAS000000235049 - SDNIVEL1</t>
  </si>
  <si>
    <t>CRQ000000253688</t>
  </si>
  <si>
    <t>POOL - PENGUIN - Solicitud de eliminación de servidores</t>
  </si>
  <si>
    <t>ESMIXCAS-11V, MIBOP-1, USMIPGE-1, MIDC-1, MIPAR-1, MIPMX-1, BADAM-2</t>
  </si>
  <si>
    <t>TAS000000238169 - SSO SG EVENTOS
TAS000000238445 - SISTEMAS BACKUP
TAS000000238446 - EXP-EMPRESAS-VIRTUALIZADOS</t>
  </si>
  <si>
    <t>CRQ000000250628</t>
  </si>
  <si>
    <t>TAS000000235324 - SDNIVEL1
TAS000000235325 - EXP-WINTEL TIC-SUM
TAS000000235326 - SDNIVEL1</t>
  </si>
  <si>
    <t>CRQ000000251046</t>
  </si>
  <si>
    <t>TAS000000235052 - SDNIVEL1
TAS000000235053 - EXP-WINTEL TIC-SUM
TAS000000235335 - SDNIVEL1</t>
  </si>
  <si>
    <t>CRQ000000253814</t>
  </si>
  <si>
    <t>TAS000000238385 - SDNIVEL1
TAS000000238670 - EXP-CORREO COLABORATIVO EXCHANGE TIC-SUM
TAS000000238386 - SDNIVEL1</t>
  </si>
  <si>
    <t>SERGIO COLMENERO PEREZ: "Necesitamos que se cancelen los siguientes cambios ya que la plataforma de Talgo está apagada y se dará de baja: CRQ000000227771 y CRQ000000227850"</t>
  </si>
  <si>
    <t>CRQ000000227850</t>
  </si>
  <si>
    <t>CED-08JC-BE01</t>
  </si>
  <si>
    <t>TAS000000202475 - SDNIVEL1
TAS000000202703 - EXP-CORREO COLABORATIVO EXCHANGE TIC-SUM
TAS000000202196 - SDNIVEL1</t>
  </si>
  <si>
    <t>CRQ000000254013</t>
  </si>
  <si>
    <t>TAS000000239977 - SSO SG EVENTOS
TAS000000239978 - SISTEMAS BACKUP
TAS000000239979 - EXP-EMPRESAS-VIRTUALIZADOS</t>
  </si>
  <si>
    <t>CRQ000000251050</t>
  </si>
  <si>
    <t>TAS000000235078 - SDNIVEL1
TAS000000235133 - EXP-WINTEL TIC-SUM
TAS000000235134 - EXP-EMPRESAS-MIDDLEWARE
TAS000000234580 - SDNIVEL1</t>
  </si>
  <si>
    <t>CRQ000000254657</t>
  </si>
  <si>
    <t>SCT - COMUNIDAD AUTONOMA DE LA RIOJA - Actualización Nuevas Fuentes</t>
  </si>
  <si>
    <t>TAS000000239119 - EXP-CCT_CITRIX-TICLIENTES-SUM</t>
  </si>
  <si>
    <t>CRQ000000254052</t>
  </si>
  <si>
    <t>TAS000000238387 - SDNIVEL1
TAS000000238475 - EXP-CORREO COLABORATIVO EXCHANGE TIC-SUM
TAS000000238671 - SDNIVEL1</t>
  </si>
  <si>
    <t>CRQ000000227771</t>
  </si>
  <si>
    <t>CED-08AL-BE01</t>
  </si>
  <si>
    <t>TAS000000202813 - SDNIVEL1
TAS000000202476 - EXP-CORREO COLABORATIVO EXCHANGE TIC-SUM
TAS000000202477 - SDNIVEL1</t>
  </si>
  <si>
    <t>CRQ000000251054</t>
  </si>
  <si>
    <t>TAS000000235428 - SDNIVEL1
TAS000000234581 - EXP-WINTEL TIC-SUM
TAS000000235135 - EXP-SQLSERVER TIC-SUM
TAS000000235136 - SDNIVEL1</t>
  </si>
  <si>
    <t>CRQ000000254728</t>
  </si>
  <si>
    <t>mhitaocns01</t>
  </si>
  <si>
    <t>TAS000000239547 - SISTEMAS BACKUP
TAS000000239169 - EXP-EMPRESAS-SISTEMASLINUX</t>
  </si>
  <si>
    <t>CRQ000000251065</t>
  </si>
  <si>
    <t>TAS000000234587 - SDNIVEL1
TAS000000235345 - EXP-WINTEL TIC-SUM
TAS000000235347 - SDNIVEL1</t>
  </si>
  <si>
    <t>CRQ000000254027</t>
  </si>
  <si>
    <t>FLG - CORREOS - Migración entorno PRO al nuevo Tenant</t>
  </si>
  <si>
    <t>Correos ID - PRO</t>
  </si>
  <si>
    <t>TAS000000240014 - CLOUD PÚBLICA NIVEL 2_AZURE</t>
  </si>
  <si>
    <t>CRQ000000254968</t>
  </si>
  <si>
    <t>TAS000000240045 - SSO SG EVENTOS
TAS000000240415 - SISTEMAS BACKUP
TAS000000239600 - EXP-EMPRESAS-VIRTUALIZADOS</t>
  </si>
  <si>
    <t>CRQ000000254394</t>
  </si>
  <si>
    <t>TAS000000239574 - EXP-EMPRESAS-MIDDLEWARE</t>
  </si>
  <si>
    <t>Rocío Agustí Moreno: "Finalmente al no poder realizar el cliente la conmutación del tráfico a la segunda máquina del cluster con el que trabaja en alta disponibilidad la vm  gpltfmadpe01, se cancela el cambio CRQ000000253254."</t>
  </si>
  <si>
    <t>CRQ000000253254</t>
  </si>
  <si>
    <t>RAM - TELEFÓNICA GLOBAL SOLUTIONS - Cambio de UUID por duplicidad en gpltfmadpe01</t>
  </si>
  <si>
    <t>gpltfmadpe01</t>
  </si>
  <si>
    <t>TAS000000238402 - SDNIVEL1
TAS000000238116 - EXP-EMPRESAS-VIRTUALIZADOS
TAS000000238315 - SOPORTE_SOYCLOUDER
TAS000000238117 - SISTEMAS BACKUP
TAS000000238614 - CCT_IAAS_PLATAFORMA VIRTUAL
TAS000000238012 - SDNIVEL1</t>
  </si>
  <si>
    <t>CRQ000000254678</t>
  </si>
  <si>
    <t>JPP - UNIVERSIDAD ANTONIO NEBRIJA - Instalación de parches de seguridad de Microsoft</t>
  </si>
  <si>
    <t>CDGADFSND03, CDGADFSND04, CDGADFSPND03, CDGADFSPND04, CDGANEBRIJADC02, CDGCONNECT01</t>
  </si>
  <si>
    <t>TAS000000239517 - SDNIVEL1
TAS000000238893 - EXP-WINTEL TIC-SUM
TAS000000239856 - SDNIVEL1</t>
  </si>
  <si>
    <t>CRQ000000254970</t>
  </si>
  <si>
    <t>BARHQ-1, BAGWP-1, BAHPP-1, ESMASOFTM00, ESMASOFTM02, ESMASOFTM01, BAPES-5, BARHP-1, BAAPPS-6, MASYNC, prhalsrm, prhalrp2, prhalrp1</t>
  </si>
  <si>
    <t>TAS000000240416 - SSO SG EVENTOS
TAS000000240518 - SISTEMAS BACKUP
TAS000000240050 - EXP-EMPRESAS-VIRTUALIZADOS</t>
  </si>
  <si>
    <t>CRQ000000255450</t>
  </si>
  <si>
    <t>TAS000000240813 - SSO SG EVENTOS
TAS000000240073 - SISTEMAS BACKUP
TAS000000240544 - EXP-EMPRESAS-VIRTUALIZADOS</t>
  </si>
  <si>
    <t>CRQ000000250239</t>
  </si>
  <si>
    <t>TAS000000235522 - SDNIVEL1
TAS000000235089 - EXP-WINTEL TIC-SUM
TAS000000235090 - SDNIVEL1</t>
  </si>
  <si>
    <t>CRQ000000251157</t>
  </si>
  <si>
    <t>TAS000000235091 - SDNIVEL1
TAS000000234594 - EXP-WINTEL TIC-SUM
TAS000000234595 - SDNIVEL1</t>
  </si>
  <si>
    <t>CRQ000000250211</t>
  </si>
  <si>
    <t>TAS000000235317 - SDNIVEL1
TAS000000234546 - EXP-WINTEL TIC-SUM
TAS000000235318 - SDNIVEL1</t>
  </si>
  <si>
    <t>CRQ000000254343</t>
  </si>
  <si>
    <t>745005, 745010, prhalesxi03, prhalesxi02, prhalesxi01, prhalucs1, prhalucs2, prhalucs3, BAAPPS-6, BABOP-1, BABOP-2, bapip-5, bapip-4, bapmx-3, bapmx-4, ESBAXMBX-13, ESBAXMBX, ESBAXCAS</t>
  </si>
  <si>
    <t>TAS000000240063 - SSO SG EVENTOS
TAS000000240064 - SISTEMAS BACKUP
TAS000000240750 - EXP-EMPRESAS-VIRTUALIZADOS</t>
  </si>
  <si>
    <t>CRQ000000253930</t>
  </si>
  <si>
    <t>POOL - CAF - Actualizar parches de Microsoft mes de Abril</t>
  </si>
  <si>
    <t>TAS000000240011 - EXP-CCT_CITRIX-TICLIENTES-SUM</t>
  </si>
  <si>
    <t>CRQ000000255748</t>
  </si>
  <si>
    <t>SMP - LEGALITAS - Actualización catalogo Hard y ligero de Prod</t>
  </si>
  <si>
    <t>TAS000000241060 - EXP-CCT_CITRIX-TICLIENTES-SUM</t>
  </si>
  <si>
    <t>"Cancelado" por JOAQUIN MATAMOROS LAMARCA con el motivo: "Necesita reprogramación"</t>
  </si>
  <si>
    <t>CRQ000000255659</t>
  </si>
  <si>
    <t>FLG - CORREOS - Soporte a intervención: AWS Direct Connect Planned Maintenance</t>
  </si>
  <si>
    <t>Sub actividad Cloud Pública</t>
  </si>
  <si>
    <t>TAS000000241315 - CLOUD PÚBLICA NIVEL 2_AWS</t>
  </si>
  <si>
    <t>CRQ000000254734</t>
  </si>
  <si>
    <t>CRA - CAJA ASTURIAS - Actualizar parches de Microsoft mes de Mayo</t>
  </si>
  <si>
    <t>TAS000000240016 - EXP-CCT_CITRIX-TICLIENTES-SUM</t>
  </si>
  <si>
    <t>CRQ000000255723</t>
  </si>
  <si>
    <t>TAS000000241858 - CLOUD PÚBLICA NIVEL 2_AWS
TAS000000242241 - CDSCLOUD_OPENSHIFT</t>
  </si>
  <si>
    <t>CRQ000000254034</t>
  </si>
  <si>
    <t>POOL - INVERAMA - Actualizar parches de Microsoft mes de Abril</t>
  </si>
  <si>
    <t>TAS000000239551 - EXP-CCT_CITRIX-TICLIENTES-SUM</t>
  </si>
  <si>
    <t>CRQ000000255819</t>
  </si>
  <si>
    <t>babip-5, ESBAXCAS-13</t>
  </si>
  <si>
    <t>TAS000000241556 - SISTEMAS BACKUP
TAS000000241557 - EXP-EMPRESAS-VIRTUALIZADOS</t>
  </si>
  <si>
    <t>CRQ000000255713</t>
  </si>
  <si>
    <t>TAS000000241560 - SSO SG EVENTOS
TAS000000241658 - SISTEMAS BACKUP
TAS000000241659 - EXP-EMPRESAS-VIRTUALIZADOS</t>
  </si>
  <si>
    <t>CRQ000000253938</t>
  </si>
  <si>
    <t>RLC - DGOJ - Actualizar parches de Microsoft mes de Abril</t>
  </si>
  <si>
    <t>TAS000000240305 - EXP-CCT_CITRIX-TICLIENTES-SUM</t>
  </si>
  <si>
    <t>CRQ000000255994</t>
  </si>
  <si>
    <t>JBQ - ZETA DIGITAL S.L. - Solicitud de eliminación de servidores</t>
  </si>
  <si>
    <t>vdczetavdns01, vdczetavtrans01, vdczetavtrans02, vdczetavpubl01, vdczetavpubl02, vdczetavpubn03, vdczetavpubn04, vdczetavpubn01, vdczetavpubn02, vdczetavcms01, vdczetavcms02, vdczetavsmtp01, vdczetavfron01, vdczetavfron02, vdczetavfron03, vdczetavfron04, vdczetavfron05, vdczetavfron06</t>
  </si>
  <si>
    <t>TAS000000241668 - SSO SG EVENTOS
TAS000000241776 - SISTEMAS BACKUP
TAS000000241777 - EXP-EMPRESAS-SISTEMASLINUX</t>
  </si>
  <si>
    <t>CRQ000000257018</t>
  </si>
  <si>
    <t>VAA - HUMV - Crear punto de restauración en la base de datos de OMI - PRO</t>
  </si>
  <si>
    <t>S3900031J - HOSPITAL UNIVERSITARIO MARQUES DE VALDEC</t>
  </si>
  <si>
    <t>VALENTIN ARAUZO ALMIRON</t>
  </si>
  <si>
    <t>humvx8s1vm1, humvx8s2vm1</t>
  </si>
  <si>
    <t>TAS000000242857 - EXP-EMPRESAS-BBDD</t>
  </si>
  <si>
    <t>CRQ000000251763</t>
  </si>
  <si>
    <t>TAS000000235797 - EXP-CCT_CITRIX-TICLIENTES-SUM
TAS000000235677 - EXP-CCT-SQLSERVER TIC-SUM
TAS000000236347 - EXP-CCT-WINTEL TIC-SUM</t>
  </si>
  <si>
    <t>CRQ000000254743</t>
  </si>
  <si>
    <t>DJS - VERDIFRESH - Actualizar parches de Microsoft mes de Abril</t>
  </si>
  <si>
    <t>TAS000000240216 - EXP-CCT_CITRIX-TICLIENTES-SUM</t>
  </si>
  <si>
    <t>CRQ000000251765</t>
  </si>
  <si>
    <t>TAS000000235678 - EXP-CCT_CITRIX-TICLIENTES-SUM
TAS000000236419 - EXP-CCT-SQLSERVER TIC-SUM
TAS000000236348 - EXP-CCT-WINTEL TIC-SUM</t>
  </si>
  <si>
    <t>CRQ000000256596</t>
  </si>
  <si>
    <t>OAC - MELIA - Configurar DKIM y DMARK para el dominio melia.com</t>
  </si>
  <si>
    <t>Plataforma de O365 del cliente Melia</t>
  </si>
  <si>
    <t>TAS000000242979 - EXP-CCT_O365 TIC-SUM
TAS000000242980 - EXP-CCT_COMUNICACIONES-SUM</t>
  </si>
  <si>
    <t>CRQ000000254383</t>
  </si>
  <si>
    <t>POOL - SPACECARGO - Actualizar parches de Microsoft mes de Abril</t>
  </si>
  <si>
    <t>TAS000000240308 - EXP-CCT_CITRIX-TICLIENTES-SUM</t>
  </si>
  <si>
    <t>CRQ000000256960</t>
  </si>
  <si>
    <t>mge-qa, ESMAPRINT-1, ESMAPRINT-2, ESMACLIPPING, ESMAEBOOKS, BAAPPS-5, BAUID-1, MXAPP-2, ESMAALEQA, CONECTADOS-PRD, MADILVE, BAFTP-2, marelay-2, ESMAQSU-1, ESMAPSU-1, ESMADSU-1, prhmivnx, prhmivcenter, prhmivcentersq</t>
  </si>
  <si>
    <t>TAS000000242928 - SSO SG EVENTOS
TAS000000241994 - SISTEMAS BACKUP
TAS000000242813 - EXP-EMPRESAS-VIRTUALIZADOS</t>
  </si>
  <si>
    <t>CRQ000000256109</t>
  </si>
  <si>
    <t>TAS000000241900 - EXP-EMPRESAS-MIDDLEWARE</t>
  </si>
  <si>
    <t>CRQ000000256232</t>
  </si>
  <si>
    <t>POOL - GOBIERNO VASCO - Renovación certificado</t>
  </si>
  <si>
    <t>S4833001C - GOBIERNO VASCO</t>
  </si>
  <si>
    <t>ejgvweb</t>
  </si>
  <si>
    <t>TAS000000242975 - EXP-EMPRESAS-MIDDLEWARE</t>
  </si>
  <si>
    <t>CRQ000000253943</t>
  </si>
  <si>
    <t>JLB - KAO - Actualizar parches de Microsoft mes de Abril</t>
  </si>
  <si>
    <t>TAS000000239558 - EXP-CCT_CITRIX-TICLIENTES-SUM</t>
  </si>
  <si>
    <t>CRQ000000255833</t>
  </si>
  <si>
    <t>TAS000000242040 - SDNIVEL1
TAS000000242232 - EXP-EMPRESAS-VIRTUALIZADOS
TAS000000241853 - SOPORTE_SOYCLOUDER
TAS000000241854 - SISTEMAS BACKUP
TAS000000242233 - CCT_IAAS_PLATAFORMA VIRTUAL
TAS000000242310 - SDNIVEL1</t>
  </si>
  <si>
    <t>CRQ000000256549</t>
  </si>
  <si>
    <t>TAS000000241871 - SDNIVEL1
TAS000000242273 - EXP-WINTEL TIC-SUM
TAS000000242336 - EXP-SQLSERVER TIC-SUM
TAS000000242453 - SDNIVEL1</t>
  </si>
  <si>
    <t>Parcheado Seguridad Marzo y Abril 2021</t>
  </si>
  <si>
    <t>CRQ000000257358</t>
  </si>
  <si>
    <t>JLB - POLIGAL - Instalación de parches de seguridad de Microsoft</t>
  </si>
  <si>
    <t>B64361728 - POLIGAL GLOBAL SERVICES SLU</t>
  </si>
  <si>
    <t>DC2BART01, dc2erppl1, dc2erppl2, dc2erppltest, dc3ad1</t>
  </si>
  <si>
    <t>TAS000000243424 - SDNIVEL1
TAS000000243425 - EXP-WINTEL TIC-SUM
TAS000000243426 - SDNIVEL1</t>
  </si>
  <si>
    <t>CRQ000000257470</t>
  </si>
  <si>
    <t>FLG - CORREOS - PRO - Actualización de cifrados</t>
  </si>
  <si>
    <t>TAS000000243816 - CDSCLOUD_OPENSHIFT</t>
  </si>
  <si>
    <t>CRQ000000256507</t>
  </si>
  <si>
    <t>JPG - SEMARK - Solicitud de apagado de servidores</t>
  </si>
  <si>
    <t>SRV-QLIKPRO1, SRV-QLIKPRO2</t>
  </si>
  <si>
    <t>TAS000000242399 - SSO SG EVENTOS
TAS000000242400 - SISTEMAS BACKUP
TAS000000242559 - EXP-EMPRESAS-VIRTUALIZADOS</t>
  </si>
  <si>
    <t>CRQ000000257583</t>
  </si>
  <si>
    <t>PRP - AXACTOR - Solicitud de apagado de servidores</t>
  </si>
  <si>
    <t>GIRA70, GIRA44, Portal, INTRANET, GIRA46, GIRA11, GIRA26, GIRA10, GIRA20</t>
  </si>
  <si>
    <t>TAS000000243193 - SSO SG EVENTOS
TAS000000243562 - SISTEMAS BACKUP
TAS000000243194 - EXP-EMPRESAS-VIRTUALIZADOS</t>
  </si>
  <si>
    <t>CRQ000000257463</t>
  </si>
  <si>
    <t>DJS - AYTO. DE ALCALÁ DE HENARES - Instalación de parches de seguridad</t>
  </si>
  <si>
    <t>AYALCATERSER, HVAYALCALAWSUS, SQLTEST, VMISC2</t>
  </si>
  <si>
    <t>TAS000000243264 - SDNIVEL1
TAS000000243167 - EXP-WINTEL TIC-SUM
TAS000000244104 - EXP-SQLSERVER TIC-SUM
TAS000000244105 - SDNIVEL1</t>
  </si>
  <si>
    <t>CRQ000000258793</t>
  </si>
  <si>
    <t>TAS000000244992 - EXP-EMPRESAS-BBDD</t>
  </si>
  <si>
    <t>CRQ000000254040</t>
  </si>
  <si>
    <t>RBG - NOVOBANCO - Actualizar parches de Microsoft mes de Abril</t>
  </si>
  <si>
    <t>TAS000000240034 - EXP-CCT_CITRIX-TICLIENTES-SUM</t>
  </si>
  <si>
    <t>CRQ000000259172</t>
  </si>
  <si>
    <t>TAS000000245172 - EXP-EMPRESAS-MIDDLEWARE</t>
  </si>
  <si>
    <t>CRQ000000258049</t>
  </si>
  <si>
    <t>BIBLIOTECAS, Documentum, FILESRVPOL01, SAVIATIME</t>
  </si>
  <si>
    <t>TAS000000244106 - SDNIVEL1
TAS000000243267 - EXP-WINTEL TIC-SUM
TAS000000243535 - SDNIVEL1</t>
  </si>
  <si>
    <t>Parcheado Seguridad Abril 2021
WINTEL: "El servidor SVC-CCS1 se ha corregido con la intervención, pero la comunicación con la herramienta de parcheo ha quedado afectada. Se ha tratado el problema con N2 pero no se ha podido solventar y tendrán que investigarlo más a fondo, con lo que SVC-CCS1 no se ha podido actualizar con los parches de seguridad y queda pendiente de actualización una vez corregido el problema con nuestra herramienta de parcheo.
Todos los demás servidores han quedado actualizados y se han realizado los cambios solicitados a nivel de MV."</t>
  </si>
  <si>
    <t>CRQ000000256210</t>
  </si>
  <si>
    <t>SVC-BBDD1CLUS, SVC-BBDD2CLUS, SVC-CIC1, SVC-CIC2, SVCTIMSR1-ALC, SVCTIMSR2-ALC, SVCTIMSR3-ALC, SVCTIMSR4-ALC, SVCTIMSR5-ALC, SVCTIMSR6-ALC, SVC-CCS1, SVC-CCS2, SVC-CSCR1, SVC-CSCR2, SVC-CSCR6, SVC-RCS1, SVC-RCS2, SVC-SRS, SVC_DC1, SVC_DC2</t>
  </si>
  <si>
    <t>TAS000000243457 - SDNIVEL1
TAS000000242590 - EXP-SQLSERVER TIC-SUM
TAS000000243458 - EXP-WINTEL TIC-SUM
TAS000000243234 - EXP-SQLSERVER TIC-SUM
TAS000000243235 - SDNIVEL1</t>
  </si>
  <si>
    <t>CRQ000000258435</t>
  </si>
  <si>
    <t>mge-qa, ESMAPRINT-1, ESMAPRINT-2, ESMACLIPPING, ESMAEBOOKS, BAAPPS-5, BAUID-1, MXAPP-2, ESMAALEQA, CONECTADOS-PRD, MADILVE, BAFTP-2, marelay-2, ESMAQSU-1, ESMAPSU-1, ESMADSU-1, prhmivnx, prhmivcenter, prhmivcentersql</t>
  </si>
  <si>
    <t>TAS000000244683 - SSO SG EVENTOS
TAS000000244865 - SISTEMAS BACKUP
TAS000000244684 - EXP-EMPRESAS-VIRTUALIZADOS</t>
  </si>
  <si>
    <t>Parcheado Seguridad Mayo 2021</t>
  </si>
  <si>
    <t>CRQ000000256024</t>
  </si>
  <si>
    <t>TAS000000242430 - SDNIVEL1
TAS000000242431 - EXP-WINTEL TIC-SUM
TAS000000241972 - EXP-SQLSERVER TIC-SUM
TAS000000241973 - SDNIVEL1</t>
  </si>
  <si>
    <t>Parcheado Seguridad Mayo 2021
WINTEL: "Cancelado debido a un problema de incompatibilidad del KB5003171 con el servidor seracs-2.  Se trata con N2 de SISTEMAS NT y se determina que el servidor va a requerir un parche previo que corrija el problema que tiene para su instalación de parches y es necesario investigarlo. Necesitará ser reprogramada.
Se procede a abrir petición INC000006675031 a N2 de SISTEMAS NT  para que lo investiguen."</t>
  </si>
  <si>
    <t>CRQ000000256968</t>
  </si>
  <si>
    <t>POOL - ACS - Instalación de parches de seguridad de Microsoft</t>
  </si>
  <si>
    <t>seracs-2</t>
  </si>
  <si>
    <t>TAS000000242941 - SDNIVEL1
TAS000000242943 - EXP-WINTEL TIC-SUM
TAS000000242814 - EXP-SQLSERVER TIC-SUM
TAS000000242945 - SDNIVEL1</t>
  </si>
  <si>
    <t>CRQ000000259009</t>
  </si>
  <si>
    <t>PRP - AXACTOR - Solicitud de eliminación de servidores</t>
  </si>
  <si>
    <t>TAS000000244888 - SSO SG EVENTOS
TAS000000245854 - SISTEMAS BACKUP
TAS000000245855 - EXP-EMPRESAS-VIRTUALIZADOS</t>
  </si>
  <si>
    <t>CRQ000000258844</t>
  </si>
  <si>
    <t>TAS000000244805 - EXP-EMPRESAS-MIDDLEWARE</t>
  </si>
  <si>
    <t>CRQ000000259902</t>
  </si>
  <si>
    <t>FLG - CORREOS - Migración VPCs a VIF Transito Billing y SharedServices</t>
  </si>
  <si>
    <t>Ninguno</t>
  </si>
  <si>
    <t>TAS000000245651 - CLOUD PÚBLICA NIVEL 2_AWS</t>
  </si>
  <si>
    <t>CRQ000000259919</t>
  </si>
  <si>
    <t>CGG - IDC SALUD - Mover discos de máquinas CPDWEBBD y qsqinincic02</t>
  </si>
  <si>
    <t>CPDWEBBD, qsqinincic02</t>
  </si>
  <si>
    <t>TAS000000246075 - EXP-EMPRESAS-VIRTUALIZADOS</t>
  </si>
  <si>
    <t>CRQ000000256447</t>
  </si>
  <si>
    <t>TAS000000241975 - SDNIVEL1
TAS000000242248 - EXP-WINTEL TIC-SUM
TAS000000241976 - SDNIVEL1</t>
  </si>
  <si>
    <t>CRQ000000256359</t>
  </si>
  <si>
    <t>TAS000000242078 - SDNIVEL1
TAS000000242079 - EXP-WINTEL TIC-SUM
TAS000000242080 - SDNIVEL1</t>
  </si>
  <si>
    <t>CRQ000000258968</t>
  </si>
  <si>
    <t>TAS000000245206 - SDNIVEL1
TAS000000245145 - EXP-CORREO COLABORATIVO EXCHANGE TIC-SUM
TAS000000244854 - SDNIVEL1</t>
  </si>
  <si>
    <t>CRQ000000256459</t>
  </si>
  <si>
    <t>TAS000000242460 - SDNIVEL1
TAS000000242461 - EXP-WINTEL TIC-SUM
TAS000000242338 - SDNIVEL1</t>
  </si>
  <si>
    <t>CRQ000000258868</t>
  </si>
  <si>
    <t>AYTOALCALASQL02, AYTOALPOLSQL02</t>
  </si>
  <si>
    <t>TAS000000244949 - SDNIVEL1
TAS000000244823 - EXP-WINTEL TIC-SUM
TAS000000244950 - EXP-SQLSERVER TIC-SUM
TAS000000244951 - SDNIVEL1</t>
  </si>
  <si>
    <t>CRQ000000259816</t>
  </si>
  <si>
    <t>OAC - MELIA - Actualización del sistema operativo a la última versión en mhitaesbgwint01</t>
  </si>
  <si>
    <t>mhitaesbgwint01</t>
  </si>
  <si>
    <t>TAS000000245958 - SDNIVEL1
TAS000000245667 - EXP-EMPRESAS-SISTEMASLINUX
TAS000000245669 - EXP-EMPRESAS-SISTEMASLINUX
TAS000000245959 - SDNIVEL1</t>
  </si>
  <si>
    <t>CRQ000000258334</t>
  </si>
  <si>
    <t>FILESRV2, GXP1, IMPRESIONPOL01, HVAYALCALADC02, HVPMALCALADC02, IMPRESION2</t>
  </si>
  <si>
    <t>TAS000000244960 - SDNIVEL1
TAS000000244654 - EXP-WINTEL TIC-SUM
TAS000000244961 - SDNIVEL1</t>
  </si>
  <si>
    <t>CRQ000000256111</t>
  </si>
  <si>
    <t>TAS000000242280 - SDNIVEL1
TAS000000242281 - EXP-WINTEL TIC-SUM
TAS000000242509 - EXP-SQLSERVER TIC-SUM
TAS000000242510 - SDNIVEL1</t>
  </si>
  <si>
    <t>CRQ000000260214</t>
  </si>
  <si>
    <t>LCH - ENEL IBEROAMERICA - Solicitud de Clonación de servidores SVC_CIC_CERT, SVC_CCS_CERT</t>
  </si>
  <si>
    <t>SVC_CIC_CERT, SVC_CCS_CERT</t>
  </si>
  <si>
    <t>TAS000000246863 - SDNIVEL1
TAS000000246864 - EXP-EMPRESAS-VIRTUALIZADOS
TAS000000247067 - SDNIVEL1</t>
  </si>
  <si>
    <t>CRQ000000256561</t>
  </si>
  <si>
    <t>TAS000000242370 - SDNIVEL1
TAS000000242511 - EXP-WINTEL TIC-SUM
TAS000000242512 - SDNIVEL1</t>
  </si>
  <si>
    <t>CRQ000000258972</t>
  </si>
  <si>
    <t>TAS000000244855 - SDNIVEL1
TAS000000245146 - EXP-CORREO COLABORATIVO EXCHANGE TIC-SUM
TAS000000244861 - SDNIVEL1</t>
  </si>
  <si>
    <t>CRQ000000257568</t>
  </si>
  <si>
    <t>TAS000000244114 - SDNIVEL1
TAS000000244117 - EXP-CCT_O365 TIC-SUM
TAS000000243173 - EXP-CCT_O365 TIC-SUM
TAS000000243918 - EXP-CCT_O365 TIC-SUM
TAS000000244122 - EXP-CCT_O365 TIC-SUM
TAS000000244123 - SDNIVEL1</t>
  </si>
  <si>
    <t>CRQ000000256547</t>
  </si>
  <si>
    <t>TAS000000242333 - SDNIVEL1
TAS000000242081 - EXP-WINTEL TIC-SUM
TAS000000242269 - SDNIVEL1</t>
  </si>
  <si>
    <t>CRQ000000256218</t>
  </si>
  <si>
    <t>TAS000000242371 - SDNIVEL1
TAS000000242901 - EXP-WINTEL TIC-SUM
TAS000000242902 - SDNIVEL1</t>
  </si>
  <si>
    <t>CRQ000000259782</t>
  </si>
  <si>
    <t>TAS000000246025 - EXP-EMPRESAS-BBDD
TAS000000246026 - EXP-EMPRESAS-MIDDLEWARE
TAS000000245459 - EXP-EMPRESAS-BBDD</t>
  </si>
  <si>
    <t>CRQ000000259147</t>
  </si>
  <si>
    <t>TAS000000244667 - SDNIVEL1
TAS000000245202 - EXP-CORREO COLABORATIVO EXCHANGE TIC-SUM
TAS000000245141 - SDNIVEL1</t>
  </si>
  <si>
    <t>CRQ000000257770</t>
  </si>
  <si>
    <t>TAS000000244124 - SDNIVEL1
TAS000000243919 - EXP-CCT_O365 TIC-SUM
TAS000000244125 - EXP-CCT_O365 TIC-SUM
TAS000000244126 - EXP-CCT_O365 TIC-SUM
TAS000000243174 - EXP-CCT_O365 TIC-SUM
TAS000000244131 - SDNIVEL1</t>
  </si>
  <si>
    <t>CRQ000000258756</t>
  </si>
  <si>
    <t>AYTOALCALASQL01, AYTOALPOLSQL01</t>
  </si>
  <si>
    <t>TAS000000244653 - SDNIVEL1
TAS000000244955 - EXP-WINTEL TIC-SUM
TAS000000244956 - EXP-SQLSERVER TIC-SUM
TAS000000244957 - SDNIVEL1</t>
  </si>
  <si>
    <t>CRQ000000256372</t>
  </si>
  <si>
    <t>TAS000000242903 - SDNIVEL1
TAS000000242904 - EXP-WINTEL TIC-SUM
TAS000000241991 - EXP-SQLSERVER TIC-SUM
TAS000000242475 - SDNIVEL1</t>
  </si>
  <si>
    <t>CRQ000000256473</t>
  </si>
  <si>
    <t>TAS000000242908 - SDNIVEL1
TAS000000242513 - EXP-WINTEL TIC-SUM
TAS000000242912 - SDNIVEL1</t>
  </si>
  <si>
    <t>CRQ000000256957</t>
  </si>
  <si>
    <t>TAS000000242919 - SDNIVEL1
TAS000000242920 - EXP-WINTEL TIC-SUM
TAS000000242921 - SDNIVEL1</t>
  </si>
  <si>
    <t>CRQ000000256025</t>
  </si>
  <si>
    <t>TAS000000242250 - SDNIVEL1
TAS000000242326 - EXP-SQLSERVER TIC-SUM
TAS000000242252 - EXP-WINTEL TIC-SUM
TAS000000242327 - EXP-SQLSERVER TIC-SUM
TAS000000242253 - SDNIVEL1</t>
  </si>
  <si>
    <t>CRQ000000256574</t>
  </si>
  <si>
    <t>TAS000000242925 - SDNIVEL1
TAS000000242812 - EXP-WINTEL TIC-SUM
TAS000000242479 - EXP-EMPRESAS-MIDDLEWARE
TAS000000242927 - SDNIVEL1</t>
  </si>
  <si>
    <t>CRQ000000260779</t>
  </si>
  <si>
    <t>ESMAHANAD-1, ESMAHANAP-1</t>
  </si>
  <si>
    <t>TAS000000246690 - SSO SG EVENTOS
TAS000000246868 - SISTEMAS BACKUP
TAS000000246949 - EXP-EMPRESAS-SISTEMASLINUX</t>
  </si>
  <si>
    <t>CRQ000000260151</t>
  </si>
  <si>
    <t>OAC - MELIA - Actualización del sistema operativo a la última versión en MHITAWSEDES</t>
  </si>
  <si>
    <t>MHITAWSEDES</t>
  </si>
  <si>
    <t>TAS000000245671 - SDNIVEL1
TAS000000246142 - EXP-EMPRESAS-SISTEMASLINUX
TAS000000246143 - EXP-EMPRESAS-SISTEMASLINUX
TAS000000245673 - SDNIVEL1</t>
  </si>
  <si>
    <t>CRQ000000258965</t>
  </si>
  <si>
    <t>TAS000000245143 - SDNIVEL1
TAS000000245203 - EXP-CORREO COLABORATIVO EXCHANGE TIC-SUM
TAS000000244990 - SDNIVEL1</t>
  </si>
  <si>
    <t>CRQ000000258755</t>
  </si>
  <si>
    <t>APPINT, AYTOALDCSPM, AYTOALPOLINTRAT, FILESRV1, HVAYALCALADC01, HVAYALCALASYNC, HVPMALCALADC01, IMPRESION, LABGUARD</t>
  </si>
  <si>
    <t>TAS000000244948 - SDNIVEL1
TAS000000244651 - EXP-WINTEL TIC-SUM
TAS000000243897 - SDNIVEL1</t>
  </si>
  <si>
    <t>CRQ000000256032</t>
  </si>
  <si>
    <t>TAS000000242270 - SDNIVEL1
TAS000000242334 - EXP-WINTEL TIC-SUM
TAS000000242271 - SDNIVEL1</t>
  </si>
  <si>
    <t>CRQ000000256126</t>
  </si>
  <si>
    <t>TAS000000242817 - SDNIVEL1
TAS000000242956 - EXP-WINTEL TIC-SUM
TAS000000242378 - SDNIVEL1</t>
  </si>
  <si>
    <t>CRQ000000256990</t>
  </si>
  <si>
    <t>TAS000000242828 - SDNIVEL1
TAS000000242829 - EXP-WINTEL TIC-SUM
TAS000000242978 - SDNIVEL1</t>
  </si>
  <si>
    <t>CRQ000000261168</t>
  </si>
  <si>
    <t>FLG - CORREOS - Migración VPCs a VIF Transito OCP PRO y SharedServices</t>
  </si>
  <si>
    <t>Aplicaciones AWS OCP</t>
  </si>
  <si>
    <t>TAS000000247832 - CLOUD PÚBLICA NIVEL 2_AWS
TAS000000247833 - CDSCLOUD_OPENSHIFT</t>
  </si>
  <si>
    <t>CRQ000000261122</t>
  </si>
  <si>
    <t>SRV-AUXGESDOC</t>
  </si>
  <si>
    <t>TAS000000247628 - SSO SG EVENTOS
TAS000000247352 - SISTEMAS BACKUP
TAS000000247921 - EXP-EMPRESAS-VIRTUALIZADOS</t>
  </si>
  <si>
    <t>CRQ000000256992</t>
  </si>
  <si>
    <t>TAS000000243004 - SDNIVEL1
TAS000000242497 - EXP-WINTEL TIC-SUM
TAS000000242831 - SDNIVEL1</t>
  </si>
  <si>
    <t>CRQ000000257002</t>
  </si>
  <si>
    <t>TAS000000243008 - SDNIVEL1
TAS000000243009 - EXP-WINTEL TIC-SUM
TAS000000243011 - SDNIVEL1</t>
  </si>
  <si>
    <t>CRQ000000256455</t>
  </si>
  <si>
    <t>TAS000000242335 - SDNIVEL1
TAS000000241869 - EXP-WINTEL TIC-SUM
TAS000000241870 - SDNIVEL1</t>
  </si>
  <si>
    <t>CRQ000000256513</t>
  </si>
  <si>
    <t>TAS000000243122 - SDNIVEL1
TAS000000242562 - EXP-WINTEL TIC-SUM
TAS000000243207 - SDNIVEL1</t>
  </si>
  <si>
    <t>CRQ000000256524</t>
  </si>
  <si>
    <t>JBQ - LA FABRICA DE LA TELE - Instalación de parches de seguridad de Microsoft</t>
  </si>
  <si>
    <t>fltvideo-01, fltvideo-02</t>
  </si>
  <si>
    <t>TAS000000243214 - SDNIVEL1
TAS000000242577 - EXP-WINTEL TIC-SUM
TAS000000243216 - SDNIVEL1</t>
  </si>
  <si>
    <t>CRQ000000256519</t>
  </si>
  <si>
    <t>TAS000000243403 - SDNIVEL1
TAS000000242570 - EXP-WINTEL TIC-SUM
TAS000000243210 - SDNIVEL1</t>
  </si>
  <si>
    <t>CRQ000000257083</t>
  </si>
  <si>
    <t>TAS000000242583 - SDNIVEL1
TAS000000243435 - EXP-WINTEL TIC-SUM
TAS000000243220 - SDNIVEL1</t>
  </si>
  <si>
    <t>CRQ000000260931</t>
  </si>
  <si>
    <t>TAS000000247550 - SDNIVEL1
TAS000000247769 - EXP-CORREO COLABORATIVO EXCHANGE TIC-SUM
TAS000000247473 - SDNIVEL1</t>
  </si>
  <si>
    <t>CRQ000000256533</t>
  </si>
  <si>
    <t>RLC - DIRECCIÓN GENERAL DE RACIONALIZACIÓN - Instalación de parches de seguridad de Microsoft</t>
  </si>
  <si>
    <t>S2801213F - DIRECCIÓN GENERAL DE RACIONALIZACIÓN</t>
  </si>
  <si>
    <t>corasql01, corasql02, coraVozbck01, corawin01, UCMCON, UCMCOL1, ADACON, ADACOL1, NFACON, cabisrv</t>
  </si>
  <si>
    <t>TAS000000242587 - SDNIVEL1
TAS000000243441 - EXP-SQLSERVER TIC-SUM
TAS000000243505 - EXP-WINTEL TIC-SUM
TAS000000242588 - SDNIVEL1</t>
  </si>
  <si>
    <t>CRQ000000261289</t>
  </si>
  <si>
    <t>TAS000000247694 - EXP-EMPRESAS-MIDDLEWARE</t>
  </si>
  <si>
    <t>CRQ000000256534</t>
  </si>
  <si>
    <t>TAS000000243445 - SDNIVEL1
TAS000000243225 - EXP-WINTEL TIC-SUM
TAS000000243454 - EXP-EMPRESAS-MIDDLEWARE
TAS000000243455 - SDNIVEL1</t>
  </si>
  <si>
    <t>CRQ000000261030</t>
  </si>
  <si>
    <t>TAS000000247922 - SDNIVEL1
TAS000000247552 - EXP-CORREO COLABORATIVO EXCHANGE TIC-SUM
TAS000000247553 - SDNIVEL1</t>
  </si>
  <si>
    <t>CRQ000000262487</t>
  </si>
  <si>
    <t>POOL - HOSPITEN GESTION - APAGADO DE MÁQUINAS POR DESPROVISIÓN</t>
  </si>
  <si>
    <t>V38580064 - HOSPITEN GESTION</t>
  </si>
  <si>
    <t>docuflex_pro, Sgesuci_pre, Digitalizacion, services_pro, srvgestion, jdev, jpro, LAB-TEST-openlab-unity, SOPHIESRV, sgesdocs, SOLMAN, ServerAlfresco, CONalfresco, Gestiondc1, RESLAB, SGES-ASTRAIA_NEW, SRV-HTENGES1, TLF_DPCELLMANAGER</t>
  </si>
  <si>
    <t>TAS000000248990 - SSO SG EVENTOS
TAS000000249331 - SISTEMAS BACKUP
TAS000000248999 - EXP-EMPRESAS-VIRTUALIZADOS</t>
  </si>
  <si>
    <t>CRQ000000261245</t>
  </si>
  <si>
    <t>TAS000000247554 - EXP-CORREO COLABORATIVO EXCHANGE TIC-SUM</t>
  </si>
  <si>
    <t>CRQ000000256537</t>
  </si>
  <si>
    <t>TAS000000243468 - SDNIVEL1
TAS000000243471 - EXP-WINTEL TIC-SUM
TAS000000243509 - SDNIVEL1</t>
  </si>
  <si>
    <t>Parcheado Seguridad Mayo 2021 - Con problemas en el servidor y error al cerrar el cambio</t>
  </si>
  <si>
    <t>CRQ000000259249</t>
  </si>
  <si>
    <t>POOL - BBVA - Instalación de parches de seguridad</t>
  </si>
  <si>
    <t>NFAConsole</t>
  </si>
  <si>
    <t>TAS000000244690 - SDNIVEL1
TAS000000245217 - EXP-WINTEL TIC-SUM
TAS000000244996 - SDNIVEL1</t>
  </si>
  <si>
    <t>CRQ000000261128</t>
  </si>
  <si>
    <t>TAS000000247355 - EXP-CORREO COLABORATIVO EXCHANGE TIC-SUM</t>
  </si>
  <si>
    <t>SIN ÉXITO</t>
  </si>
  <si>
    <t>Se retrasa por problemas con la plantilla | Modificacion no resuelve problema, se aplica marcha atras.</t>
  </si>
  <si>
    <t>CRQ000000263045</t>
  </si>
  <si>
    <t>POOL - AMA - Cambio regla en tabla de rutas privada</t>
  </si>
  <si>
    <t>No hay ningún servidor implicado, es un cambio en las comunicaciones</t>
  </si>
  <si>
    <t>TAS000000249441 - CLOUD PÚBLICA NIVEL 2_AWS</t>
  </si>
  <si>
    <t>CRQ000000262138</t>
  </si>
  <si>
    <t xml:space="preserve"> TAS000000248790 - EXP-EMPRESAS-MIDDLEWARE</t>
  </si>
  <si>
    <t>CRQ000000257410</t>
  </si>
  <si>
    <t>POOL - SANTANDER TECNOLOGIA - Instalación de parches de seguridad de Microsoft</t>
  </si>
  <si>
    <t>B87850749 - SANTANDER TECNOLOGIA S.L</t>
  </si>
  <si>
    <t>VDCSANTBIGFIX01, VDCSANTBIGFIX02, VDCSANTBIGFIX03, VDCSANTBIGFIX04</t>
  </si>
  <si>
    <t>TAS000000243158 - SDNIVEL1
TAS000000243524 - EXP-WINTEL TIC-SUM
TAS000000243806 - SDNIVEL1</t>
  </si>
  <si>
    <t>CRQ000000257117</t>
  </si>
  <si>
    <t>TAS000000243527 - SDNIVEL1
TAS000000243905 - EXP-WINTEL TIC-SUM
TAS000000243528 - SDNIVEL1</t>
  </si>
  <si>
    <t>CRQ000000262874</t>
  </si>
  <si>
    <t>TAS000000249618 - SSO SG EVENTOS
TAS000000249816 - EXP-EMPRESAS-SISTEMASLINUX
TAS000000249913 - SISTEMAS BACKUP</t>
  </si>
  <si>
    <t>CRQ000000257553</t>
  </si>
  <si>
    <t>TAS000000243161 - SDNIVEL1
TAS000000243162 - EXP-WINTEL TIC-SUM
TAS000000243260 - SDNIVEL1</t>
  </si>
  <si>
    <t>CRQ000000257124</t>
  </si>
  <si>
    <t>TAS000000243809 - SDNIVEL1
TAS000000243909 - EXP-WINTEL TIC-SUM
TAS000000243164 - SDNIVEL1</t>
  </si>
  <si>
    <t>CRQ000000256515</t>
  </si>
  <si>
    <t>MSWADRMP01, MSWAPPRP01, MSWRECRP01, MSWMSQLP03, MSWMSQLP04, MSWPKIP02, MSWPRTSP01, MSWQLIKP01, MSWREPOP01, MSWSP13P01, MSWSP13P02, MSWSP13P03, MSWSP13P04, MSWSTSSP01, MSWWEBSP01, MSWWEBSP02, MSWAPPGP01</t>
  </si>
  <si>
    <t>TAS000000243208 - SDNIVEL1
TAS000000242566 - EXP-WINTEL TIC-SUM
TAS000000243025 - SDNIVEL1</t>
  </si>
  <si>
    <t>CRQ000000257759</t>
  </si>
  <si>
    <t>TAS000000243912 - SDNIVEL1
TAS000000243166 - EXP-WINTEL TIC-SUM
TAS000000243913 - SDNIVEL1</t>
  </si>
  <si>
    <t>CRQ000000263739</t>
  </si>
  <si>
    <t>JBS - FERROVIAL – Conector Salida O365</t>
  </si>
  <si>
    <t>Deshabilitar Conector de salida, Hacer pruebas de envío recepción de correos</t>
  </si>
  <si>
    <t>TAS000000250689 - EXP-CCT_O365 TIC-SUM</t>
  </si>
  <si>
    <t>CRQ000000263582</t>
  </si>
  <si>
    <t>TAS000000249692 - EXP-EMPRESAS-MIDDLEWARE
TAS000000250334 - EXP-EMPRESAS-BBDD
TAS000000250335 - EXP-EMPRESAS-BBDD</t>
  </si>
  <si>
    <t>CRQ000000262796</t>
  </si>
  <si>
    <t>CRA - CAJA ASTURIAS - Actualizar parches de Microsoft mes de Abril</t>
  </si>
  <si>
    <t>TAS000000249469 - EXP-CCT_CITRIX-TICLIENTES-SUM</t>
  </si>
  <si>
    <t>La hora de finalización ha sido a las 16:11:19</t>
  </si>
  <si>
    <t>CRQ000000263718</t>
  </si>
  <si>
    <t>POOL - HOSPITEN GESTION A.I.E - Solicitud de apagado de servidores</t>
  </si>
  <si>
    <t>sges2k06, tlerpux08, tlerpux03, tlerpux04, tlerpux05, sgesbw02, tlerpux06, sbxsmh, crmdes, tlerpux07, erpux02, crmpro, sgesbw01, exchangeges3</t>
  </si>
  <si>
    <t>TAS000000250359 - SSO SG EVENTOS
TAS000000250625 - SISTEMAS BACKUP
TAS000000250626 - EXP-EMPRESAS-SISTEMASLINUX</t>
  </si>
  <si>
    <t>CRQ000000263196</t>
  </si>
  <si>
    <t>POOL - INVERAMA - Actualizar parches de Microsoft mes de Mayo</t>
  </si>
  <si>
    <t>TAS000000249656 - EXP-CCT_CITRIX-TICLIENTES-SUM</t>
  </si>
  <si>
    <t>CRQ000000264775</t>
  </si>
  <si>
    <t xml:space="preserve">FLG - CORREOS - PRO – Actualización de certificados wildcard en DGT	</t>
  </si>
  <si>
    <t xml:space="preserve">Aplicaciones ejecutándose en el entorno de producción de OCP	</t>
  </si>
  <si>
    <t xml:space="preserve">TAS000000251637 - CDSCLOUD_OPENSHIFT	</t>
  </si>
  <si>
    <t>Escalado: solicitud de generar el cambio con &lt; 48 horas de pre aviso. | Continua programado para aprobación pasada la ventana de ejecucion | A peticion del cliente se modifican fechas (del dia 1 pasa al 2) | Las pruebas posteriores de acceso generan errores de conexión y se realiza rollback</t>
  </si>
  <si>
    <t>CRQ000000264680</t>
  </si>
  <si>
    <t>RBG - NOVOBANCO - Actualización Aplicación Mercado de Divisas para NOVOBANCO</t>
  </si>
  <si>
    <t>TAS000000251457 - EXP-CCT_CITRIX-TICLIENTES-SUM</t>
  </si>
  <si>
    <t>CRQ000000263103</t>
  </si>
  <si>
    <t>Sergio Custardoy Torres</t>
  </si>
  <si>
    <t>TAS000000250054 - EXP-CCT_CITRIX-TICLIENTES-SUM</t>
  </si>
  <si>
    <t>CRQ000000265183</t>
  </si>
  <si>
    <t>JBS - FERROVIAL - Eliminar dominio del conector de salida a Messagelabs</t>
  </si>
  <si>
    <t>Plataforma de O365 del cliente Ferrovial</t>
  </si>
  <si>
    <t>TAS000000252017 - EXP-CCT_O365 TIC-SUM</t>
  </si>
  <si>
    <t>La hora de finalización real fue a las 15:24</t>
  </si>
  <si>
    <t>CRQ000000264644</t>
  </si>
  <si>
    <t>POOL - COMERCIAL AUTO TRACTOR S.A - Solicitud de apagado de servidores</t>
  </si>
  <si>
    <t>DCTR01-CMA01, DCTR01-AIM03</t>
  </si>
  <si>
    <t>TAS000000250476 - EXP-EMPRESAS-VIRTUALIZADOS
TAS000000250844 - SSO SG EVENTOS
TAS000000250694 - SISTEMAS BACKUP</t>
  </si>
  <si>
    <t>CRQ000000265075</t>
  </si>
  <si>
    <t>TAS000000251923 - EXP-EMPRESAS-MIDDLEWARE</t>
  </si>
  <si>
    <t>CRQ000000263218</t>
  </si>
  <si>
    <t>POOL - CAF - Actualizar parches de Microsoft mes de Mayo</t>
  </si>
  <si>
    <t>TAS000000250305 - EXP-CCT_CITRIX-TICLIENTES-SUM</t>
  </si>
  <si>
    <t>CRQ000000264778</t>
  </si>
  <si>
    <t xml:space="preserve">POOL - SERVIHOTEL S.L. - Solicitud de apagado de servidores
</t>
  </si>
  <si>
    <t>B03030913 - SERVIHOTEL S.L.</t>
  </si>
  <si>
    <t>servihotelbd, servihotelweb, servihotelweb_pre</t>
  </si>
  <si>
    <t xml:space="preserve">TAS000000251908 - SSO SG EVENTOS
TAS000000251847 - SISTEMAS BACKUP
TAS000000251353 - EXP-EMPRESAS-SISTEMASLINUX
</t>
  </si>
  <si>
    <t>Escalado: solicitud de generar el cambio con &lt; 48 horas de pre aviso. Se cerró fuera de ventana.</t>
  </si>
  <si>
    <t>CRQ000000265424</t>
  </si>
  <si>
    <t>FLG - CORREOS - Actualizar IPs de los desarrolladores para permitir acceso a BBDD y AppSvc</t>
  </si>
  <si>
    <t>PWEBRRHH-PRE</t>
  </si>
  <si>
    <t>TAS000000252915 - CLOUD PÚBLICA NIVEL 2_AZURE</t>
  </si>
  <si>
    <t>CRQ000000266044</t>
  </si>
  <si>
    <t>VAA – HUMV – punto de restauración OMI - PRO</t>
  </si>
  <si>
    <t>humvx8s1vm1/ humvx8s2vm1</t>
  </si>
  <si>
    <t>TAS000000252756 - EXP-EMPRESAS-BBDD</t>
  </si>
  <si>
    <t>CRQ000000260256</t>
  </si>
  <si>
    <t>ENRIQUE SOTO GUADALIX</t>
  </si>
  <si>
    <t>TAS000000246152 - EXP-CCT_CITRIX-TICLIENTES-SUM
TAS000000246150 - EXP-CCT-WINTEL TIC-SUM
TAS000000246068 - EXP-CCT-SQLSERVER TIC-SUM</t>
  </si>
  <si>
    <t>Ha finalizado sin éxito no se registra la maquina en el entorno.
Se realiza rollback a imagen anterior
Se verifica entorno.</t>
  </si>
  <si>
    <t>CRQ000000263115</t>
  </si>
  <si>
    <t>DJS - VERDIFRESH - Actualizar parches de Microsoft mes de Mayo</t>
  </si>
  <si>
    <t>TAS000000250315 - EXP-CCT_CITRIX-TICLIENTES-SUM</t>
  </si>
  <si>
    <t>CRQ000000260160</t>
  </si>
  <si>
    <t>TAS000000246160 - EXP-CCT_CITRIX-TICLIENTES-SUM
TAS000000245971 - EXP-CCT-WINTEL TIC-SUM
TAS000000246161 - EXP-CCT-SQLSERVER TIC-SUM</t>
  </si>
  <si>
    <t>CRQ000000263236</t>
  </si>
  <si>
    <t>RLC - DGOJ - Actualizar parches de Microsoft mes de Mayo</t>
  </si>
  <si>
    <t>TAS000000250327 - EXP-CCT_CITRIX-TICLIENTES-SUM</t>
  </si>
  <si>
    <t>CRQ000000263954</t>
  </si>
  <si>
    <t>POOL - SPACECARGO - Actualizar parches de Microsoft mes de Mayo</t>
  </si>
  <si>
    <t xml:space="preserve">TAS000000250605 - EXP-CCT_CITRIX-TICLIENTES-SUM
</t>
  </si>
  <si>
    <t>CRQ000000265416</t>
  </si>
  <si>
    <t>JBS - FERROVIAL - Eliminar dominios del conector de salida a Messagelabs</t>
  </si>
  <si>
    <t xml:space="preserve">TAS000000252913 - EXP-CCT_O365 TIC-SUM	</t>
  </si>
  <si>
    <t>Fecha de finalización real 17:44</t>
  </si>
  <si>
    <t>BASES DE DATOS</t>
  </si>
  <si>
    <t>CRQ000000265856</t>
  </si>
  <si>
    <t>ESV - NH HOTEL GROUP, S.A. – Purgado tablas Antivirus - PRO</t>
  </si>
  <si>
    <t>NHEPOSERVERSQL</t>
  </si>
  <si>
    <t>TAS000000252753 - EXP-SQLSERVER TIC-SUM
TAS000000252803 - EXP-SQLSERVER TIC-SUM
TAS000000252804 - EXP-SQLSERVER TIC-SUM</t>
  </si>
  <si>
    <t>CRQ000000265515</t>
  </si>
  <si>
    <t>POOL - UNIVERSIDAD DE LAS PALMAS - Pase a PRODUCCIÓN sede ULPGC</t>
  </si>
  <si>
    <t>Q3518001G - UNIVERSIDAD DE LAS PALMAS</t>
  </si>
  <si>
    <t>ulpgc-pro1, ulpgc-pro2</t>
  </si>
  <si>
    <t>TAS000000252834 - EXP-EMPRESAS-MIDDLEWARE</t>
  </si>
  <si>
    <t>CRQ000000264818</t>
  </si>
  <si>
    <t>ampliacion2, conerpux03, gestion1, scsserver, services_des, sgesInte, sgesnoray, XRT_SAGE, XRT_SEI, ampliacion3, Migunc1, DDBB_HOSPITEN, sgesuci-pro_new, srvpacs</t>
  </si>
  <si>
    <t>TAS000000251962 - SSO SG EVENTOS
TAS000000252143 - SISTEMAS BACKUP
TAS000000252228 - EXP-EMPRESAS-VIRTUALIZADOS</t>
  </si>
  <si>
    <t xml:space="preserve">Escalado: solicitud de generar el cambio con &lt; 48 horas de pre aviso. </t>
  </si>
  <si>
    <t>CRQ000000266254</t>
  </si>
  <si>
    <t>FLG - CORREOS - PRO – Actualización de certificados wildcard en ADMMAE y FICHACLI</t>
  </si>
  <si>
    <t>TAS000000253414 - CDSCLOUD_OPENSHIFT</t>
  </si>
  <si>
    <t>CRQ000000265379</t>
  </si>
  <si>
    <t>CED-104JC-HV01,CED-104JC-DC01,CED-104JC-BE01,CED-104JC-BE02,CED-104JC-BE03”</t>
  </si>
  <si>
    <t>TAS000000252165 - SDNIVEL1
TAS000000252625 - SDNIVEL1
TAS000000252251 - EXP-CORREO COLABORATIVO EXCHANGE TIC-SUM</t>
  </si>
  <si>
    <t>CRQ000000263958</t>
  </si>
  <si>
    <t>JLB - KAO - Actualizar parches de Microsoft mes de Mayo</t>
  </si>
  <si>
    <t xml:space="preserve">TAS000000250344 - EXP-CCT_CITRIX-TICLIENTES-SUM
</t>
  </si>
  <si>
    <t>CRQ000000265522</t>
  </si>
  <si>
    <t>JBS -  FERROVIAL - Eliminar dominios del conector de salida a Messagelabs</t>
  </si>
  <si>
    <t>TAS000000252837 - EXP-CCT_O365 TIC-SUM</t>
  </si>
  <si>
    <t>CRQ000000265205</t>
  </si>
  <si>
    <t>POOL - HOSPITEN GESTION A.I.E - Solicitud de eliminación de servidores</t>
  </si>
  <si>
    <t>docuflex_pro, Sgesuci_pre, Digitalizacion, services_pro, srvgestion, jdev, jpro, LAB-TEST-openlab-unity, SOPHIESRV, sgesdocs, solman, ServerAlfresco, CONalfresco - en VCenter01, Gestiondc1 - en VCenter01, RESLAB - en VCenter01, SGES-ASTRAIA_NEW - en VCenter01, SRV-HTENGES1 - en VCenter01, TLF_DPCELLMANAGER - en VCenter01</t>
  </si>
  <si>
    <t>TAS000000251958 - SSO SG EVENTOS
TAS000000252137 - SISTEMAS BACKUP
TAS000000252324 - EXP-EMPRESAS-VIRTUALIZADOS</t>
  </si>
  <si>
    <t>CRQ000000266367</t>
  </si>
  <si>
    <t>FLG - CORREOS - PRO Actualización de certificados wildcard en CMOBILE y GESERVUS</t>
  </si>
  <si>
    <t>TAS000000253622 - CDSCLOUD_OPENSHIFT</t>
  </si>
  <si>
    <t>CRQ000000264020</t>
  </si>
  <si>
    <t>SVC-BBDD1, SVC-CIC-CERT, SVC-MSR-CERT, SVC-CCS-CERT, SVC-CSCR-CERT, SVC-CSF-CERT”</t>
  </si>
  <si>
    <t>TAS000000250489 - EXP-WINTEL TIC-SUM
TAS000000250491 - EXP-SQLSERVER TIC-SUM
TAS000000250492 - SDNIVEL1
TAS000000250857 - SDNIVEL1</t>
  </si>
  <si>
    <t>CRQ000000267257</t>
  </si>
  <si>
    <t>TAS000000254427 - EXP-CCT_CITRIX-TICLIENTES-SUM</t>
  </si>
  <si>
    <t>CRQ000000265844</t>
  </si>
  <si>
    <t>CED-104AL-HV01,CED-104AL-DC01,CED-104AL-BE01,CED-104AL-BE02,CED-104AL-BE03,CED-RTVE-OIAM</t>
  </si>
  <si>
    <t>TAS000000252258 - EXP-CORREO COLABORATIVO EXCHANGE TIC-SUM
TAS000000252087 - SDNIVEL1
TAS000000252396 - SDNIVEL1</t>
  </si>
  <si>
    <t>CRQ000000266284</t>
  </si>
  <si>
    <t>TAS000000253535 - EXP-CCT_O365 TIC-SUM</t>
  </si>
  <si>
    <t>Una tarea se cerró antes de la ventana (BACKUP)</t>
  </si>
  <si>
    <t>CRQ000000264804</t>
  </si>
  <si>
    <t>A3Server; A3SQLServer; ancile-Database; ancile-Search; ancile-WEB; ctxfe01; Desarrollo; esxipacs; Extra01; Extra02; Extra03; firewall-sms; ges-astraia; ges-glpi; ges-sophos; hospitenalc-sym-bud ;hospitensct-sym-bud</t>
  </si>
  <si>
    <t>TAS000000251953 - SSO SG EVENTOS
TAS000000251954 - EXP-EMPRESAS-VIRTUALIZADOS
TAS000000251389 - SISTEMAS BACKUP</t>
  </si>
  <si>
    <t>CRQ000000266493</t>
  </si>
  <si>
    <t>JBS - FERROVIAL - Actualizar Plataforma de correo con parches de MS - BUDIMEX</t>
  </si>
  <si>
    <t>TAS000000254824 - EXP-CORREO COLABORATIVO EXCHANGE TIC-SUM
TAS000000254929 - SDNIVEL1
TAS000000254524 - SDNIVEL1</t>
  </si>
  <si>
    <t>CRQ000000267170</t>
  </si>
  <si>
    <t>FLG - CORREOS - PRO Actualización de certificados wildcard en IDENTIFICA y ITPCAT</t>
  </si>
  <si>
    <t>TAS000000254520 - CDSCLOUD_OPENSHIFT</t>
  </si>
  <si>
    <t>Se reclama el cierre al no recibir correos de la intervención</t>
  </si>
  <si>
    <t>CRQ000000265120</t>
  </si>
  <si>
    <t>OAC - MELIA - Actualización del sistema operativo a la última versión en mhitamcrdes01</t>
  </si>
  <si>
    <t>mhitamcrdes01</t>
  </si>
  <si>
    <t>TAS000000252148 - SDNIVEL1
TAS000000252150 - SDNIVEL1
TAS000000252233 - EXP-EMPRESAS-VIRTUALIZADOS
TAS000000252234 - EXP-EMPRESAS-SISTEMASLINUX</t>
  </si>
  <si>
    <t>CRQ000000264714</t>
  </si>
  <si>
    <t>LAB-Gasometros; LAB-reslab; Mailgestion3; Server SICH_w2K08_6.150; Sges2k05; sgesbo01; sgesbo-prd; sgescti-pre; sgescti-pro; sges-intranet; Sgesper01; sgesux10; SMS ubuntu_6.133; Stonegate; tdpcellmanager; Ts1; xrt-server; xrt-server3</t>
  </si>
  <si>
    <t>TAS000000251658 - SSO SG EVENTOS
TAS000000251882 - SISTEMAS BACKUP
TAS000000251369 - EXP-EMPRESAS-VIRTUALIZADOS</t>
  </si>
  <si>
    <t>CRQ000000267671</t>
  </si>
  <si>
    <t>TAS000000254645 - EXP-CORREO COLABORATIVO EXCHANGE TIC-SUM
TAS000000254526 - SDNIVEL1
TAS000000254646 - SDNIVEL1</t>
  </si>
  <si>
    <t>CRQ000000267370</t>
  </si>
  <si>
    <t>TAS000000254637 - EXP-EMPRESAS-MIDDLEWARE</t>
  </si>
  <si>
    <t>CRQ000000267278</t>
  </si>
  <si>
    <t>TAS000000254845 - EXP-EMPRESAS-MIDDLEWARE</t>
  </si>
  <si>
    <t>Escalado: solicitud de generar el cambio con &lt; 48 horas de pre aviso. | Fecha de finalizacion real 11/06/2021 8:38
Cambio pendiente del cierre de la tarea de SOPORTE_SOYCLOUDER</t>
  </si>
  <si>
    <t>CRQ000000267878</t>
  </si>
  <si>
    <t>TAS000000254326 - SDNIVEL1
TAS000000254536 - EXP-EMPRESAS-VIRTUALIZADOS
TAS000000254952 - SOPORTE_SOYCLOUDER
TAS000000254651 - SISTEMAS BACKUP
TAS000000254327 - CCT_IAAS_PLATAFORMA VIRTUAL
TAS000000254537 - SDNIVEL1</t>
  </si>
  <si>
    <t>CRQ000000267858</t>
  </si>
  <si>
    <t>FLG - CORREOS - PRO Actualización de certificados wildcard en SGID</t>
  </si>
  <si>
    <t>TAS000000254829 - CDSCLOUD_OPENSHIFT</t>
  </si>
  <si>
    <t>Parcheado Seguridad Junio 2021</t>
  </si>
  <si>
    <t>CRQ000000264567</t>
  </si>
  <si>
    <t xml:space="preserve">LUIS CAÑETE HERNANDEZ </t>
  </si>
  <si>
    <t>TAS000000250865 - EXP-SQLSERVER TIC-SUM
TAS000000251445 - EXP-SQLSERVER TIC-SUM
TAS000000251801 - SDNIVEL1
TAS000000251805 - EXP-WINTEL TIC-SUM
TAS000000250867 - SDNIVEL1</t>
  </si>
  <si>
    <t>Iniciado fuera de ventana por BACKUP</t>
  </si>
  <si>
    <t>CRQ000000267274</t>
  </si>
  <si>
    <t>OAC - MELIA - Desprovisión - Máquina Virtual MHITAWSEDES</t>
  </si>
  <si>
    <t>TAS000000254840 - SSO SG EVENTOS
TAS000000254332 - SISTEMAS BACKUP
TAS000000254654 - EXP-EMPRESAS-SISTEMASLINUX</t>
  </si>
  <si>
    <t>CRQ000000267285</t>
  </si>
  <si>
    <t xml:space="preserve">renault-server4, Renault-server5,
renault-server12 </t>
  </si>
  <si>
    <t>TAS000000254299 - SSO SG EVENTOS
TAS000000254848 - GLOBAL BACKUP PLATFORM PROVISION
TAS000000254854 - EXP-EMPRESAS-SISTEMASLINUX</t>
  </si>
  <si>
    <t>CRQ000000267282</t>
  </si>
  <si>
    <t xml:space="preserve">TAS000000254293 - SSO SG EVENTOS
TAS000000254969 - GLOBAL BACKUP PLATFORM PROVISION
TAS000000254686 - EXP-EMPRESAS-SISTEMASLINUX
</t>
  </si>
  <si>
    <t>CRQ000000263776</t>
  </si>
  <si>
    <t>TAS000000250350 - EXP-CCT_CITRIX-TICLIENTES-SUM</t>
  </si>
  <si>
    <t>CRQ000000267432</t>
  </si>
  <si>
    <t>TAS000000255033 - SDNIVEL1
TAS000000254371 - EXP-WINTEL TIC-SUM
TAS000000255034 - EXP-SQLSERVER TIC-SUM
TAS000000255231 - SDNIVEL1</t>
  </si>
  <si>
    <t>CRQ000000267221</t>
  </si>
  <si>
    <t>MXAPP-1, BADNS-2, ESBAXHUB-10V, ESBAXHUB-11V, ESBAXMBX-14V, baweb-30, BAWEB-31, BAWEB-32, madilve2, ESMAISE (appliance VMware), BABOD-1, BADES-10, BAQES-10, SAPROUTER, PRHALBAL01, PRHALBAL02</t>
  </si>
  <si>
    <t>TAS000000255004 - SSO SG EVENTOS
TAS000000254860 - GLOBAL BACKUP PLATFORM PROVISION
TAS000000255102 - EXP-EMPRESAS-VIRTUALIZADOS</t>
  </si>
  <si>
    <t>CRQ000000268263</t>
  </si>
  <si>
    <t>TAS000000254391 - EXP-EMPRESAS-MIDDLEWARE</t>
  </si>
  <si>
    <t>CRQ000000268655</t>
  </si>
  <si>
    <t>TAS000000255166 - SDNIVEL1
TAS000000255167 - EXP-CORREO COLABORATIVO EXCHANGE TIC-SUM
TAS000000255279 - SDNIVEL1</t>
  </si>
  <si>
    <t>CRQ000000268043</t>
  </si>
  <si>
    <t>FLG - CORREOS - PRO Actualización de certificados wildcard en IDENTIDAD y NEO</t>
  </si>
  <si>
    <t>TAS000000255563 - CDSCLOUD_OPENSHIFT</t>
  </si>
  <si>
    <t>CRQ000000267943</t>
  </si>
  <si>
    <t>TAS000000255123 - SDNIVEL1
TAS000000254892 - EXP-WINTEL TIC-SUM
TAS000000254370 - SDNIVEL1</t>
  </si>
  <si>
    <t>Se envia de nuevo correo para su aprobación</t>
  </si>
  <si>
    <t>CRQ000000267940</t>
  </si>
  <si>
    <t>SCT - COMUNIDAD AUTONOMA DE LA RIOJA - Actualización Drivers Impresión</t>
  </si>
  <si>
    <t>DE-GOB-001-0001 ,DE-GOB-001-0002 ,DE-GOB-001-0003 ,DE-GOB-001-0004 ,DE-GOB-001-0005 ,DE-GOB-001-0006 ,DE-GOB-001-0007 ,DE-GOB-001-0008 ,DE-PRF-002-0001 ,DE-PRF-002-0002 ,DE-PRF-002-0003 ,DE-PRF-002-0004 ,DE-PRF-002-0005 ,DE-PRF-002-0006 ,DE-PRF-002-0007 ,DE-PRF-002-0008 ,DE-PRF-002-0009 ,DE-PRF-002-0010 ,DE-PRF-002-0011 ,DE-PRF-002-0012 ,DE-PRF-002-0013 ,DE-PRF-002-0014 ,DE-PRF-002-0015 ,DE-PRF-002-0016 ,DE-PRF-002-0017 ,DE-PRF-002-0018 ,DE-PRF-002-0019 ,DE-PRF-002-0020 ,DE-PRF-002-0021 ,DE-PRF-002-0022 ,DE-PRF-002-0023 ,DE-PRF-002-0024 ,DE-PRF-002-0025 ,DE-PRF-002-0026 ,DE-PRF-002-0027 ,DE-PRF-002-0028 ,DE-PRF-002-0029 ,DE-PRF-002-0030 ,DE-PRF-002-0031 ,DE-PRF-002-0032 ,DE-PRF-002-0033 ,DE-PRF-002-0034 ,DE-PRF-002-0035 ,DE-PRF-002-0036 ,DE-PRF-002-0037 ,DE-PRF-002-0038 ,DE-PRF-002-0039 ,DE-PRF-002-0040 ,DE-PRF-002-0041 ,DE-PRF-002-0042 ,DE-PRF-002-0043 ,DE-PRF-002-0044 ,DE-PRF-002-0045 ,DE-PRF-002-0046 ,DE-PRF-002-0047 ,DE-PRF-002-0048 ,DE-PRF-002-0049 ,DE-PRF-002-0050 ,DE-PRF-002-0051 ,DE-PRF-002-0052 ,DE-PRF-002-0053 ,DE-PRF-002-0054 ,DE-PRF-002-0055 ,DE-PRF-002-0056 ,DE-PRF-002-0057 ,DE-PRF-002-0058 ,DE-PRF-002-0059 ,DE-PRF-002-0060 ,DE-PRF-002-0061 ,DE-PRF-002-0062</t>
  </si>
  <si>
    <t>TAS000000255029 - EXP-CCT_CITRIX-TICLIENTES-SUM</t>
  </si>
  <si>
    <t>CRQ000000267296</t>
  </si>
  <si>
    <t>TAS000000255021 - SDNIVEL1
TAS000000255201 - EXP-WINTEL TIC-SUM
TAS000000255022 - SDNIVEL1</t>
  </si>
  <si>
    <t>CRQ000000268602</t>
  </si>
  <si>
    <t>FLG - CORREOS - Migración ExpressRoute</t>
  </si>
  <si>
    <t>Toda la conectividad entre Azure y Onpremises</t>
  </si>
  <si>
    <t>TAS000000255183 - CLOUD PÚBLICA NIVEL 2_AZURE</t>
  </si>
  <si>
    <t>CRQ000000267439</t>
  </si>
  <si>
    <t>TAS000000255602 - SDNIVEL1
TAS000000255235 - EXP-WINTEL TIC-SUM
TAS000000255603 - SDNIVEL1</t>
  </si>
  <si>
    <t>CRQ000000268019</t>
  </si>
  <si>
    <t>AMP - AYTO. DE ALCALÁ DE HENARES - Instalación de parches de seguridad</t>
  </si>
  <si>
    <t>TAS000000255726 - SDNIVEL1
TAS000000255727 - EXP-WINTEL TIC-SUM
TAS000000255547 - EXP-SQLSERVER TIC-SUM
TAS000000255728 - SDNIVEL1</t>
  </si>
  <si>
    <t>CRQ000000268508</t>
  </si>
  <si>
    <t>MHITAWSE01, MHITAWSE02</t>
  </si>
  <si>
    <t>TAS000000255192 - SSO SG EVENTOS
TAS000000255193 - GLOBAL BACKUP PLATFORM PROVISION
TAS000000255654 - EXP-EMPRESAS-SISTEMASLINUX</t>
  </si>
  <si>
    <t>CRQ000000268621</t>
  </si>
  <si>
    <t>POOL - COMERCIAL AUTO TRACTOR S.A - Solicitud de eliminación de servidores</t>
  </si>
  <si>
    <t>TAS000000255576 - SSO SG EVENTOS
TAS000000255906 - GLOBAL BACKUP PLATFORM PROVISION
TAS000000255577 - EXP-EMPRESAS-VIRTUALIZADOS</t>
  </si>
  <si>
    <t>CRQ000000268398</t>
  </si>
  <si>
    <t>TAS000000255067 - SDNIVEL1
TAS000000255555 - EXP-CORREO COLABORATIVO EXCHANGE TIC-SUM
TAS000000255168 - SDNIVEL1</t>
  </si>
  <si>
    <t>CRQ000000269316</t>
  </si>
  <si>
    <t>FLG - CORREOS - PRO – Actualización de certificados wildcard en SHIVA y LOGMAE</t>
  </si>
  <si>
    <t xml:space="preserve">TAS000000256630 - CDSCLOUD_OPENSHIFT	</t>
  </si>
  <si>
    <t>Parcheado Seguridad Junio 2021 | Rechazamos el cambio,  en elementos de configuración, no están referenciadas los servidores a parchear “VCENTER, VCENTERBD”, corregidlo para que podamos aprobarlo.</t>
  </si>
  <si>
    <t>CRQ000000267739</t>
  </si>
  <si>
    <t>TAS000000255520 - SDNIVEL1
TAS000000255138 - EXP-WINTEL TIC-SUM
TAS000000255139 - EXP-SQLSERVER TIC-SUM
TAS000000255611 - SDNIVEL1</t>
  </si>
  <si>
    <t>CRQ000000268368</t>
  </si>
  <si>
    <t>TAS000000255527 - SDNIVEL1
TAS000000255528 - EXP-WINTEL TIC-SUM
TAS000000255529 - SDNIVEL1</t>
  </si>
  <si>
    <t>CRQ000000268391</t>
  </si>
  <si>
    <t>FILESRV2,aytointranet.cconsistorial.alcala,IMPRESIONPOL01,HVAYALCALADC02,HVPMALCALADC02,IMPRESION2, AYALCATERSER, HVAYALCALAWSUS, SQLTEST, VMISC2</t>
  </si>
  <si>
    <t>TAS000000255060 - SDNIVEL1
TAS000000255158 - EXP-WINTEL TIC-SUM
TAS000000255731 - SDNIVEL1</t>
  </si>
  <si>
    <t>CRQ000000268792</t>
  </si>
  <si>
    <t>SRV-APP-MOVIL, SRV-EST-391, SRV-EST-TOL, SRVLINX-BBDD, SRV-SCOBOSS, SRV-SDM, TPV001-391</t>
  </si>
  <si>
    <t>TAS000000255683 - EXP-WINTEL TIC-SUM
TAS000000256228 - SDNIVEL1
TAS000000256229 - SDNIVEL1</t>
  </si>
  <si>
    <t>CRQ000000268693</t>
  </si>
  <si>
    <t>TAS000000255982 - SDNIVEL1
TAS000000256213 - EXP-WINTEL TIC-SUM
TAS000000256305 - SDNIVEL1</t>
  </si>
  <si>
    <t>CRQ000000269384</t>
  </si>
  <si>
    <t>A3Server, A3SQLServer, ancile-Database, ancile-Search, ancile-WEB, ctxfe01, Desarrollo, esxipacs, Extra01, Extra02, Extra03, firewall-sms, ges-astraia, ges-glpi, ges-sophos, hospitenalc-sym-bud, hospitensct-sym-bud</t>
  </si>
  <si>
    <t>TAS000000256458 - EXP-EMPRESAS-VIRTUALIZADOS
TAS000000256556 - SSO SG EVENTOS
TAS000000256557 - GLOBAL BACKUP PLATFORM PROVISION</t>
  </si>
  <si>
    <t>CRQ000000268811</t>
  </si>
  <si>
    <t xml:space="preserve">POOL - HOSPITEN GESTION A.I.E. - Solicitud de eliminación de servidores
</t>
  </si>
  <si>
    <t>ampliacion2, conerpux03, gestion1, scsserver, services_des, sgesInte, sgesnoray, XRT_SAGE, XRT_SEI, ampliacion3, migunc1, DDBB_HOSPITEN, sgesuci-pro_new, srvpacs</t>
  </si>
  <si>
    <t>TAS000000256254 - SSO SG EVENTOS
TAS000000256255 - GLOBAL BACKUP PLATFORM PROVISION
TAS000000256256 - EXP-EMPRESAS-VIRTUALIZADOS</t>
  </si>
  <si>
    <t>CRQ000000269125</t>
  </si>
  <si>
    <t>FLG - CORREOS - PRO – Actualización de certificados wildcard en SCP y SCRIPTUM</t>
  </si>
  <si>
    <t>TAS000000256836 - CDSCLOUD_OPENSHIFT</t>
  </si>
  <si>
    <t>CRQ000000269556</t>
  </si>
  <si>
    <t>POOL – CAJA AHORROS POLLENSA - Actualización parches VCENTERDB</t>
  </si>
  <si>
    <t>TAS000000256487 - EXP-SQLSERVER TIC-SUM
TAS000000256490 - SDNIVEL1
TAS000000256654 - EXP-EMPRESAS-VIRTUALIZADOS
TAS000000256655 - EXP-SQLSERVER TIC-SUM
TAS000000256812 - EXP-SQLSERVER TIC-SUM
TAS000000256813 - EXP-EMPRESAS-VIRTUALIZADOS
TAS000000256902 - SDNIVEL1
TAS000000256903 - EXP-EMPRESAS-VIRTUALIZADOS
TAS000000256589 - EXP-SQLSERVER TIC-SUM</t>
  </si>
  <si>
    <t>CRQ000000268623</t>
  </si>
  <si>
    <t>TAS000000255922 - SDNIVEL1
TAS000000255097 - EXP-WINTEL TIC-SUM
TAS000000255823 - EXP-SQLSERVER TIC-SUM
TAS000000255935 - SDNIVEL1</t>
  </si>
  <si>
    <t>CRQ000000269068</t>
  </si>
  <si>
    <t>TAS000000255885 - SDNIVEL1
TAS000000256434 - SDNIVEL1
TAS000000256435 - EXP-WINTEL TIC-SUM
TAS000000256522 - EXP-SQLSERVER TIC-SUM</t>
  </si>
  <si>
    <t>CRQ000000268335</t>
  </si>
  <si>
    <t>TAS000000255584 - EXP-WINTEL TIC-SUM
TAS000000255585 - SDNIVEL1
TAS000000256205 - SDNIVEL1</t>
  </si>
  <si>
    <t>CRQ000000268709</t>
  </si>
  <si>
    <t xml:space="preserve">TAS000000256332 - SDNIVEL1
TAS000000256333 - SDNIVEL1
TAS000000256413 - EXP-WINTEL TIC-SUM
</t>
  </si>
  <si>
    <t>CRQ000000269173</t>
  </si>
  <si>
    <t>TAS000000255689 - SDNIVEL1
TAS000000256238 - EXP-SQLSERVER TIC-SUM
TAS000000256239 - EXP-WINTEL TIC-SUM
TAS000000256343 - EXP-SQLSERVER TIC-SUM
TAS000000256423 - SDNIVEL1</t>
  </si>
  <si>
    <t>CRQ000000269747</t>
  </si>
  <si>
    <t>CED-105JC-BE01,CED-105JC-DC01,CED-105JC-HV01</t>
  </si>
  <si>
    <t>TAS000000256840 - EXP-CORREO COLABORATIVO EXCHANGE TIC-SUM
TAS000000256841 - SDNIVEL1
TAS000000257011 - SDNIVEL1</t>
  </si>
  <si>
    <t>Instalacion parches seguridad Junio 2021</t>
  </si>
  <si>
    <t>CRQ000000269955</t>
  </si>
  <si>
    <t>TAS000000256861 - SDNIVEL1
TAS000000256862 - EXP-SQLSERVER TIC-SUM
TAS000000256863 - SDNIVEL1
TAS000000257117 - EXP-EMPRESAS-MIDDLEWARE
TAS000000257043 - EXP-WINTEL TIC-SUM</t>
  </si>
  <si>
    <t>CRQ000000269865</t>
  </si>
  <si>
    <t>POOL - HOSPITEN GESTION A.I.E -  Solicitud de eliminación de servidores</t>
  </si>
  <si>
    <t>LAB-Gasometros, LAB-reslab, Mailgestion3, Server SICH_w2K08_6.150, Sges2k05, sgesbo01, sgesbo-prd, sgescti-pre, sgescti-pro, sges-intranet, Sgesper01, sgesux10, SMS ubuntu_6.133, Stonegate, tdpcellmanager, Ts1, xrt-server, xrt-server3</t>
  </si>
  <si>
    <t>TAS000000256944 - SSO SG EVENTOS
TAS000000257068 - EXP-EMPRESAS-VIRTUALIZADOS
TAS000000257229 - GLOBAL BACKUP PLATFORM PROVISION</t>
  </si>
  <si>
    <t>Pendiente del cierre de la TAS000000257076 para el cierre del CRQ . Cerrado fuera de ventana de ejecución.</t>
  </si>
  <si>
    <t>CRQ000000269679</t>
  </si>
  <si>
    <t>w2012R2_Std_ENG_conlicencia</t>
  </si>
  <si>
    <t xml:space="preserve">TAS000000257120 - EXP-EMPRESAS-VIRTUALIZADOS
TAS000000257076 - GLOBAL BACKUP PLATFORM PROVISION
</t>
  </si>
  <si>
    <t>CRQ000000269678</t>
  </si>
  <si>
    <t xml:space="preserve">TAS000000256874 - SSO SG EVENTOS
TAS000000256876 - GLOBAL BACKUP PLATFORM PROVISION
TAS000000256784 - EXP-EMPRESAS-VIRTUALIZADOS
</t>
  </si>
  <si>
    <t>Continua en estado Programado despues de ventana. Se envia correo. Se modifican fechas a petición (se pasa del dia 15 al 17). Se envia correo , continua en estado programado. Fecha de finalizacion real 05/07/2021 12:34</t>
  </si>
  <si>
    <t>CRQ000000269215</t>
  </si>
  <si>
    <t>POOL - FERROVIAL SERVICIOS - Configuración de nueva monitorización a través de Azure monitor</t>
  </si>
  <si>
    <t>A80241789 - FERROVIAL SERVICIOS S.A.</t>
  </si>
  <si>
    <t>LFRVFET01, LFRVDBP01, LFRVFEP01, LFRVDEVOPS01, LFRVFEP02, LFRVPOCTENABLE</t>
  </si>
  <si>
    <t xml:space="preserve">TAS000000256283 - EXP-EMPRESAS-SISTEMASLINUX
TAS000000256285 - EXP-EMPRESAS-SISTEMASLINUX
TAS000000256718 - CLOUD PÚBLICA NIVEL 2_AZURE
TAS000000256719 - EXP-EMPRESAS-BBDD
</t>
  </si>
  <si>
    <t>Continua en estado Programado despues de ventana. Se envia correo. Se modifican fechas a petición (se pasa del dia 15 al 17). Se envia correo , continua en estado programado</t>
  </si>
  <si>
    <t>CRQ000000269450</t>
  </si>
  <si>
    <t xml:space="preserve">POOL - FERROVIAL SERVICIOS - Configuración de nueva monitorización a través de Azure monitor </t>
  </si>
  <si>
    <t>WNFRVFED01, WNFRVFET01, WNFRVFEP01, WNFRVDBP01, WNFRVFEP02, WNFRVOVP01, WNFRVFEP03, WNFRVFEP04, WNFRVAPNP01</t>
  </si>
  <si>
    <t xml:space="preserve">TAS000000256647 - EXP-WINTEL TIC-SUM
TAS000000256725 - CLOUD PÚBLICA NIVEL 2_AZURE
TAS000000256726 - EXP-WINTEL TIC-SUM
TAS000000256727 - EXP-SQLSERVER TIC-SUM
</t>
  </si>
  <si>
    <t>CRQ000000269685</t>
  </si>
  <si>
    <t>FLG - CORREOS - PRO – Actualización de certificados wildcard en MINERVA y FLOTA</t>
  </si>
  <si>
    <t xml:space="preserve">FRANCISCO LOPEZ GARCIA	</t>
  </si>
  <si>
    <t>TAS000000257242 - CDSCLOUD_OPENSHIFT</t>
  </si>
  <si>
    <t>CRQ000000269690</t>
  </si>
  <si>
    <t>TAS000000257122 - SDNIVEL1
TAS000000257260 - SDNIVEL1
TAS000000256796 - EXP-WINTEL TIC-SUM</t>
  </si>
  <si>
    <t>CRQ000000269803</t>
  </si>
  <si>
    <t>TAS000000257124 - SDNIVEL1
TAS000000257125 - SDNIVEL1
TAS000000257086 - EXP-WINTEL TIC-SUM</t>
  </si>
  <si>
    <t>CRQ000000269541</t>
  </si>
  <si>
    <t>TAS000000257142 - SDNIVEL1
TAS000000257934 - SDNIVEL1
TAS000000257821 - EXP-WINTEL TIC-SUM</t>
  </si>
  <si>
    <t>Parcheado Seguridad Mayo 2021. | La VM HVPMALCALADC01 no ha instalado el KB503646 Se ha generado un ticket para su revisión:INC000006846472</t>
  </si>
  <si>
    <t>CRQ000000268336</t>
  </si>
  <si>
    <t>APPINT, AYTOALDCSPM, AYTOALPOLINTRAT, FILESRV1, HVAYALCALADC01, HVAYALCALASYNC, HVPMALCALADC01, IMPRESION, LABGUARD, BIBLIOTECAS, Documentum, FILESRVPOL01, SAVIATIME</t>
  </si>
  <si>
    <t>TAS000000255586 - SDNIVEL1
TAS000000255782 - EXP-WINTEL TIC-SUM
TAS000000255783 - SDNIVEL1</t>
  </si>
  <si>
    <t>CRQ000000269759</t>
  </si>
  <si>
    <t>CED-105AL-BE01,CED-105AL-DC01,CED-105AL-HV01</t>
  </si>
  <si>
    <t>TAS000000256688 - SDNIVEL1
TAS000000256929 - SDNIVEL1
TAS000000257031 - EXP-CORREO COLABORATIVO EXCHANGE TIC-SUM</t>
  </si>
  <si>
    <t>CRQ000000263770</t>
  </si>
  <si>
    <t>RBG - NOVOBANCO - Actualizar parches de Microsoft mes de Mayo</t>
  </si>
  <si>
    <t xml:space="preserve">NOVOXA01, NOVOXA02, NOVOXA03, NOVOXA04, NOVOXA05, NOVOXA06, NOVOXA07, NOVOXA08	</t>
  </si>
  <si>
    <t>TAS000000249889 - EXP-CCT_CITRIX-TICLIENTES-SUM</t>
  </si>
  <si>
    <t>CRQ000000269643</t>
  </si>
  <si>
    <t>POOL - PENGUIN RANDOM HOUSE, S.A. - Solicitud de apagado de servidores</t>
  </si>
  <si>
    <t>baweb-28, MASQL-1, BADC-8 , PADMX-1 , PAQMX-1, mavpn-1 , mavpn-2 , BABIQ-2, BABOP-3, ESMABWD-1, ESMABWP-1</t>
  </si>
  <si>
    <t>TAS000000257668 - GLOBAL BACKUP PLATFORM PROVISION
TAS000000257669 - EXP-EMPRESAS-VIRTUALIZADOS
TAS000000257719 - SSO SG EVENTOS</t>
  </si>
  <si>
    <t>CRQ000000270262</t>
  </si>
  <si>
    <t>TAS000000257674 - SDNIVEL1
TAS000000257676 - SDNIVEL1
TAS000000257831 - EXP-WINTEL TIC-SUM</t>
  </si>
  <si>
    <t>CRQ000000270002</t>
  </si>
  <si>
    <t>TAS000000257677 - SDNIVEL1
TAS000000258007 - SDNIVEL1
TAS000000258008 - EXP-WINTEL TIC-SUM</t>
  </si>
  <si>
    <t>CRQ000000270547</t>
  </si>
  <si>
    <t>TAS000000257697 - EXP-EMPRESAS-BBDD</t>
  </si>
  <si>
    <t>CRQ000000270287</t>
  </si>
  <si>
    <t>RMN - TALGO – Ampliacion TALFM2PRO03</t>
  </si>
  <si>
    <t>TALFM2PRO03</t>
  </si>
  <si>
    <t>TAS000000257754 - EXP-WINTEL TIC-SUM
TAS000000258045 - SDNIVEL1
TAS000000257699 - EXP_OPEN_ERP_CL
TAS000000258101 - EXP_OPEN_ERP_CL
TAS000000257190 - SDNIVEL1
TAS000000257192 - EXP-WINTEL TIC-SUM</t>
  </si>
  <si>
    <t>CRQ000000270015</t>
  </si>
  <si>
    <t>TAS000000257980 - EXP-WINTEL TIC-SUM
TAS000000258046 - SDNIVEL1
TAS000000257700 - SDNIVEL1</t>
  </si>
  <si>
    <t>CRQ000000270304</t>
  </si>
  <si>
    <t>TAS000000257771 - EXP-WINTEL TIC-SUM
TAS000000257774 - SDNIVEL1
TAS000000257199 - SDNIVEL1
TAS000000258096 - EXP-SQLSERVER TIC-SUM</t>
  </si>
  <si>
    <t>CRQ000000270301</t>
  </si>
  <si>
    <t>TAS000000257200 - Deshabilitar monitorización
TAS000000258097 - Parcheo de seguridad de los servidores
TAS000000258201 - Habilitar monitorización</t>
  </si>
  <si>
    <t>CRQ000000270303</t>
  </si>
  <si>
    <t>POOL - DAVASA AUTOMOCION -Instalación de parches de seguridad de Microsoft</t>
  </si>
  <si>
    <t>TAS000000257770 - SDNIVEL1
TAS000000258058 - SDNIVEL1
TAS000000257989 - EXP-WINTEL TIC-SUM</t>
  </si>
  <si>
    <t>CRQ000000270583</t>
  </si>
  <si>
    <t>FLG – CORREOS - Aumento de recursos Correos</t>
  </si>
  <si>
    <t>Correos ID de Azure</t>
  </si>
  <si>
    <t>TAS000000258334 - CLOUD PUBLICA NIVEL1</t>
  </si>
  <si>
    <t>CRQ000000270300</t>
  </si>
  <si>
    <t>TAS000000257772 - Deshabilitar monitorización hesappro13
TAS000000258095 - Parcheo de seguridad de los servidores hesappro13
TAS000000257992 - Habilitar monitorización hesappro13</t>
  </si>
  <si>
    <t>CRQ000000270332</t>
  </si>
  <si>
    <t>CIGG - IDCSALUD - Instalación de parches de seguridad</t>
  </si>
  <si>
    <t>CED-102JC-HV01,CED-102JC-DC01,CED-102JC-BE01,CED-102JC-BE02,CED-102JC-BE03,CED-102JC-BE04</t>
  </si>
  <si>
    <t>TAS000000258251 - SDNIVEL1
TAS000000258423 - EXP-CORREO COLABORATIVO EXCHANGE TIC-SUM
TAS000000257893 - SDNIVEL1</t>
  </si>
  <si>
    <t>CRQ000000270302</t>
  </si>
  <si>
    <t xml:space="preserve">JUAN ANTONIO BENEYTO QUINTAS </t>
  </si>
  <si>
    <t>TAS000000257773 - Deshabilitar monitorización
TAS000000257775 - Parcheo de seguridad de los servidores
TAS000000257993 - Habilitar monitorización</t>
  </si>
  <si>
    <t>CRQ000000270408</t>
  </si>
  <si>
    <t>RBG - NOVOBANCO - Instalación Mercado Divisas y Plugin Inversis para NOVOBANCO</t>
  </si>
  <si>
    <t>TAS000000257885 - EXP-CCT_CITRIX-TICLIENTES-SUM</t>
  </si>
  <si>
    <t>CRQ000000270796</t>
  </si>
  <si>
    <t>FLG - CORREOS - Intervención AWS Interxion</t>
  </si>
  <si>
    <t>AWS cliente Correos</t>
  </si>
  <si>
    <t>TAS000000258186 - CDSCLOUD_OPENSHIFT</t>
  </si>
  <si>
    <t>CRQ000000271045</t>
  </si>
  <si>
    <t>TAS000000258255 - SDNIVEL1
TAS000000258256 - EXP-SQLSERVER TIC-SUM
TAS000000258257 - EXP-WINTEL TIC-SUM
TAS000000258258 - SDNIVEL1</t>
  </si>
  <si>
    <t>Se modifican fechas a petición (del dia 21 pasa al 22)</t>
  </si>
  <si>
    <t>CRQ000000270386</t>
  </si>
  <si>
    <t>TAS000000258332 - EXP-EMPRESAS-BBDD
TAS000000258409 - EXP-EMPRESAS-BBDD
TAS000000258408 - EXP-EMPRESAS-MIDDLEWARE</t>
  </si>
  <si>
    <t>CRQ000000271255</t>
  </si>
  <si>
    <t>Degradación de Servicio-Pérdida HA</t>
  </si>
  <si>
    <t>TAS000000258173 - EXP-EMPRESAS-MIDDLEWARE</t>
  </si>
  <si>
    <t>VIRTUALIZACIÓN</t>
  </si>
  <si>
    <t>CRQ000000271153</t>
  </si>
  <si>
    <t>renault-server4, Renault-server5, renault-server12</t>
  </si>
  <si>
    <t>TAS000000258158 - SSO SG EVENTOS
TAS000000258446 - GLOBAL BACKUP PLATFORM PROVISION
TAS000000258821 - EXP-EMPRESAS-SISTEMASLINUX</t>
  </si>
  <si>
    <t>CRQ000000270725</t>
  </si>
  <si>
    <t>JGP – SEMARK - Actualización parches SRV-DQUEST</t>
  </si>
  <si>
    <t xml:space="preserve">TAS000000258538 - EXP-EMPRESAS-VIRTUALIZADOS
TAS000000258853 - EXP-SQLSERVER TIC-SUM
TAS000000258854 - SDNIVEL1
TAS000000258925 - EXP-SQLSERVER TIC-SUM
TAS000000259022 - SDNIVEL1
TAS000000259024 - EXP-SQLSERVER TIC-SUM
TAS000000259026 - EXP-EMPRESAS-VIRTUALIZADOS
TAS000000258487 - EXP-EMPRESAS-VIRTUALIZADOS
TAS000000258488 - EXP-SQLSERVER TIC-SUM
</t>
  </si>
  <si>
    <t>Hora de inicio real 10:27</t>
  </si>
  <si>
    <t>CRQ000000270686</t>
  </si>
  <si>
    <t xml:space="preserve">
TAS000000258261 - EXP-WINTEL TIC-SUM
TAS000000258262 - SDNIVEL1
TAS000000258428 - SDNIVEL1
TAS000000258357 - EXP-EMPRESAS-MIDDLEWARE</t>
  </si>
  <si>
    <t>CRQ000000270439</t>
  </si>
  <si>
    <t>CED-102AL-HV01,CED-102AL-DC01,CED-102AL-BE01,CED-102AL-BE02,CED-102AL-BE03,CED-102AL-BE04</t>
  </si>
  <si>
    <t>TAS000000258272 - EXP-CORREO COLABORATIVO EXCHANGE TIC-SUM 
TAS000000258274 - SDNIVEL1
TAS000000258375 - SDNIVEL1</t>
  </si>
  <si>
    <t>Enviado email para su cierre correcto</t>
  </si>
  <si>
    <t>CRQ000000270692</t>
  </si>
  <si>
    <t>TAS000000258266 - EXP-CCT_O365 TIC-SUM
TAS000000258268 - SDNIVEL1
TAS000000258362 - EXP-CCT_O365 TIC-SUM
TAS000000258363 - EXP-CCT_O365 TIC-SUM
TAS000000258805 - SDNIVEL1
TAS000000258806 - EXP-CCT_O365 TIC-SUM</t>
  </si>
  <si>
    <t>Fecha de finalización real 15:19</t>
  </si>
  <si>
    <t>CRQ000000271059</t>
  </si>
  <si>
    <t>ESMAFPEE-1, BAHPQ-1, BABPCDES-1, maapps-1, prhpan01, prhmisrm, ESMAJIRADES-2, ESMASERVICIOS-2, BACOPY-0, ESDAG-10, BADC-7, prhalvcenter, prhalvcentersql, BADOC-5, BASQL-5, BADC-5, BAEDI-1, BABPCPRD-1, SAPROUTER-2014, BAVORABIP, BAVPBP, MAEDI-1, BAVPES, BAVPMX, BABIP, ORACLEPES, BAVORAPBIP, BAVORAPSU, BAPES, BAPMX, BAVPIP, BAVORAPIP, BAVORAPES, BAVBIP, BAPAR, BAVORAPMX, BAPIP, BAVPSU, MIPSU-1, mawsus-1</t>
  </si>
  <si>
    <t xml:space="preserve">TAS000000258476 - GLOBAL BACKUP PLATFORM PROVISION
TAS000000259005 - SSO SG EVENTOS
TAS000000259006 - EXP-EMPRESAS-VIRTUALIZADOS
</t>
  </si>
  <si>
    <t>CRQ000000271380</t>
  </si>
  <si>
    <t>TAS000000258556 - SDNIVEL1
TAS000000259034 - EXP-CORREO COLABORATIVO EXCHANGE TIC-SUM
TAS000000259136 - SDNIVEL1</t>
  </si>
  <si>
    <t>Fecha de finalización real 15:49</t>
  </si>
  <si>
    <t>CRQ000000271371</t>
  </si>
  <si>
    <t>JGP – SEMARK - Actualización parches SRV-SDM</t>
  </si>
  <si>
    <t>TAS000000259030 - SDNIVEL1
TAS000000258539 - EXP-EMPRESAS-VIRTUALIZADOS
TAS000000259124 - EXP-EMPRESAS-VIRTUALIZADOS
TAS000000258540 - EXP-SQLSERVER TIC-SUM
TAS000000258541 - EXP-SQLSERVER TIC-SUM
TAS000000258855 - EXP-SQLSERVER TIC-SUM
TAS000000259029 - EXP-SQLSERVER TIC-SUM
TAS000000258490 - SDNIVEL1
TAS000000259123 - EXP-EMPRESAS-VIRTUALIZADOS</t>
  </si>
  <si>
    <t>CRQ000000271445</t>
  </si>
  <si>
    <t>FLG - CORREOS - PRO Actualización de certificados wildcard en CERTIFIC y ECSISTDIG</t>
  </si>
  <si>
    <t>TAS000000259150 - CDSCLOUD_OPENSHIFT</t>
  </si>
  <si>
    <t>CRQ000000271455</t>
  </si>
  <si>
    <t>FLG - CORREOS - Despublicación Fase II de Bolsa de Empleo</t>
  </si>
  <si>
    <t>Bolsa empleo de Azure</t>
  </si>
  <si>
    <t>TAS000000258975 - CLOUD PÚBLICA NIVEL 2_AZURE</t>
  </si>
  <si>
    <t xml:space="preserve">No se ha podido completar la instalación del parche. No da error pero los tiempos de ejecución de los procesos son anómalos y el proceso de instalación no acaba. Se abre caso INC000006874709 a N2 para que lo investiguen. </t>
  </si>
  <si>
    <t>CRQ000000271403</t>
  </si>
  <si>
    <t>TAS000000258945 - SDNIVEL1
TAS000000258946 - SDNIVEL1
TAS000000259202 - EXP-WINTEL TIC-SUM</t>
  </si>
  <si>
    <t>CRQ000000271218</t>
  </si>
  <si>
    <t xml:space="preserve">TAS000000258586 - EXP-EMPRESAS-VIRTUALIZADOS
TAS000000259235 - GLOBAL BACKUP PLATFORM PROVISION
TAS000000259080 - SSO SG EVENTOS	</t>
  </si>
  <si>
    <t>CRQ000000271104</t>
  </si>
  <si>
    <t>baweb-28, MASQL-1, BADC-8, PADMX-1, PAQMX-1, mavpn-1, mavpn-2, BABIQ-2, BABOP-3, ESMABWD-1, ESMABWP-1</t>
  </si>
  <si>
    <t>TAS000000258589 - GLOBAL BACKUP PLATFORM PROVISION
TAS000000258968 - EXP-EMPRESAS-VIRTUALIZADOS
TAS000000258891 - SSO SG EVENTOS</t>
  </si>
  <si>
    <t>CRQ000000270741</t>
  </si>
  <si>
    <t>OAC - MELIA - Actualización del sistema operativo</t>
  </si>
  <si>
    <t>ESCEVWS032SOLRM</t>
  </si>
  <si>
    <t>TAS000000258565 - SDNIVEL1
TAS000000258870 - SDNIVEL1
TAS000000258871 - EXP-EMPRESAS-SISTEMASLINUX
TAS000000259144 - EXP-EMPRESAS-SISTEMASLINUX</t>
  </si>
  <si>
    <t>Fecha de finalización real  13:53</t>
  </si>
  <si>
    <t>CRQ000000271311</t>
  </si>
  <si>
    <t>OAC - MELIA - Reorganización discos</t>
  </si>
  <si>
    <t>ESCEVAP032SOLRM</t>
  </si>
  <si>
    <t>TAS000000259172 - SDNIVEL1
TAS000000259408 - EXP-EMPRESAS-SISTEMASLINUX
TAS000000259409 - SDNIVEL1
TAS000000259091 - EXP-EMPRESAS-SISTEMASLINUX</t>
  </si>
  <si>
    <t>CRQ000000271384</t>
  </si>
  <si>
    <t xml:space="preserve">TAS000000258861 - SDNIVEL1
TAS000000259038 - EXP-CORREO COLABORATIVO EXCHANGE TIC-SUM
TAS000000259040 - SDNIVEL1
</t>
  </si>
  <si>
    <t>Continua en estado Programado. Se envia correo | Se modifica la fecha de ejecución a petición del cliente (del dia 23 al 24)</t>
  </si>
  <si>
    <t>CRQ000000271367</t>
  </si>
  <si>
    <t>TAS000000258485 - SDNIVEL1
TAS000000258486 - EXP-CCT_O365 TIC-SUM
TAS000000258851 - EXP-CCT_O365 TIC-SUM
TAS000000258852 - EXP-CCT_O365 TIC-SUM
TAS000000259021 - EXP-CCT_O365 TIC-SUM
TAS000000259023 - SDNIVEL1</t>
  </si>
  <si>
    <t>CRQ000000271130</t>
  </si>
  <si>
    <t>TAS000000259503 - SDNIVEL1
TAS000000259317 - SDNIVEL1
TAS000000259292 - EXP-WINTEL TIC-SUM</t>
  </si>
  <si>
    <t>Se reenvia correo para su aprobación</t>
  </si>
  <si>
    <t>CRQ000000271565</t>
  </si>
  <si>
    <t>TAS000000259173 - EXP-WINTEL TIC-SUM
TAS000000259410 - SDNIVEL1
TAS000000259411 - SDNIVEL1</t>
  </si>
  <si>
    <t>CRQ000000271438</t>
  </si>
  <si>
    <t xml:space="preserve">TAS000000258993 - EXP-WINTEL TIC-SUM
TAS000000259283 - SDNIVEL1
TAS000000259095 - SDNIVEL1
</t>
  </si>
  <si>
    <t>CRQ000000271240</t>
  </si>
  <si>
    <t>TAS000000258996 - EXP-WINTEL TIC-SUM
TAS000000259175 - SDNIVEL1
TAS000000259176 - SDNIVEL1</t>
  </si>
  <si>
    <t>CRQ000000271316</t>
  </si>
  <si>
    <t>PRP - AEPD - Instalación de parches de seguridad de Microsoft</t>
  </si>
  <si>
    <t>AD Connect, AEPDDCAL1, AEPDDCJC1, FICHEROSW2016, Impresoras, UTIL_ADMONW2016</t>
  </si>
  <si>
    <t>TAS000000258998 - SDNIVEL1
TAS000000259319 - SDNIVEL1
TAS000000259320 - EXP-WINTEL TIC-SUM</t>
  </si>
  <si>
    <t>CRQ000000271578</t>
  </si>
  <si>
    <t>TAS000000259515 - SDNIVEL1
TAS000000259516 - SDNIVEL1
TAS000000259187 - EXP-WINTEL TIC-SUM</t>
  </si>
  <si>
    <t>CRQ000000271338</t>
  </si>
  <si>
    <t>FLG – CORREOS - Actualización versión de Plugins y WP Despliegue en PRO</t>
  </si>
  <si>
    <t>Web Corp Azure</t>
  </si>
  <si>
    <t>TAS000000259618 - CLOUD PÚBLICA NIVEL 2_AZURE</t>
  </si>
  <si>
    <t>CRQ000000272273</t>
  </si>
  <si>
    <t>FLG - CORREOS - PRO – Actualización de certificados wildcard</t>
  </si>
  <si>
    <t>TAS000000259568 - CDSCLOUD_OPENSHIFT</t>
  </si>
  <si>
    <t>CRQ000000271751</t>
  </si>
  <si>
    <t>CVS - VIESGO INFRAESTRUCTURAS ENERGÉTICAS - Instalación de parches de seguridad</t>
  </si>
  <si>
    <t>CAROLINA VIEIRO SEOANE</t>
  </si>
  <si>
    <t>TAS000000259711 - SDNIVEL1
TAS000000259712 - EXP-WINTEL TIC-SUM
TAS000000259193 - SDNIVEL1</t>
  </si>
  <si>
    <t>Fecha de inicio real 29/06/2021 8:00 y Fecha de finalización real 29/06/2021 8:01</t>
  </si>
  <si>
    <t>CRQ000000271992</t>
  </si>
  <si>
    <t>JPP - RACE - Instalación de parches de seguridad</t>
  </si>
  <si>
    <t>TAS000000259772 - SDNIVEL1
TAS000000260118 - SDNIVEL1
TAS000000259854 - EXP-CORREO COLABORATIVO EXCHANGE TIC-SUM</t>
  </si>
  <si>
    <t>Se modifican las fechas a peticion (del dia 28 al 29)</t>
  </si>
  <si>
    <t>CRQ000000272254</t>
  </si>
  <si>
    <t>POOL - PENGUIN RANDOM HOUSE, S.A. - Solicitud de eliminación de servidores</t>
  </si>
  <si>
    <t>TAS000000259446 - GLOBAL BACKUP PLATFORM PROVISION
TAS000000259552 - SSO SG EVENTOS
TAS000000259757 - EXP-EMPRESAS-VIRTUALIZADOS</t>
  </si>
  <si>
    <t>CRQ000000271996</t>
  </si>
  <si>
    <t>FLG - CORREOS - PRO –  Reorganización de subscripciones RedHat Openshift</t>
  </si>
  <si>
    <t>Nodos ejecutándose en el entorno de producción de OCP</t>
  </si>
  <si>
    <t>TAS000000259490 - CDSCLOUD_OPENSHIFT</t>
  </si>
  <si>
    <t>CRQ000000271532</t>
  </si>
  <si>
    <t>TAS000000259477 - SDNIVEL1
TAS000000259564 - SDNIVEL1
TAS000000259856 - EXP-CORREO COLABORATIVO EXCHANGE TIC-SUM</t>
  </si>
  <si>
    <t>Fecha de inicio real 29/06/2021 12:46</t>
  </si>
  <si>
    <t>CRQ000000271667</t>
  </si>
  <si>
    <t>POOL - TOYOTA CANARIAS, S.A. - Solicitud de apagado de servidores</t>
  </si>
  <si>
    <t>A35012038 - TOYOTA CANARIAS, S.A.</t>
  </si>
  <si>
    <t>toyotadc01, toyotasql01, toyotact01</t>
  </si>
  <si>
    <t>TAS000000259428 - EXP-EMPRESAS-VIRTUALIZADOS
TAS000000259526 - SSO SG EVENTOS
TAS000000259803 - GLOBAL BACKUP PLATFORM PROVISION</t>
  </si>
  <si>
    <t>Fecha de inicio real 30/06/2021 9:45</t>
  </si>
  <si>
    <t>CRQ000000272006</t>
  </si>
  <si>
    <t>TAS000000259788 - EXP-CORREO COLABORATIVO EXCHANGE TIC-SUM</t>
  </si>
  <si>
    <t>Se modifican las fechas a petición (del dia 23 al 30)| Fecha de finalización real 30/06/2021 17:47</t>
  </si>
  <si>
    <t>CRQ000000270808</t>
  </si>
  <si>
    <t>BOMA01SSQL02N, BOMA01SSQL01N, BOMA01SDAN, BOMA02SDAN”</t>
  </si>
  <si>
    <t>TAS000000258912 - SDNIVEL1
TAS000000259017 - EXP-WINTEL TIC-SUM
TAS000000259104 - SDNIVEL1</t>
  </si>
  <si>
    <t>CRQ000000271794</t>
  </si>
  <si>
    <t>TAS000000259787 - EXP-CORREO COLABORATIVO EXCHANGE TIC-SUM</t>
  </si>
  <si>
    <t>CRQ000000273526</t>
  </si>
  <si>
    <t>TAS000000262264 - EXP-EMPRESAS-MIDDLEWARE</t>
  </si>
  <si>
    <t>Escalado: solicitud de generar el cambio con &lt; 48 horas de pre aviso. | Se envia email para el cierre correcto del cambio</t>
  </si>
  <si>
    <t>CRQ000000274373</t>
  </si>
  <si>
    <t xml:space="preserve">POOL – HOTELES ELBA - Actualización del sistema operativo </t>
  </si>
  <si>
    <t>hesapdes01, hesapdes02</t>
  </si>
  <si>
    <t>TAS000000262638 - SDNIVEL1
TAS000000262836 - EXP-EMPRESAS-SISTEMASLINUX
TAS000000262913 - EXP-EMPRESAS-SISTEMASLINUX
TAS000000262914 - SDNIVEL1</t>
  </si>
  <si>
    <t>Ya no es necesario</t>
  </si>
  <si>
    <t>CRQ000000273931</t>
  </si>
  <si>
    <t>PRP -AGENCIA ESPAÑOLA DE PROTECCIÓN DE DATOS - Solicitud de eliminación de servidores</t>
  </si>
  <si>
    <t>Srvcpd1shd01</t>
  </si>
  <si>
    <t>TAS000000262623 - EXP-EMPRESAS-VIRTUALIZADOS
TAS000000262522 - GLOBAL BACKUP PLATFORM PROVISION</t>
  </si>
  <si>
    <t>CRQ000000274269</t>
  </si>
  <si>
    <t>agpdweb05</t>
  </si>
  <si>
    <t>TAS000000262620 - GLOBAL BACKUP PLATFORM PROVISION
TAS000000262903 - EXP-EMPRESAS-VIRTUALIZADOS</t>
  </si>
  <si>
    <t>CRQ000000273923</t>
  </si>
  <si>
    <t>TIENDAS MOVISTAR - Actualización del catálogo Validación para actualizar las firmas del AV Panda</t>
  </si>
  <si>
    <t>TAS000000262772 - EXP-CCT_CITRIX-TICLIENTES-SUM</t>
  </si>
  <si>
    <t>CRQ000000274420</t>
  </si>
  <si>
    <t>POOL - HOSPITEN GESTION - Solicitud de apagado de servidores</t>
  </si>
  <si>
    <t xml:space="preserve">A3Server_new; A3SQLServer_new; ADSFS_new; Consola; Stonegate; delphin-des; delphin-pro; docuflex_des; Exchangeges2; Ges-ckcserver; Ges-Openlab; hges-sophos_new; hosp_consola_proxy; PACS_NEW; Server Alfresco; 
Server alfresco_clon_15-11-2019; SGES-INTRANET-MIG; SMS_ubuntu_6.9; TLF_TS1; hosp_proxy; OVF-PRUEBA
</t>
  </si>
  <si>
    <t xml:space="preserve">TAS000000262983 - GLOBAL BACKUP PLATFORM PROVISION
TAS000000263315 - SSO SG EVENTOS
TAS000000263417 - EXP-EMPRESAS-VIRTUALIZADOS
</t>
  </si>
  <si>
    <t>CRQ000000274477</t>
  </si>
  <si>
    <t>POOL - SAR RESIDENCIAL Y ASISTENCIAL - Apagado de servidores</t>
  </si>
  <si>
    <t>A79059085 - SAR RESIDENCIAL Y ASISTENCIAL SA.</t>
  </si>
  <si>
    <t>TAS000000263303 - GLOBAL BACKUP PLATFORM PROVISION TAS000000262497 - SSO SG EVENTOS
TAS000000262875 - EXP-EMPRESAS-VIRTUALIZADOS</t>
  </si>
  <si>
    <t>CRQ000000274317</t>
  </si>
  <si>
    <t>POOL - TOYOTA CANARIAS, S.A. - Eliminación de servidores</t>
  </si>
  <si>
    <t xml:space="preserve">TAS000000262981 - SSO SG EVENTOS
TAS000000263311 - GLOBAL BACKUP PLATFORM PROVISION
TAS000000262796 - EXP-EMPRESAS-VIRTUALIZADOS
</t>
  </si>
  <si>
    <t>CRQ000000274762</t>
  </si>
  <si>
    <t>POOL - HOTELES ELBA - Actualización del sistema operativo</t>
  </si>
  <si>
    <t>hesapdes03, hesapcal03</t>
  </si>
  <si>
    <t>TAS000000263325 - EXP-EMPRESAS-SISTEMASLINUX
TAS000000263518 - EXP-EMPRESAS-SISTEMASLINUX
TAS000000263519 - SDNIVEL1
TAS000000263601 - SDNIVEL1</t>
  </si>
  <si>
    <t>CRQ000000273973</t>
  </si>
  <si>
    <t>CRA - CAJA ASTURIAS - Actualizar parches de Microsoft</t>
  </si>
  <si>
    <t>TAS000000262175 - EXP-CCT_CITRIX-TICLIENTES-SUM</t>
  </si>
  <si>
    <t>MIDDLEWARE - ISS/NO ISS</t>
  </si>
  <si>
    <t>CRQ000000274230</t>
  </si>
  <si>
    <t xml:space="preserve">TAS000000263440 - EXP-EMPRESAS-BBDD
TAS000000263522 - EXP-EMPRESAS-BBDD
TAS000000262991 - EXP-EMPRESAS-MIDDLEWARE
</t>
  </si>
  <si>
    <t>El GTS lo rechaza por error. Se reenvia email para aprobación.</t>
  </si>
  <si>
    <t>CRQ000000274340</t>
  </si>
  <si>
    <t>JLB - KAO CORPORATION - Solicitud de apagado de servidores</t>
  </si>
  <si>
    <t>KCEIM02</t>
  </si>
  <si>
    <t>TAS000000264008 - EXP-WINTEL TIC-SUM
TAS000000263552 - SSO SG EVENTOS
TAS000000263345 - EXP-WINTEL TIC-SUM</t>
  </si>
  <si>
    <t>CRQ000000274517</t>
  </si>
  <si>
    <t>PRP - AGENCIA ESPAÑOLA DE PROTECCION DE DATOS - Solicitud de apagado de servidores</t>
  </si>
  <si>
    <t>agpdweb02n, agpdweb03n, xcmsn, xfindn</t>
  </si>
  <si>
    <t>TAS000000263458 - EXP-EMPRESAS-SISTEMASLINUX
TAS000000263708 - SSO SG EVENTOS
TAS000000263709 - EXP-EMPRESAS-MIDDLEWARE
TAS000000263710 - EXP-EMPRESAS-SISTEMASLINUX</t>
  </si>
  <si>
    <t>CRQ000000274959</t>
  </si>
  <si>
    <t>AMAPRELABTOM301 , AMAPRELABTOM401</t>
  </si>
  <si>
    <t>TAS000000264021 - EXP-EMPRESAS-MIDDLEWARE</t>
  </si>
  <si>
    <t>CRQ000000273737</t>
  </si>
  <si>
    <t>AMP - VERDIFRESH - Actualizar parches de Microsoft</t>
  </si>
  <si>
    <t>Angel Martinez Payerpaj</t>
  </si>
  <si>
    <t>TAS000000262387 - EXP-CCT_CITRIX-TICLIENTES-SUM</t>
  </si>
  <si>
    <t>CRQ000000275093</t>
  </si>
  <si>
    <t>TAS000000263781 - SDNIVEL1
TAS000000264065 - SDNIVEL1
TAS000000264312 - EXP-CORREO COLABORATIVO EXCHANGE TIC-SUM</t>
  </si>
  <si>
    <t>CRQ000000274057</t>
  </si>
  <si>
    <t>POOL - INVERAMA - Actualizar parches de Microsoft</t>
  </si>
  <si>
    <t>TAS000000262192 - EXP-CCT_CITRIX-TICLIENTES-SUM</t>
  </si>
  <si>
    <t>CRQ000000275096</t>
  </si>
  <si>
    <t>TAS000000264138 - EXP-CORREO COLABORATIVO EXCHANGE TIC-SUM
TAS000000264140 - SDNIVEL1
TAS000000264313 - SDNIVEL1</t>
  </si>
  <si>
    <t>CRQ000000275021</t>
  </si>
  <si>
    <t>FLG - CORREOS - Integración APPInsignts – PRO</t>
  </si>
  <si>
    <t>azam-p-correosid-a0-svc-netcore-correosidcore-01</t>
  </si>
  <si>
    <t>TAS000000264471 - CLOUD PÚBLICA NIVEL 2_AZURE</t>
  </si>
  <si>
    <t>CRQ000000273979</t>
  </si>
  <si>
    <t>POOL - CAF - Actualizar parches de Microsoft</t>
  </si>
  <si>
    <t xml:space="preserve">CAFSSEWS12008.caf.local
CAFSSEWS12009.caf.local
CAFSSEWS12010.caf.local
CAFSSEWS12011.caf.local
CAFSSEWS12012.caf.local
</t>
  </si>
  <si>
    <t>TAS000000262701 - EXP-CCT_CITRIX-TICLIENTES-SUM</t>
  </si>
  <si>
    <t>CRQ000000275017</t>
  </si>
  <si>
    <t>POOL - HOSPITEN GESTION - Solicitud de eliminación de servidores</t>
  </si>
  <si>
    <t>A3Server_new, A3SQLServer_new, ADSFS_new, Consola Stonegate, delphin-des, delphin-pro, docuflex_des, Exchangeges2, Ges-ckcserver, Ges-Openlab, hges-sophos_new, hosp_consola_proxy, PACS_NEW, Server Alfresco, Server alfresco_clon_15-11-2019, SGES-INTRANET-MIG, SMS_ubuntu_6.9, TLF_TS1, hosp_proxy, OVF-PRUEBA</t>
  </si>
  <si>
    <t>TAS000000264462 - GLOBAL BACKUP PLATFORM PROVISION
TAS000000264631 - SSO SG EVENTOS
TAS000000264632 - EXP-EMPRESAS-VIRTUALIZADOS</t>
  </si>
  <si>
    <t>CRQ000000275707</t>
  </si>
  <si>
    <t>TAS000000264944 - EXP-EMPRESAS-BBDD</t>
  </si>
  <si>
    <t>Se reenvia email para aprobación.</t>
  </si>
  <si>
    <t>CRQ000000273914</t>
  </si>
  <si>
    <t>VDILEGALITASXX.VDICLOUD.TELEFONICA.COM</t>
  </si>
  <si>
    <t>TAS000000262390 - EXP-CCT_CITRIX-TICLIENTES-SUM</t>
  </si>
  <si>
    <t>CRQ000000274062</t>
  </si>
  <si>
    <t>RLC - DGOJ - Actualizar parches de Microsoft</t>
  </si>
  <si>
    <t>TAS000000262424 - EXP-CCT_CITRIX-TICLIENTES-SUM</t>
  </si>
  <si>
    <t>CRQ000000274069</t>
  </si>
  <si>
    <t>POOL - SPACECARGO - Actualizar parches de Microsoft</t>
  </si>
  <si>
    <t>SPCSSEWS12001.spcw.com
SPCSSEWS12002.spcw.com
SPCSSEWS12003.spcw.com
SPCSSEWS12004.spcw.com
SPCSSEWS12005.spcw.com
SPCSSEWS12006.spcw.com
SPCSSEWS12007.spcw.com
SPCSSEWS12008.spcw.com
SPCSSEWS12009.spcw.com
SPCSSEWS12010.spcw.com
SPCSSEWS12011.spcw.com
SPCSSEWS12012.spcw.com
SPCSSEWS12013.spcw.com</t>
  </si>
  <si>
    <t>TAS000000262431 - EXP-CCT_CITRIX-TICLIENTES-SUM</t>
  </si>
  <si>
    <t>Aprobado en el CAB - Jueves 8 de Julio</t>
  </si>
  <si>
    <t>CRQ000000274380</t>
  </si>
  <si>
    <t>TIENDAS MOVISTAR - Actualización del catálogo Producción para actualizar las firmas del AV Panda</t>
  </si>
  <si>
    <t>TAS000000262649 - EXP-CCT_CITRIX-TICLIENTES-SUM</t>
  </si>
  <si>
    <t>CRQ000000275424</t>
  </si>
  <si>
    <t>CED-103JC-BE01,CED-103JC-DC01,CED-103JC-HV01</t>
  </si>
  <si>
    <t>TAS000000264172 - SDNIVEL1
TAS000000264092 - EXP-CORREO COLABORATIVO EXCHANGE TIC-SUM
TAS000000264093 - SDNIVEL1</t>
  </si>
  <si>
    <t>CRQ000000275546</t>
  </si>
  <si>
    <t>CED-104JC-HV01,CED-104JC-DC01,CED-104JC-BE01,CED-104JC-BE02,CED-104JC-BE03</t>
  </si>
  <si>
    <t>TAS000000264078 - EXP-CORREO COLABORATIVO EXCHANGE TIC-SUM
TAS000000264242 - SDNIVEL1
TAS000000263800 - SDNIVEL1</t>
  </si>
  <si>
    <t>CRQ000000274072</t>
  </si>
  <si>
    <t>JLB - KAO - Actualizar parches de Microsoft</t>
  </si>
  <si>
    <t>KAOWS16HSD18
KAOWS16HSD01
KAOWS16HSD02
KAOWS16HSD04
KAOWS16HSD05
KAOWS16HSD06
KAOWS16HSD07
KAOWS16HSD08
KAOWS16HSD09
KAOWS16HSD10
KAOWS16HSD11
KAOWS16HSD12
KAOWS16HSD13
KAOWS16HSD14
KAOWS16HSD15
KAOWS16HSD16
KAOWS16HSD17
KAOWS16HSD36
KAOWS16HSD03</t>
  </si>
  <si>
    <t>TAS000000262438 - EXP-CCT_CITRIX-TICLIENTES-SUM</t>
  </si>
  <si>
    <t>CRQ000000275663</t>
  </si>
  <si>
    <t>CED-103AL-BE02,CED-103AL-DC01,CED-103AL-HV01</t>
  </si>
  <si>
    <t>TAS000000264451 - EXP-CORREO COLABORATIVO EXCHANGE TIC-SUM
TAS000000264452 - SDNIVEL1
TAS000000264514 - SDNIVEL1</t>
  </si>
  <si>
    <t>CRQ000000275762</t>
  </si>
  <si>
    <t>LCH - CAMARA OFICIAL DE COMERCIO E INDUSTRIA - Instalación parches seguridad Microsoft - PRE</t>
  </si>
  <si>
    <t>Q2873001H - CAMARA OFICIAL DE COMERCIO E INDUSTRIA</t>
  </si>
  <si>
    <t>AgenteCoulson.camarademadrid.es, ObiWan.camarademadrid.es, PRE-Cthulhu, PRE-DR-DOOM.camarademadrid.es, Pre-Jubilo</t>
  </si>
  <si>
    <t>TAS000000264376 - EXP-WINTEL TIC-SUM
TAS000000264753 - SDNIVEL1
TAS000000264967 - SDNIVEL1</t>
  </si>
  <si>
    <t>Modificado para aumentar la ventana una hora</t>
  </si>
  <si>
    <t>CRQ000000275123</t>
  </si>
  <si>
    <t>TAS000000264270 - SDNIVEL1
TAS000000264614 - EXP-WINTEL TIC-SUM
TAS000000264615 - EXP-SQLSERVER TIC-SUM
TAS000000264616 - SDNIVEL1</t>
  </si>
  <si>
    <t>CRQ000000275848</t>
  </si>
  <si>
    <t>TAS000000264365 - EXP-WINTEL TIC-SUM
TAS000000264366 - SDNIVEL1
TAS000000264547 - SDNIVEL1</t>
  </si>
  <si>
    <t>CRQ000000275655</t>
  </si>
  <si>
    <t>TAS000000264158 - SDNIVEL1
TAS000000264251 - EXP-CORREO COLABORATIVO EXCHANGE TIC-SUM
TAS000000264090 - SDNIVEL1</t>
  </si>
  <si>
    <t>CRQ000000274258</t>
  </si>
  <si>
    <t>TAS000000262516 - EXP-CCT_CITRIX-TICLIENTES-SUM</t>
  </si>
  <si>
    <t>Demasiadas actualizaciones pendientes causan que la intervención se salga de la ventana</t>
  </si>
  <si>
    <t>CRQ000000276650</t>
  </si>
  <si>
    <t>TAS000000265222 - EXP-WINTEL TIC-SUM
TAS000000265140 - SDNIVEL1
TAS000000264396 - SDNIVEL1</t>
  </si>
  <si>
    <t>CRQ000000275718</t>
  </si>
  <si>
    <t>Pre-Kraken,Pre-Leviatan,pre-MujerInvi.camarademadrid.es,Pre-Nessie,Pre-SRVBBDD1,Pre-ShadowCat.camarademadrid.es</t>
  </si>
  <si>
    <t>TAS000000264761 - SDNIVEL1
TAS000000265106 - EXP-WINTEL TIC-SUM
TAS000000265108 - SDNIVEL1</t>
  </si>
  <si>
    <t>Cancelado por el grupo técnico al coincidir con otra actualización de seguridad</t>
  </si>
  <si>
    <t>CRQ000000276364</t>
  </si>
  <si>
    <t xml:space="preserve">
TAS000000265205 - EXP-CORREO COLABORATIVO EXCHANGE TIC-SUM
TAS000000265206 - SDNIVEL1
TAS000000265128 - SDNIVEL1
</t>
  </si>
  <si>
    <t>CRQ000000274073</t>
  </si>
  <si>
    <t>RBG - NOVOBANCO - Actualizar parches de Microsoft</t>
  </si>
  <si>
    <t>TAS000000262617 - EXP-CCT_CITRIX-TICLIENTES-SUM</t>
  </si>
  <si>
    <t>Modificados para aumentar la ventana una hora</t>
  </si>
  <si>
    <t>CRQ000000276310</t>
  </si>
  <si>
    <t xml:space="preserve">TAS000000264570 - EXP-WINTEL TIC-SUM
TAS000000264765 - EXP-SQLSERVER TIC-SUM
TAS000000264697 - EXP-SQLSERVER TIC-SUM
TAS000000265120 - SDNIVEL1
TAS000000265122 - SDNIVEL1
</t>
  </si>
  <si>
    <t>CRQ000000275732</t>
  </si>
  <si>
    <t>TAS000000264391 - SDNIVEL1
TAS000000264781 - SDNIVEL1
TAS000000265210 - EXP-CORREO COLABORATIVO EXCHANGE TIC-SUM</t>
  </si>
  <si>
    <t>Parcheado Seguridad Julio 2021</t>
  </si>
  <si>
    <t>CRQ000000276343</t>
  </si>
  <si>
    <t>DCTR01-AIM03, DCTR01-DCS03, DCTR01-BDD4201, DCTR01-PDS01, DCTR01-APT101, DCTR01-BDD8203, DCTR01-NSS03, DCTR01-DCS13, DCTR01-DCS04, DCTR01-DCS14, DCTR01-BDT101, DCTR01-PDS02, DCTR01-NSS02, TEST01, DCTR01-APP7001, CATSAS-BDD01, CATSAS-WSS01</t>
  </si>
  <si>
    <t>TAS000000265215 - EXP-SQLSERVER TIC-SUM
TAS000000265216 - SDNIVEL1
TAS000000264788 - EXP-WINTEL TIC-SUM
TAS000000264599 - SDNIVEL1</t>
  </si>
  <si>
    <t>Modificadas fechas , a petición del cliente,  de los dias 16 -17 pasa a 18 -19. Se reenvia correo para aprobación</t>
  </si>
  <si>
    <t>CRQ000000274264</t>
  </si>
  <si>
    <t>AMP - INVERSIS - Actualización parches Microsoft</t>
  </si>
  <si>
    <t>A83131433 - INVERSIS BANCO S.A.</t>
  </si>
  <si>
    <t xml:space="preserve">INVERSISXA1601
INVERSISXA1602
INVERSISXA1603
INVERSISXA1604
INVERSISXA1605
INVERSISXA1606
INVERSISXA1607
INVERSISXA1608
</t>
  </si>
  <si>
    <t>TAS000000264789 - EXP-CCT_CITRIX-TICLIENTES-SUM</t>
  </si>
  <si>
    <t>CRQ000000276656</t>
  </si>
  <si>
    <t>TAS000000264796 - SDNIVEL1
TAS000000264797 - EXP-WINTEL TIC-SUM
TAS000000265601 - SDNIVEL1
TAS000000265411 - EXP-SQLSERVER TIC-SUM</t>
  </si>
  <si>
    <t>Se tramita como urgente al pasarse con menos de 48 horas</t>
  </si>
  <si>
    <t>CRQ000000278113</t>
  </si>
  <si>
    <t xml:space="preserve">AMP – AYTO. DE ALCALÁ DE HENARES - configuracion HMA- PRO </t>
  </si>
  <si>
    <t>bbddlamp01, bbddlamp02</t>
  </si>
  <si>
    <t>TAS000000267670 - SISTEMAS LINUX
TAS000000266900 - SISTEMAS BBDD
TAS000000267901 - EXP-EMPRESAS-MIDDLEWARE</t>
  </si>
  <si>
    <t>CRQ000000276410</t>
  </si>
  <si>
    <t>Melazusrvinto01, Melazusrvintf0, Melazusrvintp01, Melazusrvints0</t>
  </si>
  <si>
    <t>TAS000000265461 - SDNIVEL1
TAS000000265200 - EXP-WINTEL TIC-SUM
TAS000000266001 - SDNIVEL1</t>
  </si>
  <si>
    <t>CRQ000000276597</t>
  </si>
  <si>
    <t>TAS000000265273 - SDNIVEL1
TAS000000265455 - EXP-WINTEL TIC-SUM
TAS000000265528 - SDNIVEL1</t>
  </si>
  <si>
    <t>CRQ000000277719</t>
  </si>
  <si>
    <t>MIGUEL ANGEL AYBAR BERMEJO</t>
  </si>
  <si>
    <t>TAS000000267073 - SDNIVEL1
TAS000000267075 - EXP-CORREO COLABORATIVO EXCHANGE TIC-SUM
TAS000000267074 - SDNIVEL1</t>
  </si>
  <si>
    <t>CRQ000000277651</t>
  </si>
  <si>
    <t>TAS000000266430 - SDNIVEL1
TAS000000266509 - EXP-WINTEL TIC-SUM
TAS000000266432 - SDNIVEL1</t>
  </si>
  <si>
    <t>CRQ000000277359</t>
  </si>
  <si>
    <t xml:space="preserve">AYTOALCALASQL02, AYTOALPOLSQL02 </t>
  </si>
  <si>
    <t>TAS000000265491 - SDNIVEL1
TAS000000265582 - EXP-WINTEL TIC-SUM
TAS000000265492 - EXP-SQLSERVER TIC-SUM
TAS000000266107 - SDNIVEL1</t>
  </si>
  <si>
    <t>CRQ000000278460</t>
  </si>
  <si>
    <t>RBG - NOVOBANCO - Cambio contraseña servidores oracle</t>
  </si>
  <si>
    <t>oresesg28001004, oresesg28001005 y oresesg28001007</t>
  </si>
  <si>
    <t>TAS000000267790 - EXP-EMPRESAS-BBDD</t>
  </si>
  <si>
    <t>CRQ000000278160</t>
  </si>
  <si>
    <t xml:space="preserve">POOL - PROSEGUR Solicitud de apagado de servidores </t>
  </si>
  <si>
    <t>B87222006 - PROSEGUR ALARMAS ESPAÑA, S.L.U.</t>
  </si>
  <si>
    <t>TALDTIPRDSQL</t>
  </si>
  <si>
    <t>TAS000000266880 - SSO SG EVENTOS
TAS000000267638 - GLOBAL BACKUP PLATFORM PROVISION
TAS000000267076 - EXP-EMPRESAS-VIRTUALIZADOS</t>
  </si>
  <si>
    <t>CRQ000000277164</t>
  </si>
  <si>
    <t>TAS000000266206 - SDNIVEL1
TAS000000266115 - EXP-WINTEL TIC-SUM
TAS000000266208 - EXP-SQLSERVER TIC-SUM
TAS000000266309 - SDNIVEL1</t>
  </si>
  <si>
    <t>CRQ000000276708</t>
  </si>
  <si>
    <t>TAS000000265662 - SDNIVEL1
TAS000000265664 - EXP-WINTEL TIC-SUM
TAS000000265387 - SDNIVEL1</t>
  </si>
  <si>
    <t>CRQ000000277476</t>
  </si>
  <si>
    <t>TAS000000266136 - SDNIVEL1
TAS000000266260 - EXP-WINTEL TIC-SUM
TAS000000266262 - SDNIVEL1</t>
  </si>
  <si>
    <t>CRQ000000278082</t>
  </si>
  <si>
    <t>TAS000000267399 - SDNIVEL1
TAS000000266879 - EXP-CORREO COLABORATIVO EXCHANGE TIC-SUM
TAS000000267175 - SDNIVEL1</t>
  </si>
  <si>
    <t>CRQ000000277456</t>
  </si>
  <si>
    <t>TAS000000265696 - SDNIVEL1
TAS000000266132 - EXP-CCT_O365 TIC-SUM
TAS000000266133 - SDNIVEL1</t>
  </si>
  <si>
    <t>CRQ000000277692</t>
  </si>
  <si>
    <t>TAS000000267032 - SDNIVEL1
TAS000000267033 - EXP-WINTEL TIC-SUM
TAS000000266689 - SDNIVEL1</t>
  </si>
  <si>
    <t>CRQ000000277592</t>
  </si>
  <si>
    <t>TAS000000266629 - SDNIVEL1
TAS000000266474 - EXP-WINTEL TIC-SUM
TAS000000266385 - SDNIVEL1</t>
  </si>
  <si>
    <t>Solicitado con menos de 48 horas</t>
  </si>
  <si>
    <t>CRQ000000278470</t>
  </si>
  <si>
    <t>POOL - EDITORIAL PRENSA IBERICA - Desprovisión máquinas virtuales</t>
  </si>
  <si>
    <t>A08758021 - EDITORIAL PRENSA IBERICA, S.A.</t>
  </si>
  <si>
    <t>Sin Corte</t>
  </si>
  <si>
    <t>dcbidasoapress1</t>
  </si>
  <si>
    <t>TAS000000268153 - SSO SG EVENTOS
TAS000000268073 - GLOBAL BACKUP PLATFORM PROVISION
TAS000000267861 - EXP-EMPRESAS-VIRTUALIZADOS</t>
  </si>
  <si>
    <t>CRQ000000278749</t>
  </si>
  <si>
    <t xml:space="preserve">hesappro08, hesappro09, hesappro10 </t>
  </si>
  <si>
    <t>TAS000000268418 - SDNIVEL1
TAS000000267934 - EXP-EMPRESAS-SISTEMASLINUX
TAS000000267935 - EXP-EMPRESAS-SISTEMASLINUX
TAS000000268079 - SDNIVEL1</t>
  </si>
  <si>
    <t>CRQ000000277201</t>
  </si>
  <si>
    <t>TAS000000266370 - SDNIVEL1
TAS000000266446 - EXP-CCT_O365 TIC-SUM
TAS000000266538 - SDNIVEL1</t>
  </si>
  <si>
    <t>CRQ000000277479</t>
  </si>
  <si>
    <t>TAS000000266356 - SDNIVEL1
TAS000000266269 - EXP-WINTEL TIC-SUM
TAS000000266603 - EXP-SQLSERVER TIC-SUM
TAS000000266267 - SDNIVEL1</t>
  </si>
  <si>
    <t>CRQ000000277525</t>
  </si>
  <si>
    <t>TAS000000267325 - SDNIVEL1
TAS000000267326 - EXP-WINTEL TIC-SUM
TAS000000266855 - EXP-SQLSERVER TIC-SUM
TAS000000266959 - SDNIVEL1</t>
  </si>
  <si>
    <t>CRQ000000278478</t>
  </si>
  <si>
    <t>LCH - CAMARA OFICIAL DE COMERCIO E INDUSTRIA - Instalación parches seguridad Microsoft - PRO</t>
  </si>
  <si>
    <t>Cthulhu,Dr-Doom.camarademadrid.es, HydraRmk.camarademadrid.es, JARVIS.camarademadrid.es, Jubilo, Kraken, Leviatan</t>
  </si>
  <si>
    <t>TAS000000267941 - SDNIVEL1
TAS000000268087 - EXP-WINTEL TIC-SUM
TAS000000267942 - SDNIVEL1</t>
  </si>
  <si>
    <t>CRQ000000277303</t>
  </si>
  <si>
    <t>TAS000000266158 - SDNIVEL1
TAS000000266460 - EXP-WINTEL TIC-SUM
TAS000000266461 - SDNIVEL1</t>
  </si>
  <si>
    <t>CRQ000000277589</t>
  </si>
  <si>
    <t>TAS000000266543 - SDNIVEL1
TAS000000266466 - EXP-WINTEL TIC-SUM
TAS000000266467 - SDNIVEL1</t>
  </si>
  <si>
    <t>CRQ000000278049</t>
  </si>
  <si>
    <t>TAS000000267508 - SDNIVEL1
TAS000000267329 - EXP-SQLSERVER TIC-SUM
TAS000000266964 - EXP-WINTEL TIC-SUM
TAS000000267509 - EXP-SQLSERVER TIC-SUM
TAS000000267052 - SDNIVEL1</t>
  </si>
  <si>
    <t>Instalacion parches seguridad Julio 2021</t>
  </si>
  <si>
    <t>CRQ000000278055</t>
  </si>
  <si>
    <t>TAS000000267359 - SDNIVEL1
TAS000000267057 - EXP-WINTEL TIC-SUM
TAS000000267364 - EXP-SQLSERVER TIC-SUM
TAS000000267059 - EXP-EMPRESAS-MIDDLEWARE
TAS000000266864 - SDNIVEL1</t>
  </si>
  <si>
    <t>CRQ000000279009</t>
  </si>
  <si>
    <t>Degradación del servicio</t>
  </si>
  <si>
    <t>TAS000000269324 - CDSCLOUD_OPENSHIFT</t>
  </si>
  <si>
    <t>CRQ000000277739</t>
  </si>
  <si>
    <t>TAS000000267711 - SDNIVEL1
TAS000000267712 - EXP-WINTEL TIC-SUM
TAS000000267575 - SDNIVEL1</t>
  </si>
  <si>
    <t>CRQ000000278495</t>
  </si>
  <si>
    <t>Mujer-Invisible.camarademadrid.es,Mystica.camarademadrid.es,Nessie,SRVBBDD1, ShadowCat.camarademadrid.es,pre-temblores.camarademadrid.es, Pre-Thanos.camarademadrid.es</t>
  </si>
  <si>
    <t>TAS000000268455 - SDNIVEL1
TAS000000268535 - EXP-WINTEL TIC-SUM
TAS000000268171 - SDNIVEL1</t>
  </si>
  <si>
    <t>CRQ000000278104</t>
  </si>
  <si>
    <t>TAS000000267721 - SDNIVEL1
TAS000000267725 - EXP-WINTEL TIC-SUM
TAS000000267813 - SDNIVEL1</t>
  </si>
  <si>
    <t>CRQ000000278385</t>
  </si>
  <si>
    <t>TAS000000267852 - SDNIVEL1
TAS000000267853 - EXP-WINTEL TIC-SUM
TAS000000268146 - SDNIVEL1</t>
  </si>
  <si>
    <t>ÉXITO CON PROBLEMAS</t>
  </si>
  <si>
    <t xml:space="preserve">Parcheado Seguridad Julio 2021. El parcheado ha fallado en la máquina HVPMALCALADC01 </t>
  </si>
  <si>
    <t>CRQ000000278438</t>
  </si>
  <si>
    <t>AYTOALDCSPM, AYTOALPOLINTRAT, FILESRV1, HVAYALCALADC01, HVAYALCALASYNC, HVPMALCALADC01, IMPRESION, LABGUARD, BIBLIOTECAS, Documentum, FILESRVPOL01, SAVIATIME</t>
  </si>
  <si>
    <t>TAS000000268469 - SDNIVEL1
TAS000000268185 - EXP-WINTEL TIC-SUM
TAS000000268642 - SDNIVEL1</t>
  </si>
  <si>
    <t>CRQ000000279173</t>
  </si>
  <si>
    <t>TAS000000268762 - EXP-EMPRESAS-MIDDLEWARE</t>
  </si>
  <si>
    <t>CRQ000000278781</t>
  </si>
  <si>
    <t>TAS000000268726 - SDNIVEL1
TAS000000268471 - EXP-WINTEL TIC-SUM
TAS000000268572 - SDNIVEL1</t>
  </si>
  <si>
    <t>CRQ000000278976</t>
  </si>
  <si>
    <t>SRV-MANTIS, SRV-SCADAR, SRVSDC03, SRV-TDX, SRVTEF</t>
  </si>
  <si>
    <t>TAS000000268826 - SDNIVEL1
TAS000000268654 - EXP-WINTEL TIC-SUM
TAS000000268599 - SDNIVEL1</t>
  </si>
  <si>
    <t>CRQ000000279098</t>
  </si>
  <si>
    <t>MSWASCIP01, MSWJIRAP01, MSWFEPNP01, MSWMSQLD01, MSWWEBSD01</t>
  </si>
  <si>
    <t>TAS000000268690 - SDNIVEL1
TAS000000268766 - EXP-WINTEL TIC-SUM
TAS000000268691 - SDNIVEL1</t>
  </si>
  <si>
    <t>CRQ000000279139</t>
  </si>
  <si>
    <t>TAS000000269617 - SDNIVEL1
TAS000000269184 - EXP-WINTEL TIC-SUM
TAS000000269618 - SDNIVEL1</t>
  </si>
  <si>
    <t>CRQ000000279319</t>
  </si>
  <si>
    <t>TAS000000269191 - SDNIVEL1
TAS000000269710 - EXP-WINTEL TIC-SUM
TAS000000269378 - SDNIVEL1</t>
  </si>
  <si>
    <t>Parcheado Seguridad Agosto 2021</t>
  </si>
  <si>
    <t>CRQ000000279226</t>
  </si>
  <si>
    <t>TAS000000269531 - SDNIVEL1
TAS000000269532 - EXP-WINTEL TIC-SUM
TAS000000269628 - SDNIVEL1</t>
  </si>
  <si>
    <t>CRQ000000279488</t>
  </si>
  <si>
    <t>CED-09JC-BE01,CED-09JC-DC01,CED-JCHV-0</t>
  </si>
  <si>
    <t>TAS000000269565 - SDNIVEL1
TAS000000270014 - EXP-CORREO COLABORATIVO EXCHANGE TIC-SUM
TAS000000269566 - SDNIVEL1</t>
  </si>
  <si>
    <t>CRQ000000279862</t>
  </si>
  <si>
    <t>TAS000000270140 - SDNIVEL1
TAS000000270141 - EXP-SQLSERVER TIC-SUM
TAS000000270142 - EXP-WINTEL TIC-SUM
TAS000000270032 - SDNIVEL1</t>
  </si>
  <si>
    <t>CRQ000000279703</t>
  </si>
  <si>
    <t>hesappro05, hesappro06, hesappro12</t>
  </si>
  <si>
    <t>TAS000000270036 - SDNIVEL1
TAS000000270037 - EXP-EMPRESAS-SISTEMASLINUX
TAS000000269787 - EXP-EMPRESAS-SISTEMASLINUX
TAS000000270151 - SDNIVEL1</t>
  </si>
  <si>
    <t>CRQ000000279600</t>
  </si>
  <si>
    <t>TAS000000270123 - SDNIVEL1
TAS000000269584 - EXP-WINTEL TIC-SUM
TAS000000269771 - EXP-EMPRESAS-MIDDLEWARE
TAS000000269586 - SDNIVEL1</t>
  </si>
  <si>
    <t>Ya se ejecuto en el CRQ000000276597</t>
  </si>
  <si>
    <t>CRQ000000279765</t>
  </si>
  <si>
    <t>TAS000000270022 - SDNIVEL1
TAS000000269655 - EXP-WINTEL TIC-SUM
TAS000000269773 - SDNIVEL1</t>
  </si>
  <si>
    <t>CRQ000000279681</t>
  </si>
  <si>
    <t>TAS000000269398 - SDNIVEL1
TAS000000269567 - EXP-CORREO COLABORATIVO EXCHANGE TIC-SUM
TAS000000269818 - SDNIVEL1</t>
  </si>
  <si>
    <t>CRQ000000279724</t>
  </si>
  <si>
    <t>TAS000000270409 - EXP-CORREO COLABORATIVO EXCHANGE TIC-SUM</t>
  </si>
  <si>
    <t>Escalado: Solicitud de crear el cambio con &lt; 48 horas de pre aviso</t>
  </si>
  <si>
    <t>CRQ000000279721</t>
  </si>
  <si>
    <t>TAS000000270408 - EXP-EMPRESAS-MIDDLEWARE</t>
  </si>
  <si>
    <t>Parcheado Seguridad Julio 2021
Falla en BOMA01SSQL01N: INC000007029789</t>
  </si>
  <si>
    <t>CRQ000000279709</t>
  </si>
  <si>
    <t>TAS000000270152 - SDNIVEL1
TAS000000269672 - EXP-WINTEL TIC-SUM
TAS000000269790 - SDNIVEL1</t>
  </si>
  <si>
    <t>Problemas userdata de AWS
Marcha atrás</t>
  </si>
  <si>
    <t>CRQ000000280012</t>
  </si>
  <si>
    <t>FLG- CORREOS - PRO - Reconstrucción AMI de PRO</t>
  </si>
  <si>
    <t>TAS000000270428 - CDSCLOUD_OPENSHIFT</t>
  </si>
  <si>
    <t xml:space="preserve">Parcheado Seguridad Julio 2021 </t>
  </si>
  <si>
    <t>CRQ000000279783</t>
  </si>
  <si>
    <t>TAS000000270175 - SDNIVEL1
TAS000000269868 - EXP-WINTEL TIC-SUM
TAS000000270180 - SDNIVEL1</t>
  </si>
  <si>
    <t>CRQ000000279727</t>
  </si>
  <si>
    <t>TAS000000270063 - EXP-CORREO COLABORATIVO EXCHANGE TIC-SUM</t>
  </si>
  <si>
    <t>CRQ000000280289</t>
  </si>
  <si>
    <t>TAS000000270473 - EXP-EMPRESAS-MIDDLEWARE</t>
  </si>
  <si>
    <t>CRQ000000279529</t>
  </si>
  <si>
    <t>TAS000000270226 - SDNIVEL1
TAS000000270192 - SDNIVEL1
TAS000000270418 - EXP-WINTEL TIC-SUM</t>
  </si>
  <si>
    <t>CRQ000000279640</t>
  </si>
  <si>
    <t>TAS000000270243 - SDNIVEL1
TAS000000269894 - EXP-WINTEL TIC-SUM
TAS000000270079 - SDNIVEL1</t>
  </si>
  <si>
    <t>CRQ000000280260</t>
  </si>
  <si>
    <t>cac1, cac2, ov87702, ov87703, ov87704, vodp, vodp-r, vqa-alarmas, vqa-informes, ov87701</t>
  </si>
  <si>
    <t>TAS000000270448 - SDNIVEL1
TAS000000270630 - EXP-WINTEL TIC-SUM
TAS000000269900 - SDNIVEL1</t>
  </si>
  <si>
    <t>CRQ000000280555</t>
  </si>
  <si>
    <t>TAS000000270635 - SDNIVEL1
TAS000000270703 - EXP-WINTEL TIC-SUM
TAS000000270636 - SDNIVEL1</t>
  </si>
  <si>
    <t>CRQ000000280559</t>
  </si>
  <si>
    <t>TAS000000270466 - SDNIVEL1
TAS000000270638 - EXP-WINTEL TIC-SUM
TAS000000270639 - SDNIVEL1</t>
  </si>
  <si>
    <t>Se abrirá posteriormente tras confirmar que no se necesita la MV</t>
  </si>
  <si>
    <t>CRQ000000280799</t>
  </si>
  <si>
    <t>smtools</t>
  </si>
  <si>
    <t>TAS000000271523 - SSO SG EVENTOS
TAS000000271716 - GLOBAL BACKUP PLATFORM PROVISION
TAS000000271717 - EXP-EMPRESAS-SISTEMASLINUX</t>
  </si>
  <si>
    <t>CRQ000000280807</t>
  </si>
  <si>
    <t>VM, proci, sgesInte_21_04_2020, A3SQLServer_new_clon_09-11-2019, SGES-INTRANET-MIG_08_11_2019</t>
  </si>
  <si>
    <t>TAS000000271350 - SSO SG EVENTOS
TAS000000271351 - GLOBAL BACKUP PLATFORM PROVISION
TAS000000271933 - EXP-EMPRESAS-SISTEMASLINUX</t>
  </si>
  <si>
    <t>CRQ000000280442</t>
  </si>
  <si>
    <t>prhalucs2, prhalucs1, prhalucs3, prhalveeam</t>
  </si>
  <si>
    <t>TAS000000270978 - SSO SG EVENTOS
TAS000000271915 - GLOBAL BACKUP PLATFORM PROVISION
TAS000000270980 - EXP-EMPRESAS-VIRTUALIZADOS</t>
  </si>
  <si>
    <t>CRQ000000280717</t>
  </si>
  <si>
    <t>TAS000000271554 - EXP-EMPRESAS-MIDDLEWARE</t>
  </si>
  <si>
    <t>CRQ000000280030</t>
  </si>
  <si>
    <t>TAS000000270641 - SDNIVEL1
TAS000000270720 - EXP-WINTEL TIC-SUM
TAS000000270542 - SDNIVEL1</t>
  </si>
  <si>
    <t>CRQ000000280802</t>
  </si>
  <si>
    <t>TAS000000270973 - EXP-CCT_CITRIX-TICLIENTES-SUM</t>
  </si>
  <si>
    <t>CRQ000000281450</t>
  </si>
  <si>
    <t>TAS000000271565 - EXP-EMPRESAS-BBDD
TAS000000271757 - EXP-EMPRESAS-MIDDLEWARE
TAS000000271569 - EXP-EMPRESAS-BBDD</t>
  </si>
  <si>
    <t>CRQ000000281376</t>
  </si>
  <si>
    <t>POOL - GRUPO KONECTANET S.L. - Solicitud de apagado de servidores</t>
  </si>
  <si>
    <t>B83332056 - GRUPO KONECTANET S.L.</t>
  </si>
  <si>
    <t>sandas_konecta</t>
  </si>
  <si>
    <t>TAS000000271971 - SSO SG EVENTOS
TAS000000271972 - GLOBAL BACKUP PLATFORM PROVISION
TAS000000271974 - EXP-EMPRESAS-LINUX</t>
  </si>
  <si>
    <t>CRQ000000281463</t>
  </si>
  <si>
    <t>MIDC-1, prhmisrm, MIBIP-1, ESMIXCAS-10V, ESMIXHUB-10V, ESMIXMBX-10V, MIPIP-1, MIPES-1, MIPAR-1, MIPMX-1, MIBOP-1, USMIPSU-1, USMIPGE-1, ESMIXCAS-11V, ESMIXCAS-12V</t>
  </si>
  <si>
    <t>TAS000000272115 - SSO SG EVENTOS
TAS000000271787 - GLOBAL BACKUP PLATFORM PROVISION
TAS000000271589 - EXP-EMPRESAS-VIRTUALIZADOS</t>
  </si>
  <si>
    <t>CRQ000000281248</t>
  </si>
  <si>
    <t>TAS000000271734 - EXP-CCT_CITRIX-TICLIENTES-SUM</t>
  </si>
  <si>
    <t>CRQ000000281205</t>
  </si>
  <si>
    <t>AMP - AYUNTAMIENTO DE ALCALÁ DE HENARES - Solicitud de apagado de servidores</t>
  </si>
  <si>
    <t>hvayalcalarc01, hvayalcalarc02, hvayalcalarc03, hvayalcalarc04, hvayalcalarc05, CONSUL</t>
  </si>
  <si>
    <t>TAS000000272208 - SSO SG EVENTOS
TAS000000272209 - GLOBAL BACKUP PLATFORM PROVISION
TAS000000271596 - EXP-EMPRESAS-VIRTUALIZADOS</t>
  </si>
  <si>
    <t>CRQ000000281490</t>
  </si>
  <si>
    <t>TAS000000271984 - SDNIVEL1
TAS000000272216 - EXP-CORREO COLABORATIVO EXCHANGE TIC-SUM
TAS000000271985 - SDNIVEL1</t>
  </si>
  <si>
    <t>Pdte. de reinicios</t>
  </si>
  <si>
    <t>CRQ000000281358</t>
  </si>
  <si>
    <t>TAS000000272020 - EXP-CCT_CITRIX-TICLIENTES-SUM</t>
  </si>
  <si>
    <t>CRQ000000281106</t>
  </si>
  <si>
    <t>TAS000000272061 - SDNIVEL1
TAS000000272060 - EXP-CORREO COLABORATIVO EXCHANGE TIC-SUM
TAS000000272062 - SDNIVEL1</t>
  </si>
  <si>
    <t>CRQ000000281848</t>
  </si>
  <si>
    <t>TAS000000272282 - EXP-EMPRESAS-MIDDLEWARE</t>
  </si>
  <si>
    <t>CRQ000000280842</t>
  </si>
  <si>
    <t>TAS000000271756 - EXP-CCT_CITRIX-TICLIENTES-SUM</t>
  </si>
  <si>
    <t>CRQ000000281454</t>
  </si>
  <si>
    <t>TAS000000271381 - EXP-CCT_CITRIX-TICLIENTES-SUM</t>
  </si>
  <si>
    <t>CRQ000000281281</t>
  </si>
  <si>
    <t>TAS000000271780 - EXP-CCT_CITRIX-TICLIENTES-SUM</t>
  </si>
  <si>
    <t>CRQ000000281303</t>
  </si>
  <si>
    <t>TAS000000272405 - EXP-CCT_CITRIX-TICLIENTES-SUM</t>
  </si>
  <si>
    <t>CRQ000000281637</t>
  </si>
  <si>
    <t>AMP - EMPRESA PUB. SANITARIA BAJO GUADALQUIVIR - Solicitud de apagado de servidores</t>
  </si>
  <si>
    <t>Q4100710E - EMPRESA PUB. SANITARIA BAJO GUADALQUIVIR</t>
  </si>
  <si>
    <t>EPSBGDESSAP, epsbgpipsap, EPSBGPiSAP, EPSBGPROSAP, EPSBGPROSAP_clon, EPSBGTESTSAP</t>
  </si>
  <si>
    <t>TAS000000272865 - SSO SG EVENTOS
TAS000000273129 - GLOBAL BACKUP PLATFORM PROVISION
TAS000000273130 - EXP-EMPRESAS-LINUX</t>
  </si>
  <si>
    <t>CRQ000000281306</t>
  </si>
  <si>
    <t>TAS000000271989 - EXP-CCT_CITRIX-TICLIENTES-SUM</t>
  </si>
  <si>
    <t>CRQ000000281752</t>
  </si>
  <si>
    <t>TAS000000272193 - SDNIVEL1
TAS000000272274 - EXP-WINTEL TIC-SUM
TAS000000272525 - EXP-SQLSERVER TIC-SUM
TAS000000272526 - SDNIVEL1</t>
  </si>
  <si>
    <t>Programado</t>
  </si>
  <si>
    <t>CRQ000000282350</t>
  </si>
  <si>
    <t>TAS000000272988 - SDNIVEL1
TAS000000272875 - EXP-CORREO COLABORATIVO EXCHANGE TIC-SUM
TAS000000273989 - SDNIVEL1</t>
  </si>
  <si>
    <t>CRQ000000281596</t>
  </si>
  <si>
    <t>TAS000000272376 - SDNIVEL1
TAS000000272527 - EXP-SQLSERVER TIC-SUM
TAS000000272457 - EXP-WINTEL TIC-SUM
TAS000000272094 - EXP-SQLSERVER TIC-SUM
TAS000000272278 - SDNIVEL1</t>
  </si>
  <si>
    <t>CRQ000000282016</t>
  </si>
  <si>
    <t>TAS000000273133 - SDNIVEL1
TAS000000272876 - EXP-CORREO COLABORATIVO EXCHANGE TIC-SUM
TAS000000273134 - SDNIVEL1</t>
  </si>
  <si>
    <t>CRQ000000281949</t>
  </si>
  <si>
    <t>TAS000000272290 - SDNIVEL1
TAS000000272906 - EXP-WINTEL TIC-SUM
TAS000000272387 - EXP-SQLSERVER TIC-SUM
TAS000000272463 - SDNIVEL1</t>
  </si>
  <si>
    <t>CRQ000000281861</t>
  </si>
  <si>
    <t>TAS000000272388 - SDNIVEL1
TAS000000272911 - EXP-WINTEL TIC-SUM
TAS000000272389 - EXP-SQLSERVER TIC-SUM
TAS000000272912 - SDNIVEL1</t>
  </si>
  <si>
    <t>CRQ000000283350</t>
  </si>
  <si>
    <t>TAS000000274459 - SDNIVEL1
TAS000000274460 - EXP-CORREO COLABORATIVO EXCHANGE TIC-SUM
TAS000000274461 - SDNIVEL1</t>
  </si>
  <si>
    <t>CRQ000000281618</t>
  </si>
  <si>
    <t>TAS000000272826 - SDNIVEL1
TAS000000272478 - EXP-WINTEL TIC-SUM
TAS000000272940 - SDNIVEL1</t>
  </si>
  <si>
    <t>CRQ000000281712</t>
  </si>
  <si>
    <t>TAS000000272926 - SDNIVEL1
TAS000000272552 - EXP-WINTEL TIC-SUM
TAS000000272553 - SDNIVEL1</t>
  </si>
  <si>
    <t>CRQ000000281904</t>
  </si>
  <si>
    <t>TAS000000272556 - SDNIVEL1
TAS000000272828 - EXP-WINTEL TIC-SUM
TAS000000273109 - SDNIVEL1</t>
  </si>
  <si>
    <t>CRQ000000282562</t>
  </si>
  <si>
    <t>TAS000000273092 - SDNIVEL1
TAS000000273170 - EXP-WINTEL TIC-SUM
TAS000000273171 - EXP-SQLSERVER TIC-SUM
TAS000000273640 - SDNIVEL1</t>
  </si>
  <si>
    <t>CRQ000000283263</t>
  </si>
  <si>
    <t>TAS000000274529 - SDNIVEL1
TAS000000274530 - EXP-CORREO COLABORATIVO EXCHANGE TIC-SUM
TAS000000274532 - SDNIVEL1</t>
  </si>
  <si>
    <t>CRQ000000282465</t>
  </si>
  <si>
    <t>TAS000000273623 - SDNIVEL1
TAS000000273706 - EXP-WINTEL TIC-SUM
TAS000000273086 - EXP-SQLSERVER TIC-SUM
TAS000000273624 - SDNIVEL1</t>
  </si>
  <si>
    <t>CRQ000000282111</t>
  </si>
  <si>
    <t>TAS000000273611 - SDNIVEL1
TAS000000272891 - EXP-WINTEL TIC-SUM
TAS000000273524 - SDNIVEL1</t>
  </si>
  <si>
    <t>CRQ000000282547</t>
  </si>
  <si>
    <t>FILESRV2,aytointranet.cconsistorial.alcala, IMPRESIONPOL01,HVAYALCALADC02, HVPMALCALADC02,IMPRESION2, AYALCATERSER,HVAYALCALAWSUS, SQLTEST, VMISC2</t>
  </si>
  <si>
    <t>TAS000000273237 - SDNIVEL1
TAS000000272895 - EXP-WINTEL TIC-SUM
TAS000000272897 - SDNIVEL1</t>
  </si>
  <si>
    <t>CRQ000000282566</t>
  </si>
  <si>
    <t>TAS000000273180 - SDNIVEL1
TAS000000273643 - EXP-WINTEL TIC-SUM
TAS000000273096 - SDNIVEL1</t>
  </si>
  <si>
    <t>CRQ000000282623</t>
  </si>
  <si>
    <t>TAS000000273589 - SDNIVEL1
TAS000000273752 - EXP-WINTEL TIC-SUM
TAS000000273933 - SDNIVEL1</t>
  </si>
  <si>
    <t>CRQ000000282412</t>
  </si>
  <si>
    <t>TAS000000274409 - SDNIVEL1
TAS000000273763 - EXP-CCT_O365 TIC-SUM
TAS000000273764 - SDNIVEL1</t>
  </si>
  <si>
    <t>CRQ000000282961</t>
  </si>
  <si>
    <t>TAS000000274208 - SDNIVEL1
TAS000000273823 - EXP-WINTEL TIC-SUM
TAS000000273824 - EXP-SQLSERVER TIC-SUM
TAS000000273741 - SDNIVEL1</t>
  </si>
  <si>
    <t>CRQ000000282625</t>
  </si>
  <si>
    <t>TAS000000273854 - SDNIVEL1
TAS000000273855 - EXP-WINTEL TIC-SUM
TAS000000273852 - EXP-SQLSERVER TIC-SUM
TAS000000273853 - SDNIVEL1</t>
  </si>
  <si>
    <t>CRQ000000282780</t>
  </si>
  <si>
    <t>TAS000000273929 - SDNIVEL1
TAS000000274312 - EXP-WINTEL TIC-SUM
TAS000000273837 - SDNIVEL1</t>
  </si>
  <si>
    <t>CRQ000000282705</t>
  </si>
  <si>
    <t>TAS000000273934 - SDNIVEL1
TAS000000273848 - EXP-SQLSERVER TIC-SUM
TAS000000274318 - EXP-WINTEL TIC-SUM
TAS000000273849 - EXP-SQLSERVER TIC-SUM
TAS000000274320 - SDNIVEL1</t>
  </si>
  <si>
    <t>Instalacion parches seguridad Agosto 2021</t>
  </si>
  <si>
    <t>CRQ000000282898</t>
  </si>
  <si>
    <t>TAS000000273959 - SDNIVEL1
TAS000000274348 - EXP-WINTEL TIC-SUM
TAS000000274436 - EXP-SQLSERVER TIC-SUM
TAS000000273788 - EXP-EMPRESAS-MIDDLEWARE
TAS000000274350 - SDNIVEL1</t>
  </si>
  <si>
    <t>CRQ000000282637</t>
  </si>
  <si>
    <t>TAS000000274431 - SDNIVEL1
TAS000000274432 - EXP-WINTEL TIC-SUM
TAS000000274239 - SDNIVEL1</t>
  </si>
  <si>
    <t>CRQ000000282636</t>
  </si>
  <si>
    <t>TAS000000273885 - SDNIVEL1
TAS000000274429 - EXP-WINTEL TIC-SUM
TAS000000274430 - SDNIVEL1</t>
  </si>
  <si>
    <t>CRQ000000282732</t>
  </si>
  <si>
    <t>TAS000000274441 - SDNIVEL1
TAS000000274357 - EXP-WINTEL TIC-SUM
TAS000000274358 - SDNIVEL1</t>
  </si>
  <si>
    <t>CRQ000000282722</t>
  </si>
  <si>
    <t>TAS000000274419 - SDNIVEL1
TAS000000274420 - EXP-WINTEL TIC-SUM
TAS000000274237 - SDNIVEL1</t>
  </si>
  <si>
    <t>CRQ000000283253</t>
  </si>
  <si>
    <t>TAS000000274243- SDNIVEL1
TAS000000274244 - EXP-WINTEL TIC-SUM
TAS000000274245 - SDNIVEL1</t>
  </si>
  <si>
    <t>CRQ000000282737</t>
  </si>
  <si>
    <t>TAS000000274442 - SDNIVEL1
TAS000000274443 - EXP-WINTEL TIC-SUM
TAS000000274380 - SDNIVEL1</t>
  </si>
  <si>
    <t>CRQ000000282914</t>
  </si>
  <si>
    <t>TAS000000274457 - SDNIVEL1
TAS000000273976 - EXP-WINTEL TIC-SUM
TAS000000274531 - SDNIVEL1</t>
  </si>
  <si>
    <t>CRQ000000282835</t>
  </si>
  <si>
    <t>TAS000000274611 - Deshabilitar monitorización
TAS000000274534 - Parcheo de seguridad de los servidores
TAS000000274701 - Habilitar monitorización</t>
  </si>
  <si>
    <t>Vista Área</t>
  </si>
  <si>
    <t>Vista Tecnología</t>
  </si>
  <si>
    <t>Vista Servicio</t>
  </si>
  <si>
    <t>Buzón ARGONAUTA - Actual</t>
  </si>
  <si>
    <t>Resp. Técnicos Capgemini</t>
  </si>
  <si>
    <t>Resp. Técnicos Telefonica</t>
  </si>
  <si>
    <t>Jefe Área - Telefonica</t>
  </si>
  <si>
    <t>Gerente - Telefonica</t>
  </si>
  <si>
    <t>GESTION DE PROCESOS</t>
  </si>
  <si>
    <t>Gestión cambios</t>
  </si>
  <si>
    <t>Capgemini</t>
  </si>
  <si>
    <t>postventa_gestion_cambios@telefonica.com</t>
  </si>
  <si>
    <t>Migraciones Cloud</t>
  </si>
  <si>
    <t>Administrado</t>
  </si>
  <si>
    <t>sistemas.windows@telefonica.com</t>
  </si>
  <si>
    <t>Miguel Martin Carrascal</t>
  </si>
  <si>
    <t>Francisco Javier Perez</t>
  </si>
  <si>
    <t>Raquel Redondo Martinez</t>
  </si>
  <si>
    <t>Cynthia Conesa Martinez</t>
  </si>
  <si>
    <t>EXP-EMPRESAS-SISTEMASLINUX</t>
  </si>
  <si>
    <t>emp.sistemaslinux@telefonica.com</t>
  </si>
  <si>
    <t>Ariel Llauger Rabaza</t>
  </si>
  <si>
    <t>Bryan Rodriguez Martin</t>
  </si>
  <si>
    <t>Virtualización</t>
  </si>
  <si>
    <t>Mario Ayuga Cedillo</t>
  </si>
  <si>
    <t>EXP-EMPRESAS-MIDDLEWARE</t>
  </si>
  <si>
    <t>emp.middleware@telefonica.com</t>
  </si>
  <si>
    <t>Luis Moran Rodriguez</t>
  </si>
  <si>
    <t>David Lara Aragones</t>
  </si>
  <si>
    <t>Ignacio Romeo Gomez</t>
  </si>
  <si>
    <t>Juan Manuel Lopez Moreno</t>
  </si>
  <si>
    <t>cdg.citrix@telefonica.com</t>
  </si>
  <si>
    <t>Jose Santos Ruiz Ropero</t>
  </si>
  <si>
    <t xml:space="preserve">EXP-SQLSERVER TIC-SUM </t>
  </si>
  <si>
    <t>bbddsql@telefonica.com</t>
  </si>
  <si>
    <t>Jaime Sanchez Redondo</t>
  </si>
  <si>
    <t>Maria del Carmen Fernandez Huelamo</t>
  </si>
  <si>
    <t>EXP-EMPRESAS-BBDD</t>
  </si>
  <si>
    <t>CONVERGENTES</t>
  </si>
  <si>
    <t>SOLUCIONES CONVERGENTES</t>
  </si>
  <si>
    <t>S4B</t>
  </si>
  <si>
    <t>David Lujan Diaz</t>
  </si>
  <si>
    <t>cdg.administracion.exchange@telefonica.com</t>
  </si>
  <si>
    <t>Nestor Barbera Morales</t>
  </si>
  <si>
    <t>serviciomovistaroffice365@telefonica.com</t>
  </si>
  <si>
    <t>Francisco Matas Sanchez</t>
  </si>
  <si>
    <t>SHAREPOINT</t>
  </si>
  <si>
    <t>Cloud Publica</t>
  </si>
  <si>
    <t>EXP-SHAREPOINT-SUM</t>
  </si>
  <si>
    <t>Agustin de la Rosa Hernandez</t>
  </si>
  <si>
    <t>Juan Lopez Fernandez</t>
  </si>
  <si>
    <t>CDSCLOUD_OPENSHIFT</t>
  </si>
  <si>
    <t>emp.openshift@telefonica.com</t>
  </si>
  <si>
    <t>Jorge Córdoba Sanz</t>
  </si>
  <si>
    <t xml:space="preserve">CLOUD PÚBLICA NIVEL 2_AZURE </t>
  </si>
  <si>
    <t>cloudpublica@telefonica.com</t>
  </si>
  <si>
    <t>CLOUD PÚBLICA NIVEL 2_AWS</t>
  </si>
  <si>
    <t>N1 OPERACIONES</t>
  </si>
  <si>
    <t>NIVEL1</t>
  </si>
  <si>
    <t>SDNIVEL1</t>
  </si>
  <si>
    <t>dstsol.servicedeskn1@telefonica.com</t>
  </si>
  <si>
    <t>Noelia Maria Iglesias Cobreros</t>
  </si>
  <si>
    <t>SSO SG EVENTOS</t>
  </si>
  <si>
    <t>tools-telefonica.es@capgemini.com</t>
  </si>
  <si>
    <t>SOPORTE ENDPOINT</t>
  </si>
  <si>
    <t>te_soporte_endpoint@telefonica.com</t>
  </si>
  <si>
    <t>GLOBAL BACKUP PLATFORM PROVISION (SISTEMAS BACKUP)</t>
  </si>
  <si>
    <t>NOMBRE_CLIENTE</t>
  </si>
  <si>
    <t>NOMBRE_ATENCION_ESPECIALISTA_CLOUD</t>
  </si>
  <si>
    <t>Correo_GTS</t>
  </si>
  <si>
    <t>Tef_GTS</t>
  </si>
  <si>
    <t>42970307M</t>
  </si>
  <si>
    <t>Gabriel Maria Alzamora Torres</t>
  </si>
  <si>
    <t>ATENCION POOL</t>
  </si>
  <si>
    <t>atencion.gts@telefonica.com</t>
  </si>
  <si>
    <t>1489</t>
  </si>
  <si>
    <t>A01022664</t>
  </si>
  <si>
    <t>SOCIEDAD INFORMATICA DEL GOBIERNO VASCO-EJIE</t>
  </si>
  <si>
    <t>A03002094</t>
  </si>
  <si>
    <t>CORPORACION EMPRESARIAL VECTALIA S.A.</t>
  </si>
  <si>
    <t>A04009650</t>
  </si>
  <si>
    <t>NOVEDADES AGRICOLAS S.A.</t>
  </si>
  <si>
    <t>A04011953</t>
  </si>
  <si>
    <t>E.H. FEMAGO S.A.</t>
  </si>
  <si>
    <t>A04117297</t>
  </si>
  <si>
    <t>COSENTINO S.A.</t>
  </si>
  <si>
    <t>A06000871</t>
  </si>
  <si>
    <t>TRANSPORTES FERROVIARIOS ESPECIALES S.A.</t>
  </si>
  <si>
    <t>A06001671</t>
  </si>
  <si>
    <t>BANCA PUEYO S.A.</t>
  </si>
  <si>
    <t>A06009104</t>
  </si>
  <si>
    <t>JOCA INGENIERIA Y CONSTRUCCIONES S.A.</t>
  </si>
  <si>
    <t>A06017941</t>
  </si>
  <si>
    <t>CRISTIAN LAY S.A.</t>
  </si>
  <si>
    <t>A06030902</t>
  </si>
  <si>
    <t>AUTOMOCION DEL OESTE S.A.</t>
  </si>
  <si>
    <t>A06049464</t>
  </si>
  <si>
    <t>ALFONSO GALLARDO S.A.</t>
  </si>
  <si>
    <t>A06141345</t>
  </si>
  <si>
    <t>VEGENAT S.A.</t>
  </si>
  <si>
    <t>A06446447</t>
  </si>
  <si>
    <t>SOCIEDAD PUBLICA DE RADIODIFUSION Y TELEVISION EXTREMEÐA S.A.U.</t>
  </si>
  <si>
    <t>A07004021</t>
  </si>
  <si>
    <t>BANCA MARCH S.A.</t>
  </si>
  <si>
    <t>A07013907</t>
  </si>
  <si>
    <t>VIAJES SIDETOURS S.A.</t>
  </si>
  <si>
    <t>A07088206</t>
  </si>
  <si>
    <t>SAMPOL INGENIERIA Y OBRAS S.A.</t>
  </si>
  <si>
    <t>A07178908</t>
  </si>
  <si>
    <t>ANLUGA S.A.</t>
  </si>
  <si>
    <t>A07242753</t>
  </si>
  <si>
    <t>HORA NOVA S.A.</t>
  </si>
  <si>
    <t>A07632474</t>
  </si>
  <si>
    <t>RIUSA II S.A.</t>
  </si>
  <si>
    <t>A07995434</t>
  </si>
  <si>
    <t>PRODIGIOS INTERACTIVOS S.A.</t>
  </si>
  <si>
    <t>RAQUEL AZORIN LAMELA</t>
  </si>
  <si>
    <t>raquel.azorinlamela@telefonica.com</t>
  </si>
  <si>
    <t>A08001851</t>
  </si>
  <si>
    <t>ACCIONA S.A.</t>
  </si>
  <si>
    <t>A08005449</t>
  </si>
  <si>
    <t>NESTLE ESPAÐA S.A.</t>
  </si>
  <si>
    <t>A08005696</t>
  </si>
  <si>
    <t>EMPRESA SAGALES S.A.</t>
  </si>
  <si>
    <t>A08012270</t>
  </si>
  <si>
    <t>CROMOGENIA UNITS S.A.</t>
  </si>
  <si>
    <t>A08014953</t>
  </si>
  <si>
    <t>CODORNIU S.A.</t>
  </si>
  <si>
    <t>A08020729</t>
  </si>
  <si>
    <t>MIQUEL Y COSTAS &amp; MIQUEL S.A.</t>
  </si>
  <si>
    <t>A08037392</t>
  </si>
  <si>
    <t>ROCA SANITARIO S.A.</t>
  </si>
  <si>
    <t>A08078701</t>
  </si>
  <si>
    <t>SOCIEDAD ANONIMA COTTET</t>
  </si>
  <si>
    <t>A08099459</t>
  </si>
  <si>
    <t>CORTEFIEL S.A.</t>
  </si>
  <si>
    <t>A08109506</t>
  </si>
  <si>
    <t>COMPAÐIA DE INICIATIVAS Y ESPECTACULOS S.A.</t>
  </si>
  <si>
    <t>A08116147</t>
  </si>
  <si>
    <t>PENGUIN RANDOM HOUSE GRUPO EDITORIAL</t>
  </si>
  <si>
    <t>SERGI.MESTRESPEREZ.ext@telefonica.com</t>
  </si>
  <si>
    <t>A08135055</t>
  </si>
  <si>
    <t>INDUKERN S.A.</t>
  </si>
  <si>
    <t>A08148710</t>
  </si>
  <si>
    <t>MARITIMA DEL MEDITERRANEO S.A.</t>
  </si>
  <si>
    <t>A08152621</t>
  </si>
  <si>
    <t>BIMBO S.A.U.</t>
  </si>
  <si>
    <t>A08169294</t>
  </si>
  <si>
    <t>ASISTENCIA SANITARIA INTERPROVINCIAL S.A.</t>
  </si>
  <si>
    <t>A08171605</t>
  </si>
  <si>
    <t>ASEFA S.A.</t>
  </si>
  <si>
    <t>A08197931</t>
  </si>
  <si>
    <t>SABA APARCAMIENTOS S.A.</t>
  </si>
  <si>
    <t>JORDI FERRERAS VIDAL</t>
  </si>
  <si>
    <t>jordi.ferrerasvidal@telefonica.com</t>
  </si>
  <si>
    <t>A08267403</t>
  </si>
  <si>
    <t>J. GARCIA CARRION S.A.</t>
  </si>
  <si>
    <t>A08363541</t>
  </si>
  <si>
    <t>Schenker Logistics S.A.U.</t>
  </si>
  <si>
    <t>WILLIAMSTIWAR.SABAGUTTY.ext@telefonica.com</t>
  </si>
  <si>
    <t>A08370314</t>
  </si>
  <si>
    <t>GOLMAR SISTEMAS DE COMUNICACION S.A.</t>
  </si>
  <si>
    <t>A08405490</t>
  </si>
  <si>
    <t>PROMOTORA KASDE S.A.</t>
  </si>
  <si>
    <t>PAULO DE VASCONCELOS FERNANDES</t>
  </si>
  <si>
    <t>paulo.devasconcelosfernandes.ext@telefonica.com</t>
  </si>
  <si>
    <t>A08420689</t>
  </si>
  <si>
    <t>FICOSA INTERNATIONAL S.A.</t>
  </si>
  <si>
    <t>A08460990</t>
  </si>
  <si>
    <t>CHEMO IBERICA S.A.</t>
  </si>
  <si>
    <t>A08511149</t>
  </si>
  <si>
    <t>CIRSA GAMING CORPORATION S.A.</t>
  </si>
  <si>
    <t>DAVID.JIMENOSALGADO.ext@telefonica.com</t>
  </si>
  <si>
    <t>A08551061</t>
  </si>
  <si>
    <t>CASMAR ELECTRONICA S.A.</t>
  </si>
  <si>
    <t>A08612061</t>
  </si>
  <si>
    <t>GABINETE DE AUDIOPROTESIS ELECTROMEDICINA Y SERVICIOS S.A.</t>
  </si>
  <si>
    <t>A08665838</t>
  </si>
  <si>
    <t>BON-PREU S.A.</t>
  </si>
  <si>
    <t>A08685471</t>
  </si>
  <si>
    <t>BARNA STEEL S.A.</t>
  </si>
  <si>
    <t>A08694689</t>
  </si>
  <si>
    <t>ARKONTE GESTION INTEGRAL S.A.</t>
  </si>
  <si>
    <t>A08747404</t>
  </si>
  <si>
    <t>SISTEMAS TECNICOS DE ENCOFRADOS S.A.</t>
  </si>
  <si>
    <t>A08756116</t>
  </si>
  <si>
    <t>LAHNWERK RUBI S.A.U.</t>
  </si>
  <si>
    <t>A08758021</t>
  </si>
  <si>
    <t>EDITORIAL PRENSA IBERICA S.A.</t>
  </si>
  <si>
    <t>A08800450</t>
  </si>
  <si>
    <t>CASA TARRADELLAS S.A.</t>
  </si>
  <si>
    <t>A08818965</t>
  </si>
  <si>
    <t>CaixaBank Asset Management SGIIC S. A. U.</t>
  </si>
  <si>
    <t>A08874489</t>
  </si>
  <si>
    <t>ESTABLIMENTS VIENA S.A.</t>
  </si>
  <si>
    <t>A08916850</t>
  </si>
  <si>
    <t>INSTALACIONES Y SERVICIOS DEL AUTOMATICO S.A.</t>
  </si>
  <si>
    <t>A08989451</t>
  </si>
  <si>
    <t>CEVA SALUD ANIMAL S.A.</t>
  </si>
  <si>
    <t>A09006172</t>
  </si>
  <si>
    <t>LECHE PASCUAL, S.A.</t>
  </si>
  <si>
    <t>A09092305</t>
  </si>
  <si>
    <t>GRUPO ANTOLIN IRAUSA S.A.</t>
  </si>
  <si>
    <t>mario.ayugacedillo@telefonica.com</t>
  </si>
  <si>
    <t>A11029279</t>
  </si>
  <si>
    <t>SIGNE S.A.</t>
  </si>
  <si>
    <t>A11682879</t>
  </si>
  <si>
    <t>SOFTWARE DEL SOL S.A.</t>
  </si>
  <si>
    <t>A11873544</t>
  </si>
  <si>
    <t>GRUPO AFOR SERVICIOS EMPRESARIALES S.A.</t>
  </si>
  <si>
    <t>A12000022</t>
  </si>
  <si>
    <t>SOCIEDAD DE FOMENTO AGRÃCOLA CASTELLÃ“N</t>
  </si>
  <si>
    <t>A12050050</t>
  </si>
  <si>
    <t>COLORKER S.A.</t>
  </si>
  <si>
    <t>A12329223</t>
  </si>
  <si>
    <t>BLUMAQ S.A.</t>
  </si>
  <si>
    <t>A12362927</t>
  </si>
  <si>
    <t>VILLARREAL CLUB DE FUTBOL S.A.D.</t>
  </si>
  <si>
    <t>A15005499</t>
  </si>
  <si>
    <t>FINANCIERA MADERERA S.A.</t>
  </si>
  <si>
    <t>A15041841</t>
  </si>
  <si>
    <t>LUCKIA GAMING GROUP S.A.</t>
  </si>
  <si>
    <t>A15075062</t>
  </si>
  <si>
    <t>INDITEX S.A.</t>
  </si>
  <si>
    <t>A15077761</t>
  </si>
  <si>
    <t>ALUMINIOS CORTIZO S.A.</t>
  </si>
  <si>
    <t>A15104110</t>
  </si>
  <si>
    <t>INDUSTRIAS DEL TABLERO S.A.</t>
  </si>
  <si>
    <t>A15631146</t>
  </si>
  <si>
    <t>Commcenter S.A.</t>
  </si>
  <si>
    <t>A17000852</t>
  </si>
  <si>
    <t>DANONE S.A.</t>
  </si>
  <si>
    <t>A17001231</t>
  </si>
  <si>
    <t>FRIGORIFICOS ANDALUCES DE CONSERVAS DE CARNE S.A.</t>
  </si>
  <si>
    <t>A17020157</t>
  </si>
  <si>
    <t>ARVATO SERVICES IBERIA S.A.</t>
  </si>
  <si>
    <t>A19145853</t>
  </si>
  <si>
    <t>GRUPO RAYET S.A.</t>
  </si>
  <si>
    <t>A20006607</t>
  </si>
  <si>
    <t>DACHSER SPAIN S.A.</t>
  </si>
  <si>
    <t>A20028064</t>
  </si>
  <si>
    <t>DEPOSITOS DE COMERCIO EXTERIOR S.A.</t>
  </si>
  <si>
    <t>A20031076</t>
  </si>
  <si>
    <t>GRUPO HOSPITALARIO QUIRON S.A.</t>
  </si>
  <si>
    <t>carlosignacio.garciagonzalez@telefonica.com</t>
  </si>
  <si>
    <t>A20042149</t>
  </si>
  <si>
    <t>CALCINOR SERVICIOS S.A.</t>
  </si>
  <si>
    <t>A20071429</t>
  </si>
  <si>
    <t>GIROA S.A.U.</t>
  </si>
  <si>
    <t>A20072302</t>
  </si>
  <si>
    <t>CONSTRUCCIONES AMENABAR S.A.</t>
  </si>
  <si>
    <t>A20675039</t>
  </si>
  <si>
    <t>GARATU SISTEMAS INFORMATICOS SAU</t>
  </si>
  <si>
    <t>A20762233</t>
  </si>
  <si>
    <t>CENTRO INTERNACIONAL DE CULTURA CONTEMPORANEA</t>
  </si>
  <si>
    <t>A23427230</t>
  </si>
  <si>
    <t>DESARROLLO DE MULTISERVICIOS S.A.</t>
  </si>
  <si>
    <t>A24011165</t>
  </si>
  <si>
    <t>EL ENEBRO S.A.</t>
  </si>
  <si>
    <t>rafael.burgueno.ext@telefonica.com</t>
  </si>
  <si>
    <t>A25005620</t>
  </si>
  <si>
    <t>BAQUEIRA BERET S.A.</t>
  </si>
  <si>
    <t>A25008202</t>
  </si>
  <si>
    <t>BORGES S.A.</t>
  </si>
  <si>
    <t>A25039199</t>
  </si>
  <si>
    <t>JOYERIA TOUS S.A.</t>
  </si>
  <si>
    <t>A26106013</t>
  </si>
  <si>
    <t>SECURITAS DIRECT ESPAÐA S.A.</t>
  </si>
  <si>
    <t>oscar.canosomolinos@telefonica.com</t>
  </si>
  <si>
    <t>A26128777</t>
  </si>
  <si>
    <t>STARGLASS SA</t>
  </si>
  <si>
    <t>A27010651</t>
  </si>
  <si>
    <t>SEVERIANO SERVICIO MOVIL S.A.</t>
  </si>
  <si>
    <t>A28000727</t>
  </si>
  <si>
    <t>BANCO POPULAR ESPAÐOL S.A.</t>
  </si>
  <si>
    <t>A28003119</t>
  </si>
  <si>
    <t>COMPAÐIA ESPAÐOLA DE PETROLEOS S.A.U.</t>
  </si>
  <si>
    <t>francisco12.lopezgarcia@telefonica.com</t>
  </si>
  <si>
    <t>A28004885</t>
  </si>
  <si>
    <t>ACS ACTIVIDADES DE CONSTRUCCION Y SERVICIOS S.A.</t>
  </si>
  <si>
    <t>A28007649</t>
  </si>
  <si>
    <t>PATRIA HISPANA S.A. DE SEGUROS Y REASEGUROS</t>
  </si>
  <si>
    <t>A28007813</t>
  </si>
  <si>
    <t>DINERS CLUB SPAIN S.A.</t>
  </si>
  <si>
    <t>A28008712</t>
  </si>
  <si>
    <t>GES SEGUROS Y REASEGUROS S.A.</t>
  </si>
  <si>
    <t>A28010478</t>
  </si>
  <si>
    <t>IMESAPI S.A.</t>
  </si>
  <si>
    <t>A28011153</t>
  </si>
  <si>
    <t>ZARDOYA OTIS S.A.</t>
  </si>
  <si>
    <t>A28013050</t>
  </si>
  <si>
    <t>CAJA DE SEGUROS REUNIDOS S.A.</t>
  </si>
  <si>
    <t>A28013811</t>
  </si>
  <si>
    <t>SACYR S.A.</t>
  </si>
  <si>
    <t>A28015865</t>
  </si>
  <si>
    <t>TELEFONICA S.A.</t>
  </si>
  <si>
    <t>A28016608</t>
  </si>
  <si>
    <t>OCASO S.A. COMPAÐIA DE SEGUROS Y REASEGUROS</t>
  </si>
  <si>
    <t>A28017895</t>
  </si>
  <si>
    <t>EL CORTE INGLES S.A.</t>
  </si>
  <si>
    <t>A28018380</t>
  </si>
  <si>
    <t>COMPAÐIA LOGISTICA DE HIDROCARBUROS CLH S.A.</t>
  </si>
  <si>
    <t>A28019206</t>
  </si>
  <si>
    <t>FERROVIAL-AGROMAN S.A.</t>
  </si>
  <si>
    <t>jorge.baldrichsala@telefonica.com</t>
  </si>
  <si>
    <t>A28027399</t>
  </si>
  <si>
    <t>INMOBILIARIA COLONIAL S.A.</t>
  </si>
  <si>
    <t>A28027944</t>
  </si>
  <si>
    <t>N.H. HOTEL GROUP S.A.</t>
  </si>
  <si>
    <t>eduardo.sanchezvalle@telefonica.com</t>
  </si>
  <si>
    <t>A28030278</t>
  </si>
  <si>
    <t>EMPRESA NAVIERA ELCANO S.A.</t>
  </si>
  <si>
    <t>A28033066</t>
  </si>
  <si>
    <t>ALCALA INDUSTRIAL SA</t>
  </si>
  <si>
    <t>A28037042</t>
  </si>
  <si>
    <t>SANITAS, S.A. SEGUROS</t>
  </si>
  <si>
    <t>A28037224</t>
  </si>
  <si>
    <t>FOMENTO DE CONSTRUCCIONES Y CONTRATAS S.A.</t>
  </si>
  <si>
    <t>A28039790</t>
  </si>
  <si>
    <t>SANTA LUCIA S.A. COMPAÐIA DE SEGUROS</t>
  </si>
  <si>
    <t>A28046316</t>
  </si>
  <si>
    <t>EMPRESA MUNICIPAL DE TRANSPORTES DE MADRID</t>
  </si>
  <si>
    <t>A28061075</t>
  </si>
  <si>
    <t>JOHN DEERE IBERICA S.A.</t>
  </si>
  <si>
    <t>A28078202</t>
  </si>
  <si>
    <t>MAHOU S.A.</t>
  </si>
  <si>
    <t>A28078343</t>
  </si>
  <si>
    <t>EUROPA PRESS NOTICIAS S.A.</t>
  </si>
  <si>
    <t>A28085207</t>
  </si>
  <si>
    <t>EZENTIS S.A.</t>
  </si>
  <si>
    <t>A28114759</t>
  </si>
  <si>
    <t>RENAULT RETAIL GROUP MADRID S.A.</t>
  </si>
  <si>
    <t>A28117463</t>
  </si>
  <si>
    <t>IQVIA INFORMATION S.A.</t>
  </si>
  <si>
    <t>A28131084</t>
  </si>
  <si>
    <t>LAJO Y RODRIGUEZ S.A.</t>
  </si>
  <si>
    <t>A28141307</t>
  </si>
  <si>
    <t>COMPAÐIA DE DISTRIBUCION INTEGRAL LOGISTA S.A.U.</t>
  </si>
  <si>
    <t>A28163681</t>
  </si>
  <si>
    <t>MINIT SPAIN S.A.</t>
  </si>
  <si>
    <t>A28170629</t>
  </si>
  <si>
    <t>COMPLEJO AGRICOLA S.A.</t>
  </si>
  <si>
    <t>A28171288</t>
  </si>
  <si>
    <t>TECNICA Y PROYECTOS S.A.</t>
  </si>
  <si>
    <t>A28212579</t>
  </si>
  <si>
    <t>GRUPO ALIMENTARIO ARGAL S.A.</t>
  </si>
  <si>
    <t>A28220168</t>
  </si>
  <si>
    <t>INGENIERIA Y ECONOMIA DEL TRANSPORTES S.A.</t>
  </si>
  <si>
    <t>A28240752</t>
  </si>
  <si>
    <t>ATOS SPAIN S.A.</t>
  </si>
  <si>
    <t>A28250777</t>
  </si>
  <si>
    <t>ACERINOX S.A.</t>
  </si>
  <si>
    <t>A28264034</t>
  </si>
  <si>
    <t>CESCE-COMPAÐIA ESPAÐOLA DE SEGUROS DE CREDITO A LA EXPORTACION S.A.</t>
  </si>
  <si>
    <t>A28276822</t>
  </si>
  <si>
    <t>POSTIGO OBRAS Y SERVICIOS S.A.</t>
  </si>
  <si>
    <t>A28281368</t>
  </si>
  <si>
    <t>RADIO POPULAR S.A. CADENA DE ONDAS POPULARES ESPAÐOLA</t>
  </si>
  <si>
    <t>A28294726</t>
  </si>
  <si>
    <t>ENAGAS S.A.</t>
  </si>
  <si>
    <t>A28297059</t>
  </si>
  <si>
    <t>PROMOTORA DE INFORMACIONES S.A.</t>
  </si>
  <si>
    <t>juanantonio.beneytoquintas@telefonica.com</t>
  </si>
  <si>
    <t>A28297869</t>
  </si>
  <si>
    <t>LIMPIEZA Y MANTENIMIENTO S.A.</t>
  </si>
  <si>
    <t>A28308484</t>
  </si>
  <si>
    <t>SIGLA S.A.</t>
  </si>
  <si>
    <t>A28317543</t>
  </si>
  <si>
    <t>GRUPORAGA S.A.</t>
  </si>
  <si>
    <t>A28318012</t>
  </si>
  <si>
    <t>EUROCONTROL S.A.</t>
  </si>
  <si>
    <t>A28318871</t>
  </si>
  <si>
    <t>OSBORNE DISTRIBUIDORA S.A.</t>
  </si>
  <si>
    <t>A28354512</t>
  </si>
  <si>
    <t>VIAJES CORONAS S.A.</t>
  </si>
  <si>
    <t>A28392033</t>
  </si>
  <si>
    <t>LEX CENTRO DE ASESORES TECNICO JURIDICOS S.A.</t>
  </si>
  <si>
    <t>A28415594</t>
  </si>
  <si>
    <t>RECREATIVOS FRANCO S.A.</t>
  </si>
  <si>
    <t>A28425270</t>
  </si>
  <si>
    <t>CENTROS COMERCIALES CARREFOUR S.A.</t>
  </si>
  <si>
    <t>A28430882</t>
  </si>
  <si>
    <t>PROSEGUR COMPAÐIA DE SEGURIDAD S.A.</t>
  </si>
  <si>
    <t>A28456820</t>
  </si>
  <si>
    <t>LABORATORIOS NORMON S.A.</t>
  </si>
  <si>
    <t>A28457984</t>
  </si>
  <si>
    <t>INGENIERIA ESTUDIOS Y PROYECTOS NIP S.A.</t>
  </si>
  <si>
    <t>A28504728</t>
  </si>
  <si>
    <t>ELSAMEX S.A.</t>
  </si>
  <si>
    <t>A28520666</t>
  </si>
  <si>
    <t>BANCO CAMINOS S.A.</t>
  </si>
  <si>
    <t>adolfo.aguedatirado.ext@telefonica.com</t>
  </si>
  <si>
    <t>A28581882</t>
  </si>
  <si>
    <t>ALCAMPO S.A.</t>
  </si>
  <si>
    <t>JUAN CARLOS MENENDEZ RUBIO</t>
  </si>
  <si>
    <t>juancarlos.menendezrubio.ext@telefonica.com</t>
  </si>
  <si>
    <t>A28582013</t>
  </si>
  <si>
    <t>CHM OBRAS E INFRAESTRUCTURAS S.A.</t>
  </si>
  <si>
    <t>A28586097</t>
  </si>
  <si>
    <t>RESTAURANTES MC DONALDS S.A</t>
  </si>
  <si>
    <t>A28599033</t>
  </si>
  <si>
    <t>INDRA SISTEMAS S.A.</t>
  </si>
  <si>
    <t>A28606556</t>
  </si>
  <si>
    <t>GRUPO FERROVIAL S.A.</t>
  </si>
  <si>
    <t>A28641413</t>
  </si>
  <si>
    <t>PROTEC S.A.</t>
  </si>
  <si>
    <t>A28799120</t>
  </si>
  <si>
    <t>CORREOS EXPRESS PAQUETERIA URGENTE, S.A.</t>
  </si>
  <si>
    <t>A28812618</t>
  </si>
  <si>
    <t>IKEA IBERICA S.A.</t>
  </si>
  <si>
    <t>A28815017</t>
  </si>
  <si>
    <t>TDN S.A.</t>
  </si>
  <si>
    <t>A28858603</t>
  </si>
  <si>
    <t>ERICSSON ESPAÐA S.A.</t>
  </si>
  <si>
    <t>MARIO GONZALEZ GUTIERREZ</t>
  </si>
  <si>
    <t>marioraul.gonzalezgutierrez.ext@telefonica.com</t>
  </si>
  <si>
    <t>A28892339</t>
  </si>
  <si>
    <t>SEROMAL S.A.</t>
  </si>
  <si>
    <t>A28987535</t>
  </si>
  <si>
    <t>SISTEMAS ESPECIALES DE INFORMACION S.A.</t>
  </si>
  <si>
    <t>A29021334</t>
  </si>
  <si>
    <t>CENTRO DE ESTUDIOS DE MATERIALES Y CONTROL DE OBRA S.A.</t>
  </si>
  <si>
    <t>A29054251</t>
  </si>
  <si>
    <t>MARBELLA CLUB HOTEL S.A.</t>
  </si>
  <si>
    <t>A29102068</t>
  </si>
  <si>
    <t>CONSTRUCCIONES DE LAS CONDUCCIONES DEL SUR S.A.</t>
  </si>
  <si>
    <t>A30009146</t>
  </si>
  <si>
    <t>AMC GROUP FRESH AND JUICES</t>
  </si>
  <si>
    <t>A30012645</t>
  </si>
  <si>
    <t>ANGEL TOMAS S.A.</t>
  </si>
  <si>
    <t>A30014484</t>
  </si>
  <si>
    <t>DAVA S.A.</t>
  </si>
  <si>
    <t>A30015382</t>
  </si>
  <si>
    <t>LIWE ESPAÐOLA S.A.</t>
  </si>
  <si>
    <t>A30057590</t>
  </si>
  <si>
    <t>ITETE S.A.</t>
  </si>
  <si>
    <t>A30112221</t>
  </si>
  <si>
    <t>TRANSPORTES EL MOSCA S.A.</t>
  </si>
  <si>
    <t>A31117617</t>
  </si>
  <si>
    <t>ULTRACONGELADOS VIRTO S.A.</t>
  </si>
  <si>
    <t>A31224371</t>
  </si>
  <si>
    <t>INDULSAL NAVARRA S.A.</t>
  </si>
  <si>
    <t>A31249246</t>
  </si>
  <si>
    <t>MALSIN S.A.</t>
  </si>
  <si>
    <t>A31897010</t>
  </si>
  <si>
    <t>Sociedad Concesionaria de la Zona Regable del Canal de Navarra</t>
  </si>
  <si>
    <t>A32015844</t>
  </si>
  <si>
    <t>S.A. De Obras y Servicios Copasa</t>
  </si>
  <si>
    <t>A32104226</t>
  </si>
  <si>
    <t>ADOLFO DOMINGUEZ S.A.</t>
  </si>
  <si>
    <t>A33014465</t>
  </si>
  <si>
    <t>PASEK ESPAÐA S.A.U</t>
  </si>
  <si>
    <t>A33022765</t>
  </si>
  <si>
    <t>ASTURIANA DE AUTOMOVILES Y REPUESTOS S.A.</t>
  </si>
  <si>
    <t>A33127945</t>
  </si>
  <si>
    <t>LINPAC PACKAGING PRAVIA S.A.U.</t>
  </si>
  <si>
    <t>A33614306</t>
  </si>
  <si>
    <t>IMASA INGENIERIA Y PROYECTOS S.A.</t>
  </si>
  <si>
    <t>A34002527</t>
  </si>
  <si>
    <t>GALLETAS SIRO S.A.</t>
  </si>
  <si>
    <t>A35005743</t>
  </si>
  <si>
    <t>DESTILERIAS AREHUCAS S.A.</t>
  </si>
  <si>
    <t>A35009802</t>
  </si>
  <si>
    <t>ECISA COMPAÐIA GENERAL DE CONSTRUCCIONES S.A.</t>
  </si>
  <si>
    <t>A35015387</t>
  </si>
  <si>
    <t>COLEGIO HEIDELBERG S.A.</t>
  </si>
  <si>
    <t>A35017177</t>
  </si>
  <si>
    <t>EMBOTELLADORA CANARIA S.A.</t>
  </si>
  <si>
    <t>A35024595</t>
  </si>
  <si>
    <t>SIEMENS MAQUINARIA S.A.</t>
  </si>
  <si>
    <t>A35036243</t>
  </si>
  <si>
    <t>MOTOR ARI S.A.</t>
  </si>
  <si>
    <t>A35046911</t>
  </si>
  <si>
    <t>COMERCIAL JUPAMA S.A.</t>
  </si>
  <si>
    <t>A35055169</t>
  </si>
  <si>
    <t>ANIDIA S.A.</t>
  </si>
  <si>
    <t>A35062116</t>
  </si>
  <si>
    <t>Hotel Gloria Palace Tourin Europeo S.A.</t>
  </si>
  <si>
    <t>A35063940</t>
  </si>
  <si>
    <t>AUTEIDE S.A.</t>
  </si>
  <si>
    <t>A35107838</t>
  </si>
  <si>
    <t>CONGELADOS HERBANIA S.A.</t>
  </si>
  <si>
    <t>A35378066</t>
  </si>
  <si>
    <t>GESTION DE SERVICIOS PARA LA SALUD Y SEGURIDAD EN CANARIAS</t>
  </si>
  <si>
    <t>A35399179</t>
  </si>
  <si>
    <t>SEGURIDAD INTEGRAL CANARIA S.A.</t>
  </si>
  <si>
    <t>A35419829</t>
  </si>
  <si>
    <t>COMUNIDAD ALTAMAR S.A.</t>
  </si>
  <si>
    <t>A35561554</t>
  </si>
  <si>
    <t>GRUPO KALISE S.A.</t>
  </si>
  <si>
    <t>A36002129</t>
  </si>
  <si>
    <t>ASTRAZENECA FARMACEUTICA SPAIN S.A.</t>
  </si>
  <si>
    <t>A36036739</t>
  </si>
  <si>
    <t>DISTRIBUCIONES FROIZ S.A.</t>
  </si>
  <si>
    <t>A36602837</t>
  </si>
  <si>
    <t>PEUGEOT CITROEN AUTOMOVILES ESPAÐA S.A.</t>
  </si>
  <si>
    <t>A36643922</t>
  </si>
  <si>
    <t>FRIGORIFICOS OYA S.A.</t>
  </si>
  <si>
    <t>A37310323</t>
  </si>
  <si>
    <t>Eurodivisas S.A.</t>
  </si>
  <si>
    <t>A38010567</t>
  </si>
  <si>
    <t>FRED OLSEN S.A.</t>
  </si>
  <si>
    <t>A38024907</t>
  </si>
  <si>
    <t>COMERCIAL ELECTRICA CANARIAS S.A.</t>
  </si>
  <si>
    <t>A38284238</t>
  </si>
  <si>
    <t>ARCHIAUTO S.A.</t>
  </si>
  <si>
    <t>A38445839</t>
  </si>
  <si>
    <t>DISA CORPORACION PETROLIFERA S.A.</t>
  </si>
  <si>
    <t>A38491098</t>
  </si>
  <si>
    <t>TELEVISION PUBLICA DE CANARIAS S.A.</t>
  </si>
  <si>
    <t>A38615191</t>
  </si>
  <si>
    <t>GESTION INSULAR PARA EL DEPORTE LA CULTURA Y EL OCIO S.A.</t>
  </si>
  <si>
    <t>A38918470</t>
  </si>
  <si>
    <t>RADIO PUBLICA DE CANARIAS S.A.</t>
  </si>
  <si>
    <t>A39000187</t>
  </si>
  <si>
    <t>ASTILLEROS DE SANTANDER S.A.</t>
  </si>
  <si>
    <t>A39025515</t>
  </si>
  <si>
    <t>UNION DE CREDITOS INMOBILIARIOS</t>
  </si>
  <si>
    <t>A39050349</t>
  </si>
  <si>
    <t>SEMARK AC GROUP S.A.</t>
  </si>
  <si>
    <t>nestor.esturillodelosreyes.ext@telefonica.com</t>
  </si>
  <si>
    <t>A39289632</t>
  </si>
  <si>
    <t>MEDIOAMBIENTE AGUA RESIDUOS Y ENERGIA DE CANTABRIA S.A.</t>
  </si>
  <si>
    <t>A39338454</t>
  </si>
  <si>
    <t>Gesmator S.A</t>
  </si>
  <si>
    <t>A41004425</t>
  </si>
  <si>
    <t>COMERCIAL AUTO TRACTOR S.A.</t>
  </si>
  <si>
    <t>A41015322</t>
  </si>
  <si>
    <t>AYESA INGENIERIA Y ARQUITECTURA S.A.</t>
  </si>
  <si>
    <t>A41018623</t>
  </si>
  <si>
    <t>MERCASEVILLA S.A.</t>
  </si>
  <si>
    <t>A41023607</t>
  </si>
  <si>
    <t>MACPUAR S.A.</t>
  </si>
  <si>
    <t>A41414145</t>
  </si>
  <si>
    <t>GUADALTEL S.A.</t>
  </si>
  <si>
    <t>A43057926</t>
  </si>
  <si>
    <t>TARRACO CENTER, S.A.</t>
  </si>
  <si>
    <t>A45002599</t>
  </si>
  <si>
    <t>BANCOFAR S.A.</t>
  </si>
  <si>
    <t>A46004214</t>
  </si>
  <si>
    <t>CEMEX ESPAÐA S.A.</t>
  </si>
  <si>
    <t>A46015129</t>
  </si>
  <si>
    <t>PAVASAL EMPRESA CONSTRUCTORA S.A.</t>
  </si>
  <si>
    <t>A46036984</t>
  </si>
  <si>
    <t>NISA NUEVAS INVERSIONES EN SERVICIOS S.A.</t>
  </si>
  <si>
    <t>A46056891</t>
  </si>
  <si>
    <t>RAFAEL HINOJOSA S.A.</t>
  </si>
  <si>
    <t>A46103834</t>
  </si>
  <si>
    <t>MERCADONA S.A.</t>
  </si>
  <si>
    <t>LUIS.CANETEHERNANDEZ.ext@telefonica.com</t>
  </si>
  <si>
    <t>A46138921</t>
  </si>
  <si>
    <t>ELECTRONIC TRAFFIC S.A.</t>
  </si>
  <si>
    <t>A46146247</t>
  </si>
  <si>
    <t>INGENIERIA ELECTRONICA COMERCIAL, S</t>
  </si>
  <si>
    <t>A46194528</t>
  </si>
  <si>
    <t>INGENIERIA Y MARKETING S.A.</t>
  </si>
  <si>
    <t>A46199873</t>
  </si>
  <si>
    <t>SUVIMA S.A.</t>
  </si>
  <si>
    <t>A46205431</t>
  </si>
  <si>
    <t>FALCK SCI S. A.</t>
  </si>
  <si>
    <t>A46395075</t>
  </si>
  <si>
    <t>ASEDES INFRAESTRUCTURAS S.A.</t>
  </si>
  <si>
    <t>A48001655</t>
  </si>
  <si>
    <t>VOCENTO S.A.</t>
  </si>
  <si>
    <t>VICTOR MANUEL PARAJUA VAZQUEZ</t>
  </si>
  <si>
    <t>victormanuel.parajuavazquez@telefonica.com</t>
  </si>
  <si>
    <t>A48003628</t>
  </si>
  <si>
    <t>E.ERHARDT Y COMPAÐIA S.A.</t>
  </si>
  <si>
    <t>A48008502</t>
  </si>
  <si>
    <t>MINERALES Y PRODUCTOS DERIVADOS S.A.</t>
  </si>
  <si>
    <t>A48010573</t>
  </si>
  <si>
    <t>OBRASCON HUARTE LAIN S.A.</t>
  </si>
  <si>
    <t>A48012009</t>
  </si>
  <si>
    <t>GRUPO DEOLEO S.A.</t>
  </si>
  <si>
    <t>A48017768</t>
  </si>
  <si>
    <t>PASCH Y COMPAÐIA S.A.</t>
  </si>
  <si>
    <t>A48025225</t>
  </si>
  <si>
    <t>GRUPO TAMOIN S.A.</t>
  </si>
  <si>
    <t>A48057467</t>
  </si>
  <si>
    <t>ESPECIALIDADES ELECTRICAS LAUSAN S.A.</t>
  </si>
  <si>
    <t>A48265169</t>
  </si>
  <si>
    <t>BANCO BILBAO VIZCAYA ARGENTARIA S.A.</t>
  </si>
  <si>
    <t>A48283964</t>
  </si>
  <si>
    <t>IDOM Consulting, Engineering, Architecture, SAU</t>
  </si>
  <si>
    <t>A48644264</t>
  </si>
  <si>
    <t>BRAMMER IBERIA S.A</t>
  </si>
  <si>
    <t>A48903892</t>
  </si>
  <si>
    <t>Enviser Servicios Medio Ambientales S.A.</t>
  </si>
  <si>
    <t>A50002567</t>
  </si>
  <si>
    <t>SOCIEDAD ANONIMA INDUSTRIAS CELULOSA ARAGONESAS</t>
  </si>
  <si>
    <t>A50035518</t>
  </si>
  <si>
    <t>TELTRONIC S.A.</t>
  </si>
  <si>
    <t>A50498195</t>
  </si>
  <si>
    <t>FUJIKURA AUTOMOTIVE S.A.U.</t>
  </si>
  <si>
    <t>A50715366</t>
  </si>
  <si>
    <t>MASTER DISTANCIA S.A.</t>
  </si>
  <si>
    <t>A50768050</t>
  </si>
  <si>
    <t>SCATI LABS</t>
  </si>
  <si>
    <t>A50807445</t>
  </si>
  <si>
    <t>RIVASAM S.A.</t>
  </si>
  <si>
    <t>A50878842</t>
  </si>
  <si>
    <t>ESPUBLICO SERVICIOS PARA LA ADMINISTRACION S.A.</t>
  </si>
  <si>
    <t>A50973098</t>
  </si>
  <si>
    <t>Seas Estudios Superiores Abiertos S.A.U.</t>
  </si>
  <si>
    <t>A53293213</t>
  </si>
  <si>
    <t>EUROLINEAS MARITIMAS S.A.L.</t>
  </si>
  <si>
    <t>david1.garciafernandez@telefonica.com</t>
  </si>
  <si>
    <t>A57809774</t>
  </si>
  <si>
    <t>PIÐERO GESTION HOTELERA S.A.</t>
  </si>
  <si>
    <t>A58175605</t>
  </si>
  <si>
    <t>TRANSLINK S.A.</t>
  </si>
  <si>
    <t>A58352311</t>
  </si>
  <si>
    <t>LIPIDOS SANTIGA S.A.</t>
  </si>
  <si>
    <t>A58367533</t>
  </si>
  <si>
    <t>WEALTH S.A.</t>
  </si>
  <si>
    <t>A58408261</t>
  </si>
  <si>
    <t>KAO CORPORATION S.A.</t>
  </si>
  <si>
    <t xml:space="preserve">JUAN PABLO LOZANO BUSTAMANTE (PAULO DE VASCONCELOS FERNANDES) </t>
  </si>
  <si>
    <t>JUANPABLO.LOZANOBUSTAMANTE.ext@telefonica.com</t>
  </si>
  <si>
    <t>A58417346</t>
  </si>
  <si>
    <t>WOLTERS KLUWER ESPAÐA S.A.</t>
  </si>
  <si>
    <t>A58443060</t>
  </si>
  <si>
    <t>IT NOW S.A.</t>
  </si>
  <si>
    <t>A58908732</t>
  </si>
  <si>
    <t>MULTIMOS S.A.</t>
  </si>
  <si>
    <t>A58923517</t>
  </si>
  <si>
    <t>ILUNION CONTACT CENTER S.A.</t>
  </si>
  <si>
    <t>A59053355</t>
  </si>
  <si>
    <t>GESDOCUMENT Y GESTION S.A.</t>
  </si>
  <si>
    <t>A59170878</t>
  </si>
  <si>
    <t>SERVICIOS OPERATIVOS S.A.</t>
  </si>
  <si>
    <t>DARIO POZO HERNANDEZ</t>
  </si>
  <si>
    <t>dario.pozohernandez@telefonica.com</t>
  </si>
  <si>
    <t>A59181537</t>
  </si>
  <si>
    <t>BRENNTAG QUIMICA S.A.</t>
  </si>
  <si>
    <t>A59408492</t>
  </si>
  <si>
    <t>DABA S.A.</t>
  </si>
  <si>
    <t>A59551655</t>
  </si>
  <si>
    <t>HOSPITAL MUNICIPAL DE BADALONA S.A.</t>
  </si>
  <si>
    <t>A59596734</t>
  </si>
  <si>
    <t>SCANIA HISPANIA S.A.</t>
  </si>
  <si>
    <t>A59928424</t>
  </si>
  <si>
    <t>CONSORCI DE SALUT I D'ATENCIO SOCIAL DE CATALUNYA S.A.</t>
  </si>
  <si>
    <t>A60198512</t>
  </si>
  <si>
    <t>Volkswagen Group Espa±a Distribuci¾n S.A.</t>
  </si>
  <si>
    <t>A60538832</t>
  </si>
  <si>
    <t>MONEY EXPRESS TRANSFER S.A.</t>
  </si>
  <si>
    <t>A61397212</t>
  </si>
  <si>
    <t>ENTORNO DIGITAL S.A.</t>
  </si>
  <si>
    <t>A61441523</t>
  </si>
  <si>
    <t>GENERAL LOGISTICS SYSTEMS SPAIN S.A.</t>
  </si>
  <si>
    <t>A61821526</t>
  </si>
  <si>
    <t>SYNECTIC TECNOLOGIAS DE LA INFORMACION S.A.U.</t>
  </si>
  <si>
    <t>A61895371</t>
  </si>
  <si>
    <t>ISS Facility Services, S.A.</t>
  </si>
  <si>
    <t>A62014402</t>
  </si>
  <si>
    <t>ECOPARC DE BARCELONA S.A.</t>
  </si>
  <si>
    <t>A62736681</t>
  </si>
  <si>
    <t>WORLDLINE IBERIA S.A.U.</t>
  </si>
  <si>
    <t>A63776306</t>
  </si>
  <si>
    <t>PORT AVENTURA ENTERTAINMENT S.A.</t>
  </si>
  <si>
    <t>A64249162</t>
  </si>
  <si>
    <t>Flumotion Services S.A.</t>
  </si>
  <si>
    <t>A64885544</t>
  </si>
  <si>
    <t>DSV ROAD SPAIN SAU</t>
  </si>
  <si>
    <t>A65550311</t>
  </si>
  <si>
    <t>SABA INFRAESTRUCTURAS S.A.</t>
  </si>
  <si>
    <t>A66180225</t>
  </si>
  <si>
    <t>SPORTIUM APOSTES CATALUNYA S.A.</t>
  </si>
  <si>
    <t>A70301817</t>
  </si>
  <si>
    <t>LUCKIA GAMES S.A.</t>
  </si>
  <si>
    <t>A76157551</t>
  </si>
  <si>
    <t>CANAL GESTION LANZAROTE S.A.U.</t>
  </si>
  <si>
    <t>A78032315</t>
  </si>
  <si>
    <t>SUMINISTROS IMPORTACIONES Y MANTENIMIENTOS ELECTRONICOS S.A.</t>
  </si>
  <si>
    <t>A78040235</t>
  </si>
  <si>
    <t>KANTAR MEDIA S.A.</t>
  </si>
  <si>
    <t>A78050481</t>
  </si>
  <si>
    <t>TELYCO (TELEINFORMATICA Y COMUNICACION)</t>
  </si>
  <si>
    <t>A78053634</t>
  </si>
  <si>
    <t>KYOCERA DOCUMENT SOLUTIONS ESPAÐA S.A.</t>
  </si>
  <si>
    <t>A78094158</t>
  </si>
  <si>
    <t>UNIVERSIDAD ANTONIO DE NEBRIJA</t>
  </si>
  <si>
    <t>A78304516</t>
  </si>
  <si>
    <t>MELIA HOTELS INTERNATIONAL S.A.</t>
  </si>
  <si>
    <t>oscar.antacalvo@telefonica.com</t>
  </si>
  <si>
    <t>A78320736</t>
  </si>
  <si>
    <t>EMPARK APARCAMIENTOS Y SERVICIOS S.A.</t>
  </si>
  <si>
    <t>A78374725</t>
  </si>
  <si>
    <t>REPSOL S.A.</t>
  </si>
  <si>
    <t>A78423480</t>
  </si>
  <si>
    <t>TELEFONICA INVESTIGACION Y DESARROLLO</t>
  </si>
  <si>
    <t>A78425774</t>
  </si>
  <si>
    <t>INGENICO SERVICES IBERIA S.A.</t>
  </si>
  <si>
    <t>A78476397</t>
  </si>
  <si>
    <t>SUPERCOR S.A.</t>
  </si>
  <si>
    <t>A78520293</t>
  </si>
  <si>
    <t>REALE SEGUROS GENERALES</t>
  </si>
  <si>
    <t>A78586344</t>
  </si>
  <si>
    <t>SEGUROS DE VIDA Y PENSIONES ANTARES S.A.</t>
  </si>
  <si>
    <t>A78614153</t>
  </si>
  <si>
    <t>PROMOCIONES MAS VENTAS S.A. TEMA</t>
  </si>
  <si>
    <t>A78751997</t>
  </si>
  <si>
    <t>ATENTO TELESERVICIOS ESPAÐA S.A.U.</t>
  </si>
  <si>
    <t>A78809662</t>
  </si>
  <si>
    <t>HAVAS MEDIA GROUP SPAIN S.A.</t>
  </si>
  <si>
    <t>A78839271</t>
  </si>
  <si>
    <t>ATRESMEDIA CORPORACION S.A.</t>
  </si>
  <si>
    <t>A78909900</t>
  </si>
  <si>
    <t>SAVILLS AGUIRRE NEWMAN S.A.U.</t>
  </si>
  <si>
    <t>A78923125</t>
  </si>
  <si>
    <t>TELEFONICA MOVILES ESPAÐA S.A.</t>
  </si>
  <si>
    <t>A78939410</t>
  </si>
  <si>
    <t>CIRCUITOS A FONDO S.A.</t>
  </si>
  <si>
    <t>A78967577</t>
  </si>
  <si>
    <t>TELEFONICA ON THE SPOT SERVICE S.A.U.</t>
  </si>
  <si>
    <t>A79059085</t>
  </si>
  <si>
    <t>SAR RESIDENCIAL Y ASISTENCIAL S.A.U.</t>
  </si>
  <si>
    <t>A79075438</t>
  </si>
  <si>
    <t>MEDIASET ESPAÐA COMUNICACION S.A.</t>
  </si>
  <si>
    <t>A79102331</t>
  </si>
  <si>
    <t>UNIDAD EDITORIAL S.A.</t>
  </si>
  <si>
    <t>A79103222</t>
  </si>
  <si>
    <t>CONFORAMA ESPAÐA S.A.</t>
  </si>
  <si>
    <t>A79131405</t>
  </si>
  <si>
    <t>REDUR S.A.</t>
  </si>
  <si>
    <t>A79141479</t>
  </si>
  <si>
    <t>COMPAÃ‘IA ESPAÃ‘OLA DE SISTEMAS AERONAUTIC</t>
  </si>
  <si>
    <t>A79158119</t>
  </si>
  <si>
    <t>PROYECTOS ASESORIA Y SERVICIOS S.A.</t>
  </si>
  <si>
    <t>A79187423</t>
  </si>
  <si>
    <t>CUÐADO S.A.</t>
  </si>
  <si>
    <t>pedro.romeropeguero.ext@telefonica.com</t>
  </si>
  <si>
    <t>A79189726</t>
  </si>
  <si>
    <t>GEOCONSULT ESPAÐA INGENIEROS CONSULTORES S.A.</t>
  </si>
  <si>
    <t>A79252219</t>
  </si>
  <si>
    <t>SECURITAS SEGURIDAD ESPAÐA S.A.</t>
  </si>
  <si>
    <t>A79272118</t>
  </si>
  <si>
    <t>PROFESIONALES DE LA MEDICINA Y EMPRESA</t>
  </si>
  <si>
    <t>A79309845</t>
  </si>
  <si>
    <t>ARVATO SERVICES SPAIN S.A.U.</t>
  </si>
  <si>
    <t>A79351714</t>
  </si>
  <si>
    <t>ARA KRULICH S.A.</t>
  </si>
  <si>
    <t>A79380465</t>
  </si>
  <si>
    <t>MERCEDES-BENZ ESPAÃ‘A, S.A</t>
  </si>
  <si>
    <t>A79456232</t>
  </si>
  <si>
    <t>SERVICIOS FINANCIEROS CARREFOUR E.F.C. S.A.</t>
  </si>
  <si>
    <t>A79493219</t>
  </si>
  <si>
    <t>LOOMIS SPAIN S.A.</t>
  </si>
  <si>
    <t>A79494324</t>
  </si>
  <si>
    <t>GF MACHINING SOLUTIONS S.A.U.</t>
  </si>
  <si>
    <t>A79520656</t>
  </si>
  <si>
    <t>TOYS R US S.A.</t>
  </si>
  <si>
    <t>A79524054</t>
  </si>
  <si>
    <t>URBASER S.A.</t>
  </si>
  <si>
    <t>A79935607</t>
  </si>
  <si>
    <t>DECATHLON</t>
  </si>
  <si>
    <t>A79965331</t>
  </si>
  <si>
    <t>GESTORES ADMINISTRATIVOS REUNIDOS S.A.</t>
  </si>
  <si>
    <t>A80221781</t>
  </si>
  <si>
    <t>EXTEL CONTACT CENTER S.A.U.</t>
  </si>
  <si>
    <t>A80240427</t>
  </si>
  <si>
    <t>CLINICA BAVIERA S.A.</t>
  </si>
  <si>
    <t>A80241789</t>
  </si>
  <si>
    <t>FERROVIAL SERVICIOS S.A.</t>
  </si>
  <si>
    <t>A80364243</t>
  </si>
  <si>
    <t>CLECE S.A.</t>
  </si>
  <si>
    <t>A80416332</t>
  </si>
  <si>
    <t>FONDITEL PENSIONES E.G.F.P. S.A.</t>
  </si>
  <si>
    <t>A80495864</t>
  </si>
  <si>
    <t>SERVICIOS DE TELEASISTENCIA S.A.</t>
  </si>
  <si>
    <t>A80540461</t>
  </si>
  <si>
    <t>CEMENGAL S.A.</t>
  </si>
  <si>
    <t>A80568645</t>
  </si>
  <si>
    <t>TELEFONICA SERVICIOS AUDIOVISUALES,</t>
  </si>
  <si>
    <t>A80599459</t>
  </si>
  <si>
    <t>IBM GLOBAL SERVICES ESPAÐA</t>
  </si>
  <si>
    <t>A80754781</t>
  </si>
  <si>
    <t>BMCE INTERNATIONAL S.A.</t>
  </si>
  <si>
    <t>A80897770</t>
  </si>
  <si>
    <t>OFICINA DE COOPERACION UNIVERSITARIA S.A.</t>
  </si>
  <si>
    <t>A80929490</t>
  </si>
  <si>
    <t>Amadeus Soluciones Tecnol¾gicas S.A.</t>
  </si>
  <si>
    <t>A80949175</t>
  </si>
  <si>
    <t>ACCENTURE OUTSOURCING SERVICES S.A.</t>
  </si>
  <si>
    <t>A80997521</t>
  </si>
  <si>
    <t>ALQUILER DE MAQUINARIA RENTAIRE S.A.</t>
  </si>
  <si>
    <t>A81023426</t>
  </si>
  <si>
    <t>CONSTRUCCIONES DE LAS CONDUCCIONES DEL SUR S.A.U.</t>
  </si>
  <si>
    <t>A81142358</t>
  </si>
  <si>
    <t>PIXELWARE S.A.L.</t>
  </si>
  <si>
    <t>A81238917</t>
  </si>
  <si>
    <t>AXACTOR ESPAÐA PLATAFORM,S.A.U.</t>
  </si>
  <si>
    <t>A81304487</t>
  </si>
  <si>
    <t>LG ELECTRONICS ESPAÐA S.A.</t>
  </si>
  <si>
    <t>A81356313</t>
  </si>
  <si>
    <t>UNITRONICS COMUNICACIONES S.A.</t>
  </si>
  <si>
    <t>A81408817</t>
  </si>
  <si>
    <t>AIR MILES ESPAÐA S.A. TRAVEL CLUB</t>
  </si>
  <si>
    <t>A81477093</t>
  </si>
  <si>
    <t>SITEL IBERICA TELESERVICES S.A.</t>
  </si>
  <si>
    <t>A81626905</t>
  </si>
  <si>
    <t>Colt Technology Services S.A.U.</t>
  </si>
  <si>
    <t>A81646564</t>
  </si>
  <si>
    <t>DISTRIBUIDORA DE TELEVISION DIGITAL</t>
  </si>
  <si>
    <t>A81745002</t>
  </si>
  <si>
    <t>QDQ MEDIA S.A.U.</t>
  </si>
  <si>
    <t>A81831067</t>
  </si>
  <si>
    <t>WIZINK BANK S.A.</t>
  </si>
  <si>
    <t>A81864498</t>
  </si>
  <si>
    <t>TECNOLOGIA DE LA INFORMACION Y REDES PARA LAS ENTIDADES ASEGURADORAS S.A.</t>
  </si>
  <si>
    <t>josemanuel.ramosgarcia.ext@telefonica.com</t>
  </si>
  <si>
    <t>A81874984</t>
  </si>
  <si>
    <t>S.M.E.G.I. TECNOLOGIAS TURISTICAS S.A.</t>
  </si>
  <si>
    <t>A81922791</t>
  </si>
  <si>
    <t>GROUP M. PUBLICIDAD WORLDWIDE S.A.</t>
  </si>
  <si>
    <t>A81939209</t>
  </si>
  <si>
    <t>FERROVIAL S.A.</t>
  </si>
  <si>
    <t>A81941007</t>
  </si>
  <si>
    <t>FGA CAPITAL SERVICES SPAIN S.A.U.</t>
  </si>
  <si>
    <t>A81957367</t>
  </si>
  <si>
    <t>GESTION TRIBUTARIA TERRITORIAL</t>
  </si>
  <si>
    <t>A82018474</t>
  </si>
  <si>
    <t>TELEFONICA DE ESPAÃ‘A, S.A.UNIPERSON</t>
  </si>
  <si>
    <t>A82031329</t>
  </si>
  <si>
    <t>AUDIOVISUAL ESPAÐOLA 2000 S.A.</t>
  </si>
  <si>
    <t>A82117193</t>
  </si>
  <si>
    <t>BOOMERANG TELEVISION S.A.</t>
  </si>
  <si>
    <t>A82178468</t>
  </si>
  <si>
    <t>MAPFRE TECH S.A.</t>
  </si>
  <si>
    <t>A82206400</t>
  </si>
  <si>
    <t>GRUPO CORPORATIVO G.F.I. INFORMATICA S.A.</t>
  </si>
  <si>
    <t>A82261231</t>
  </si>
  <si>
    <t>TELEFONICA GLOBAL TECHNOLOGY S.A.</t>
  </si>
  <si>
    <t>A82261280</t>
  </si>
  <si>
    <t>TELEFONICA SERVICIOS INTEGRALES DE DISTRIBUCION S.A.U.</t>
  </si>
  <si>
    <t>A82337981</t>
  </si>
  <si>
    <t>SISTEMCAM S.A.</t>
  </si>
  <si>
    <t>A82691171</t>
  </si>
  <si>
    <t>GOCCO CONFEG S.A.</t>
  </si>
  <si>
    <t>A82726613</t>
  </si>
  <si>
    <t>ADQUIRA ESPAÐA S.A.</t>
  </si>
  <si>
    <t>A82782814</t>
  </si>
  <si>
    <t>D.I.T. Consultoria de Tecnicas Lean Production S.A.</t>
  </si>
  <si>
    <t>A82844473</t>
  </si>
  <si>
    <t>AUTOMÃ“VILES CITROÃ‹N ESPAÃ‘A, S.A.</t>
  </si>
  <si>
    <t>A82916842</t>
  </si>
  <si>
    <t>MEDGAZ S.A.</t>
  </si>
  <si>
    <t>A83052407</t>
  </si>
  <si>
    <t>SOCIEDAD ESTATAL CORREOS Y TELEGRAFOS S.A.</t>
  </si>
  <si>
    <t>FRANCISCO LOPEZ GARCIA (DARIO POZO HERNANDEZ)</t>
  </si>
  <si>
    <t>A83062497</t>
  </si>
  <si>
    <t>SOLIUM</t>
  </si>
  <si>
    <t>A83131433</t>
  </si>
  <si>
    <t>Banco Inversis S.A</t>
  </si>
  <si>
    <t>A83151977</t>
  </si>
  <si>
    <t>PLANIGER, S.A</t>
  </si>
  <si>
    <t>A83747824</t>
  </si>
  <si>
    <t>SPACE CARGO HEADQUARTERS S.A.</t>
  </si>
  <si>
    <t>A84073105</t>
  </si>
  <si>
    <t>MADRID DESTINO CULTURA TURISMO Y NEGOCIO</t>
  </si>
  <si>
    <t>A84076397</t>
  </si>
  <si>
    <t>NAVANTIA S.A. S.M.E.</t>
  </si>
  <si>
    <t>A84173947</t>
  </si>
  <si>
    <t>GRUPO ISOLUX CORSAN S.A.</t>
  </si>
  <si>
    <t>A84205863</t>
  </si>
  <si>
    <t>WORLD DUTY FREE GROUP, S.A.U</t>
  </si>
  <si>
    <t>A84289230</t>
  </si>
  <si>
    <t>EDITORIAL ECOPRENSA S.A.</t>
  </si>
  <si>
    <t>A84329382</t>
  </si>
  <si>
    <t>NEWREST GROUP HOLDING S.A.</t>
  </si>
  <si>
    <t>A84409408</t>
  </si>
  <si>
    <t>AMADEUS IT GROUP S.A.</t>
  </si>
  <si>
    <t>A84433515</t>
  </si>
  <si>
    <t>LEVANTINA Y ASOCIADOS DE MINERALES S.A.</t>
  </si>
  <si>
    <t>A84619485</t>
  </si>
  <si>
    <t>PAGINAS AMARILLAS SOLUCIONES DIGITALES S.A.</t>
  </si>
  <si>
    <t>A84727809</t>
  </si>
  <si>
    <t>CONFIRMACION DE SOLICITUDES DE CREDITO VERIFICA S.A.</t>
  </si>
  <si>
    <t>A84818301</t>
  </si>
  <si>
    <t>Grupo Garnica Plywood S.A.</t>
  </si>
  <si>
    <t>A84911825</t>
  </si>
  <si>
    <t>SPORTIUM APUESTAS DEPORTIVAS S.A.</t>
  </si>
  <si>
    <t>A84953090</t>
  </si>
  <si>
    <t>CODERE APUESTAS SA UNIPERSONAL</t>
  </si>
  <si>
    <t>A85826477</t>
  </si>
  <si>
    <t>13TV S.A.</t>
  </si>
  <si>
    <t>A85908036</t>
  </si>
  <si>
    <t>FENIE ENERGIA S.A.</t>
  </si>
  <si>
    <t>A85959484</t>
  </si>
  <si>
    <t>FERROVIAL CORPORACION S.A.</t>
  </si>
  <si>
    <t>A85959500</t>
  </si>
  <si>
    <t>CINTRA SERVICIOS DE INFRAESTRUCTURAS S.A.</t>
  </si>
  <si>
    <t>A85982411</t>
  </si>
  <si>
    <t>Bankinter Global Services S.A.</t>
  </si>
  <si>
    <t>A86104189</t>
  </si>
  <si>
    <t>BANCO MARE NOSTRUM S.A.</t>
  </si>
  <si>
    <t>A86171964</t>
  </si>
  <si>
    <t>Sociedad Estatal Loterias y Apuestas del Estado s.a</t>
  </si>
  <si>
    <t>A86212420</t>
  </si>
  <si>
    <t>AENA S.M.E. S.A.</t>
  </si>
  <si>
    <t>A86289642</t>
  </si>
  <si>
    <t>BANCO DE CAJA ESPAÐA DE INVERSIONES SALAMANCA Y SORIA S.A.</t>
  </si>
  <si>
    <t>A86565926</t>
  </si>
  <si>
    <t>TELXIUS TELECOM S.A.U.</t>
  </si>
  <si>
    <t>A86602158</t>
  </si>
  <si>
    <t>SAREB S.A.</t>
  </si>
  <si>
    <t>A86701711</t>
  </si>
  <si>
    <t>ANDBANK ESPAÐA S.A.</t>
  </si>
  <si>
    <t>A86737343</t>
  </si>
  <si>
    <t>APUESTAS DEPORTIVAS DE MADRID S.A.</t>
  </si>
  <si>
    <t>A86744349</t>
  </si>
  <si>
    <t>HAYA REAL ESTATE, SAU</t>
  </si>
  <si>
    <t>A86868189</t>
  </si>
  <si>
    <t>RENFE VIAJEROS S.A.</t>
  </si>
  <si>
    <t>A86977790</t>
  </si>
  <si>
    <t>MERLIN PROPERTIES SOCIMI S.A.</t>
  </si>
  <si>
    <t>A87172003</t>
  </si>
  <si>
    <t>CODERE NEWCO S.A.U.</t>
  </si>
  <si>
    <t>A91849166</t>
  </si>
  <si>
    <t>SIMOSA IT SA</t>
  </si>
  <si>
    <t>A92799568</t>
  </si>
  <si>
    <t>ASESORES LOCALES CONSULTORIA</t>
  </si>
  <si>
    <t>A95172532</t>
  </si>
  <si>
    <t>VINZEO TECHNOLOGIES S.A.U.</t>
  </si>
  <si>
    <t>A95267936</t>
  </si>
  <si>
    <t>EITB NET</t>
  </si>
  <si>
    <t>A95321386</t>
  </si>
  <si>
    <t>IGUALATORIO MEDICO QUIRURGICO S.A. DE SEGUROS Y REASEGUROS</t>
  </si>
  <si>
    <t>A95524047</t>
  </si>
  <si>
    <t>TORRESOL ENERGY INVESTMENTS S.A</t>
  </si>
  <si>
    <t>A95622841</t>
  </si>
  <si>
    <t>CAJASUR BANCO S.A.U.</t>
  </si>
  <si>
    <t>A96134598</t>
  </si>
  <si>
    <t>GEANCAR MAQUINARIA S.A.</t>
  </si>
  <si>
    <t>A96266374</t>
  </si>
  <si>
    <t>INELCOM PRODUCCIÃ“N S.A.</t>
  </si>
  <si>
    <t>A96302724</t>
  </si>
  <si>
    <t>AIR NOSTRUM LIN AER DEL MEDITERRANEO S.A</t>
  </si>
  <si>
    <t>A96319652</t>
  </si>
  <si>
    <t>ENDEKA CERAMICS S.A</t>
  </si>
  <si>
    <t>A96361605</t>
  </si>
  <si>
    <t>YAVOI EUROPA S.A.</t>
  </si>
  <si>
    <t>A96569207</t>
  </si>
  <si>
    <t>SALVESEN LOGISTICA S.A.</t>
  </si>
  <si>
    <t>manuel.gomezaguila@telefonica.com</t>
  </si>
  <si>
    <t>A96630520</t>
  </si>
  <si>
    <t>JAPOFISH S.A.</t>
  </si>
  <si>
    <t>A98123060</t>
  </si>
  <si>
    <t>BANEGRAS UNION S.A.</t>
  </si>
  <si>
    <t>A98350085</t>
  </si>
  <si>
    <t>APUESTAS DEPORTIVAS VALENCIANAS S.A.</t>
  </si>
  <si>
    <t>B01292903</t>
  </si>
  <si>
    <t>SIDENOR ACEROS ESPECIALES S.L.</t>
  </si>
  <si>
    <t>B03012911</t>
  </si>
  <si>
    <t>GS ESPAÐA HOLDINGS S.L.</t>
  </si>
  <si>
    <t>B03030913</t>
  </si>
  <si>
    <t>SERVIHOTEL S.L.</t>
  </si>
  <si>
    <t>B03067741</t>
  </si>
  <si>
    <t>TELECOMUNICACIONES LEVANTE S.L.</t>
  </si>
  <si>
    <t>B03403169</t>
  </si>
  <si>
    <t>GOLDCAR SPAIN SL</t>
  </si>
  <si>
    <t>B06103188</t>
  </si>
  <si>
    <t>CENTROWAGEN S.L.</t>
  </si>
  <si>
    <t>B06625339</t>
  </si>
  <si>
    <t>Grupo Empresarial Conesa S.L.</t>
  </si>
  <si>
    <t>B06663009</t>
  </si>
  <si>
    <t>GRUPO GALLARDO BALBOA S.L.</t>
  </si>
  <si>
    <t>B07012107</t>
  </si>
  <si>
    <t>VIAJES BARCELO S.L.</t>
  </si>
  <si>
    <t>B07026990</t>
  </si>
  <si>
    <t>DESTINATION SERVICES SPAIN SLU</t>
  </si>
  <si>
    <t>B07461767</t>
  </si>
  <si>
    <t>INVERSIONES PASCUAL S.L.</t>
  </si>
  <si>
    <t>B07883457</t>
  </si>
  <si>
    <t>EXPLOTACIONS TURISTIQUES DE LES ILLES S.L.</t>
  </si>
  <si>
    <t>B07887441</t>
  </si>
  <si>
    <t>CESGARDEN S.L.</t>
  </si>
  <si>
    <t>B07893365</t>
  </si>
  <si>
    <t>JUMBO TOURS ESPAÐA S.L.</t>
  </si>
  <si>
    <t>B07985823</t>
  </si>
  <si>
    <t>INVERSIONES PLOMER S.L.</t>
  </si>
  <si>
    <t>B07998768</t>
  </si>
  <si>
    <t>OPTURSA MANAGEMENT S.L.U.</t>
  </si>
  <si>
    <t>B08100380</t>
  </si>
  <si>
    <t>IDILIA FOODS S.L.</t>
  </si>
  <si>
    <t>B08511834</t>
  </si>
  <si>
    <t>Gran Casino de Barcelona S.L. Unipersonal</t>
  </si>
  <si>
    <t>B08914830</t>
  </si>
  <si>
    <t>GRANT THORNTON S.L.P.</t>
  </si>
  <si>
    <t>B09383134</t>
  </si>
  <si>
    <t>GRUPO DE COMUNICACION PROMECAL S.L.</t>
  </si>
  <si>
    <t>B09487976</t>
  </si>
  <si>
    <t>Tecnoaranda S.L</t>
  </si>
  <si>
    <t>B11000221</t>
  </si>
  <si>
    <t>FEDERICO JOLY Y COMPAÐIA S.L.</t>
  </si>
  <si>
    <t>B11518297</t>
  </si>
  <si>
    <t>EUROPEA DE EXPEDICIONES S.L.</t>
  </si>
  <si>
    <t>B11702487</t>
  </si>
  <si>
    <t>DANTIA TECNOLOGIA S.L.</t>
  </si>
  <si>
    <t>B12011755</t>
  </si>
  <si>
    <t>TAULELL S.L.</t>
  </si>
  <si>
    <t>B12071486</t>
  </si>
  <si>
    <t>PAMESA CERAMICA S.L.</t>
  </si>
  <si>
    <t>B12536017</t>
  </si>
  <si>
    <t>VERDIFRESH S.L.</t>
  </si>
  <si>
    <t>B12740288</t>
  </si>
  <si>
    <t>FRANCISCO GIL COMES S.L.U.</t>
  </si>
  <si>
    <t>B14926661</t>
  </si>
  <si>
    <t>COMPUTACION TECNOLOGIA E INNOVACION S.L.</t>
  </si>
  <si>
    <t>B15581168</t>
  </si>
  <si>
    <t>COMAR INVERSIONES Y DIRECCION DE EMPRESAS S.L.</t>
  </si>
  <si>
    <t>B15736218</t>
  </si>
  <si>
    <t>MNM PROGRAMACION S.L.</t>
  </si>
  <si>
    <t>B15792286</t>
  </si>
  <si>
    <t>PONTEGADEA INVERSIONES S.L.</t>
  </si>
  <si>
    <t>B15848617</t>
  </si>
  <si>
    <t>LOSAN GESTION INTEGRAL S.L.</t>
  </si>
  <si>
    <t>B17005349</t>
  </si>
  <si>
    <t>SOLER &amp; PALAU VENTILATION GROUP S.L.</t>
  </si>
  <si>
    <t>B17076886</t>
  </si>
  <si>
    <t>MED PLAYA MANAGEMENT S.L.</t>
  </si>
  <si>
    <t>B17312349</t>
  </si>
  <si>
    <t>BEBIDAS Y MARKETING S.L.</t>
  </si>
  <si>
    <t>B17880550</t>
  </si>
  <si>
    <t>EUROFIRMS ETT S.L.U.</t>
  </si>
  <si>
    <t>B19262765</t>
  </si>
  <si>
    <t>SISTEMAS INTEGRALES CUALIFICADOS S.L.U.</t>
  </si>
  <si>
    <t>B20449393</t>
  </si>
  <si>
    <t>TRANSNATUR NORTE S.L.</t>
  </si>
  <si>
    <t>B20597993</t>
  </si>
  <si>
    <t>INDAR ELECTRIC S L</t>
  </si>
  <si>
    <t>B20675039</t>
  </si>
  <si>
    <t>GARATU SISTEMAS INFORMATICOS S.L.</t>
  </si>
  <si>
    <t>B20890687</t>
  </si>
  <si>
    <t>CONSTRUCCIONES MOYUA S.L.</t>
  </si>
  <si>
    <t>B21026109</t>
  </si>
  <si>
    <t>GRUPO TRANSONUBA S.L.</t>
  </si>
  <si>
    <t>B21053848</t>
  </si>
  <si>
    <t>CASH LEPE S.L.</t>
  </si>
  <si>
    <t>B21179353</t>
  </si>
  <si>
    <t>Talleres Melli S.L.</t>
  </si>
  <si>
    <t>B24080327</t>
  </si>
  <si>
    <t>VILUX INVERSIONES S.L.</t>
  </si>
  <si>
    <t>B24470460</t>
  </si>
  <si>
    <t>TELEMARK SPAIN S.L.</t>
  </si>
  <si>
    <t>B24511339</t>
  </si>
  <si>
    <t>CERTITEC CONSULTORES IBERICA S.L.</t>
  </si>
  <si>
    <t>B25352170</t>
  </si>
  <si>
    <t>COMPAÐIA GENERAL DE COMPRAS AG</t>
  </si>
  <si>
    <t>B25421199</t>
  </si>
  <si>
    <t>CIRSA SERVICIOS CORPORATIVOS S.L.</t>
  </si>
  <si>
    <t>B28049344</t>
  </si>
  <si>
    <t>Iberostar Hoteles y Apartamentos S.L.</t>
  </si>
  <si>
    <t>B28054054</t>
  </si>
  <si>
    <t>SONY MUSIC ENTERTAINMENT ESPAÐA S.L.</t>
  </si>
  <si>
    <t>B28262822</t>
  </si>
  <si>
    <t>ABM-REXEL S.L.U.</t>
  </si>
  <si>
    <t>B28305209</t>
  </si>
  <si>
    <t>INGENIERÃA VIAL, S.L.</t>
  </si>
  <si>
    <t>B28370914</t>
  </si>
  <si>
    <t>DHL EXEL SUPPLY CHAIN SPAIN S.L.U.</t>
  </si>
  <si>
    <t>B28376184</t>
  </si>
  <si>
    <t>CEMIDE S.L.</t>
  </si>
  <si>
    <t>B28417939</t>
  </si>
  <si>
    <t>EZENTIS TECNOLOGIA S.L.U.</t>
  </si>
  <si>
    <t>B28481877</t>
  </si>
  <si>
    <t>ZINET MEDIA GLOBAL S.L.</t>
  </si>
  <si>
    <t>B28532158</t>
  </si>
  <si>
    <t>GRUPO INDUSTRIAL CRIMIDESA S.L</t>
  </si>
  <si>
    <t>B28617256</t>
  </si>
  <si>
    <t>TRANSPORTES BOYACA S.L.</t>
  </si>
  <si>
    <t>B28729481</t>
  </si>
  <si>
    <t>SANED S.L.</t>
  </si>
  <si>
    <t>B28916765</t>
  </si>
  <si>
    <t>HOTELBEDS SPAIN S.L.</t>
  </si>
  <si>
    <t>B29757093</t>
  </si>
  <si>
    <t>ALTERIA CORPORACION UNICAJA S.L.</t>
  </si>
  <si>
    <t>B30351431</t>
  </si>
  <si>
    <t>GRUPO GENERALA S.L.</t>
  </si>
  <si>
    <t>B30630511</t>
  </si>
  <si>
    <t>La Manga Club S.L.</t>
  </si>
  <si>
    <t>B31619570</t>
  </si>
  <si>
    <t>TRUCK AND WHEEL S.L.</t>
  </si>
  <si>
    <t>B31739311</t>
  </si>
  <si>
    <t>Asuntos Y Gestiones S.L.</t>
  </si>
  <si>
    <t>B31744097</t>
  </si>
  <si>
    <t>M.TORRES INNOVACION Y DESARROLLOS S.L.</t>
  </si>
  <si>
    <t>B31977911</t>
  </si>
  <si>
    <t>SOLUCIONES DE VIRTUALIZACION ON LINE SL</t>
  </si>
  <si>
    <t>B33382433</t>
  </si>
  <si>
    <t>GAM ESPAÃ‘A SERVICIOS DE MAQUINARIA S.L.U</t>
  </si>
  <si>
    <t>B35003482</t>
  </si>
  <si>
    <t>CLINICA NUESTRA SEÃ‘ORA PERPETUO SOCORRO</t>
  </si>
  <si>
    <t>B35042092</t>
  </si>
  <si>
    <t>HERMANOS SANTANA CAZORLA S.L.</t>
  </si>
  <si>
    <t>B35102144</t>
  </si>
  <si>
    <t>AUTOS CABRERA MEDINA S.L.</t>
  </si>
  <si>
    <t>B35110410</t>
  </si>
  <si>
    <t>Mar Abierto S.L.</t>
  </si>
  <si>
    <t>B35126408</t>
  </si>
  <si>
    <t>Sebastian Salazar S.L.</t>
  </si>
  <si>
    <t>B35310556</t>
  </si>
  <si>
    <t>BAZAR SPORT S.L.</t>
  </si>
  <si>
    <t>B35348952</t>
  </si>
  <si>
    <t>INGENIERIA DE PROTECCIONES Y CONTROL ELECTRICO S.L.</t>
  </si>
  <si>
    <t>B35353945</t>
  </si>
  <si>
    <t>COMUNICACION Y LOGISTICA CANARIAS S.L.</t>
  </si>
  <si>
    <t>B35458231</t>
  </si>
  <si>
    <t>HOTELES ELBA S.L.</t>
  </si>
  <si>
    <t>B35525492</t>
  </si>
  <si>
    <t>Grupo Felix Santiago Melian S.L.</t>
  </si>
  <si>
    <t>B35625136</t>
  </si>
  <si>
    <t>ANFI SALES S.L.</t>
  </si>
  <si>
    <t>B35679869</t>
  </si>
  <si>
    <t>FLICK SERVICIOS GENERALES DE GESTION</t>
  </si>
  <si>
    <t>B35885151</t>
  </si>
  <si>
    <t>FRAN Y CHEMI S.L.</t>
  </si>
  <si>
    <t>B36628931</t>
  </si>
  <si>
    <t>RECALVI S.L.</t>
  </si>
  <si>
    <t>B36950970</t>
  </si>
  <si>
    <t>BIMBA Y LOLA S.L.U.</t>
  </si>
  <si>
    <t>B38039145</t>
  </si>
  <si>
    <t>DREAMPLACE HOTELS &amp; RESORTS S.L.</t>
  </si>
  <si>
    <t>B38086500</t>
  </si>
  <si>
    <t>SPECIAL PRICES AUTO REISEN S.L.</t>
  </si>
  <si>
    <t>B38729349</t>
  </si>
  <si>
    <t>ALUMINIOS CORTIZO CANARIAS S.L.</t>
  </si>
  <si>
    <t>B38987897</t>
  </si>
  <si>
    <t>ENCUENTRO MODAS S.L. UNIPERSONAL</t>
  </si>
  <si>
    <t>B39806864</t>
  </si>
  <si>
    <t>CUETARA 1951 S.L.</t>
  </si>
  <si>
    <t>B40004210</t>
  </si>
  <si>
    <t>COMERCIAL PECUARIA SEGOVIANA S.L.</t>
  </si>
  <si>
    <t>B41254137</t>
  </si>
  <si>
    <t>GRUPO ANGEL CAMACHO S.L.</t>
  </si>
  <si>
    <t>B43636075</t>
  </si>
  <si>
    <t>BALFEGO &amp; BALFEGO S.L.</t>
  </si>
  <si>
    <t>B46011987</t>
  </si>
  <si>
    <t>Jose Royo S.L.</t>
  </si>
  <si>
    <t>B46070728</t>
  </si>
  <si>
    <t>ALUVAL S.L.</t>
  </si>
  <si>
    <t>B46071080</t>
  </si>
  <si>
    <t>LLACER Y NAVARRO S.L.</t>
  </si>
  <si>
    <t>B46132387</t>
  </si>
  <si>
    <t>UBESOL S.L.</t>
  </si>
  <si>
    <t>B46138632</t>
  </si>
  <si>
    <t>EXPLORACIONES RADIOLOGICAS ESPECIALES SL</t>
  </si>
  <si>
    <t>B46152872</t>
  </si>
  <si>
    <t>ACRISMATIC S.L.</t>
  </si>
  <si>
    <t>B46178364</t>
  </si>
  <si>
    <t>VIAJES TRANSVIA TOURS S.L.</t>
  </si>
  <si>
    <t>B46264438</t>
  </si>
  <si>
    <t>Centro Farmaceutico S.L.</t>
  </si>
  <si>
    <t>B46456539</t>
  </si>
  <si>
    <t>MARIA CRISTESCU SL</t>
  </si>
  <si>
    <t>B47561162</t>
  </si>
  <si>
    <t>AMMA GEROGESTION S.L.</t>
  </si>
  <si>
    <t>B48025589</t>
  </si>
  <si>
    <t>CONSULMAR S.L.U</t>
  </si>
  <si>
    <t>B48435218</t>
  </si>
  <si>
    <t>Panda Security S.L.</t>
  </si>
  <si>
    <t>B48980007</t>
  </si>
  <si>
    <t>PRICE WATERHOUSECOOPERS S.L.</t>
  </si>
  <si>
    <t>B50032200</t>
  </si>
  <si>
    <t>PIKOLIN S.L.</t>
  </si>
  <si>
    <t>B50107663</t>
  </si>
  <si>
    <t>JORGE S.L.</t>
  </si>
  <si>
    <t>B50570571</t>
  </si>
  <si>
    <t>RUPRABLAS</t>
  </si>
  <si>
    <t>B50600527</t>
  </si>
  <si>
    <t>TRANS-SESE S.L.</t>
  </si>
  <si>
    <t>B50712157</t>
  </si>
  <si>
    <t>EUROFOR CENTRO DE FORMACION S.L.</t>
  </si>
  <si>
    <t>B50856913</t>
  </si>
  <si>
    <t>NOLOGIN CONSULTING S.L.</t>
  </si>
  <si>
    <t>B50868009</t>
  </si>
  <si>
    <t>PROTEINAS Y DERIVADOS S.L.</t>
  </si>
  <si>
    <t>B50991611</t>
  </si>
  <si>
    <t>PRIMACARNE S.L.</t>
  </si>
  <si>
    <t>B53404646</t>
  </si>
  <si>
    <t>SPRINTER MEGACENTRO DEL DEPORTE S.L.</t>
  </si>
  <si>
    <t>B54347265</t>
  </si>
  <si>
    <t>SUBUS GRUPO DE TRANSPORTE S.L</t>
  </si>
  <si>
    <t>B54460910</t>
  </si>
  <si>
    <t>VOLVO OCEAN RACE</t>
  </si>
  <si>
    <t>B57060725</t>
  </si>
  <si>
    <t>RURALMED S.L UNIPERSONAL</t>
  </si>
  <si>
    <t>B57074510</t>
  </si>
  <si>
    <t>SERVICIOS INTEGRALES DE SANIDAD S.L.</t>
  </si>
  <si>
    <t>B57211732</t>
  </si>
  <si>
    <t>MANAGEMENT HOTELERO PIÐERO S.L.</t>
  </si>
  <si>
    <t>B57551350</t>
  </si>
  <si>
    <t>IN DESTINATION INCOMING, S.L.U.</t>
  </si>
  <si>
    <t>B57841348</t>
  </si>
  <si>
    <t>HITT TOURISM S.L.</t>
  </si>
  <si>
    <t>B58442500</t>
  </si>
  <si>
    <t>OPTICA DEL PENEDES S.L.</t>
  </si>
  <si>
    <t>B58654039</t>
  </si>
  <si>
    <t>NORTIA BUSINESS CORPORATION S.L.</t>
  </si>
  <si>
    <t>B58680422</t>
  </si>
  <si>
    <t>CONEI COMPAÐIA INTERNACIONAL DE INVERSIONES S.L.</t>
  </si>
  <si>
    <t>B58836321</t>
  </si>
  <si>
    <t>SAGE SPAIN S.L.</t>
  </si>
  <si>
    <t>B59088948</t>
  </si>
  <si>
    <t>PUNTO-FA S.L.</t>
  </si>
  <si>
    <t>B59162701</t>
  </si>
  <si>
    <t>GRUPO VICHY CATALAN S.L.</t>
  </si>
  <si>
    <t>B59942110</t>
  </si>
  <si>
    <t>CUATRECASAS GONÃALVES PEREIRA S.L.P.</t>
  </si>
  <si>
    <t>B60188752</t>
  </si>
  <si>
    <t>MEDIAPRODUCCION S.L.U.</t>
  </si>
  <si>
    <t>B60985421</t>
  </si>
  <si>
    <t>ROCA JUNYENT S.L.P.</t>
  </si>
  <si>
    <t>B61503918</t>
  </si>
  <si>
    <t>FREEMATICA S.L.</t>
  </si>
  <si>
    <t>B61653903</t>
  </si>
  <si>
    <t>MIGJORNSER S.L.</t>
  </si>
  <si>
    <t>B61660213</t>
  </si>
  <si>
    <t>GRUPO EDITORIAL BERTELSMANN S.L.</t>
  </si>
  <si>
    <t>B61742565</t>
  </si>
  <si>
    <t>DINOSOL SUPERMERCADOS S.L.</t>
  </si>
  <si>
    <t>B61957114</t>
  </si>
  <si>
    <t>ZETA DIGITAL S.L.</t>
  </si>
  <si>
    <t>B62116942</t>
  </si>
  <si>
    <t>CORPORACION H10 HOTELS S.L.</t>
  </si>
  <si>
    <t>B62258371</t>
  </si>
  <si>
    <t>EUROESTRELLAS GRUP S.L.</t>
  </si>
  <si>
    <t>B62345616</t>
  </si>
  <si>
    <t>CONTINENTAL HOTELS HISPANIA S.L.</t>
  </si>
  <si>
    <t>B62447636</t>
  </si>
  <si>
    <t>MAINSA PUNTO DIRECTO PLV S.L.</t>
  </si>
  <si>
    <t>B62751151</t>
  </si>
  <si>
    <t>EDITORIAL OCEANO S.L.</t>
  </si>
  <si>
    <t>B63054068</t>
  </si>
  <si>
    <t>ABASIC S.L.</t>
  </si>
  <si>
    <t>B63064299</t>
  </si>
  <si>
    <t>VINOS ARTESANALES DE CALIDAD S.L.</t>
  </si>
  <si>
    <t>B63091557</t>
  </si>
  <si>
    <t>BUREAU VERITAS INVERSIONES S.L.</t>
  </si>
  <si>
    <t>B63339113</t>
  </si>
  <si>
    <t>TUI HOLDING SPAIN S.L.</t>
  </si>
  <si>
    <t>PABLO PEREZ RAMALLO</t>
  </si>
  <si>
    <t>pablo.perezramallo@telefonica.com</t>
  </si>
  <si>
    <t>917548979</t>
  </si>
  <si>
    <t>B63508352</t>
  </si>
  <si>
    <t>ELIX POLYMERS S.L.</t>
  </si>
  <si>
    <t>B63546378</t>
  </si>
  <si>
    <t>BEGANET S.L.</t>
  </si>
  <si>
    <t>B63788103</t>
  </si>
  <si>
    <t>AXIS CORPORATE S.L</t>
  </si>
  <si>
    <t>B63879597</t>
  </si>
  <si>
    <t>SANTA &amp; COLE NEOSERIES S.L.</t>
  </si>
  <si>
    <t>B63879902</t>
  </si>
  <si>
    <t>SERVICIO AUDIOVISUALES OVERON S.L.</t>
  </si>
  <si>
    <t>B63935555</t>
  </si>
  <si>
    <t>La Sirena Alimentacion Congelada S.L.U.</t>
  </si>
  <si>
    <t>B64158447</t>
  </si>
  <si>
    <t>ABIQUO HOLDING S.L.</t>
  </si>
  <si>
    <t>B64206535</t>
  </si>
  <si>
    <t>ASPY PREVENCION SL</t>
  </si>
  <si>
    <t>B64218050</t>
  </si>
  <si>
    <t>SYNERGIC PARTNERS S.L.</t>
  </si>
  <si>
    <t>B64665938</t>
  </si>
  <si>
    <t>HIEMESA S.L.</t>
  </si>
  <si>
    <t>B66076704</t>
  </si>
  <si>
    <t>SIDASA ENGINEERING S.L</t>
  </si>
  <si>
    <t>B66130097</t>
  </si>
  <si>
    <t>SABA PARK 3 S.L.</t>
  </si>
  <si>
    <t>B66655838</t>
  </si>
  <si>
    <t>ALLIANZ TECHNOLOGY SL</t>
  </si>
  <si>
    <t>B66726613</t>
  </si>
  <si>
    <t>PLATAFORMA CIVICITI SL</t>
  </si>
  <si>
    <t>B66779869</t>
  </si>
  <si>
    <t>MEDIAPRO CLOUD S.L.U.</t>
  </si>
  <si>
    <t>B66842618</t>
  </si>
  <si>
    <t>KAO CHIMIGRAF S.L.U.</t>
  </si>
  <si>
    <t>B70109749</t>
  </si>
  <si>
    <t>Aluminios Cortizo Manzanares S.L.U.</t>
  </si>
  <si>
    <t>B70131255</t>
  </si>
  <si>
    <t>CAAMAÐO SISTEMAS METALICOS S.L.</t>
  </si>
  <si>
    <t>B70178470</t>
  </si>
  <si>
    <t>NEXTGAL S.L.</t>
  </si>
  <si>
    <t>B70353974</t>
  </si>
  <si>
    <t>CARTERA DO SAR S.L.</t>
  </si>
  <si>
    <t>B70547674</t>
  </si>
  <si>
    <t>COROZA S.L.</t>
  </si>
  <si>
    <t>B71054589</t>
  </si>
  <si>
    <t>Davalor Salud S.L</t>
  </si>
  <si>
    <t>B73047599</t>
  </si>
  <si>
    <t>PRIMAFRIO S.L.</t>
  </si>
  <si>
    <t>B73072183</t>
  </si>
  <si>
    <t>XTI FOOTWEAR SL</t>
  </si>
  <si>
    <t>B73456147</t>
  </si>
  <si>
    <t>GRUPO ALIMENTARIO DE LORCA S.L.</t>
  </si>
  <si>
    <t>B73804080</t>
  </si>
  <si>
    <t>AMC SPAIN FRESH AND NATURAL FOOD</t>
  </si>
  <si>
    <t>B76046317</t>
  </si>
  <si>
    <t>Maquinas Opein S.L.</t>
  </si>
  <si>
    <t>B76048727</t>
  </si>
  <si>
    <t>GRUPO SANTANA CAZORLA S.L.</t>
  </si>
  <si>
    <t>B76112200</t>
  </si>
  <si>
    <t>GTDS S.L.</t>
  </si>
  <si>
    <t>B76133917</t>
  </si>
  <si>
    <t>Infraestructuras Deportivas Canarias S.L.</t>
  </si>
  <si>
    <t>B76135284</t>
  </si>
  <si>
    <t>INVERXIAL GROUP, S.L</t>
  </si>
  <si>
    <t>B76271139</t>
  </si>
  <si>
    <t>Ahembo S.L.</t>
  </si>
  <si>
    <t>B76274075</t>
  </si>
  <si>
    <t>B78097797</t>
  </si>
  <si>
    <t>INFORMATIZACION DE EMPRESAS S.L.</t>
  </si>
  <si>
    <t>B78147758</t>
  </si>
  <si>
    <t>GRUPO TRANSAHER S.L.</t>
  </si>
  <si>
    <t>B78503406</t>
  </si>
  <si>
    <t>XPO TRANSPORT SOLUTIONS SPAIN, S.L.</t>
  </si>
  <si>
    <t>B78657939</t>
  </si>
  <si>
    <t>FUENLAMOTOR S.L.</t>
  </si>
  <si>
    <t>B79031290</t>
  </si>
  <si>
    <t>PRICEWATERHOUSECOOPERS AUDITORES S.L.</t>
  </si>
  <si>
    <t>B79104469</t>
  </si>
  <si>
    <t>DELOITTE S.L.</t>
  </si>
  <si>
    <t>B79122305</t>
  </si>
  <si>
    <t>UNIVERSIDAD EUROPEA DE MADRID S.L.</t>
  </si>
  <si>
    <t>B79217790</t>
  </si>
  <si>
    <t>ACCENTURE S.L. SOCIEDAD UNIPERSONAL</t>
  </si>
  <si>
    <t>B79369930</t>
  </si>
  <si>
    <t>ARMACENTRO S.L.</t>
  </si>
  <si>
    <t>B79569083</t>
  </si>
  <si>
    <t>COMPLEJO AGRICOLA, S.L.</t>
  </si>
  <si>
    <t>B80030315</t>
  </si>
  <si>
    <t>FOOT LOCKER SPAIN S.L.</t>
  </si>
  <si>
    <t>B80311095</t>
  </si>
  <si>
    <t>SEGURIBER COMPAÐIA DE SERVICIOS INTEGRAL</t>
  </si>
  <si>
    <t>B80388952</t>
  </si>
  <si>
    <t>Servicios Tecnicos de Investigacion General y Auditoria S.L.</t>
  </si>
  <si>
    <t>B80428972</t>
  </si>
  <si>
    <t>ALTRAN INNOVACION, S.L.U.</t>
  </si>
  <si>
    <t>B80925977</t>
  </si>
  <si>
    <t>TELEVIDA SERVICIOS SOCIOSANITARIOS S.L.</t>
  </si>
  <si>
    <t>B81089328</t>
  </si>
  <si>
    <t>GOMEZ ACEBO &amp; POMBO ABOGADOS S.L.</t>
  </si>
  <si>
    <t>B81171712</t>
  </si>
  <si>
    <t>CRIT. INTERIM ESPAÐA E.T.T. S.L.</t>
  </si>
  <si>
    <t>B81207078</t>
  </si>
  <si>
    <t>GRUPO BC DE ASESORIA HIPOTECARIA S.L.</t>
  </si>
  <si>
    <t>B81209751</t>
  </si>
  <si>
    <t>GAME STORES IBERICA S.L.</t>
  </si>
  <si>
    <t>B81374670</t>
  </si>
  <si>
    <t>CTO MEDICINA S.L.</t>
  </si>
  <si>
    <t>B81577231</t>
  </si>
  <si>
    <t>INTERMUNDIAL XXI S.L.</t>
  </si>
  <si>
    <t>B81709081</t>
  </si>
  <si>
    <t>J&amp;A GARRIGUES S.L.P</t>
  </si>
  <si>
    <t>B81733503</t>
  </si>
  <si>
    <t>LVMH IBERIA S.L.</t>
  </si>
  <si>
    <t>B81742421</t>
  </si>
  <si>
    <t>EUROPA MUNDO VACACIONES S.L.</t>
  </si>
  <si>
    <t>B81878878</t>
  </si>
  <si>
    <t>THOMSON REUTERS MARKETS ESPAÐA S.L.</t>
  </si>
  <si>
    <t>B82077751</t>
  </si>
  <si>
    <t>PRODUBAN SERVICIOS INFORMATICOS GENERALES S.L.</t>
  </si>
  <si>
    <t>B82241506</t>
  </si>
  <si>
    <t>INGENICO IBERIA S.L.U.</t>
  </si>
  <si>
    <t>B82265364</t>
  </si>
  <si>
    <t>Enel Energy Europe S.L.</t>
  </si>
  <si>
    <t>B82276585</t>
  </si>
  <si>
    <t>TECHEDGE ESPAÐA S.L.</t>
  </si>
  <si>
    <t>B82305848</t>
  </si>
  <si>
    <t>LEGALITAS ASISTENCIA LEGAL S.L.</t>
  </si>
  <si>
    <t>B82340977</t>
  </si>
  <si>
    <t>GESTION GLOBAL DE RECURSOS S.L.</t>
  </si>
  <si>
    <t>B82356981</t>
  </si>
  <si>
    <t>HENNES &amp; MAURITZ S.L.</t>
  </si>
  <si>
    <t>B82387226</t>
  </si>
  <si>
    <t>NETCO INVESTMENT S.L.</t>
  </si>
  <si>
    <t>B82387770</t>
  </si>
  <si>
    <t>EVERIS SPAIN S.L.</t>
  </si>
  <si>
    <t>B82425364</t>
  </si>
  <si>
    <t>VALLADARES INGENIERIA S.L.</t>
  </si>
  <si>
    <t>B82479387</t>
  </si>
  <si>
    <t>LINDE MEDICA S.L.U.</t>
  </si>
  <si>
    <t>B82498650</t>
  </si>
  <si>
    <t>KPMG ASESORES S.L.</t>
  </si>
  <si>
    <t>B82539867</t>
  </si>
  <si>
    <t>CLEAR CHANNEL ESPAÐA S.L.</t>
  </si>
  <si>
    <t>B82568213</t>
  </si>
  <si>
    <t>TAGHLEEF INDUSTRIES S.L.U.</t>
  </si>
  <si>
    <t>B82649690</t>
  </si>
  <si>
    <t>PRISA TECNOLOGIA S.L.</t>
  </si>
  <si>
    <t>B82747148</t>
  </si>
  <si>
    <t>DISTRIBUCIONES GENERALES BOYACA S.L.</t>
  </si>
  <si>
    <t>B82835943</t>
  </si>
  <si>
    <t>GRUPO ORENES S.L.</t>
  </si>
  <si>
    <t>B82857053</t>
  </si>
  <si>
    <t>Telefonica Educacion Digital S.L.U.</t>
  </si>
  <si>
    <t>B82929951</t>
  </si>
  <si>
    <t>TECHCO SECURITY S.L.U.</t>
  </si>
  <si>
    <t>B82999590</t>
  </si>
  <si>
    <t>PSP S.L.</t>
  </si>
  <si>
    <t>B83038539</t>
  </si>
  <si>
    <t>MOVELIA TECNOLOGIAS S.L.</t>
  </si>
  <si>
    <t>B83175380</t>
  </si>
  <si>
    <t>Imtech Spain S.L.</t>
  </si>
  <si>
    <t>B83188953</t>
  </si>
  <si>
    <t>TELEFONICA DIGITAL ESPAÐA S.L.</t>
  </si>
  <si>
    <t>B83332056</t>
  </si>
  <si>
    <t>GRUPO KONECTANET S.L.</t>
  </si>
  <si>
    <t>B83343301</t>
  </si>
  <si>
    <t>SAFEVIEW S.L.</t>
  </si>
  <si>
    <t>B83364570</t>
  </si>
  <si>
    <t>ARMATEK SERVICIOS CORPORATIVOS, S.L.</t>
  </si>
  <si>
    <t>B83395988</t>
  </si>
  <si>
    <t>AGENCIA NOTARIAL DE CERTIFICACION S.L. UNIPERSONAL</t>
  </si>
  <si>
    <t>B83411652</t>
  </si>
  <si>
    <t>SCHIBSTED CLASSIFIED MEDIA SPAIN S.L</t>
  </si>
  <si>
    <t>B83509307</t>
  </si>
  <si>
    <t>GMS MANAGEMENT SOLUTIONS S.L.</t>
  </si>
  <si>
    <t>B83616920</t>
  </si>
  <si>
    <t>TELEFONICA INTERNATIONAL WHOLESALE SERVICES S.L.</t>
  </si>
  <si>
    <t>B83628248</t>
  </si>
  <si>
    <t>CHEMO ESPAÐA SL</t>
  </si>
  <si>
    <t>B83667725</t>
  </si>
  <si>
    <t>SERTEGO SERVICIOS MEDIOAMBIENTALES S.L.U.</t>
  </si>
  <si>
    <t>B83804807</t>
  </si>
  <si>
    <t>SISTEMAS DE RESERVAS ON LINE S.L</t>
  </si>
  <si>
    <t>B83806430</t>
  </si>
  <si>
    <t>GRUPO EMPRESARIAL RACE S.L.</t>
  </si>
  <si>
    <t>B83842344</t>
  </si>
  <si>
    <t>DIGITEX INFORMATICA S.L.</t>
  </si>
  <si>
    <t>B83941534</t>
  </si>
  <si>
    <t>IDC Salud, S.L.U.</t>
  </si>
  <si>
    <t>B84136464</t>
  </si>
  <si>
    <t>Huawei Technologies Espa±a S.L.</t>
  </si>
  <si>
    <t>B84221159</t>
  </si>
  <si>
    <t>NOVATET AUTOMATION CONSULTANS S.L.</t>
  </si>
  <si>
    <t>B84406289</t>
  </si>
  <si>
    <t>BRICOLAJE BRICOMAN S.L.U.</t>
  </si>
  <si>
    <t>B84528553</t>
  </si>
  <si>
    <t>PATENTES TALGO S.L.</t>
  </si>
  <si>
    <t>B84598754</t>
  </si>
  <si>
    <t>MaxamCorp Holding S.L.</t>
  </si>
  <si>
    <t>B84603935</t>
  </si>
  <si>
    <t>LA FABRICA DE LA TELE S.L.</t>
  </si>
  <si>
    <t>B84610898</t>
  </si>
  <si>
    <t>MEJICO MEDIA AUDITORS</t>
  </si>
  <si>
    <t>B84670587</t>
  </si>
  <si>
    <t>NAVENTO</t>
  </si>
  <si>
    <t>B84690882</t>
  </si>
  <si>
    <t>GRUPO RODIO KRONSA S.L.</t>
  </si>
  <si>
    <t>B84735745</t>
  </si>
  <si>
    <t>STOCK UNO GRUPO DE SERVICIOS</t>
  </si>
  <si>
    <t>B84818442</t>
  </si>
  <si>
    <t>LEROY MERLIN ESPAÐA S.L. SOCIEDAD UNIPERSONAL</t>
  </si>
  <si>
    <t>B84827534</t>
  </si>
  <si>
    <t>SIGNO EDITORES JM S.L.</t>
  </si>
  <si>
    <t>B84922780</t>
  </si>
  <si>
    <t>GONVARRI I. CENTRO DE SERVICIOS S.L.</t>
  </si>
  <si>
    <t>B84953132</t>
  </si>
  <si>
    <t>CODERE APUESTAS ESPAÐA SL UNIPERSONAL</t>
  </si>
  <si>
    <t>B85012441</t>
  </si>
  <si>
    <t>MEMORA SERVICIOS FUNERARIOS S.L.U.</t>
  </si>
  <si>
    <t>B85284594</t>
  </si>
  <si>
    <t>TELEFONICA COMPRAS ELECTRONICAS S. L.</t>
  </si>
  <si>
    <t>B85304558</t>
  </si>
  <si>
    <t>VIESGO INFRAESTRUCTURAS ENERGETICAS, S.L.</t>
  </si>
  <si>
    <t>B85509669</t>
  </si>
  <si>
    <t>ANJANA INVESTMENTS S.L.U.</t>
  </si>
  <si>
    <t>B85562080</t>
  </si>
  <si>
    <t>CAPIO SERVICIOS S.L.</t>
  </si>
  <si>
    <t>B85607612</t>
  </si>
  <si>
    <t>Veolia Espa±a S.L.U.</t>
  </si>
  <si>
    <t>B85627792</t>
  </si>
  <si>
    <t>TELEFONICA INTERNATIONAL WHOLESALE SERVICES II S.L.</t>
  </si>
  <si>
    <t>B85721025</t>
  </si>
  <si>
    <t>B85959484</t>
  </si>
  <si>
    <t>FERROVIAL CORPORACION S.L</t>
  </si>
  <si>
    <t>B85960722</t>
  </si>
  <si>
    <t>NOATUM MARITIME HOLDINGS SL</t>
  </si>
  <si>
    <t>B86045473</t>
  </si>
  <si>
    <t>NEWCO RETAIL S.L.U.</t>
  </si>
  <si>
    <t>B86105814</t>
  </si>
  <si>
    <t>SENN FERRERO ASOCIADOS S.L.</t>
  </si>
  <si>
    <t>B86215126</t>
  </si>
  <si>
    <t>LOGTRUST S.L.</t>
  </si>
  <si>
    <t>B86230562</t>
  </si>
  <si>
    <t>Wayra Investigaci¾n y Desarrollo, S.L.U</t>
  </si>
  <si>
    <t>B86327160</t>
  </si>
  <si>
    <t>PLANOS FERRICOS SL</t>
  </si>
  <si>
    <t>B86350410</t>
  </si>
  <si>
    <t>TAO CLOUD NETWORK SOLUTIONS S.L.</t>
  </si>
  <si>
    <t>B86445731</t>
  </si>
  <si>
    <t>ATENTO SPAIN HOLDCO S.L.U.</t>
  </si>
  <si>
    <t>B86471802</t>
  </si>
  <si>
    <t>TELEFONICA GESTION INTEGRAL DE EDIFICIOS Y SERVICIOS S.L.U.</t>
  </si>
  <si>
    <t>B86509460</t>
  </si>
  <si>
    <t>COST CO WHOLESALE SPAIN S.L.</t>
  </si>
  <si>
    <t>franciscojavier.nunezgarcia@telefonica.com</t>
  </si>
  <si>
    <t>B86661477</t>
  </si>
  <si>
    <t>Ediciones Biling³es S.L.</t>
  </si>
  <si>
    <t>B86679362</t>
  </si>
  <si>
    <t>Iaas 365,s.L.</t>
  </si>
  <si>
    <t>B86744349</t>
  </si>
  <si>
    <t>HAYA REAL ESTATE S.L. UNIPERSONAL</t>
  </si>
  <si>
    <t>B86909496</t>
  </si>
  <si>
    <t>KABAENA DIRECTOR SHIP S.L.</t>
  </si>
  <si>
    <t>B86961349</t>
  </si>
  <si>
    <t>EVERIS INFRASTRUCTURE TECHNICAL SUPPORT, S.L.U.</t>
  </si>
  <si>
    <t>B86980703</t>
  </si>
  <si>
    <t>VIAJES DE AUTOR S.L.</t>
  </si>
  <si>
    <t>B87036299</t>
  </si>
  <si>
    <t>SAAS LEGAL</t>
  </si>
  <si>
    <t>B87204517</t>
  </si>
  <si>
    <t>Allot Communications Spain S.L.U.</t>
  </si>
  <si>
    <t>B87238804</t>
  </si>
  <si>
    <t>Bluoko Import Export S.L.</t>
  </si>
  <si>
    <t>B87381117</t>
  </si>
  <si>
    <t>ELECTRO DEPOT ESPAÐA S.L.U.</t>
  </si>
  <si>
    <t>B87449922</t>
  </si>
  <si>
    <t>Telxius Cable Espa±a S.L.</t>
  </si>
  <si>
    <t>B87492344</t>
  </si>
  <si>
    <t>Genesis Care Espa±a Holdings SLU</t>
  </si>
  <si>
    <t>B87515151</t>
  </si>
  <si>
    <t>CONNECTED LIFE S.L.</t>
  </si>
  <si>
    <t>B87660965</t>
  </si>
  <si>
    <t>LA FINCA REAL ESTATE MANAGEMENT S.L.</t>
  </si>
  <si>
    <t>B91190868</t>
  </si>
  <si>
    <t>TIER 1 S.L.</t>
  </si>
  <si>
    <t>B91444836</t>
  </si>
  <si>
    <t>EUROGRUAS HOLDING S.L.</t>
  </si>
  <si>
    <t>B91668137</t>
  </si>
  <si>
    <t>ALESTIS AEROSPACE S.L.</t>
  </si>
  <si>
    <t>B91950253</t>
  </si>
  <si>
    <t>MIGASA ACEITES S.L.U.</t>
  </si>
  <si>
    <t>B92120237</t>
  </si>
  <si>
    <t>FUERTEGROUP S.L.</t>
  </si>
  <si>
    <t>B92192665</t>
  </si>
  <si>
    <t>A NOVO COMLINK ESPAÐA S.L.</t>
  </si>
  <si>
    <t>B92968205</t>
  </si>
  <si>
    <t>EUROPEAN RESORTS &amp; HOTELS S.L.</t>
  </si>
  <si>
    <t>B93024057</t>
  </si>
  <si>
    <t>FUERTE MANT S.L.</t>
  </si>
  <si>
    <t>B93279529</t>
  </si>
  <si>
    <t>RGT DESARROLLO INFORMATICO S.L.</t>
  </si>
  <si>
    <t>B93308153</t>
  </si>
  <si>
    <t>PATRONATO DE TURISMO MALAGA-COSTA DEL SOL S.L.U.</t>
  </si>
  <si>
    <t>B95234183</t>
  </si>
  <si>
    <t>SEMANTIC SYSTEMS S.L.</t>
  </si>
  <si>
    <t>B95594172</t>
  </si>
  <si>
    <t>VELATIA S.L.</t>
  </si>
  <si>
    <t>B95667945</t>
  </si>
  <si>
    <t>SISTEMA A DOMICILIO SD 2000 SL</t>
  </si>
  <si>
    <t>B95821328</t>
  </si>
  <si>
    <t>COPROVEN HVAC, S.L.</t>
  </si>
  <si>
    <t>B96127972</t>
  </si>
  <si>
    <t>PERFUMERIA FRANCISCO PRIETO S.L.</t>
  </si>
  <si>
    <t>B96257092</t>
  </si>
  <si>
    <t>RALOE MEDITERRANEO S.L.</t>
  </si>
  <si>
    <t>B96312145</t>
  </si>
  <si>
    <t>OLAM FOOD INGREDIENTS SPAIN S.L. UNIPERSONAL</t>
  </si>
  <si>
    <t>B96407911</t>
  </si>
  <si>
    <t>BRITISH SCHOOL CHILDREN S GARDEN SL</t>
  </si>
  <si>
    <t>B96410568</t>
  </si>
  <si>
    <t>B96861471</t>
  </si>
  <si>
    <t>SOF TUR SISTEMAS S.L.</t>
  </si>
  <si>
    <t>B96900295</t>
  </si>
  <si>
    <t>MARTINEZ CANO GESTION S.L.</t>
  </si>
  <si>
    <t>B97033385</t>
  </si>
  <si>
    <t>INTEGRALE MARKETING Y CONSULTING S.L.</t>
  </si>
  <si>
    <t>B97150569</t>
  </si>
  <si>
    <t>Gestion de Comunicaciones Alternativas S.L.</t>
  </si>
  <si>
    <t>B97502363</t>
  </si>
  <si>
    <t>CITRUS LEVANTE S.L.</t>
  </si>
  <si>
    <t>B97576607</t>
  </si>
  <si>
    <t>CECAUTO LOGISTICA S.L.</t>
  </si>
  <si>
    <t>B97600001</t>
  </si>
  <si>
    <t>ASSISTACASA 2005 S.L.</t>
  </si>
  <si>
    <t>B97697304</t>
  </si>
  <si>
    <t>AZNAR TEXTIL S. L.</t>
  </si>
  <si>
    <t>B97981682</t>
  </si>
  <si>
    <t>GRUPO ROMEU MULTISERVICES S.L.</t>
  </si>
  <si>
    <t>B98866189</t>
  </si>
  <si>
    <t>AMC Fresh Group Fast Moving Consumer Goods SL</t>
  </si>
  <si>
    <t>B99045379</t>
  </si>
  <si>
    <t>HIBERUS SISTEMAS INFORMATICOS S.L.</t>
  </si>
  <si>
    <t>B99144313</t>
  </si>
  <si>
    <t>SERVICIOS A DISTANCIA IBD S.L.</t>
  </si>
  <si>
    <t>B99354607</t>
  </si>
  <si>
    <t>SOCIEDAD ARAGONESA DE GESTION AGROAMBIENTAL S.L.U.</t>
  </si>
  <si>
    <t>B99455933</t>
  </si>
  <si>
    <t>RESOLUTIVE TIC S.L.</t>
  </si>
  <si>
    <t>D81917858</t>
  </si>
  <si>
    <t>PEREZ-LLORCA ABOGADOS S.L.P Y CIA S.COM.P</t>
  </si>
  <si>
    <t>F03014677</t>
  </si>
  <si>
    <t>CAJA RURAL CENTRAL</t>
  </si>
  <si>
    <t>F06002661</t>
  </si>
  <si>
    <t>CAJA RURAL EXTREMADURA</t>
  </si>
  <si>
    <t>F06294169</t>
  </si>
  <si>
    <t>Vi±aoliva SDAD COOP</t>
  </si>
  <si>
    <t>F10027423</t>
  </si>
  <si>
    <t>ACOREX S.C.L.</t>
  </si>
  <si>
    <t>F13002829</t>
  </si>
  <si>
    <t>CAJA RURAL DE CIUDAD REAL</t>
  </si>
  <si>
    <t>F20033361</t>
  </si>
  <si>
    <t>EROSKI SOCIEDAD COOPERATIVA</t>
  </si>
  <si>
    <t>F22003875</t>
  </si>
  <si>
    <t>COOPERATIVA LOS MONEGROS DE SARIÐENA SOCIEDAD COOP. LIMITADA</t>
  </si>
  <si>
    <t>F22009468</t>
  </si>
  <si>
    <t>AGROPIENSO S.C.L.</t>
  </si>
  <si>
    <t>F27005164</t>
  </si>
  <si>
    <t>CAIXA RURAL GALEGA S.C.C.L.G.</t>
  </si>
  <si>
    <t>F30004444</t>
  </si>
  <si>
    <t>HEFAME S.C.R.L.</t>
  </si>
  <si>
    <t>F31097280</t>
  </si>
  <si>
    <t>AN S.COOP.</t>
  </si>
  <si>
    <t>F32001976</t>
  </si>
  <si>
    <t>COOPERATIVAS ORENSANAS S.C.L.</t>
  </si>
  <si>
    <t>F33007337</t>
  </si>
  <si>
    <t>CAJA RURAL DE ASTURIAS</t>
  </si>
  <si>
    <t>F42001255</t>
  </si>
  <si>
    <t>CAJA RURAL DE SORIA</t>
  </si>
  <si>
    <t>F46078986</t>
  </si>
  <si>
    <t>CONSUM SOCIEDAD COOPERATIVA VALENCIANA</t>
  </si>
  <si>
    <t>F46090650</t>
  </si>
  <si>
    <t>CAIXA POPULAR COOPERATIVA DE CREDITO VALENCIANA</t>
  </si>
  <si>
    <t>F46099222</t>
  </si>
  <si>
    <t>ANECOOP S. COOP.</t>
  </si>
  <si>
    <t>F47005368</t>
  </si>
  <si>
    <t>SOCIEDAD COOPERATIVA GENERAL AGROPECUARIA ACOR</t>
  </si>
  <si>
    <t>F48037600</t>
  </si>
  <si>
    <t>BATZ S.C.I.</t>
  </si>
  <si>
    <t>F49002454</t>
  </si>
  <si>
    <t>CAJA RURAL DE ZAMORA</t>
  </si>
  <si>
    <t>F90280116</t>
  </si>
  <si>
    <t>BIDA FARMA SOC.COOP.AND.</t>
  </si>
  <si>
    <t>F91119065</t>
  </si>
  <si>
    <t>CAJA RURAL DEL SUR SOCIEDAD COOPERATIVA</t>
  </si>
  <si>
    <t>FR6932713</t>
  </si>
  <si>
    <t>IP-LABEL IBÃ‰RICA.</t>
  </si>
  <si>
    <t>G04535654</t>
  </si>
  <si>
    <t>FUNDACIÃ“N CAJAMAR</t>
  </si>
  <si>
    <t>G06066633</t>
  </si>
  <si>
    <t>Grupo Parlamentario Popular de Extremadura</t>
  </si>
  <si>
    <t>G07000045</t>
  </si>
  <si>
    <t>CAJA DE AHORROS DE POLLENSA-COLONYA</t>
  </si>
  <si>
    <t>G08171407</t>
  </si>
  <si>
    <t>FIATC - MUTUA DE SEGUROS GENERALES</t>
  </si>
  <si>
    <t>G08242463</t>
  </si>
  <si>
    <t>MUTUA UNIVERSAL MUGENAT MATEPSS N 10</t>
  </si>
  <si>
    <t>G08266298</t>
  </si>
  <si>
    <t>FUTBOL CLUB BARCELONA</t>
  </si>
  <si>
    <t>G08564379</t>
  </si>
  <si>
    <t>PARTIT SOCIALISTA DE CATALUNYA</t>
  </si>
  <si>
    <t>G14894158</t>
  </si>
  <si>
    <t>FUNDACION UNIVERSIDAD DE LOYOLA ANDALUCIA</t>
  </si>
  <si>
    <t>G17048190</t>
  </si>
  <si>
    <t>HOSPITAL PARTICULAR DE PUIGCERDA</t>
  </si>
  <si>
    <t>G17053596</t>
  </si>
  <si>
    <t>HOSPITAL DE PALAMOS</t>
  </si>
  <si>
    <t>G28029643</t>
  </si>
  <si>
    <t>SOCIEDAD GENERAL DE AUTORES Y EDITORES</t>
  </si>
  <si>
    <t>G28031466</t>
  </si>
  <si>
    <t>PELAYO MUTUA DE SEGUROS</t>
  </si>
  <si>
    <t>G28034718</t>
  </si>
  <si>
    <t>REAL MADRID CLUB DE FUTBOL</t>
  </si>
  <si>
    <t>G28474898</t>
  </si>
  <si>
    <t>UNION GENERAL DE TRABAJADORES</t>
  </si>
  <si>
    <t>G28477727</t>
  </si>
  <si>
    <t>PARTIDO SOCIALISTA OBRERO ESPAÐOL</t>
  </si>
  <si>
    <t>G35813294</t>
  </si>
  <si>
    <t>CENTRAL DE SERVICIOS HOTELEROS</t>
  </si>
  <si>
    <t>G38004297</t>
  </si>
  <si>
    <t>MUTUA TINERFEÐA DE SEGUROS</t>
  </si>
  <si>
    <t>G38303525</t>
  </si>
  <si>
    <t>MUTUA DE ACCIDENTES DE CANARIAS</t>
  </si>
  <si>
    <t>G39008321</t>
  </si>
  <si>
    <t>MUTUA MONTAÐESA</t>
  </si>
  <si>
    <t>G41098609</t>
  </si>
  <si>
    <t>CONFEDERACION DE EMPRESARIOS DE ANDALUCIA</t>
  </si>
  <si>
    <t>G47549811</t>
  </si>
  <si>
    <t>FUNDACION DEL PATRIMONIO NATURAL DE CASTILLA Y LEON</t>
  </si>
  <si>
    <t>G55617302</t>
  </si>
  <si>
    <t>FUNDACIO TARRAGONA 2017</t>
  </si>
  <si>
    <t>G58277534</t>
  </si>
  <si>
    <t>MEDICOS SIN FRONTERAS</t>
  </si>
  <si>
    <t>G58899998</t>
  </si>
  <si>
    <t>FUNDACIO BANCARIA CAIXA D'ESTALVIS I PENSIONS DE BARCELONA</t>
  </si>
  <si>
    <t>G60328796</t>
  </si>
  <si>
    <t>MUTUA INTERCOMARCAL MUTUA NM. 39</t>
  </si>
  <si>
    <t>G62411624</t>
  </si>
  <si>
    <t>FUNDACIO JESUI EDUC</t>
  </si>
  <si>
    <t>G64438997</t>
  </si>
  <si>
    <t>EGARSAT MATEPSS N 276</t>
  </si>
  <si>
    <t>G65760431</t>
  </si>
  <si>
    <t>FUNDACION MOBILE WORLD CAPITAL FOUNDATION</t>
  </si>
  <si>
    <t>G78085149</t>
  </si>
  <si>
    <t>FEDERACION DE EMPLEADOS Y EMPLEADAS DE LOS SERVICIOS PUBLICOS FESP-UGT</t>
  </si>
  <si>
    <t>G79514378</t>
  </si>
  <si>
    <t>CONFEDERACION DE SINDICATOS INDEPENDIENTES Y SINDICAL DE FUNCIONARIOS</t>
  </si>
  <si>
    <t>G80757560</t>
  </si>
  <si>
    <t>ASOCIACION ESPAÃ‘A CON ACNUR</t>
  </si>
  <si>
    <t>G81352247</t>
  </si>
  <si>
    <t>FUNDACION DEL TEATRO REAL</t>
  </si>
  <si>
    <t>G82086810</t>
  </si>
  <si>
    <t>FUNDACION TELEFONICA</t>
  </si>
  <si>
    <t>G82382987</t>
  </si>
  <si>
    <t>FUNDACION ADECCO</t>
  </si>
  <si>
    <t>G82880923</t>
  </si>
  <si>
    <t>FUNDACION CAROLINA</t>
  </si>
  <si>
    <t>G83117374</t>
  </si>
  <si>
    <t>FUNDACION SECRETARIADO GITANO</t>
  </si>
  <si>
    <t>G84451087</t>
  </si>
  <si>
    <t>Fundaci¾n UNICEF-ComitÚ Espa±ol</t>
  </si>
  <si>
    <t>G85216463</t>
  </si>
  <si>
    <t>FUNDACION AMIGOS DE RADIO MARIA</t>
  </si>
  <si>
    <t>G85918282</t>
  </si>
  <si>
    <t>ASOCIACION DE RADIO TAXI DE ESPAÐA</t>
  </si>
  <si>
    <t>G86106630</t>
  </si>
  <si>
    <t>AMETIC</t>
  </si>
  <si>
    <t>G87045340</t>
  </si>
  <si>
    <t>Agrupacion de Eurodiputados Socialistas Espa±oles 2014</t>
  </si>
  <si>
    <t>G93040566</t>
  </si>
  <si>
    <t>FUNDACION BANCARIA UNICAJA</t>
  </si>
  <si>
    <t>G97544829</t>
  </si>
  <si>
    <t>FUNDACIO DE LA COMUNITAT VALENCIANA PALAU DE LES ARTS</t>
  </si>
  <si>
    <t>N4001649E</t>
  </si>
  <si>
    <t>MC DONALDS SISTEMAS DE ESPAÐA INC.</t>
  </si>
  <si>
    <t>P0303100B</t>
  </si>
  <si>
    <t>AYUNTAMIENTO DE BENIDORM</t>
  </si>
  <si>
    <t>P0308200E</t>
  </si>
  <si>
    <t>AYUNTAMIENTO DE JAVEA</t>
  </si>
  <si>
    <t>P0400000F</t>
  </si>
  <si>
    <t>DIPUTACION PROVINCIAL DE ALMERIA</t>
  </si>
  <si>
    <t>P0601100A</t>
  </si>
  <si>
    <t>AYUNTAMIENTO DE ALMENDRALEJO</t>
  </si>
  <si>
    <t>P0601500B</t>
  </si>
  <si>
    <t>AYUNTAMIENTO DE BADAJOZ</t>
  </si>
  <si>
    <t>P0701100J</t>
  </si>
  <si>
    <t>AJUNTAMENT DE CALVIA</t>
  </si>
  <si>
    <t>P0800000B</t>
  </si>
  <si>
    <t>DIPUTACIO PROVINCIAL DE BARCELONA</t>
  </si>
  <si>
    <t>P0801900B</t>
  </si>
  <si>
    <t>AJUNTAMENT DE BARCELONA</t>
  </si>
  <si>
    <t>P0812300B</t>
  </si>
  <si>
    <t>AJUNTAMENT DE MOLLET DEL VALLES</t>
  </si>
  <si>
    <t>P1018400J</t>
  </si>
  <si>
    <t>AYUNTAMIENTO DE TALAYUELA</t>
  </si>
  <si>
    <t>P1100800J</t>
  </si>
  <si>
    <t>AYUNTAMIENTO DE LOS BARRIOS</t>
  </si>
  <si>
    <t>P1101200B</t>
  </si>
  <si>
    <t>AYUNTAMIENTO DE CADIZ</t>
  </si>
  <si>
    <t>P1103200J</t>
  </si>
  <si>
    <t>AYUNTAMIENTO DE SANLUCAR DE BARRAMEDA</t>
  </si>
  <si>
    <t>P1500000C</t>
  </si>
  <si>
    <t>DIPUTACION PROVINCIAL DE LA CORUÐA</t>
  </si>
  <si>
    <t>P1507900G</t>
  </si>
  <si>
    <t>CONCELLO DE SANTIAGO DE COMPOSTELA</t>
  </si>
  <si>
    <t>P1800000J</t>
  </si>
  <si>
    <t>DIPUTACION PROVINCIAL DE GRANADA</t>
  </si>
  <si>
    <t>P2101000D</t>
  </si>
  <si>
    <t>AYUNTAMIENTO DE AYAMONTE</t>
  </si>
  <si>
    <t>P2200125I</t>
  </si>
  <si>
    <t>COMARCA DE LA JACETANIA</t>
  </si>
  <si>
    <t>P2500000A</t>
  </si>
  <si>
    <t>DIPUTACIO PROVINCIAL DE LLEIDA</t>
  </si>
  <si>
    <t>P2515100B</t>
  </si>
  <si>
    <t>AJUNTAMENT DE LLEIDA</t>
  </si>
  <si>
    <t>P2608900C</t>
  </si>
  <si>
    <t>AYUNTAMIENTO DE LOGROÐO</t>
  </si>
  <si>
    <t>P2800031C</t>
  </si>
  <si>
    <t>IAM INFORMATICA DEL AYUNTAMIENTO DE MADRID</t>
  </si>
  <si>
    <t>P2800500G</t>
  </si>
  <si>
    <t>AYUNTAMIENTO DE ALCALA DE HENARES</t>
  </si>
  <si>
    <t>P2800700C</t>
  </si>
  <si>
    <t>AYUNTAMIENTO DE ALCORCON</t>
  </si>
  <si>
    <t>P2805800F</t>
  </si>
  <si>
    <t>AYUNTAMIENTO DE FUENLABRADA</t>
  </si>
  <si>
    <t>P2806500A</t>
  </si>
  <si>
    <t>AYUNTAMIENTO DE GETAFE</t>
  </si>
  <si>
    <t>P2808000J</t>
  </si>
  <si>
    <t>AYUNTAMIENTO DE MAJADAHONDA</t>
  </si>
  <si>
    <t>P2812700I</t>
  </si>
  <si>
    <t>AYUNTAMIENTO DE LAS ROZAS</t>
  </si>
  <si>
    <t>P2818400J</t>
  </si>
  <si>
    <t>AYUNTAMIENTO DE TRES CANTOS</t>
  </si>
  <si>
    <t>P2906900B</t>
  </si>
  <si>
    <t>AYUNTAMIENTO DE MARBELLA</t>
  </si>
  <si>
    <t>P3001700H</t>
  </si>
  <si>
    <t>AYUNTAMIENTO DE CEHEGIN</t>
  </si>
  <si>
    <t>P3002700G</t>
  </si>
  <si>
    <t>AYUNTAMIENTO DE MOLINA DE SEGURA</t>
  </si>
  <si>
    <t>P3004500I</t>
  </si>
  <si>
    <t>AYUNTAMIENTO DE LOS ALCAZARES</t>
  </si>
  <si>
    <t>P3300400C</t>
  </si>
  <si>
    <t>AYUNTAMIENTO DE AVILES</t>
  </si>
  <si>
    <t>P3302400A</t>
  </si>
  <si>
    <t>AYUNTAMIENTO DE GIJON</t>
  </si>
  <si>
    <t>P3501700C</t>
  </si>
  <si>
    <t>AYUNTAMIENTO DE LAS PALMAS</t>
  </si>
  <si>
    <t>P3502000G</t>
  </si>
  <si>
    <t>AYUNTAMIENTO DE SAN BARTOLOME DE TIRAJANA</t>
  </si>
  <si>
    <t>P3502300A</t>
  </si>
  <si>
    <t>AYUNTAMIENTO DE SANTA LUCIA</t>
  </si>
  <si>
    <t>P3502600D</t>
  </si>
  <si>
    <t>AYUNTAMIENTO DE TELDE</t>
  </si>
  <si>
    <t>P3502700B</t>
  </si>
  <si>
    <t>AYUNTAMIENTO DE TEROR</t>
  </si>
  <si>
    <t>P3601700B</t>
  </si>
  <si>
    <t>CONCELLO DE A ESTRADA</t>
  </si>
  <si>
    <t>P3727600C</t>
  </si>
  <si>
    <t>AYUNTAMIENTO DE SALAMANCA</t>
  </si>
  <si>
    <t>P3800100D</t>
  </si>
  <si>
    <t>AYUNTAMIENTO DE ADEJE</t>
  </si>
  <si>
    <t>P3801900F</t>
  </si>
  <si>
    <t>AYUNTAMIENTO DE GUIA DE ISORA</t>
  </si>
  <si>
    <t>P3802500C</t>
  </si>
  <si>
    <t>AYUNTAMIENTO DE LA MATANZA</t>
  </si>
  <si>
    <t>P3802600A</t>
  </si>
  <si>
    <t>AYUNTAMIENTO DE LA OROTAVA</t>
  </si>
  <si>
    <t>P3802800G</t>
  </si>
  <si>
    <t>AYUNTAMIENTO DEL PUERTO DE LA CRUZ</t>
  </si>
  <si>
    <t>P3803700H</t>
  </si>
  <si>
    <t>AYUNTAMIENTO DE SANTA CRUZ DE LA PALMA</t>
  </si>
  <si>
    <t>P3803900D</t>
  </si>
  <si>
    <t>AYUNTAMIENTO DE SANTA URSULA</t>
  </si>
  <si>
    <t>P3907500G</t>
  </si>
  <si>
    <t>AYUNTAMIENTO DE SANTANDER</t>
  </si>
  <si>
    <t>P4103800A</t>
  </si>
  <si>
    <t>AYUNTAMIENTO DE DOS HERMANAS</t>
  </si>
  <si>
    <t>P4300000I</t>
  </si>
  <si>
    <t>DIPUTACIO PROVINCIAL DE TARRAGONA</t>
  </si>
  <si>
    <t>P4300080A</t>
  </si>
  <si>
    <t>Ajuntament de la Canonja</t>
  </si>
  <si>
    <t>P4315000B</t>
  </si>
  <si>
    <t>AJUNTAMENT DE TARRAGONA</t>
  </si>
  <si>
    <t>P4609900H</t>
  </si>
  <si>
    <t>AYUNTAMIENTO DE COFRENTES</t>
  </si>
  <si>
    <t>P4700000E</t>
  </si>
  <si>
    <t>DIPUTACION PROVINCIAL DE VALLADOLID</t>
  </si>
  <si>
    <t>P4800005C</t>
  </si>
  <si>
    <t>CONSORCIO DE AGUAS BILBAO BIZKAIA</t>
  </si>
  <si>
    <t>P5300008I</t>
  </si>
  <si>
    <t>CONSORCIO PROVINCIAL PARA EL SERVICIO DE PREVENCION Y EXTINCION DE INCENDIOS</t>
  </si>
  <si>
    <t>P5800016G</t>
  </si>
  <si>
    <t>ORGANISME DE GESTIO TRIBUTARIA</t>
  </si>
  <si>
    <t>P5801908D</t>
  </si>
  <si>
    <t>INSTITUT MUNICIPAL D'INFORMATICA DE BARCELONA</t>
  </si>
  <si>
    <t>Q0466003A</t>
  </si>
  <si>
    <t>COLEGIO OFICIAL FARMACEUTICO DE ALMERIA</t>
  </si>
  <si>
    <t>Q0600413I</t>
  </si>
  <si>
    <t>SERVICIO EXTREMEÐO DE SALUD</t>
  </si>
  <si>
    <t>Q0617001C</t>
  </si>
  <si>
    <t>CONFEDERACION HIDROGRAFICA DEL GUADIANA</t>
  </si>
  <si>
    <t>Q0719003F</t>
  </si>
  <si>
    <t>IB SALUT</t>
  </si>
  <si>
    <t>Q0767004E</t>
  </si>
  <si>
    <t>AUTORIDAD PORTUARIA DE BALEARES</t>
  </si>
  <si>
    <t>Q0801643H</t>
  </si>
  <si>
    <t>CENTRE DE ATENCIO I GESTIO DE TRUCADES DE URGENCIA 112 CATALUNYA CAGTU</t>
  </si>
  <si>
    <t>Q1166002D</t>
  </si>
  <si>
    <t>COLEGIO OFICIAL DE FARMACEUTICOS DE CADIZ</t>
  </si>
  <si>
    <t>Q1368009E</t>
  </si>
  <si>
    <t>UNIVERSIDAD DE CASTILLA-LA MANCHA</t>
  </si>
  <si>
    <t>Q2166002B</t>
  </si>
  <si>
    <t>COLEGIO OFICIAL DE FARMACEUTICOS DE HUELVA</t>
  </si>
  <si>
    <t>Q2800026C</t>
  </si>
  <si>
    <t>RED.ES COLEGIOS LA RIOJA</t>
  </si>
  <si>
    <t>Q2801036A</t>
  </si>
  <si>
    <t>CONSEJO DE SEGURIDAD NUCLEAR</t>
  </si>
  <si>
    <t>Q2801221I</t>
  </si>
  <si>
    <t>SERVICIO MADRILEÐO DE SALUD</t>
  </si>
  <si>
    <t>Q2801277A</t>
  </si>
  <si>
    <t>ORGANISMO AUTONOMO MADRID 112</t>
  </si>
  <si>
    <t>Q2801659J</t>
  </si>
  <si>
    <t>RENFE OPERADORA</t>
  </si>
  <si>
    <t>Q2801668A</t>
  </si>
  <si>
    <t>AGENCIA ESTATAL DE METEOROLOGIA</t>
  </si>
  <si>
    <t>Q2802407C</t>
  </si>
  <si>
    <t>GERENCIA DE INFORMATICA DE LA SEGURIDAD SOCIAL</t>
  </si>
  <si>
    <t>Q2803011B</t>
  </si>
  <si>
    <t>UNIVERSIDAD REY JUAN CARLOS</t>
  </si>
  <si>
    <t>Q2813014D</t>
  </si>
  <si>
    <t>AGENCIA ESPAÐOLA DE PROTECCION DE DATOS</t>
  </si>
  <si>
    <t>Q2818015F</t>
  </si>
  <si>
    <t>UNIVERSIDAD POLITECNICA DE MADRID</t>
  </si>
  <si>
    <t>Q2818018J</t>
  </si>
  <si>
    <t>UNIVERSIDAD DE ALCALA</t>
  </si>
  <si>
    <t>Q2820007I</t>
  </si>
  <si>
    <t>INSTITUTO TECNOLOGICO GEOMINERO DE ESPAÐA</t>
  </si>
  <si>
    <t>Q2822001J</t>
  </si>
  <si>
    <t>ENAIRE</t>
  </si>
  <si>
    <t>Q2826000H</t>
  </si>
  <si>
    <t>AGENCIA ESTATAL DE ADMINISTRACION TRIBUTARIA</t>
  </si>
  <si>
    <t>Q2826004J</t>
  </si>
  <si>
    <t>ENTE PUBLICO FABRICA NACIONAL DE MONEDA Y TIMBRE</t>
  </si>
  <si>
    <t>Q2827003A</t>
  </si>
  <si>
    <t>TESORERIA GENERAL DE LA SEGURIDAD SOCIAL-SERVICIOS CENTRALES</t>
  </si>
  <si>
    <t>Q2828002B</t>
  </si>
  <si>
    <t>INSTITUTO DE LA JUVENTUD</t>
  </si>
  <si>
    <t>Q2828016B</t>
  </si>
  <si>
    <t>INSTITUTO DE LA MUJER Y PARA LA IGUALDAD DE OPORTUNIDADES</t>
  </si>
  <si>
    <t>Q2828018H</t>
  </si>
  <si>
    <t>MUSEO NACIONAL DEL PRADO</t>
  </si>
  <si>
    <t>Q2863002H</t>
  </si>
  <si>
    <t>ICAM - ILUSTRE COLEGIO DE ABOGADOS DE MA</t>
  </si>
  <si>
    <t>Q2863006I</t>
  </si>
  <si>
    <t>CONSEJO GENERAL ABOGACIA ESPAÐOLA</t>
  </si>
  <si>
    <t>Q2863012G</t>
  </si>
  <si>
    <t>COLEGIO DE REGISTRADORES DE LA PROPIEDAD</t>
  </si>
  <si>
    <t>Q2866001G</t>
  </si>
  <si>
    <t>CRUZ ROJA ESPAÐOLA</t>
  </si>
  <si>
    <t>Q2866004A</t>
  </si>
  <si>
    <t>ORGANIZACION NACIONAL DE CIEGOS ESPAÐOLES GRUPO</t>
  </si>
  <si>
    <t>Q2866011F</t>
  </si>
  <si>
    <t>COLEGIO OFICIAL DE FARMACEUTICOS DE MADRID</t>
  </si>
  <si>
    <t>Q2873001H</t>
  </si>
  <si>
    <t>CAMARA OFICIAL DE COMERCIO E INDUSTRIA DE MADRID</t>
  </si>
  <si>
    <t>Q2878017I</t>
  </si>
  <si>
    <t>REAL FEDERACION ESPAÃ‘OLA DE FUTBOL</t>
  </si>
  <si>
    <t>Q2891006E</t>
  </si>
  <si>
    <t>ENTIDAD PUBLICA EMPRESARIAL RED.ES</t>
  </si>
  <si>
    <t>Q3150012G</t>
  </si>
  <si>
    <t>UNIVERSIDAD PUBLICA DE NAVARRA</t>
  </si>
  <si>
    <t>Q3200109A</t>
  </si>
  <si>
    <t>CONFEDERACION HIDROGRAFICA DEL MIÐO-SIL</t>
  </si>
  <si>
    <t>Q3318001I</t>
  </si>
  <si>
    <t>UNIVERSIDAD DE OVIEDO</t>
  </si>
  <si>
    <t>Q3518001G</t>
  </si>
  <si>
    <t>UNIVERSIDAD DE LAS PALMAS DE GRAN CANARIA</t>
  </si>
  <si>
    <t>Q3866002C</t>
  </si>
  <si>
    <t>COLEGIO OFICIAL DE FARMACEUTICOS DE SANTA CRUZ DE TENERIFE</t>
  </si>
  <si>
    <t>Q3967003I</t>
  </si>
  <si>
    <t>AUTORIDAD PORTUARIA DE SANTANDER</t>
  </si>
  <si>
    <t>Q4100710E</t>
  </si>
  <si>
    <t>EMPRESA PUB. SANITARIA BAJO GUADALQUIVIR</t>
  </si>
  <si>
    <t>angel.martinezpayerpaj@telefonica.com</t>
  </si>
  <si>
    <t>Q4118001I</t>
  </si>
  <si>
    <t>UNIVERSIDAD DE SEVILLA</t>
  </si>
  <si>
    <t>Q4166002H</t>
  </si>
  <si>
    <t>COLEGIO OFICIAL DE FARMACEUTICOS DE SEVILLA</t>
  </si>
  <si>
    <t>Q4500146H</t>
  </si>
  <si>
    <t>SERVICIO DE SALUD DE CASTILLA LA MANCHA</t>
  </si>
  <si>
    <t>Q4500386J</t>
  </si>
  <si>
    <t>CONSEJO DE COLEGIOS OFICIALES DE FARMACEUTICOS DE C LA MANCHA</t>
  </si>
  <si>
    <t>Q4601414H</t>
  </si>
  <si>
    <t>Corporacio Valenciana de Mitjans de Comunicacio</t>
  </si>
  <si>
    <t>Q4673004J</t>
  </si>
  <si>
    <t>Feria Muestrario Internacional de Valencia</t>
  </si>
  <si>
    <t>Q4700608E</t>
  </si>
  <si>
    <t>GERENCIA REGIONAL DE SALUD DE CASTILLA Y LEON</t>
  </si>
  <si>
    <t>Q5017001H</t>
  </si>
  <si>
    <t>CONFEDERACION HIDROGRAFICA DEL EBRO</t>
  </si>
  <si>
    <t>Q5450010C</t>
  </si>
  <si>
    <t>EMPRESA PUBLICA HOSPITAL DE PONIENTE</t>
  </si>
  <si>
    <t>Q5855022I</t>
  </si>
  <si>
    <t>FEDERACION CATALANA DE FUTBOL</t>
  </si>
  <si>
    <t>Q5856145G</t>
  </si>
  <si>
    <t>CONSORCI SANITARI DE TERRASSA</t>
  </si>
  <si>
    <t>Q5856254G</t>
  </si>
  <si>
    <t>CONSORCI SANITARI INTEGRAL</t>
  </si>
  <si>
    <t>Q5856338H</t>
  </si>
  <si>
    <t>CENTRE DE TELECOMUNICACIONES DE CATALUNYA</t>
  </si>
  <si>
    <t>Q6550006H</t>
  </si>
  <si>
    <t>SERVICIO GALLEGO DE SAUDE</t>
  </si>
  <si>
    <t>Q6750003C</t>
  </si>
  <si>
    <t>INSTITUT D'ASSISTENCIA SANITARIA</t>
  </si>
  <si>
    <t>Q7850054C</t>
  </si>
  <si>
    <t>AGENCIA PARA LA ADMINISTRACION DIGITAL DE LA COMUNIDAD DE MADRID</t>
  </si>
  <si>
    <t>Q8050008E</t>
  </si>
  <si>
    <t>SERVICIO MURCIANO DE SALUD CENTROS PROVINCIALES</t>
  </si>
  <si>
    <t>R2800137H</t>
  </si>
  <si>
    <t>ARZOBISPADO DE MADRID</t>
  </si>
  <si>
    <t>R2800595G</t>
  </si>
  <si>
    <t>CONGREGACION LEGIONARIOS DE CRISTO</t>
  </si>
  <si>
    <t>R4100058I</t>
  </si>
  <si>
    <t>HERMANOS ESCUELAS CRISTIANAS</t>
  </si>
  <si>
    <t>R4600053E</t>
  </si>
  <si>
    <t>ESCUELAS CRISTIANAS HERMANOS DE LAS RESIDENCIA PROVINCIAL LA SALLE DE PATERNA</t>
  </si>
  <si>
    <t>R4868004E</t>
  </si>
  <si>
    <t>UNIVERSIDAD DE DEUSTO</t>
  </si>
  <si>
    <t>S0611001I</t>
  </si>
  <si>
    <t>JUNTA DE EXTREMADURA</t>
  </si>
  <si>
    <t>S1511001H</t>
  </si>
  <si>
    <t>XUNTA DE GALICIA</t>
  </si>
  <si>
    <t>S1533001B</t>
  </si>
  <si>
    <t>PARLAMENTO DE GALICIA</t>
  </si>
  <si>
    <t>S1911001D</t>
  </si>
  <si>
    <t>JUNTA DE COMUNIDADES DE CASTILLA LA MANCHA</t>
  </si>
  <si>
    <t>S2633001I</t>
  </si>
  <si>
    <t>COMUNIDAD AUTONOMA DE LA RIOJA</t>
  </si>
  <si>
    <t>sergio.custardoytorres@telefonica.com</t>
  </si>
  <si>
    <t>S2800109G</t>
  </si>
  <si>
    <t>SECRETARIA DE ESTADO DE SEGURIDAD</t>
  </si>
  <si>
    <t>S2800168C</t>
  </si>
  <si>
    <t>INSTITUTO NACIONAL DE TECNOLOGIAS EDUCATIVAS Y DE FORMACION DEL PROFESORADO</t>
  </si>
  <si>
    <t>S2800214E</t>
  </si>
  <si>
    <t>MINISTERIO DE INDUSTRIA ENERGIA Y TURISMO</t>
  </si>
  <si>
    <t>S2800556I</t>
  </si>
  <si>
    <t>MINISTERIO DE AGRICULTURA, ALIMENTACION Y MEDIO AMBIENTE</t>
  </si>
  <si>
    <t>S2800560A</t>
  </si>
  <si>
    <t>SECRETARIA DE ESTADO DE IGUALDAD</t>
  </si>
  <si>
    <t>S2800578C</t>
  </si>
  <si>
    <t>AGENCIA ESPAÐOLA DE PROTENCION DE LA SALUD EN EL DEPORTE</t>
  </si>
  <si>
    <t>S2801001E</t>
  </si>
  <si>
    <t>JEFATURA DEL ESTADO</t>
  </si>
  <si>
    <t>S2801109F</t>
  </si>
  <si>
    <t>Direcci¾n General de Ordenaci¾n del Juego</t>
  </si>
  <si>
    <t>ricardojose.lordencanton.ext@telefonica.com</t>
  </si>
  <si>
    <t>S2801213F</t>
  </si>
  <si>
    <t>DIRECCION GENERAL DE RACIONALIZACION Y CENTRALIZACION DE LA CONTRATACION</t>
  </si>
  <si>
    <t>S2804002J</t>
  </si>
  <si>
    <t>CONGRESO DE LOS DIPUTADOS</t>
  </si>
  <si>
    <t>S2804003H</t>
  </si>
  <si>
    <t>SENADO</t>
  </si>
  <si>
    <t>S2804005C</t>
  </si>
  <si>
    <t>DEFENSOR DEL PUEBLO</t>
  </si>
  <si>
    <t>S2804008G</t>
  </si>
  <si>
    <t>CONSEJO GENERAL DEL PODER JUDICIAL</t>
  </si>
  <si>
    <t>S2811001C</t>
  </si>
  <si>
    <t>MINISTERIO DE LA PRESIDENCIA</t>
  </si>
  <si>
    <t>S2813610I</t>
  </si>
  <si>
    <t>MINISTERIO DE JUSTICIA</t>
  </si>
  <si>
    <t>S2816003D</t>
  </si>
  <si>
    <t>DIRECCION GENERAL DE LA GUARDIA CIVIL</t>
  </si>
  <si>
    <t>S2816015H</t>
  </si>
  <si>
    <t>DIRECCION GENERAL DE LA POLICIA</t>
  </si>
  <si>
    <t>S2819001E</t>
  </si>
  <si>
    <t>MINISTERIO DE EMPLEO Y SEGURIDAD SOCIAL</t>
  </si>
  <si>
    <t>S2823002G</t>
  </si>
  <si>
    <t>SECRETARIA GENERAL DE PESCA</t>
  </si>
  <si>
    <t>S2826020F</t>
  </si>
  <si>
    <t>TRIBUNAL DE CUENTAS DEL REINO</t>
  </si>
  <si>
    <t>S2827001E</t>
  </si>
  <si>
    <t>MINISTERIO DE SANIDAD, SERVICIOS SOCIALES E IGUALDAD</t>
  </si>
  <si>
    <t>S2830132C</t>
  </si>
  <si>
    <t>SUBSECRETARIA DEFENSA CESID</t>
  </si>
  <si>
    <t>S3333001J</t>
  </si>
  <si>
    <t>PRINCIPADO DE ASTURIAS</t>
  </si>
  <si>
    <t>S3900031J</t>
  </si>
  <si>
    <t>HOSPITAL UNIVERSITARIO MARQUES DE VALDECILLA-SANTANDER</t>
  </si>
  <si>
    <t>DAVID LOZANO NUÑEZ</t>
  </si>
  <si>
    <t>david.lozanonunez@telefonica.com</t>
  </si>
  <si>
    <t>S3933002B</t>
  </si>
  <si>
    <t>GOBIERNO DE CANTABRIA</t>
  </si>
  <si>
    <t>S4111001F</t>
  </si>
  <si>
    <t>JUNTA DE ANDALUCIA</t>
  </si>
  <si>
    <t>S4133001J</t>
  </si>
  <si>
    <t>PARLAMENTO DE ANDALUCIA</t>
  </si>
  <si>
    <t>S4500020E</t>
  </si>
  <si>
    <t>RADIO TELEVISION DE CASTILLA LA MANCHA</t>
  </si>
  <si>
    <t>S4611001A</t>
  </si>
  <si>
    <t>GENERALITAT VALENCIANA</t>
  </si>
  <si>
    <t>S4711001J</t>
  </si>
  <si>
    <t>JUNTA DE CASTILLA Y LEON</t>
  </si>
  <si>
    <t>S4733001D</t>
  </si>
  <si>
    <t>CORTES DE CASTILLA Y LEÃ“N</t>
  </si>
  <si>
    <t>S4833001C</t>
  </si>
  <si>
    <t>GOBIERNO VASCO-EUSKO JAURLARITZA</t>
  </si>
  <si>
    <t>S5011001D</t>
  </si>
  <si>
    <t>DIPUTACION GENERAL DE ARAGON</t>
  </si>
  <si>
    <t>SK2022310</t>
  </si>
  <si>
    <t>ZURICH INSURANCE PLC</t>
  </si>
  <si>
    <t>U16288144</t>
  </si>
  <si>
    <t>UTE CONSTRUCCION NUEVO HOSPITAL DE CUENCA</t>
  </si>
  <si>
    <t>U38830642</t>
  </si>
  <si>
    <t>LA LAGUNA GESTION ACTIVA U.T.E.</t>
  </si>
  <si>
    <t>U55578884</t>
  </si>
  <si>
    <t>TCAT SERVEIS DE TECNOLOGIES DE LA INFORMACION</t>
  </si>
  <si>
    <t>U86846961</t>
  </si>
  <si>
    <t>UTE MADRID SUR MOVILIDAD III</t>
  </si>
  <si>
    <t>U87151205</t>
  </si>
  <si>
    <t>UTE PICADAS</t>
  </si>
  <si>
    <t>U87235495</t>
  </si>
  <si>
    <t>UTE TELSON IMPURSA</t>
  </si>
  <si>
    <t>U87648481</t>
  </si>
  <si>
    <t>UTE PARQUES SINGULARES LOTE 2</t>
  </si>
  <si>
    <t>V04256954</t>
  </si>
  <si>
    <t>PRIMAFLOR S.A.T. 9855</t>
  </si>
  <si>
    <t>V12465118</t>
  </si>
  <si>
    <t>PORCELANOSA GRUPO AIE</t>
  </si>
  <si>
    <t>V28027118</t>
  </si>
  <si>
    <t>MUTUA MADRILEÐA AUTOMOVILISTA</t>
  </si>
  <si>
    <t>V28277002</t>
  </si>
  <si>
    <t>LORETO MUTUA, MUTUALIDAD DE PREVISION SOCIAL</t>
  </si>
  <si>
    <t>V30405880</t>
  </si>
  <si>
    <t>S.A.T. N. 9504 URCISOL</t>
  </si>
  <si>
    <t>V38580064</t>
  </si>
  <si>
    <t>HOSPITEN GESTION A.I.E.</t>
  </si>
  <si>
    <t>ATENCION POOL (OSCAR CANO SOMOLINOS)</t>
  </si>
  <si>
    <t>V81570335</t>
  </si>
  <si>
    <t>GRUPO GENERALI ESPAÐA A.I.E.</t>
  </si>
  <si>
    <t>V83659409</t>
  </si>
  <si>
    <t>AEGON ADMINISTRACION Y SERVICIOS AIE</t>
  </si>
  <si>
    <t>V85586857</t>
  </si>
  <si>
    <t>SANTA LUCIA SERVICIOS COMPARTIDOS A.I.E.</t>
  </si>
  <si>
    <t>V85737112</t>
  </si>
  <si>
    <t>FONDO DE REESTRUCTURACION ORDENADA BANCA</t>
  </si>
  <si>
    <t>V87047692</t>
  </si>
  <si>
    <t>PLATAFORMA MADRID AIE</t>
  </si>
  <si>
    <t>W0031608C</t>
  </si>
  <si>
    <t>MITSUBISHI ELECTRIC EUROPE B.V. SUCURSAL EN ESPAÐA</t>
  </si>
  <si>
    <t>W0037233D</t>
  </si>
  <si>
    <t>ROADIS Transportation B.V. Sucursal en Espa±a</t>
  </si>
  <si>
    <t>W0037986G</t>
  </si>
  <si>
    <t>ING BANK N.V. SUCURSAL EN ESPAÐA</t>
  </si>
  <si>
    <t>W0067198B</t>
  </si>
  <si>
    <t>SAGE OVERSEAS LIMITED SUCURSAL EN ESPAÐA</t>
  </si>
  <si>
    <t>W0072130H</t>
  </si>
  <si>
    <t>ZURICH INSURANCE PLC SUCURSAL EN ESPAÐA</t>
  </si>
  <si>
    <t>W0102800J</t>
  </si>
  <si>
    <t>BANCO ESPIRITO SANTO S.A. SUC. EN ESPAÃ‘A</t>
  </si>
  <si>
    <t>W0182798I</t>
  </si>
  <si>
    <t>TELEFONICA SEGUROS SUCURSAL EN ESPAÐA</t>
  </si>
  <si>
    <t>W4008477D</t>
  </si>
  <si>
    <t>LOGTRUST INC SUCURSAL EN ESPAÐA</t>
  </si>
  <si>
    <t>W8260408C</t>
  </si>
  <si>
    <t>HOLMES PLACE ACTIVE SPAIN SAU</t>
  </si>
  <si>
    <t>W8265536F</t>
  </si>
  <si>
    <t>IAG GBS</t>
  </si>
  <si>
    <t>NOMBRE GTS</t>
  </si>
  <si>
    <t>MATRICULA</t>
  </si>
  <si>
    <t>MOVIL GTS</t>
  </si>
  <si>
    <t>DNX3537</t>
  </si>
  <si>
    <t xml:space="preserve">608 69 66 33 </t>
  </si>
  <si>
    <t>MUTUA MADRILEÑA AUTOMOVILISTA</t>
  </si>
  <si>
    <t>ALVARO SANCHEZ ALONSO</t>
  </si>
  <si>
    <t>DN10405</t>
  </si>
  <si>
    <t>alvaro.sanchezalonso.ext@telefonica.com</t>
  </si>
  <si>
    <t>682 04 80 40</t>
  </si>
  <si>
    <r>
      <t>TUENTI</t>
    </r>
    <r>
      <rPr>
        <b/>
        <sz val="11"/>
        <rFont val="Calibri"/>
        <family val="2"/>
      </rPr>
      <t xml:space="preserve"> </t>
    </r>
  </si>
  <si>
    <t>Telxius Cable España S.L.</t>
  </si>
  <si>
    <t>TELXIUS CABLE ESPAÑA</t>
  </si>
  <si>
    <t>TELEFONICA DIGITAL ESPAÑA S.L.</t>
  </si>
  <si>
    <t>DNX3535</t>
  </si>
  <si>
    <t>606 84 38 71</t>
  </si>
  <si>
    <t xml:space="preserve">WILLIAM STIWAR SABA GUTTY   </t>
  </si>
  <si>
    <t>DSX6855</t>
  </si>
  <si>
    <t>dario.pozhernandez@telefonica.com</t>
  </si>
  <si>
    <t>636 95 78 60</t>
  </si>
  <si>
    <t>RENFE VIAJEROS</t>
  </si>
  <si>
    <t>FRANCISCO LOPEZ GARCIA(DARIO POZO HERNANDEZ)</t>
  </si>
  <si>
    <t>AGENCIA ESPAÑOLA DE PROTECCION DE DATOS</t>
  </si>
  <si>
    <t>DNX3778</t>
  </si>
  <si>
    <t>699 04 51 13</t>
  </si>
  <si>
    <t>DNX6769</t>
  </si>
  <si>
    <t>683 70 50 01</t>
  </si>
  <si>
    <t>DNX6059</t>
  </si>
  <si>
    <t>682 89 33 77</t>
  </si>
  <si>
    <t>DNX5506</t>
  </si>
  <si>
    <t>616 30 03 45</t>
  </si>
  <si>
    <t>DS01789</t>
  </si>
  <si>
    <t>franciscojavier.nunezgarcia.ext@telefonica.com</t>
  </si>
  <si>
    <t>682 60 24 13</t>
  </si>
  <si>
    <t>FRANCISCO JAVIER PEREZ MIGUEL y Victor Manuel Parajúa Vazquez</t>
  </si>
  <si>
    <t>DNX7687</t>
  </si>
  <si>
    <t>franciscojavier.perezmiguel@telefonica.com</t>
  </si>
  <si>
    <t>606 92 79 11</t>
  </si>
  <si>
    <t>COMPAÑIA ESPAÑOLA DE PETROLEOS S.A.U.</t>
  </si>
  <si>
    <t>DS02055</t>
  </si>
  <si>
    <t>669 77 21 59</t>
  </si>
  <si>
    <t>DNX5870</t>
  </si>
  <si>
    <t>689 28 31 11</t>
  </si>
  <si>
    <t>DNX5894</t>
  </si>
  <si>
    <t xml:space="preserve">646 39 66 28 </t>
  </si>
  <si>
    <t>TECNOLOGIA DE LA INFORMACION Y REDES PARA LAS ENTIDADES ASEGURADORAS S.A. (TIREA)</t>
  </si>
  <si>
    <t>SERVICIO EXTREMEÑO DE SALUD (JUNTA DE EXTREMADURA)</t>
  </si>
  <si>
    <t>EMPRESA PUBLICA SANITARIA BAJO GUADALQUIVIR</t>
  </si>
  <si>
    <t>JUNTA DE EXTREMADURA-CONSEJERIA DE SANIDAD (JUNTA DE EXTREMADURA)</t>
  </si>
  <si>
    <t>DS02097</t>
  </si>
  <si>
    <t>608 16 01 43</t>
  </si>
  <si>
    <t>DS01819</t>
  </si>
  <si>
    <t>608 67 74 97</t>
  </si>
  <si>
    <t>ENEL ENERGY EUROPE S.L.</t>
  </si>
  <si>
    <t>DNX3927</t>
  </si>
  <si>
    <t>682 23 27 27</t>
  </si>
  <si>
    <t>DS01183</t>
  </si>
  <si>
    <t>690 60 68 52</t>
  </si>
  <si>
    <t>AGENCIA EFE S.A.</t>
  </si>
  <si>
    <t>carlos.rodriguezaguado.ext@telefonica.com</t>
  </si>
  <si>
    <t>646 32 39 77</t>
  </si>
  <si>
    <t>CORPORACION DE RADIO Y TELEVISION ESPAÐOLA S.A.</t>
  </si>
  <si>
    <t>DS01297</t>
  </si>
  <si>
    <t>608 09 55 86</t>
  </si>
  <si>
    <t>DNX5240</t>
  </si>
  <si>
    <t>628 09 30 05</t>
  </si>
  <si>
    <t>TELEFONICA INTERNATIONAL WHOLESALE SERVICES S.L. (TIWS)</t>
  </si>
  <si>
    <t>DN10455</t>
  </si>
  <si>
    <t>miguelangel.aybarbermejo.ext@telefonica.com</t>
  </si>
  <si>
    <t>646 39 21 77</t>
  </si>
  <si>
    <t>DN10435</t>
  </si>
  <si>
    <t>629 65 07 64</t>
  </si>
  <si>
    <t>dn10493</t>
  </si>
  <si>
    <t>618 79 00 56</t>
  </si>
  <si>
    <t>CUÑADO S.A.</t>
  </si>
  <si>
    <t>DNX6090</t>
  </si>
  <si>
    <t>618 62 40 75</t>
  </si>
  <si>
    <t>DEVO INC.SUCURSAL EN ESPAÑA</t>
  </si>
  <si>
    <t>DSX6999</t>
  </si>
  <si>
    <t>618 14 10 33</t>
  </si>
  <si>
    <t>NOVOBANCO</t>
  </si>
  <si>
    <t xml:space="preserve">RAFAEL MUÑOZ NAVAS </t>
  </si>
  <si>
    <t>DS01899</t>
  </si>
  <si>
    <t>RAFAEL.MUNOZNAVAS.ext@telefonica.com</t>
  </si>
  <si>
    <t>686 26 28 00</t>
  </si>
  <si>
    <t>DN10753</t>
  </si>
  <si>
    <t>639 75 65 98</t>
  </si>
  <si>
    <t>629 32 60 71</t>
  </si>
  <si>
    <t>Dirección General de Ordenación del Juego (DGOJ)</t>
  </si>
  <si>
    <t>ROBERTO MELCHOR DOMINGUEZ</t>
  </si>
  <si>
    <t>roberto.melchordominguez@telefonica.com</t>
  </si>
  <si>
    <t>638 70 24 61</t>
  </si>
  <si>
    <t>DN10398</t>
  </si>
  <si>
    <t>689 15 25 03</t>
  </si>
  <si>
    <t>DS02089</t>
  </si>
  <si>
    <t>650 00 73 03</t>
  </si>
  <si>
    <t>XAVIER FERRER TABOADA</t>
  </si>
  <si>
    <t>xavier.ferrertaboada@telefonica.com</t>
  </si>
  <si>
    <t>689 59 76 67</t>
  </si>
  <si>
    <t>Siglas</t>
  </si>
  <si>
    <t>Nombre y Apellidos</t>
  </si>
  <si>
    <t>Rol</t>
  </si>
  <si>
    <t>Perfil</t>
  </si>
  <si>
    <t>Función</t>
  </si>
  <si>
    <t>ADT</t>
  </si>
  <si>
    <t>Adolfo Águeda Tirado</t>
  </si>
  <si>
    <t>Gestor del Cambio</t>
  </si>
  <si>
    <t>Cliente - Menor</t>
  </si>
  <si>
    <t>BANCO CAMINO</t>
  </si>
  <si>
    <t>PRISA</t>
  </si>
  <si>
    <t>AMP</t>
  </si>
  <si>
    <t>Ángel Martínez Payerpaj</t>
  </si>
  <si>
    <t>HOSPITAL VALDECILLA</t>
  </si>
  <si>
    <t>ASA</t>
  </si>
  <si>
    <t>Álvaro Sánchez Alonso</t>
  </si>
  <si>
    <t>TELEFÓNICA DIGITAL</t>
  </si>
  <si>
    <t>TELEFÓNICA  I+D</t>
  </si>
  <si>
    <t>ATENTO TELESERVICIOS ESPAÑA, S</t>
  </si>
  <si>
    <t xml:space="preserve">TUENTI TECHNOLOGIES S.L. </t>
  </si>
  <si>
    <t>ENEL IBEROAMERICA, S.R.L.</t>
  </si>
  <si>
    <t>CGG</t>
  </si>
  <si>
    <t>Carlos Ignacio Garcia González</t>
  </si>
  <si>
    <t>IDC Salud</t>
  </si>
  <si>
    <t>DGS</t>
  </si>
  <si>
    <t>Daniel Guerrero Serrano</t>
  </si>
  <si>
    <t>Zeta Digital S.L.</t>
  </si>
  <si>
    <t>Médicos Sin Fronteras</t>
  </si>
  <si>
    <t>XFT</t>
  </si>
  <si>
    <t>Xavier Ferrer Taboada</t>
  </si>
  <si>
    <t>SABA</t>
  </si>
  <si>
    <t>DPH</t>
  </si>
  <si>
    <t>Darío Pozo Hernández</t>
  </si>
  <si>
    <t>FABRICA NACIONAL DE MONEDA Y TIMBRE</t>
  </si>
  <si>
    <t>PLATAFORMA INTEGRAL  MADRID A.I.E.</t>
  </si>
  <si>
    <t>QUADIS</t>
  </si>
  <si>
    <t>SERVICIOS OPERATIVOS, S.A.</t>
  </si>
  <si>
    <t>SOCIEDAD ESTATAL CORREOS Y TELEGRAF</t>
  </si>
  <si>
    <t>DGF</t>
  </si>
  <si>
    <t>David Garcia Fernandez</t>
  </si>
  <si>
    <t>AYUNTAMIENTO DE BARCELONA</t>
  </si>
  <si>
    <t>CAIXA D ESTALVIS I PENSIONS DE BARCELONA</t>
  </si>
  <si>
    <t>CENTRE DATENCIO I GESTIO DE TRUCADES EME</t>
  </si>
  <si>
    <t>CIRSA BUSINESS CORPORATION S.A.</t>
  </si>
  <si>
    <t>CIRSA DIGITAL S.A. SOCIEDAD UNIPERSONAL</t>
  </si>
  <si>
    <t>CIRSA SERVICIOS CORPORATIVOS, S.L.</t>
  </si>
  <si>
    <t>DIPUTACION PROVINCIAL DE BARCELONA</t>
  </si>
  <si>
    <t>GRUPO GENERALI ESPAÑA A.I.E., S.A.</t>
  </si>
  <si>
    <t>INSTITUT MUNICIPAL D INFORMATICA</t>
  </si>
  <si>
    <t>IT NOW, S. A.</t>
  </si>
  <si>
    <t>ORGT - DIPUTACIÓ DE BARCELONA</t>
  </si>
  <si>
    <t>DJS</t>
  </si>
  <si>
    <t>David Jimeno Salgado</t>
  </si>
  <si>
    <t>AYUNTAMIENTO DE ALCALÁ DE HENARES</t>
  </si>
  <si>
    <t>HOTELBEDS SPAIN - INTERCRUISES</t>
  </si>
  <si>
    <t>FAP</t>
  </si>
  <si>
    <t>Fernando Astuy Pardo</t>
  </si>
  <si>
    <t>AGENC.ESTATAL ADMINISTRACION TRIBUT</t>
  </si>
  <si>
    <t>ANUNTIS SEGUNDAMANO ESPAÑA, S.L</t>
  </si>
  <si>
    <t>BEGANET, S.L.</t>
  </si>
  <si>
    <t>COCA COLA IBERIAN PARTNERS S.A.</t>
  </si>
  <si>
    <t>EL CORTE INGLES, S.A.</t>
  </si>
  <si>
    <t>JUNTA DE COMUNIDADES CASTILLA-LA MA</t>
  </si>
  <si>
    <t>MADRID 112, O.A.</t>
  </si>
  <si>
    <t>SERVICIO DE SALUD DE CASTILLA LA MA</t>
  </si>
  <si>
    <t>FLG</t>
  </si>
  <si>
    <t>Francisco Lopez García</t>
  </si>
  <si>
    <t>ERICSSON</t>
  </si>
  <si>
    <t>GRUPO EMPRESARIAL RACE</t>
  </si>
  <si>
    <t>CNI</t>
  </si>
  <si>
    <t>FNG</t>
  </si>
  <si>
    <t>Francisco Javier Núñez García</t>
  </si>
  <si>
    <t>GARCIA CARRION</t>
  </si>
  <si>
    <t>COSTCO</t>
  </si>
  <si>
    <t>WANUP</t>
  </si>
  <si>
    <t>CMM</t>
  </si>
  <si>
    <t>Jose Carlos Mur Montes</t>
  </si>
  <si>
    <t>PENGUIN</t>
  </si>
  <si>
    <t>SMP</t>
  </si>
  <si>
    <t>Sergi Mestres Perez</t>
  </si>
  <si>
    <t>JMM</t>
  </si>
  <si>
    <t>Jaime Muñoz Miguel</t>
  </si>
  <si>
    <t>TALGO</t>
  </si>
  <si>
    <t>JMD</t>
  </si>
  <si>
    <t>Jose Javier Melchor Domínguez</t>
  </si>
  <si>
    <t>INGENICO IBERIA S.L.U</t>
  </si>
  <si>
    <t>ESPECIALIDADES ELÉCTRICAS LAUSAN S.A.</t>
  </si>
  <si>
    <t>SAGE OVERSEAS</t>
  </si>
  <si>
    <t>JRG</t>
  </si>
  <si>
    <t>Jose Manuel Ramos Garcia</t>
  </si>
  <si>
    <t>EMPRESA PUB. HOSPITAL COSTA DEL SOL</t>
  </si>
  <si>
    <t>EMPRESA PÚBLICA HOSPITAL DE PONIENTE</t>
  </si>
  <si>
    <t>GERENCIA REGIONAL SALUD CYL - SACYL -</t>
  </si>
  <si>
    <t>TIREA</t>
  </si>
  <si>
    <t>PANDA SECURITY, S.L.</t>
  </si>
  <si>
    <t>MUTUA MADRILEÑA AUTOMOVILISTA.</t>
  </si>
  <si>
    <t>JUNTA EXTREMADURA</t>
  </si>
  <si>
    <t>JMR</t>
  </si>
  <si>
    <t>Juan Carlos Menéndez Rubio</t>
  </si>
  <si>
    <t>INDRA SISTEMAS, S.A.</t>
  </si>
  <si>
    <t>INSTITUTO CERVANTES</t>
  </si>
  <si>
    <t>TELEFÓNICA COMPRAS ELECTRÓNICAS, S. L.</t>
  </si>
  <si>
    <t>TELEFONICA DE ESPAÑA, S.A.UNIPERSON</t>
  </si>
  <si>
    <t>TELEFONICA MOVILES ESPAÑA, S.A.U.</t>
  </si>
  <si>
    <t>JCM</t>
  </si>
  <si>
    <t>Juan Castro Márquez</t>
  </si>
  <si>
    <t>NH</t>
  </si>
  <si>
    <t>ESV</t>
  </si>
  <si>
    <t>Eduardo Sanchez Valle</t>
  </si>
  <si>
    <t>JAB</t>
  </si>
  <si>
    <t>Juan Antonio Beneyto Quintas</t>
  </si>
  <si>
    <t>PRISA TECNOLOGIA  S.L.</t>
  </si>
  <si>
    <t>SGAE (SOCIEDAD GENERAL DE AUTORES Y EDITORES)</t>
  </si>
  <si>
    <t>MGA</t>
  </si>
  <si>
    <t>Manuel Gomez Águila</t>
  </si>
  <si>
    <t>BODEGAS VEGA SICILIA S.A.</t>
  </si>
  <si>
    <t>CONSELL DE COL.LEGIS FARMACEUTICS</t>
  </si>
  <si>
    <t>CONSELL DE COLLEGIS FRAMACEUTICS DE CATA</t>
  </si>
  <si>
    <t>GOMEZ ACEBO AND POMBO ABOGADOS S.L.</t>
  </si>
  <si>
    <t>MUTUA UNIVERSAL MUGENAT</t>
  </si>
  <si>
    <t>TELEFÓNICA ON THE SPOT SERVICES</t>
  </si>
  <si>
    <t>MMM</t>
  </si>
  <si>
    <t>Maria Teresa Montero Moreno</t>
  </si>
  <si>
    <t>Agencia EFE</t>
  </si>
  <si>
    <t>RTVE (CORP. DE RADIO Y TELEVISIÓN ESPAÑOLA</t>
  </si>
  <si>
    <t>ADAMS FOOD (NUTREXPA)</t>
  </si>
  <si>
    <t>MAC</t>
  </si>
  <si>
    <t>IDILIA (NUTREXPA)</t>
  </si>
  <si>
    <t>SAICA</t>
  </si>
  <si>
    <t>SALVESEN</t>
  </si>
  <si>
    <t>MGG</t>
  </si>
  <si>
    <t>Mario Gonzalez Gutiérrez</t>
  </si>
  <si>
    <t>EMPARK</t>
  </si>
  <si>
    <t>CEPSA</t>
  </si>
  <si>
    <t>REPSOL</t>
  </si>
  <si>
    <t>MAA</t>
  </si>
  <si>
    <t>Miguel Ángel Aybar Bermejo</t>
  </si>
  <si>
    <t>CENTRO NACIONAL DE INTELIGENCIA (C.N.I.)</t>
  </si>
  <si>
    <t>TELEFONICA INTERN. WHOLESALE SERV. S.L.</t>
  </si>
  <si>
    <t>TIWS</t>
  </si>
  <si>
    <t>MAB</t>
  </si>
  <si>
    <t>Miguel Ángel Barbero Santamaria</t>
  </si>
  <si>
    <t>VOCENTO</t>
  </si>
  <si>
    <t>Miguel Grasa Arias</t>
  </si>
  <si>
    <t>FERROVIAL</t>
  </si>
  <si>
    <t>NED</t>
  </si>
  <si>
    <t>Nestor Estrudillo De Los Reyes</t>
  </si>
  <si>
    <t>SCHENKER LOGISTICS</t>
  </si>
  <si>
    <t>SEMARK AC GROUP S.A</t>
  </si>
  <si>
    <t>TUENTI TECHNOLOGIES S.L.</t>
  </si>
  <si>
    <t>OCS</t>
  </si>
  <si>
    <t>Óscar Cano Somolinos</t>
  </si>
  <si>
    <t>AG.INFORMÁTICA COMUNICACIONES DE LA CCMM</t>
  </si>
  <si>
    <t>ASISA(ASIST.SANITARIA INTERP.DE SEGUROS)</t>
  </si>
  <si>
    <t>BANCO BILBAO VIZCAYA ARGENTARIA, S.A.</t>
  </si>
  <si>
    <t>CORP. DE RADIO Y TELEVISIÓN ESPAÑOLA</t>
  </si>
  <si>
    <t>HOSPITEN GESTION</t>
  </si>
  <si>
    <t>Mº INTERIOR SEC. ESTADO DE SEGURIDAD</t>
  </si>
  <si>
    <t>SECURITAS DIRECT</t>
  </si>
  <si>
    <t>PRP</t>
  </si>
  <si>
    <t>Pedro Romero Peguero</t>
  </si>
  <si>
    <t>LOGTRUST</t>
  </si>
  <si>
    <t>GMS</t>
  </si>
  <si>
    <t>CUÑADO S.A. /  CEMIDE S.L.</t>
  </si>
  <si>
    <t>RBG</t>
  </si>
  <si>
    <t>Rafael Burgueño Gallego</t>
  </si>
  <si>
    <t>El Enebro</t>
  </si>
  <si>
    <t>Mercadona</t>
  </si>
  <si>
    <t>Beganet – Cobega</t>
  </si>
  <si>
    <t>LEROY MERLIN</t>
  </si>
  <si>
    <t>RHM</t>
  </si>
  <si>
    <t>Ramiro Hermosilla Martínez</t>
  </si>
  <si>
    <t>TELYCO</t>
  </si>
  <si>
    <t>RAL</t>
  </si>
  <si>
    <t>Raquel Azorin Lamela</t>
  </si>
  <si>
    <t>JFO</t>
  </si>
  <si>
    <t>Jose Ignacio Fernandez Olea</t>
  </si>
  <si>
    <t>RJL</t>
  </si>
  <si>
    <t>Ricardo Jose Lorden Canton</t>
  </si>
  <si>
    <t>DGOJ</t>
  </si>
  <si>
    <t>DGRCC</t>
  </si>
  <si>
    <t>GARRIGUES</t>
  </si>
  <si>
    <t>RMD</t>
  </si>
  <si>
    <t>Roberto Melchor Domínguez</t>
  </si>
  <si>
    <t>TUI DESTINATION SERVICES</t>
  </si>
  <si>
    <t>RST</t>
  </si>
  <si>
    <t>Rosalía Sanchez Taberne</t>
  </si>
  <si>
    <t>MEMORA SERVICIOS FUNERARIOS S.L.U</t>
  </si>
  <si>
    <t>SCT</t>
  </si>
  <si>
    <t>ERM</t>
  </si>
  <si>
    <t>Elena Rodriguez Marin</t>
  </si>
  <si>
    <t>GTS - POOL Command Center</t>
  </si>
  <si>
    <t>EGR</t>
  </si>
  <si>
    <t>Encarna Garcia Rosales</t>
  </si>
  <si>
    <t>SBM</t>
  </si>
  <si>
    <t>Sonia Belen Martinez Martinez</t>
  </si>
  <si>
    <t>CRQ000000282840</t>
  </si>
  <si>
    <t>TAS000000274468 - SDNIVEL1
TAS000000274469 - EXP-WINTEL TIC-SUM
TAS000000274470 - SDNIVEL1</t>
  </si>
  <si>
    <t>TAS000000274617 - SDNIVEL1
TAS000000274262 - EXP-WINTEL TIC-SUM
TAS000000274618 - SDNIVEL1</t>
  </si>
  <si>
    <t>CRQ000000283453</t>
  </si>
  <si>
    <t>CRQ000000283030</t>
  </si>
  <si>
    <t>TAS000000274471 - SDNIVEL1
TAS000000274706 - EXP-WINTEL TIC-SUM
TAS000000274707 - SDNIVEL1</t>
  </si>
  <si>
    <t>Se solicita eliminar MSWAPPGD01, MSWAPPRD01, MSWLKMSP02 del parcheado por estar apagadas</t>
  </si>
  <si>
    <t>CRQ000000283359</t>
  </si>
  <si>
    <t>TAS000000273992 - SDNIVEL1
TAS000000274708 - EXP-WINTEL TIC-SUM
TAS000000274474 - EXP-EMPRESAS-MIDDLEWARE
TAS000000273993 - SDNIVEL1</t>
  </si>
  <si>
    <t>CRQ000000283037</t>
  </si>
  <si>
    <t>TAS000000274475 - SDNIVEL1
TAS000000274710 - EXP-WINTEL TIC-SUM
TAS000000274711 - SDNIVEL1</t>
  </si>
  <si>
    <t>CRQ000000282930</t>
  </si>
  <si>
    <t>TAS000000274554 - SDNIVEL1
TAS000000274712 - EXP-SQLSERVER TIC-SUM
TAS000000273994 - EXP-WINTEL TIC-SUM
TAS000000273995 - SDNIVEL1</t>
  </si>
  <si>
    <t>CGG - IDC SALUD - Instalación de parches de seguridad JC</t>
  </si>
  <si>
    <t>CGG - IDC SALUD - Instalación de parches de seguridad AL</t>
  </si>
  <si>
    <t>TAS000000274483 - SDNIVEL1
TAS000000274566 - EXP-CORREO COLABORATIVO EXCHANGE TIC-SUM
TAS000000274000 - SDNIVEL1</t>
  </si>
  <si>
    <t>CRQ000000282939</t>
  </si>
  <si>
    <t>CRQ000000283746</t>
  </si>
  <si>
    <t>TAS000000274485 - SDNIVEL1
TAS000000274486 - EXP-WINTEL TIC-SUM
TAS000000274487 - SDNIVEL1</t>
  </si>
  <si>
    <t>CRQ000000283649</t>
  </si>
  <si>
    <t>TAS000000274277 - SDNIVEL1
TAS000000274489 - EXP-WINTEL TIC-SUM
TAS000000274573 - SDNIVEL1</t>
  </si>
  <si>
    <t>CRQ000000283569</t>
  </si>
  <si>
    <t>TAS000000274719 - SDNIVEL1
TAS000000274490 - EXP-CORREO COLABORATIVO EXCHANGE TIC-SUM
TAS000000274720 - SDNIVEL1</t>
  </si>
  <si>
    <t>Con corte</t>
  </si>
  <si>
    <t xml:space="preserve">POOL - FERROVIAL SERVICIOS - Migracion de Vhost de las maquinas LFRVFET01, LFRVFEP01 a nuevo cliente CESPA S.A. </t>
  </si>
  <si>
    <t>LFRVFET01, LFRVFEP01, LFRVBDP01</t>
  </si>
  <si>
    <t>TAS000000274836 - SDNIVEL1
TAS000000274668 - EXP-WINTEL TIC-SUM
TAS000000274837 - SDNIVEL1</t>
  </si>
  <si>
    <t>CRQ000000283301</t>
  </si>
  <si>
    <t>CRQ000000283302</t>
  </si>
  <si>
    <t>CRQ000000283670</t>
  </si>
  <si>
    <t>TAS000000274581 - SSO SG EVENTOS
TAS000000274672 - CLOUD PÚBLICA NIVEL 2_AZURE
TAS000000274582 - EXP-EMPRESAS-MIDDLEWARE
TAS000000274765 - CLOUD PÚBLICA NIVEL 2_AZURE
TAS000000274673 - EMP-EMPRESAS-BBDD
TAS000000274839 - EXP-EMPRESAS-MIDDLEWARE
TAS000000274840 - EMP-EMPRESAS-BBDD
TAS000000274289 - EXP-EMPRESAS-MIDDLEWARE
TAS000000274766 - CLOUD PÚBLICA NIVEL 2_AZURE</t>
  </si>
  <si>
    <t>TAS000000274583 - Deshabilitar monitorización
TAS000000274923 - Parcheo de seguridad de los servidores
TAS000000274767 - Habilitar monitorización</t>
  </si>
  <si>
    <t>CRQ000000283671</t>
  </si>
  <si>
    <t>TAS000000274925 - SDNIVEL1
TAS000000274674 - EXP-WINTEL TIC-SUM TAS000000274842 - SDNIVEL1</t>
  </si>
  <si>
    <t>CRQ000000283307</t>
  </si>
  <si>
    <t>TAS000000274846 - SDNIVEL1
TAS000000274770 - EXP-WINTEL TIC-SUM
TAS000000274587 - SDNIVEL1</t>
  </si>
  <si>
    <t>CRQ000000283593</t>
  </si>
  <si>
    <t>TAS000000274296 - SDNIVEL1
TAS000000274848 - EXP-WINTEL TIC-SUM
TAS000000274297 - SDNIVEL1</t>
  </si>
  <si>
    <t>MSWDYND01, MSWDORLP01, MSWDYNP01, MSWMSQLP01</t>
  </si>
  <si>
    <t>CRQ000000283329</t>
  </si>
  <si>
    <t>TAS000000274973 - Deshabilitar monitorización
TAS000000275501 - Parcheo de seguridad de los servidores
TAS000000274974 - Habilitar monitorización</t>
  </si>
  <si>
    <t>Problemas con cortes de la VPN de TSOL</t>
  </si>
  <si>
    <t>LCH - CAMARA OFICIAL DE COMERCIO E INDUSTRIA - Desinstalación de parche de Microsoft KB5004778</t>
  </si>
  <si>
    <t>RMN - TALGO – Cambio de MAC TALSANDASALC01PRO</t>
  </si>
  <si>
    <t>HydraRmk</t>
  </si>
  <si>
    <t>TALSANDASALC01PRO</t>
  </si>
  <si>
    <t xml:space="preserve">TAS000000275695 - EXP-EMPRESAS-VIRTUALIZADOS
</t>
  </si>
  <si>
    <t>CRQ000000284313</t>
  </si>
  <si>
    <t>TAS000000275696 - SDNIVEL1
TAS000000276190 - EXP-WINTEL TIC-SUM
TAS000000276315 - SDNIVEL1</t>
  </si>
  <si>
    <t>CRQ000000284759</t>
  </si>
  <si>
    <t>CED-09JC-BE01,CED-09JC-DC01,CED-JCHV-03</t>
  </si>
  <si>
    <t>CRQ000000284226</t>
  </si>
  <si>
    <t>TAS000000276406 - SDNIVEL1
TAS000000276407 - EXP-CORREO COLABORATIVO EXCHANGE TIC-SUM
TAS000000276502 - SDNIVEL1</t>
  </si>
  <si>
    <t>CRQ000000284771</t>
  </si>
  <si>
    <t>TAS000000276410 - SDNIVEL1
TAS000000276504 - EXP-CORREO COLABORATIVO EXCHANGE TIC-SUM
TAS000000276505 - SDNIVEL1</t>
  </si>
  <si>
    <t>TAS000000276413 - EXP-CORREO COLABORATIVO EXCHANGE TIC-SUM</t>
  </si>
  <si>
    <t>CRQ000000284845</t>
  </si>
  <si>
    <t>TAS000000276506 - EXP-CORREO COLABORATIVO EXCHANGE TIC-SUM</t>
  </si>
  <si>
    <t>CRQ000000284846</t>
  </si>
  <si>
    <t>ESV - NH CENTRAL RESERVATION OFFICE S.L
Solicitud de apagado de servidores</t>
  </si>
  <si>
    <t>B81045437 - NH CENTRAL RESERVATION OFFICE S.L.</t>
  </si>
  <si>
    <t>eposerver_Clon, eposerversql_Clon, nhmcibcaa_jc01, tmp_vnhconsolackp75_SD8906480, vnhacl01, vnhaxdbapp, vnhaxdbbd, vnhcrsdbpdt, vnhcrsstatpdt, vnhcrsweb1pdt, vnhcrsweb2pdt, vnhforefront1, vnhforefront2, vnhipnmjc01, vnhipnmjc02, vnhnddacco01, vnhnddmon01, vnhquest01 clon</t>
  </si>
  <si>
    <t>CRQ000000284784</t>
  </si>
  <si>
    <t>TAS000000276431 - SSO SG EVENTOS
TAS000000276355 - GLOBAL BACKUP PLATFORM PROVISION
TAS000000276515 - EXP-EMPRESAS-SISTEMASLINUX</t>
  </si>
  <si>
    <t>vnhwdck1</t>
  </si>
  <si>
    <t>CRQ000000285244</t>
  </si>
  <si>
    <t>TAS000000276357 - SSO SG EVENTOS
TAS000000276433 - GLOBAL BACKUP PLATFORM PROVISION
TAS000000276518 - EXP-EMPRESAS-SISTEMASLINUX</t>
  </si>
  <si>
    <t>vnhdirsync01, vnhexop01, vnhexop02, vnhexop03, vnhexop04</t>
  </si>
  <si>
    <t>CRQ000000284789</t>
  </si>
  <si>
    <t>eposerversql , eposerver</t>
  </si>
  <si>
    <t>CRQ000000284523</t>
  </si>
  <si>
    <t>TAS000000276521 - SSO SG EVENTOS
TAS000000276435 - GLOBAL BACKUP PLATFORM PROVISION
TAS000000277002 - EXP-EMPRESAS-VIRTUALIZADOS</t>
  </si>
  <si>
    <t>Apagado de servidores</t>
  </si>
  <si>
    <t>Cambio de MAC</t>
  </si>
  <si>
    <t>TAS000000276434 - SSO SG EVENTOS
TAS000000276519 - GLOBAL BACKUP PLATFORM PROVISION
TAS000000276803 - EXP-EMPRESAS-VIRTUALIZADOS</t>
  </si>
  <si>
    <t>B81045437</t>
  </si>
  <si>
    <t>NH CENTRAL RESERVATION OFFICE S.L.</t>
  </si>
  <si>
    <t>616 300 345</t>
  </si>
  <si>
    <t>CIF</t>
  </si>
  <si>
    <t>AAT</t>
  </si>
  <si>
    <t>JBS</t>
  </si>
  <si>
    <t>LCH</t>
  </si>
  <si>
    <t>AXACTOR ESPAÑA PLATAFORMA, S.A.U</t>
  </si>
  <si>
    <t>OAC</t>
  </si>
  <si>
    <t>WNFRVFED01, WNFRVFET01, WNFRVFEP04, WNFRVBDD01, WNFRVBDT01, WNFRVBDP02, Sql-ma-hygia-dev, sql-ma-hygia-pre, sql-ma-hygia-pro</t>
  </si>
  <si>
    <t>POOL - CESPA - Migración de los SQLSERVER(PaS): WNFRVDBD01, WNFRVDBT01, WNFRVDBP02 y Máquinas Virtuales: WNFRVFED01, WNFRVFET01, WNFRVFEP04 a nuevo cliente CESPA S.A.</t>
  </si>
  <si>
    <t>CRQ000000285139</t>
  </si>
  <si>
    <t>A82741067 - CESPA S.A.</t>
  </si>
  <si>
    <t>TAS000000277726 - SSO SG EVENTOS
TAS000000277491 - EXP-EMPRESAS-MIDDLEWARE
TAS000000277572 - EXP-WINTEL TIC-SUM
TAS000000277271 - CLOUD PUBLICA NIVEL2_AZURE
TAS000000277663 - EXP-EMPRESAS-MIDDLEWARE
TAS000000277728 - CLOUD PUBLICA NIVEL2_AZURE</t>
  </si>
  <si>
    <t>Problemas para instalar el parche kb5005043 en los servidores melazusrvlivo02 y melazusrvlivf03 (se abre INC000007111446)</t>
  </si>
  <si>
    <t>CRQ000000285603</t>
  </si>
  <si>
    <t>CRQ000000285537</t>
  </si>
  <si>
    <t>TAS000000277671 - EXP-CCT_CITRIX-TICLIENTES-SUM</t>
  </si>
  <si>
    <t>TAS000000277277 - EXP-CCT_CITRIX-TICLIENTES-SUM</t>
  </si>
  <si>
    <t>CRQ000000286161</t>
  </si>
  <si>
    <t>TAS000000277582 - EXP-CCT_CITRIX-TICLIENTES-SUM
TAS000000277672 - EXP-CCT_CITRIX-TICLIENTES-SUM</t>
  </si>
  <si>
    <t>Parcheado Seguridad Agosto 2021
Han Cancelado en lugar de rechazar para hacer modificaciones</t>
  </si>
  <si>
    <t>TAS000000278019 - EXP-CCT_CITRIX-TICLIENTES-SUM
TAS000000278020 - EXP-CCT_CITRIX-TICLIENTES-SUM</t>
  </si>
  <si>
    <t>CRQ000000285973</t>
  </si>
  <si>
    <t>TAS000000277769 - EXP-CCT_CITRIX-TICLIENTES-SUM</t>
  </si>
  <si>
    <t>CRQ000000286248</t>
  </si>
  <si>
    <t>TAS000000277588 - EXP-CCT_CITRIX-TICLIENTES-SUM</t>
  </si>
  <si>
    <t>CRQ000000285977</t>
  </si>
  <si>
    <t>TAS000000277278 - EXP-CCT_CITRIX-TICLIENTES-SUM</t>
  </si>
  <si>
    <t>CRQ000000285982</t>
  </si>
  <si>
    <t>TAS000000278132 - EXP-CCT_CITRIX-TICLIENTES-SUM</t>
  </si>
  <si>
    <t>CRQ000000286173</t>
  </si>
  <si>
    <t>TAS000000277600 - EXP-CCT_CITRIX-TICLIENTES-SUM</t>
  </si>
  <si>
    <t>CRQ000000286177</t>
  </si>
  <si>
    <t>Parcheado Seguridad Agosto 2021 
Solicitan cambiar horario tras aprobar</t>
  </si>
  <si>
    <t>Parcheado Seguridad Agosto 2021
Sustituye a CRQ000000285603 que se canceló por error</t>
  </si>
  <si>
    <t>CRQ000000287677</t>
  </si>
  <si>
    <t>TAS000000280317 - SDNIVEL1
TAS000000279931 - EXP-CORREO COLABORATIVO EXCHANGE TIC-SUM
TAS000000280318 - SDNIVEL1</t>
  </si>
  <si>
    <t>CRQ000000287530</t>
  </si>
  <si>
    <t>TAS000000280605 - SDNIVEL1
TAS000000280606 - EXP-CORREO COLABORATIVO EXCHANGE TIC-SUM
TAS000000279691 - SDNIVEL1</t>
  </si>
  <si>
    <t>CRQ000000287416</t>
  </si>
  <si>
    <t>TAS000000279939 - EXP-EMPRESAS-MIDDLEWARE</t>
  </si>
  <si>
    <t>Despliegue del nuevo war en los tomcats de PRO</t>
  </si>
  <si>
    <t>POOL - AYUNTAMIENTO DE CADIZ - Actualización PHP/Apache en cadizonda-fe01</t>
  </si>
  <si>
    <t>cadizonda-fe01</t>
  </si>
  <si>
    <t>CRQ000000287442</t>
  </si>
  <si>
    <t>TAS000000280439 - SDNIVEL1 
TAS000000280440 - EXP-EMPRESAS-VIRTUALIZADOS
TAS000000280841 - EXP-EMPRESAS-SISTEMASLINUX
TAS000000280357 - EXP-EMPRESAS-MIDDLEWARE
TAS000000279996 - SDNIVEL1</t>
  </si>
  <si>
    <t>NED - VITHAS - Actualización ficheros xhis en vdis apagadas en la sede de Almeria</t>
  </si>
  <si>
    <t>CRQ000000288251</t>
  </si>
  <si>
    <r>
      <t>WALM-VM-L2236</t>
    </r>
    <r>
      <rPr>
        <sz val="10"/>
        <color theme="1"/>
        <rFont val="Calibri"/>
        <family val="2"/>
      </rPr>
      <t xml:space="preserve">, </t>
    </r>
    <r>
      <rPr>
        <sz val="10"/>
        <color theme="1"/>
        <rFont val="Verdana"/>
        <family val="2"/>
      </rPr>
      <t>WALM-VM-6L101</t>
    </r>
    <r>
      <rPr>
        <sz val="10"/>
        <color theme="1"/>
        <rFont val="Calibri"/>
        <family val="2"/>
      </rPr>
      <t xml:space="preserve">, </t>
    </r>
    <r>
      <rPr>
        <sz val="10"/>
        <color theme="1"/>
        <rFont val="Verdana"/>
        <family val="2"/>
      </rPr>
      <t>WALM-VM-6L103</t>
    </r>
    <r>
      <rPr>
        <sz val="10"/>
        <color theme="1"/>
        <rFont val="Calibri"/>
        <family val="2"/>
      </rPr>
      <t xml:space="preserve">, </t>
    </r>
    <r>
      <rPr>
        <sz val="10"/>
        <color theme="1"/>
        <rFont val="Verdana"/>
        <family val="2"/>
      </rPr>
      <t>WALM-VM-L2103</t>
    </r>
    <r>
      <rPr>
        <sz val="10"/>
        <color theme="1"/>
        <rFont val="Calibri"/>
        <family val="2"/>
      </rPr>
      <t xml:space="preserve">, </t>
    </r>
    <r>
      <rPr>
        <sz val="10"/>
        <color theme="1"/>
        <rFont val="Verdana"/>
        <family val="2"/>
      </rPr>
      <t>WALM-VM-O3168</t>
    </r>
    <r>
      <rPr>
        <sz val="10"/>
        <color theme="1"/>
        <rFont val="Calibri"/>
        <family val="2"/>
      </rPr>
      <t xml:space="preserve">, </t>
    </r>
    <r>
      <rPr>
        <sz val="10"/>
        <color theme="1"/>
        <rFont val="Verdana"/>
        <family val="2"/>
      </rPr>
      <t>WALM-VM-6L108</t>
    </r>
    <r>
      <rPr>
        <sz val="10"/>
        <color theme="1"/>
        <rFont val="Calibri"/>
        <family val="2"/>
      </rPr>
      <t xml:space="preserve">, </t>
    </r>
    <r>
      <rPr>
        <sz val="10"/>
        <color theme="1"/>
        <rFont val="Verdana"/>
        <family val="2"/>
      </rPr>
      <t>WALM-VM-L2590</t>
    </r>
    <r>
      <rPr>
        <sz val="10"/>
        <color theme="1"/>
        <rFont val="Calibri"/>
        <family val="2"/>
      </rPr>
      <t xml:space="preserve">, </t>
    </r>
    <r>
      <rPr>
        <sz val="10"/>
        <color theme="1"/>
        <rFont val="Verdana"/>
        <family val="2"/>
      </rPr>
      <t>WALM-VM-L2593</t>
    </r>
    <r>
      <rPr>
        <sz val="10"/>
        <color theme="1"/>
        <rFont val="Calibri"/>
        <family val="2"/>
      </rPr>
      <t xml:space="preserve">, </t>
    </r>
    <r>
      <rPr>
        <sz val="10"/>
        <color theme="1"/>
        <rFont val="Verdana"/>
        <family val="2"/>
      </rPr>
      <t>WALM-VM-L2567</t>
    </r>
    <r>
      <rPr>
        <sz val="10"/>
        <color theme="1"/>
        <rFont val="Calibri"/>
        <family val="2"/>
      </rPr>
      <t xml:space="preserve">, </t>
    </r>
    <r>
      <rPr>
        <sz val="10"/>
        <color theme="1"/>
        <rFont val="Verdana"/>
        <family val="2"/>
      </rPr>
      <t>WALM-VM-L2580</t>
    </r>
    <r>
      <rPr>
        <sz val="10"/>
        <color theme="1"/>
        <rFont val="Calibri"/>
        <family val="2"/>
      </rPr>
      <t xml:space="preserve">, </t>
    </r>
    <r>
      <rPr>
        <sz val="10"/>
        <color theme="1"/>
        <rFont val="Verdana"/>
        <family val="2"/>
      </rPr>
      <t>WALM-VM-L2581</t>
    </r>
    <r>
      <rPr>
        <sz val="10"/>
        <color theme="1"/>
        <rFont val="Calibri"/>
        <family val="2"/>
      </rPr>
      <t xml:space="preserve">, </t>
    </r>
    <r>
      <rPr>
        <sz val="10"/>
        <color theme="1"/>
        <rFont val="Verdana"/>
        <family val="2"/>
      </rPr>
      <t>WALM-VM-L2568</t>
    </r>
    <r>
      <rPr>
        <sz val="10"/>
        <color theme="1"/>
        <rFont val="Calibri"/>
        <family val="2"/>
      </rPr>
      <t xml:space="preserve">, </t>
    </r>
    <r>
      <rPr>
        <sz val="10"/>
        <color theme="1"/>
        <rFont val="Verdana"/>
        <family val="2"/>
      </rPr>
      <t>WALM-VM-L2596</t>
    </r>
    <r>
      <rPr>
        <sz val="10"/>
        <color theme="1"/>
        <rFont val="Calibri"/>
        <family val="2"/>
      </rPr>
      <t xml:space="preserve">, </t>
    </r>
    <r>
      <rPr>
        <sz val="10"/>
        <color theme="1"/>
        <rFont val="Verdana"/>
        <family val="2"/>
      </rPr>
      <t>WALM-VM-L2588</t>
    </r>
    <r>
      <rPr>
        <sz val="10"/>
        <color theme="1"/>
        <rFont val="Calibri"/>
        <family val="2"/>
      </rPr>
      <t xml:space="preserve">, </t>
    </r>
    <r>
      <rPr>
        <sz val="10"/>
        <color theme="1"/>
        <rFont val="Verdana"/>
        <family val="2"/>
      </rPr>
      <t>WALM-VM-L2597</t>
    </r>
    <r>
      <rPr>
        <sz val="10"/>
        <color theme="1"/>
        <rFont val="Calibri"/>
        <family val="2"/>
      </rPr>
      <t xml:space="preserve">, </t>
    </r>
    <r>
      <rPr>
        <sz val="10"/>
        <color theme="1"/>
        <rFont val="Verdana"/>
        <family val="2"/>
      </rPr>
      <t>WALM-VM-L2582</t>
    </r>
    <r>
      <rPr>
        <sz val="10"/>
        <color theme="1"/>
        <rFont val="Calibri"/>
        <family val="2"/>
      </rPr>
      <t xml:space="preserve">, </t>
    </r>
    <r>
      <rPr>
        <sz val="10"/>
        <color theme="1"/>
        <rFont val="Verdana"/>
        <family val="2"/>
      </rPr>
      <t>WALM-VM-L2577</t>
    </r>
    <r>
      <rPr>
        <sz val="10"/>
        <color theme="1"/>
        <rFont val="Calibri"/>
        <family val="2"/>
      </rPr>
      <t xml:space="preserve">, </t>
    </r>
    <r>
      <rPr>
        <sz val="10"/>
        <color theme="1"/>
        <rFont val="Verdana"/>
        <family val="2"/>
      </rPr>
      <t>WALM-VM-L2506</t>
    </r>
    <r>
      <rPr>
        <sz val="10"/>
        <color theme="1"/>
        <rFont val="Calibri"/>
        <family val="2"/>
      </rPr>
      <t xml:space="preserve">, </t>
    </r>
    <r>
      <rPr>
        <sz val="10"/>
        <color theme="1"/>
        <rFont val="Verdana"/>
        <family val="2"/>
      </rPr>
      <t>WALM-VM-L2559</t>
    </r>
    <r>
      <rPr>
        <sz val="10"/>
        <color theme="1"/>
        <rFont val="Calibri"/>
        <family val="2"/>
      </rPr>
      <t xml:space="preserve">, </t>
    </r>
    <r>
      <rPr>
        <sz val="10"/>
        <color theme="1"/>
        <rFont val="Verdana"/>
        <family val="2"/>
      </rPr>
      <t>WALM-VM-L2555</t>
    </r>
    <r>
      <rPr>
        <sz val="10"/>
        <color theme="1"/>
        <rFont val="Calibri"/>
        <family val="2"/>
      </rPr>
      <t xml:space="preserve">, </t>
    </r>
    <r>
      <rPr>
        <sz val="10"/>
        <color theme="1"/>
        <rFont val="Verdana"/>
        <family val="2"/>
      </rPr>
      <t>WALM-VM-L2563</t>
    </r>
    <r>
      <rPr>
        <sz val="10"/>
        <color theme="1"/>
        <rFont val="Calibri"/>
        <family val="2"/>
      </rPr>
      <t xml:space="preserve">, </t>
    </r>
    <r>
      <rPr>
        <sz val="10"/>
        <color theme="1"/>
        <rFont val="Verdana"/>
        <family val="2"/>
      </rPr>
      <t>WALM-VM-L2560</t>
    </r>
    <r>
      <rPr>
        <sz val="10"/>
        <color theme="1"/>
        <rFont val="Calibri"/>
        <family val="2"/>
      </rPr>
      <t xml:space="preserve">, </t>
    </r>
    <r>
      <rPr>
        <sz val="10"/>
        <color theme="1"/>
        <rFont val="Verdana"/>
        <family val="2"/>
      </rPr>
      <t>WALM-VM-L2192</t>
    </r>
    <r>
      <rPr>
        <sz val="10"/>
        <color theme="1"/>
        <rFont val="Calibri"/>
        <family val="2"/>
      </rPr>
      <t xml:space="preserve">, </t>
    </r>
    <r>
      <rPr>
        <sz val="10"/>
        <color theme="1"/>
        <rFont val="Verdana"/>
        <family val="2"/>
      </rPr>
      <t>WALM-VM-O3162</t>
    </r>
    <r>
      <rPr>
        <sz val="10"/>
        <color theme="1"/>
        <rFont val="Calibri"/>
        <family val="2"/>
      </rPr>
      <t xml:space="preserve">, </t>
    </r>
    <r>
      <rPr>
        <sz val="10"/>
        <color theme="1"/>
        <rFont val="Verdana"/>
        <family val="2"/>
      </rPr>
      <t>WALM-VM-O3152</t>
    </r>
    <r>
      <rPr>
        <sz val="10"/>
        <color theme="1"/>
        <rFont val="Calibri"/>
        <family val="2"/>
      </rPr>
      <t xml:space="preserve">, </t>
    </r>
    <r>
      <rPr>
        <sz val="10"/>
        <color theme="1"/>
        <rFont val="Verdana"/>
        <family val="2"/>
      </rPr>
      <t>WALM-VM-L2525</t>
    </r>
    <r>
      <rPr>
        <sz val="10"/>
        <color theme="1"/>
        <rFont val="Calibri"/>
        <family val="2"/>
      </rPr>
      <t xml:space="preserve">, </t>
    </r>
    <r>
      <rPr>
        <sz val="10"/>
        <color theme="1"/>
        <rFont val="Verdana"/>
        <family val="2"/>
      </rPr>
      <t>WALM-VM-L2524</t>
    </r>
    <r>
      <rPr>
        <sz val="10"/>
        <color theme="1"/>
        <rFont val="Calibri"/>
        <family val="2"/>
      </rPr>
      <t xml:space="preserve">, </t>
    </r>
    <r>
      <rPr>
        <sz val="10"/>
        <color theme="1"/>
        <rFont val="Verdana"/>
        <family val="2"/>
      </rPr>
      <t>WALM-VM-L2522</t>
    </r>
    <r>
      <rPr>
        <sz val="10"/>
        <color theme="1"/>
        <rFont val="Calibri"/>
        <family val="2"/>
      </rPr>
      <t xml:space="preserve">, </t>
    </r>
    <r>
      <rPr>
        <sz val="10"/>
        <color theme="1"/>
        <rFont val="Verdana"/>
        <family val="2"/>
      </rPr>
      <t>WALM-VM-L2293</t>
    </r>
    <r>
      <rPr>
        <sz val="10"/>
        <color theme="1"/>
        <rFont val="Calibri"/>
        <family val="2"/>
      </rPr>
      <t xml:space="preserve">, </t>
    </r>
    <r>
      <rPr>
        <sz val="10"/>
        <color theme="1"/>
        <rFont val="Verdana"/>
        <family val="2"/>
      </rPr>
      <t>WALM-VM-L2188</t>
    </r>
    <r>
      <rPr>
        <sz val="10"/>
        <color theme="1"/>
        <rFont val="Calibri"/>
        <family val="2"/>
      </rPr>
      <t xml:space="preserve">, </t>
    </r>
    <r>
      <rPr>
        <sz val="10"/>
        <color theme="1"/>
        <rFont val="Verdana"/>
        <family val="2"/>
      </rPr>
      <t>WALM-VM-L2155</t>
    </r>
    <r>
      <rPr>
        <sz val="10"/>
        <color theme="1"/>
        <rFont val="Calibri"/>
        <family val="2"/>
      </rPr>
      <t xml:space="preserve">, </t>
    </r>
    <r>
      <rPr>
        <sz val="10"/>
        <color theme="1"/>
        <rFont val="Verdana"/>
        <family val="2"/>
      </rPr>
      <t>WALM-VM-L2146</t>
    </r>
    <r>
      <rPr>
        <sz val="10"/>
        <color theme="1"/>
        <rFont val="Calibri"/>
        <family val="2"/>
      </rPr>
      <t xml:space="preserve">, </t>
    </r>
    <r>
      <rPr>
        <sz val="10"/>
        <color theme="1"/>
        <rFont val="Verdana"/>
        <family val="2"/>
      </rPr>
      <t>WALM-VM-L2145</t>
    </r>
    <r>
      <rPr>
        <sz val="10"/>
        <color theme="1"/>
        <rFont val="Calibri"/>
        <family val="2"/>
      </rPr>
      <t xml:space="preserve">, </t>
    </r>
    <r>
      <rPr>
        <sz val="10"/>
        <color theme="1"/>
        <rFont val="Verdana"/>
        <family val="2"/>
      </rPr>
      <t>WALM-VM-L2141</t>
    </r>
    <r>
      <rPr>
        <sz val="10"/>
        <color theme="1"/>
        <rFont val="Calibri"/>
        <family val="2"/>
      </rPr>
      <t xml:space="preserve">, </t>
    </r>
    <r>
      <rPr>
        <sz val="10"/>
        <color theme="1"/>
        <rFont val="Verdana"/>
        <family val="2"/>
      </rPr>
      <t>WALM-VM-L2177</t>
    </r>
    <r>
      <rPr>
        <sz val="10"/>
        <color theme="1"/>
        <rFont val="Calibri"/>
        <family val="2"/>
      </rPr>
      <t xml:space="preserve">, </t>
    </r>
    <r>
      <rPr>
        <sz val="10"/>
        <color theme="1"/>
        <rFont val="Verdana"/>
        <family val="2"/>
      </rPr>
      <t>WALM-VM-L2118</t>
    </r>
    <r>
      <rPr>
        <sz val="10"/>
        <color theme="1"/>
        <rFont val="Calibri"/>
        <family val="2"/>
      </rPr>
      <t xml:space="preserve">, </t>
    </r>
    <r>
      <rPr>
        <sz val="10"/>
        <color theme="1"/>
        <rFont val="Verdana"/>
        <family val="2"/>
      </rPr>
      <t>WALM-VM-L2510</t>
    </r>
    <r>
      <rPr>
        <sz val="10"/>
        <color theme="1"/>
        <rFont val="Calibri"/>
        <family val="2"/>
      </rPr>
      <t xml:space="preserve">, </t>
    </r>
    <r>
      <rPr>
        <sz val="10"/>
        <color theme="1"/>
        <rFont val="Verdana"/>
        <family val="2"/>
      </rPr>
      <t>WALM-VM-O3106</t>
    </r>
    <r>
      <rPr>
        <sz val="10"/>
        <color theme="1"/>
        <rFont val="Calibri"/>
        <family val="2"/>
      </rPr>
      <t xml:space="preserve">, </t>
    </r>
    <r>
      <rPr>
        <sz val="10"/>
        <color theme="1"/>
        <rFont val="Verdana"/>
        <family val="2"/>
      </rPr>
      <t>WALM-VM-L2197</t>
    </r>
    <r>
      <rPr>
        <sz val="10"/>
        <color theme="1"/>
        <rFont val="Calibri"/>
        <family val="2"/>
      </rPr>
      <t xml:space="preserve">, </t>
    </r>
    <r>
      <rPr>
        <sz val="10"/>
        <color theme="1"/>
        <rFont val="Verdana"/>
        <family val="2"/>
      </rPr>
      <t>WALM-VM-L2164</t>
    </r>
    <r>
      <rPr>
        <sz val="10"/>
        <color theme="1"/>
        <rFont val="Calibri"/>
        <family val="2"/>
      </rPr>
      <t xml:space="preserve">, </t>
    </r>
    <r>
      <rPr>
        <sz val="10"/>
        <color theme="1"/>
        <rFont val="Verdana"/>
        <family val="2"/>
      </rPr>
      <t>WALM-VM-L2149</t>
    </r>
    <r>
      <rPr>
        <sz val="10"/>
        <color theme="1"/>
        <rFont val="Calibri"/>
        <family val="2"/>
      </rPr>
      <t xml:space="preserve">, </t>
    </r>
    <r>
      <rPr>
        <sz val="10"/>
        <color theme="1"/>
        <rFont val="Verdana"/>
        <family val="2"/>
      </rPr>
      <t>WALM-VM-L2129</t>
    </r>
    <r>
      <rPr>
        <sz val="10"/>
        <color theme="1"/>
        <rFont val="Calibri"/>
        <family val="2"/>
      </rPr>
      <t xml:space="preserve">, </t>
    </r>
    <r>
      <rPr>
        <sz val="10"/>
        <color theme="1"/>
        <rFont val="Verdana"/>
        <family val="2"/>
      </rPr>
      <t>WALM-VM-L2128</t>
    </r>
    <r>
      <rPr>
        <sz val="10"/>
        <color theme="1"/>
        <rFont val="Calibri"/>
        <family val="2"/>
      </rPr>
      <t xml:space="preserve">, </t>
    </r>
    <r>
      <rPr>
        <sz val="10"/>
        <color theme="1"/>
        <rFont val="Verdana"/>
        <family val="2"/>
      </rPr>
      <t>WALM-VM-L2126</t>
    </r>
  </si>
  <si>
    <t>TAS000000280364 - EXP-CCT_CITRIX-TICLIENTES-SUM</t>
  </si>
  <si>
    <t>NED - VITHAS - Actualización ficheros xhis en vdis apagadas en la sede de Malaga</t>
  </si>
  <si>
    <t>WMLG-PSA6L3171, WMLG-PSA6L3157, WMLG-PSA6L3024, WMLG-PSA6L3008, WMLG-PSA-6M367, WMLG-PSA-6M361, WMLG-PSA-6M453, WMLG-PSA6L3317, WMLG-PSA6L3040, WMLG-PSA-6M370, WMLG-PSA6L2416, WMLG-PSA6L2417, WMLG-PSA6L2418, WMLG-PSA6L2419, WMLG-PSA6L2432, WMLG-PSA6L2518, WMLG-PSA-6M100, WMLG-PSA-6M300</t>
  </si>
  <si>
    <t>CRQ000000287605</t>
  </si>
  <si>
    <t>TAS000000280918- EXP-CCT_CITRIX-TICLIENTES-SUM</t>
  </si>
  <si>
    <t>VITHAS</t>
  </si>
  <si>
    <t>NED - VITHAS - Actualización ficheros xhis en vdis apagadas en la sede de Vitoria</t>
  </si>
  <si>
    <t>WVTO-SJ-3L1013, WVTO-SJ-L2244, WVTO-SJ-L2243, WVTO-SJ-L2242, WVTO-SJ-L2237, WVTO-SJ-L2235, WVTO-SJ-L2233, WVTO-SJ-L2141, WVTO-SJ-L2294, WVTO-SJ-O3209, WVTO-SJ-O3205, WVTO-SJ-L2265, WVTO-SJ-L2241, WVTO-SJ-L2240, WVTO-SJ-L2234, WVTO-SJ-L2232, WVTO-SJ-L2230, WVTO-SJ-O3180, WVTO-SJ-O3166, WVTO-SJ-O3169, WVTO-SJ-O3185, WVTO-SJ-O3174, WVTO-SJ-O3176, WVTO-SJ-O3177, WVTO-SJ-O3173, WVTO-SJ-O3172, WVTO-SJ-O3171, WVTO-SJ-O3170, WVTO-SJ-O3194, WVTO-SJ-O3168, WVTO-SJ-O3178, WVTO-SJ-O3179, WVTO-SJ-O3164, WVTO-SJ-3L1007, WVTO-SJ-3L1006, WVTO-SJ-HL103, WVTO-SJ-3L1001, WVTO-SJ-3L1000, WVTO-SJ-3L1011, WVTO-SJ-L2403</t>
  </si>
  <si>
    <t>CRQ000000288053</t>
  </si>
  <si>
    <t>TAS000000278984- EXP-CCT_CITRIX-TICLIENTES-SUM</t>
  </si>
  <si>
    <t>Actualización PHP/Apache</t>
  </si>
  <si>
    <t xml:space="preserve"> Actualización ficheros xhis en vdis</t>
  </si>
  <si>
    <t>Actualización Nuevas Fuentes</t>
  </si>
  <si>
    <t>CRQ000000287813</t>
  </si>
  <si>
    <t>TAS000000280471 - EXP-EMPRESAS-MIDDLEWARE</t>
  </si>
  <si>
    <t>CRQ000000287821</t>
  </si>
  <si>
    <t>TAS000000280387 - SDNIVEL1
TAS000000281204 - EXP-WINTEL TIC-SUM
TAS000000280388 - EXP-SQLSERVER TIC-SUM
TAS000000280692 - SDNIVEL1</t>
  </si>
  <si>
    <t>Parcheado Seguridad Julio Septiembre</t>
  </si>
  <si>
    <t>CRQ000000287740</t>
  </si>
  <si>
    <t>TAS000000281502 - SDNIVEL1
TAS000000280965 - EXP-SQLSERVER TIC-SUM
TAS000000281403 - EXP-WINTEL TIC-SUM
TAS000000281606 - EXP-SQLSERVER TIC-SUM
TAS000000281503 - SDNIVEL1</t>
  </si>
  <si>
    <t>Parcheado Seguridad Septiembre 2021</t>
  </si>
  <si>
    <t>CRQ000000288178</t>
  </si>
  <si>
    <t>TAS000000281212 - SDNIVEL1
TAS000000281133 - EXP-WINTEL TIC-SUM
TAS000000281513 - SDNIVEL1</t>
  </si>
  <si>
    <t>a30lnx01</t>
  </si>
  <si>
    <t>CRA - CAJA ASTURIAS - Apagado de servidores</t>
  </si>
  <si>
    <t>CRQ000000288658</t>
  </si>
  <si>
    <t>TAS000000281525 - SSO SG EVENTOS
TAS000000280985 - GLOBAL BACKUP PLATFORM PROVISIÓN
TAS000000281417 - EXP-EMPRESAS-SISTEMASLINUX</t>
  </si>
  <si>
    <t>cadizonda-fe02</t>
  </si>
  <si>
    <t>POOL - AYUNTAMIENTO DE CADIZ - Actualización PHP/Apache en cadizonda-fe02</t>
  </si>
  <si>
    <t>CRQ000000288365</t>
  </si>
  <si>
    <t>TAS000000281428 - SDNIVEL1 
TAS000000281634 - EXP-EMPRESAS-VIRTUALIZADOS
TAS000000281233 - EXP-EMPRESAS-SISTEMASLINUX
TAS000000281704 - EXP-EMPRESAS-MIDDLEWARE
TAS000000281635 - SDNIVEL1</t>
  </si>
  <si>
    <t>CRQ000000288853</t>
  </si>
  <si>
    <t>TAS000000281643 - SDNIVEL1
TAS000000281711 - EXP-CORREO COLABORATIVO EXCHANGE TIC-SUM
TAS000000281447 - SDNIVEL1</t>
  </si>
  <si>
    <t>CRQ000000288691</t>
  </si>
  <si>
    <t>TAS000000281644 - SDNIVEL1
TAS000000281645 - EXP-CORREO COLABORATIVO EXCHANGE TIC-SUM
TAS000000281820 - SDNIVEL1</t>
  </si>
  <si>
    <t>CRQ000000288766</t>
  </si>
  <si>
    <t>TAS000000281721 - EXP-EMPRESAS-MIDDLEWARE</t>
  </si>
  <si>
    <t>Parcheado Seguridad  Septiembre 2021</t>
  </si>
  <si>
    <t>Estado coruupto de PCA-a30lnx01 , no se terminar de apagar se abre INC INC000007187165</t>
  </si>
  <si>
    <t>YUSEF HAMMAD ABUBAKRA ABUBAKRA</t>
  </si>
  <si>
    <t>CRQ000000289448</t>
  </si>
  <si>
    <t>TAS000000282225 - SSO SG EVENTOS
TAS000000282617 - GLOBAL BACKUP PLATFORM PROVISION
TAS000000282226 - EXP-EMPRESAS-VIRTUALIZADOS</t>
  </si>
  <si>
    <t>TAS000000282510 - EXP-CCT_CITRIX-TICLIENTES-SUM</t>
  </si>
  <si>
    <t xml:space="preserve">CRQ000000289096  </t>
  </si>
  <si>
    <t>agpdbd01n, agpddb01desn, agpdbd02n</t>
  </si>
  <si>
    <t>POOL - AGENCIA ESPAÑOLA DE PROTECCION DE DATOS - Solicitud de apagado de servidores</t>
  </si>
  <si>
    <t>CRQ000000289558</t>
  </si>
  <si>
    <t>TAS000000281795 - SSO SG EVENTOS
TAS000000282514 - GLOBAL BACKUP PLATFORM PROVISIÓN
TAS000000282638 - EXP-EMPRESAS-SISTEMASLINUX</t>
  </si>
  <si>
    <t>CRQ000000289465</t>
  </si>
  <si>
    <t>TAS000000282713 - SDNIVEL1
TAS000000282653 - EXP-WINTEL TIC-SUM
TAS000000282247 - EXP-SQLSERVER TIC-SUM
TAS000000282714 - SDNIVEL1</t>
  </si>
  <si>
    <t>CRQ000000289683</t>
  </si>
  <si>
    <t>TAS000000282655 - SDNIVEL1
TAS000000282717 - EXP-WINTEL TIC-SUM
TAS000000282656 - EXP-SQLSERVER TIC-SUM
TAS000000282249 - SDNIVEL1</t>
  </si>
  <si>
    <t>CRQ000000289378</t>
  </si>
  <si>
    <t>TAS000000282181 - SDNIVEL1
TAS000000282719 - EXP-WINTEL TIC-SUM
TAS000000282524 - SDNIVEL1</t>
  </si>
  <si>
    <t>CRQ000000289472</t>
  </si>
  <si>
    <t>TAS000000282186 - SDNIVEL1
TAS000000282802 - EXP-CCT_O365 TIC-SUM
TAS000000282255- SDNIVEL1</t>
  </si>
  <si>
    <t>CRQ000000289114</t>
  </si>
  <si>
    <t>TAS000000282803 - SDNIVEL1
TAS000000282736 - EXP-SQLSERVER TIC-SUM
TAS000000282188 - EXP-WINTEL TIC-SUM
TAS000000282526 - EXP-SQLSERVER TIC-SUM
TAS000000282527 - SDNIVEL1</t>
  </si>
  <si>
    <t>CRQ000000289116</t>
  </si>
  <si>
    <t>TAS000000282528 - EXP-EMPRESAS-BBDD
TAS000000282664 - EXP-EMPRESAS-MIDDLEWARE
TAS000000282665 - EXP-EMPRESAS-BBDD</t>
  </si>
  <si>
    <t>CRQ000000289863</t>
  </si>
  <si>
    <t>TAS000000283236 - SDNIVEL1
TAS000000283237 - EXP-WINTEL TIC-SUM
TAS000000282769 - SDNIVEL1</t>
  </si>
  <si>
    <t>CRQ000000289866</t>
  </si>
  <si>
    <t>TAS000000282587 - SDNIVEL1
TAS000000282845 - EXP-WINTEL TIC-SUM
TAS000000282772 - SDNIVEL1</t>
  </si>
  <si>
    <t>CRQ000000289802</t>
  </si>
  <si>
    <t>TAS000000283254 - SDNIVEL1
TAS000000282596 - EXP-WINTEL TIC-SUM
TAS000000283148 - EXP-SQLSERVER TIC-SUM
TAS000000283256 - SDNIVEL1</t>
  </si>
  <si>
    <t>FILESRV2,aytointranet.cconsistorial.alcala, IMPRESIONPOL01,HVAYALCALADC02, HVPMALCALADC02, IMPRESION2, AYALCATERSER, HVAYALCALAWSUS, SQLTEST, VMISC2</t>
  </si>
  <si>
    <t>CRQ000000290163</t>
  </si>
  <si>
    <t>TAS000000283154 - SDNIVEL1
TAS000000282789 - EXP-WINTEL TIC-SUM
TAS000000283155 - SDNIVEL1</t>
  </si>
  <si>
    <t>CRQ000000289508</t>
  </si>
  <si>
    <t>TAS000000282791 - SDNIVEL1
TAS000000282851 - EXP-WINTEL TIC-SUM
TAS000000282792 - EXP-SQLSERVER TIC-SUM
TAS000000282598 - SDNIVEL1</t>
  </si>
  <si>
    <t>CRQ000000289811</t>
  </si>
  <si>
    <t>TAS000000283260 - SDNIVEL1
TAS000000283321 - EXP-WINTEL TIC-SUM
TAS000000283322 - SDNIVEL1</t>
  </si>
  <si>
    <t xml:space="preserve">CRQ000000289878 </t>
  </si>
  <si>
    <t>TAS000000283325 - EXP-CCT_CITRIX-TICLIENTES-SUM</t>
  </si>
  <si>
    <t>CRQ000000289620</t>
  </si>
  <si>
    <t>TAS000000283327 - SDNIVEL1
TAS000000282865 - EXP-WINTEL TIC-SUM
TAS000000283273 - SDNIVEL1</t>
  </si>
  <si>
    <t>POOl - MEDIASET ESPAÑA COMUNICACION,S.A -
Solicitud de apagado de servidores</t>
  </si>
  <si>
    <t>A79075438 - MEDIASET ESPAÑA COMUNICACIÓN, S.A</t>
  </si>
  <si>
    <t>tcincoconsola, TMP_tcincoconsola_SD8181208_BAJA</t>
  </si>
  <si>
    <t>CRQ000000289891</t>
  </si>
  <si>
    <t>TAS000000283168 - SSO SG EVENTOS
TAS000000283333 - GLOBAL BACKUP PLATFORM PROVISION
TAS000000283169 - EXP-EMPRESAS-VIRTUALIZADOS</t>
  </si>
  <si>
    <t xml:space="preserve">CED-102AL-BE01, CED-102AL-BE02, CED-102AL-BE03, CED-102AL-BE04, CED-102AL-DC01, CED-102AL-HV02 </t>
  </si>
  <si>
    <t>CRQ000000290196</t>
  </si>
  <si>
    <t>TAS000000283508 - SDNIVEL1
TAS000000283414 - EXP-CORREO COLABORATIVO EXCHANGE TIC-SUM
TAS000000283291 - SDNIVEL1</t>
  </si>
  <si>
    <t xml:space="preserve">CED-102JC-BE01, CED-102JC-BE02, CED-102JC-BE03, CED-102JC-BE04, CED-102JC-DC01, CED-102JC-HV01 </t>
  </si>
  <si>
    <t>CRQ000000289516</t>
  </si>
  <si>
    <t>TAS000000283336 - SDNIVEL1
TAS000000283294 - EXP-CORREO COLABORATIVO EXCHANGE TIC-SUM
TAS000000283512 - SDNIVEL1</t>
  </si>
  <si>
    <t>CRQ000000290244</t>
  </si>
  <si>
    <t>TAS000000283177 - SDNIVEL1
TAS000000283421 - EXP-CORREO COLABORATIVO EXCHANGE TIC-SUM
TAS000000283607 - SDNIVEL1</t>
  </si>
  <si>
    <t>CRQ000000290209</t>
  </si>
  <si>
    <t>TAS000000283517 - SDNIVEL1
TAS000000283611 - EXP-CORREO COLABORATIVO EXCHANGE TIC-SUM
TAS000000283426 - SDNIVEL1</t>
  </si>
  <si>
    <t>CRQ000000290253</t>
  </si>
  <si>
    <t>TAS000000283524 - SDNIVEL1
TAS000000283525 - EXP-WINTEL TIC-SUM
TAS000000283527 - SDNIVEL1</t>
  </si>
  <si>
    <t>AMP - AYUNTAMIENTO DE ALCALÁ DE HENARES - Instalación de parches de seguridad de Microsoft</t>
  </si>
  <si>
    <t>CRQ000000290256</t>
  </si>
  <si>
    <t>TAS000000283620 - SDNIVEL1
TAS000000283349 - EXP-WINTEL TIC-SUM 
TAS000000283433 - EXP-SQLSERVER TIC-SUM
TAS000000283351 - SDNIVEL1</t>
  </si>
  <si>
    <t>CRQ000000289638</t>
  </si>
  <si>
    <t>TAS000000283356 - SDNIVEL1
TAS000000282894 - EXP-WINTEL TIC-SUM
TAS000000282895 - EXP-SQLSERVER TIC-SUM
TAS000000283623 - SDNIVEL1</t>
  </si>
  <si>
    <t>CRQ000000290345</t>
  </si>
  <si>
    <t>TAS000000282896 - SDNIVEL1
TAS000000283360 - EXP-WINTEL TIC-SUM
TAS000000283624 - SDNIVEL1</t>
  </si>
  <si>
    <t>CRQ000000290230</t>
  </si>
  <si>
    <t>TAS000000283363 - SDNIVEL1
TAS000000283455 - EXP-WINTEL TIC-SUM
TAS000000283629 - SDNIVEL1</t>
  </si>
  <si>
    <t>Instalacion parches seguridad Septiembre 2021</t>
  </si>
  <si>
    <t>CRQ000000289910</t>
  </si>
  <si>
    <t>TAS000000283460 - SDNIVEL1
TAS000000283371 - EXP-WINTEL TIC-SUM
TAS000000283534 - EXP-SQLSERVER TIC-SUM
TAS000000283372 - EXP-EMPRESAS-MIDDLEWARE
TAS000000283535 - SDNIVEL1</t>
  </si>
  <si>
    <t>CRQ000000290354</t>
  </si>
  <si>
    <t>TAS000000283706 - SDNIVEL1
TAS000000283903 - EXP-WINTEL TIC-SUM
TAS000000283536 - SDNIVEL1</t>
  </si>
  <si>
    <t>CRQ000000289538</t>
  </si>
  <si>
    <t>TAS000000283709 - SDNIVEL1
TAS000000283710 - EXP-WINTEL TIC-SUM
TAS000000283374 - SDNIVEL1</t>
  </si>
  <si>
    <t>CRQ000000290243</t>
  </si>
  <si>
    <t>TAS000000283719 - SDNIVEL1
TAS000000283909 - EXP-WINTEL TIC-SUM
TAS000000283910 - SDNIVEL1</t>
  </si>
  <si>
    <t>CRQ000000290546</t>
  </si>
  <si>
    <t>TAS000000283544 - SDNIVEL1
TAS000000283545 - EXP-WINTEL TIC-SUM
TAS000000283546 - SDNIVEL1</t>
  </si>
  <si>
    <t>CRQ000000290464</t>
  </si>
  <si>
    <t>TAS000000283378 - SDNIVEL1
TAS000000283379 - EXP-WINTEL TIC-SUM
TAS000000283548 - SDNIVEL1</t>
  </si>
  <si>
    <t>CRQ000000290466</t>
  </si>
  <si>
    <t>TAS000000283917 - SDNIVEL1
TAS000000283740 - EXP-WINTEL TIC-SUM
TAS000000283741 - SDNIVEL1</t>
  </si>
  <si>
    <t>CRQ000000290648</t>
  </si>
  <si>
    <t>TAS000000283474 - SDNIVEL1
TAS000000283918 - EXP-WINTEL TIC-SUM
TAS000000283641 - SDNIVEL1</t>
  </si>
  <si>
    <t>POOL - CAJA ASTURIAS - Apagado de servidores</t>
  </si>
  <si>
    <t>CRQ000000290382</t>
  </si>
  <si>
    <t>TAS000000283919 - SSO SG EVENTOS
TAS000000283393 - GLOBAL BACKUP PLATFORM PROVISIÓN
TAS000000283394 - EXP-EMPRESAS-SISTEMASLINUX</t>
  </si>
  <si>
    <t>POOL - FABRICA NACIONAL DE MONEDA Y TIMBRE - Solicitud de apagado de servidores</t>
  </si>
  <si>
    <t>Q2826004J - FABRICA NACIONAL DE MONEDA Y TIMBRE</t>
  </si>
  <si>
    <t>apefeb2c03v_TA, apefeb2c04v_TA, apefeb2b02v_TA, apefeb2b01v, apefeb2c01v, apefeb2c02v, apeprebe01v, apeprebe02v, apeprebe03v, apeprefeb2b01v, apeprefeb2c01v, apemovila, apemovilb, ces2be01, ces2fe01, ces2maa01, ces2maa02, ces2maq01, ces2maq02, ces2mbox01, ces2mbox02, apefeb2b02v, apefeb2c03v, apefeb2c04V</t>
  </si>
  <si>
    <t>CRQ000000289941</t>
  </si>
  <si>
    <t>TAS000000284101 - SSO SG EVENTOS
TAS000000283553 - GLOBAL BACKUP PLATFORM PROVISION
TAS000000283478 - EXP-EMPRESAS-SISTEMASLINUX</t>
  </si>
  <si>
    <t>MSWASCIP01, MSWJIRAP01, MSWFEPNP01, MSWLKMSP02, MSWMSQLD01, MSWWEBSD01, MSWAPPGD01, MSWAPPRD01, MSWDYND01</t>
  </si>
  <si>
    <t>CRQ000000290300</t>
  </si>
  <si>
    <t>davasavdcad01, davasavdcad02, davasavdcapp01, davasavdcapp02, davasavdcbbdd01, davasavdclic01, davasavdcsql01, DAVASAVDCRDSSQL</t>
  </si>
  <si>
    <t>CRQ000000290752</t>
  </si>
  <si>
    <t>TAS000000284229 - SDNIVEL1
TAS000000283937 - EXP-WINTEL TIC-SUM
TAS000000284230 - EXP-SQLSERVER TIC-SUM
TAS000000284231 - SDNIVEL1</t>
  </si>
  <si>
    <t>CRQ000000290303</t>
  </si>
  <si>
    <t>TAS000000284238 - SDNIVEL1
TAS000000284239 - EXP-WINTEL TIC-SUM
TAS000000283566 - SDNIVEL1</t>
  </si>
  <si>
    <t>CRQ000000290388</t>
  </si>
  <si>
    <t>TAS000000284248 - SDNIVEL1
TAS000000284249 - EXP-WINTEL TIC-SUM
TAS000000283654 - SDNIVEL1</t>
  </si>
  <si>
    <t>RTVEINFORMES</t>
  </si>
  <si>
    <t>CRQ000000290560</t>
  </si>
  <si>
    <t xml:space="preserve">TAS000000284254 - SDNIVEL1 
TAS000000284255 - EXP-WINTEL TIC-SUM
TAS000000283656 - SDNIVEL1 </t>
  </si>
  <si>
    <t>Parcheado Seguridad SEptiembre 2021</t>
  </si>
  <si>
    <t>CRQ000000290486</t>
  </si>
  <si>
    <t>TAS000000284256 - SDNIVEL1
TAS000000283956 - EXP-SQLSERVER TIC-SUM
TAS000000283485 - EXP-WINTEL TIC-SUM
TAS000000283657 - SDNIVEL1</t>
  </si>
  <si>
    <t>CRQ000000290769</t>
  </si>
  <si>
    <t>TAS000000284124 - SDNIVEL1
TAS000000283487 - EXP-WINTEL TIC-SUM
TAS000000284264 - EXP-EMPRESAS-MIDDLEWARE
TAS000000283572 - SDNIVEL1</t>
  </si>
  <si>
    <t>CRA - RTVE - Instalación parche rtveinformes</t>
  </si>
  <si>
    <t>CRQ000000290562</t>
  </si>
  <si>
    <t>TAS000000284279 - SDNIVEL1
TAS000000284280 - EXP-WINTEL TIC-SUM
TAS000000284281- SDNIVEL1</t>
  </si>
  <si>
    <t xml:space="preserve">Parcheado Seguridad Septiembre 2021 </t>
  </si>
  <si>
    <t>CRQ000000290494</t>
  </si>
  <si>
    <t>TAS000000284289 - SDNIVEL1
TAS000000284136 - EXP-WINTEL TIC-SUM
TAS000000284137 - SDNIVEL1</t>
  </si>
  <si>
    <t>CRQ000000290497</t>
  </si>
  <si>
    <t>TAS000000283493 - SDNIVEL1
TAS000000283494 - EXP-WINTEL TIC-SUM TAS000000283967 - SDNIVEL1</t>
  </si>
  <si>
    <t>CRQ000000290402</t>
  </si>
  <si>
    <t>TAS000000283969 - SDNIVEL1
TAS000000283579 - EXP-WINTEL TIC-SUM
TAS000000284305 - SDNIVEL1</t>
  </si>
  <si>
    <t>CRQ000000290588</t>
  </si>
  <si>
    <t>TAS000000284170 - SDNIVEL1
TAS000000283992 - EXP-WINTEL TIC-SUM
TAS000000284514 - SDNIVEL1</t>
  </si>
  <si>
    <t>CLOUD PUBLICA NIVEL 2_CGP</t>
  </si>
  <si>
    <t xml:space="preserve">POOL - PROSEGUR Despliegue nuevas versiones PRO y actualizaciones ficheros helm/terraform  </t>
  </si>
  <si>
    <t>CRQ000000290334</t>
  </si>
  <si>
    <t>TAS000000283993 - CLOUD PÚBLICA NIVEL 2_GCP</t>
  </si>
  <si>
    <t>Microservicios</t>
  </si>
  <si>
    <t>PRP - AGENCIA ESPAÑOLA DE PROTECCION DE DATOS - Instalación de parches de seguridad de Microsoft</t>
  </si>
  <si>
    <t>AD Connect, AEPDDCAL1, AEPDDCJC1, FICHEROSW2016, Impresoras. UTIL_ADMONW2016</t>
  </si>
  <si>
    <t>CRQ000000290692</t>
  </si>
  <si>
    <t xml:space="preserve">TAS000000284515 - SDNIVEL1 
TAS000000284174 - EXP-WINTEL TIC-SUM
TAS000000284744 - SDNIVEL1 </t>
  </si>
  <si>
    <t>MSWADRMP01, MSWAPPRP01, MSWRECRP01, MSWMSQLP03, MSWMSQLP04, MSWPKIP02, MSWPRTSP01, MSWQLIKP01, MSWREPOP01, MSWSP13P01, MSWSP13P02, MSWSP13P03, MSWSP13P04, MSWSTSSP01, MSWWEBSP01, MSWWEBSP02, MSWAPPGP01, MSWDORLP01
MSWDYNP01, MSWMSQLP01</t>
  </si>
  <si>
    <t>CRQ000000290423</t>
  </si>
  <si>
    <t>TAS000000283999 - Deshabilitar monitorización
TAS000000284519 - Parcheo de seguridad de los servidores
TAS000000284749 - Habilitar monitorización</t>
  </si>
  <si>
    <t>CRQ000000290697</t>
  </si>
  <si>
    <t>TAS000000284804 - SDNIVEL1
TAS000000284521 - EXP-WINTEL TIC-SUM
TAS000000284000 - SDNIVEL1</t>
  </si>
  <si>
    <t>CRQ000000290820</t>
  </si>
  <si>
    <t>TAS000000285009 - EXP-EMPRESAS-MIDDLEWARE</t>
  </si>
  <si>
    <t>hesappro04, hesappro07, hesappro15</t>
  </si>
  <si>
    <t>CRQ000000290622</t>
  </si>
  <si>
    <t>TAS000000284359 - SDNIVEL1
TAS000000284972 - EXP-EMPRESAS-SISTEMASLINUX
TAS000000284566 - SDNIVEL1</t>
  </si>
  <si>
    <t xml:space="preserve">IGNACIO BARCENA VENERO </t>
  </si>
  <si>
    <t>ignacio.barcenavenero@telefonica.com</t>
  </si>
  <si>
    <t>IBV</t>
  </si>
  <si>
    <t>Cerrada por Ismael Capellan y abierto CRQ000000290811 con otro horario</t>
  </si>
  <si>
    <t>A82741067</t>
  </si>
  <si>
    <t>CESPA S.A.</t>
  </si>
  <si>
    <t>POOL - CESPA - Pase a PRO Hygia, WNFRVFEP04</t>
  </si>
  <si>
    <t>WNFRVFEP04</t>
  </si>
  <si>
    <t>CRQ000000291186</t>
  </si>
  <si>
    <t>TAS000000285235 - EXP-EMPRESAS-MIDDLEWARE</t>
  </si>
  <si>
    <t>IPC - ACS - Cambios Securización protocolos TLS , SERACS2</t>
  </si>
  <si>
    <t>TAS000000285462 - SDNIVEL1
TAS000000285955 - EXP-EMPRESAS-VIRTUALIADOS
TAS000000285853 - EXP-EMPRESAS-MIDDLEWARE
TAS000000285854 - SDNIVEL1</t>
  </si>
  <si>
    <t>CRQ000000291948</t>
  </si>
  <si>
    <t>CRQ000000292162</t>
  </si>
  <si>
    <t>TAS000000286053 - EXP-EMPRESAS-VIRTUALIZADOS</t>
  </si>
  <si>
    <t>jorge.padillaparras@telefonica.com</t>
  </si>
  <si>
    <t>JPP</t>
  </si>
  <si>
    <t>TAS000000286259 - SDNIVEL1 
TAS000000276545 - EXP-CORREO COLABORATIVO EXCHANGE TIC-SUM
TAS000000286902 - SDNIVEL1</t>
  </si>
  <si>
    <t>CRQ000000292368</t>
  </si>
  <si>
    <t>TAS000000286829 - SDNIVEL1 
TAS000000286831 - EXP-CORREO COLABORATIVO EXCHANGE TIC-SUM
TAS000000286832 - SDNIVEL1</t>
  </si>
  <si>
    <t>CRQ000000291937</t>
  </si>
  <si>
    <t>A28017895 - EL CORTE INGLES S.A.</t>
  </si>
  <si>
    <t>FND - EL CORTE INGLES - Apagado de servidores</t>
  </si>
  <si>
    <t>cortaplic, cortaptcweb, cort-bbdddoble0, cortcampaapp, cortcampabbdd, cort-frontdoble0, cortpermapp, cortpermbbdd, cortpromo, cort-registro, cortwinapp1, cortwinbbdd1, cortfrontvip01, cortbbddvip, cortfrontvip02, Impervaeci002, cortadtiviti, cortprima, cortalia, cortmiyo, cortregistro, cortinteradtive, ELCORTEWEB01, cortelcapricho, cortgo, canaltecnia, cortbbdddoble0, cortnavi, corttribbd, cortviajeweb, cortfrontdoble0, cortcomunica, cortnavi2</t>
  </si>
  <si>
    <t>CRQ000000292470</t>
  </si>
  <si>
    <t>TAS000000286765 - SSO SG EVENTOS
TAS000000286272 - GLOBAL BACKUP PLATFORM PROVISION
TAS000000286766 - EXP-EMPRESAS-VIRTUALIZADOS</t>
  </si>
  <si>
    <t>CRQ000000292466</t>
  </si>
  <si>
    <t>CRQ000000292373</t>
  </si>
  <si>
    <t>Parcheado Seguridad Septiembre 2021
melazusrvlivo02, ESTA NO HA INICIADO CORRECTAMENTE. Se ha creado la INC000007256100</t>
  </si>
  <si>
    <t>TAS000000286268 - EXP-CORREO COLABORATIVO EXCHANGE TIC-SUM</t>
  </si>
  <si>
    <t>TAS000000286907 - EXP-CORREO COLABORATIVO EXCHANGE TIC-SUM</t>
  </si>
  <si>
    <t>POOL - ASETIR - Apagado de servidores</t>
  </si>
  <si>
    <t>B04173704 - ASETIR S.L.U.</t>
  </si>
  <si>
    <t>asetiradt</t>
  </si>
  <si>
    <t>CRQ000000292106</t>
  </si>
  <si>
    <t>TAS000000287236 - SSO SG EVENTOS
TAS000000286852 - GLOBAL BACKUP PLATFORM PROVISION
TAS000000287237 - EXP-EMPRESAS-VIRTUALIZADOS</t>
  </si>
  <si>
    <t>ASETIR S.L.U.</t>
  </si>
  <si>
    <t>B04173704</t>
  </si>
  <si>
    <t>Viene de CRQ000000292106 cancelada por cambio de de fechas</t>
  </si>
  <si>
    <t>CRQ000000292393</t>
  </si>
  <si>
    <t>TAS000000286661 - SSO SG EVENTOS
TAS000000287277 - GLOBAL BACKUP PLATFORM PROVISION
TAS000000286892 - EXP-EMPRESAS-VIRTUALIZADOS</t>
  </si>
  <si>
    <t>cancelado</t>
  </si>
  <si>
    <t>Se cancela una  vez aprobada por cambio de fechas. Se abre CRQ000000292393</t>
  </si>
  <si>
    <t>TAS000000284206 - SDNIVEL1
TAS000000284207 - EXP-WINTEL TIC-SUM
TAS000000284210 - SDNIVEL1</t>
  </si>
  <si>
    <t>Revisión parcheado y reinicio vdcsagecottet01</t>
  </si>
  <si>
    <t>CRQ000000293012</t>
  </si>
  <si>
    <t>TAS000000286696 - SDNIVEL1
TAS000000287730 - EXP-WINTEL TIC-SUM
TAS000000287731 - SDNIVEL1</t>
  </si>
  <si>
    <t>RMN - TALGO - Cambio de Esx de dos servidores</t>
  </si>
  <si>
    <t>Talfm2pro02, Talfm2pro03</t>
  </si>
  <si>
    <t>CRQ000000293276</t>
  </si>
  <si>
    <t>TAS000000287564 - EXP-SISTEMAS VIRTUALIZADOS
TAS000000287780 - EXP_OPEN_ERP_CL</t>
  </si>
  <si>
    <t>SMP - LEGALITAS ASISTENCIA LEGAL S.L. - Actualización catalogo Hard y ligero de Prod</t>
  </si>
  <si>
    <t>AMP - VERDIFRESH S.L. - Actualizar parches de Microsoft mes de Septiembre</t>
  </si>
  <si>
    <t>POOL - SPACE CARGO HEADQUARTERS S.A. - Actualizar parches de Microsoft mes de Septiembre</t>
  </si>
  <si>
    <t>A83747824 - SPACE CARGO HEADQUARTERS S.A.</t>
  </si>
  <si>
    <t>DE-ALU-001-0001, DE-ALU-001-0002, DE-ALU-001-0003, DE-ALU-001-0004, DE-ALU-001-0005, DE-ALU-001-0006, DE-ALU-001-0007, DE-ALU-001-0008, DE-ALU-001-0009, DE-ALU-001-0010, DE-ALU-001-0011, DE-ALU-001-0012, DE-ALU-001-0013, DE-ALU-001-0014, DE-ALU-001-0015, DE-ALU-001-0016, DE-ALU-001-0017, DE-ALU-001-0018, DE-ALU-001-0019, DE-ALU-001-0020, DE-ALU-001-0037, DE-ALU-001-0038, DE-ALU-001-0039, DE-ALU-001-0040, DE-ALU-001-0041, DE-ALU-001-0042, DE-ALU-001-0043, DE-ALU-001-0044, DE-ALU-001-0045, DE-ALU-001-0046, DE-ALU-001-0047, DE-ALU-001-0048, DE-ALU-001-0049, DE-ALU-001-0050, DE-ALU-001-0051, DE-ALU-001-0052, DE-ALU-001-0053, DE-ALU-001-0054, DE-ALU-001-0055, DE-ALU-001-0056, DE-ALU-001-0057, DE-ALU-001-0058, DE-ALU-001-0059, DE-GOB-001-0001, DE-GOB-001-0002, DE-GOB-001-0003, DE-GOB-001-0004, DE-GOB-001-0005, DE-GOB-001-0006, DE-GOB-001-0007, DE-GOB-001-0008, DE-PRF-002-0001, DE-PRF-002-0002, DE-PRF-002-0003, DE-PRF-002-0004, DE-PRF-002-0005, DE-PRF-002-0006, DE-PRF-002-0007, DE-PRF-002-0008, DE-PRF-002-0009, DE-PRF-002-0010, DE-PRF-002-0011, DE-PRF-002-0012, DE-PRF-002-0013, DE-PRF-002-0014, DE-PRF-002-0015, DE-PRF-002-0016, DE-PRF-002-0017, DE-PRF-002-0018, DE-PRF-002-0019, DE-PRF-002-0020, DE-PRF-002-0021, DE-PRF-002-0022, DE-PRF-002-0023, DE-PRF-002-0024, DE-PRF-002-0025, DE-PRF-002-0026, DE-PRF-002-0027, DE-PRF-002-0028, DE-PRF-002-0029, DE-PRF-002-0030, DE-PRF-002-0031, DE-PRF-002-0032, DE-PRF-002-0033, DE-PRF-002-0034, DE-PRF-002-0035, DE-PRF-002-0036, DE-PRF-002-0037, DE-PRF-002-0038, DE-PRF-002-0039, DE-PRF-002-0040, DE-PRF-002-0041, DE-PRF-002-0042, DE-PRF-002-0043, DE-PRF-002-0044, DE-PRF-002-0045, DE-PRF-002-0046, DE-PRF-002-0047, DE-PRF-002-0048, DE-PRF-002-0049, DE-PRF-002-0050, DE-PRF-002-0051, DE-PRF-002-0052, DE-PRF-002-0053, DE-PRF-002-0054, DE-PRF-002-0055, DE-PRF-002-0056, DE-PRF-002-0057, DE-PRF-002-0058, DE-PRF-002-0059, DE-PRF-002-0060, DE-PRF-002-0061, DE-PRF-002-0062</t>
  </si>
  <si>
    <t>CRA - CAJA RURAL DE ASTURIAS - Actualizar parches de Microsoft mes de Septiembre</t>
  </si>
  <si>
    <t>POOL - CONSTRUCCIONES Y AUX.DE FERROCARRIL - Actualizar parches de Microsoft mes de Septiembre</t>
  </si>
  <si>
    <t>RJLC - DIR. GENERAL DE ORDENACIÓN DEL JUEGO - Actualizar parches de Microsoft mes de Septiembre</t>
  </si>
  <si>
    <t>POOL - INVERAMA S.A. - Actualizar parches de Microsoft mes de Septiembre</t>
  </si>
  <si>
    <t>A08061590 - INVERAMA S.A.</t>
  </si>
  <si>
    <t>INVWS12HSD01,INVWS12HSD02, INVWS12HSD03,INVWS12HSD04, INVWS12HSD05,INVWS12HSD06, INVWS12HSD07, INVWS12HSD08</t>
  </si>
  <si>
    <t>Escalado: Solicitud de crear el cambio con &lt; 48 horas de pre aviso. Se demora cierre pdte de grupo de SAP</t>
  </si>
  <si>
    <t>CRQ000000293305</t>
  </si>
  <si>
    <t>TAS000000288590 - EXP-EMPRESAS-MIDDLEWARE</t>
  </si>
  <si>
    <t>CRQ000000293719</t>
  </si>
  <si>
    <t>CRQ000000294008</t>
  </si>
  <si>
    <t>CRQ000000294293</t>
  </si>
  <si>
    <t>TAS000000289246 - EXP-CCT_CITRIX-TICLIENTES-SUM</t>
  </si>
  <si>
    <t>TAS000000288642 - EXP-CCT_CITRIX-TICLIENTES-SUM</t>
  </si>
  <si>
    <t>TAS000000289656 - EXP-CCT_CITRIX-TICLIENTES-SUM</t>
  </si>
  <si>
    <t>SCT - COMUNIDAD AUTONOMA DE LA RIOJA - La instalación de la versión CU8 de VDA para RIOJA ON PREMISE</t>
  </si>
  <si>
    <t>CRQ000000294310</t>
  </si>
  <si>
    <t>TAS000000289683 - EXP-CCT_CITRIX-TICLIENTES-SUM</t>
  </si>
  <si>
    <t>Jose Javier Fraile Fernandez</t>
  </si>
  <si>
    <t>POOL - CESPA - Migración de los MySQL(PaS) a nuevo cliente CESPA S.A.</t>
  </si>
  <si>
    <t>dbfrvp04.mysql.database.azure.com, dbfrvp03.documents.azure.com, dbfrvp05.documents.azure.com, aks-nodepool1-22806685-0, aks-nodepool1-22806685-1, aks-nodepool1-22806685-2, aks-nodepool1-22806685-3, aks-nodepool1-228066854, dbmap04.mysql.database.azure.com, dbmap03.documents.azure.com, dbmap05.documents.azure.com</t>
  </si>
  <si>
    <t>CRQ000000294335</t>
  </si>
  <si>
    <t>TAS000000290209 - SSO SG EVENTOS
TAS000000290210 - CLOUD PUBLICA NIVEL2_AZURE
TAS000000290211 - CLOUD PUBLICA NIVEL2_AZURE</t>
  </si>
  <si>
    <t>CRQ000000294663</t>
  </si>
  <si>
    <t>TAS000000290401 - EXP-CCT_CITRIX-TICLIENTES-SUM
TAS000000289873 - EXP-CCT_CITRIX-TICLIENTES-SUM</t>
  </si>
  <si>
    <t>JBS - FERROVIAL S.A. - Instalación de parches de seguridad - AL</t>
  </si>
  <si>
    <t>JBS - FERROVIAL S.A. - Instalación de parches de seguridad - JC</t>
  </si>
  <si>
    <t>CRQ000000294772</t>
  </si>
  <si>
    <t>TAS000000289878 - SDNIVEL1
TAS000000289790 - EXP-CORREO COLABORATIVO EXCHANGE TIC-SUM
TAS000000289879 - SDNIVEL1</t>
  </si>
  <si>
    <t>Escalado: solicitud de generar el cambio con &lt; 48 horas de pre aviso. Solicitan cancelar cambio</t>
  </si>
  <si>
    <t>CRQ000000294410</t>
  </si>
  <si>
    <t>TAS000000290423 - SDNIVEL1
TAS000000289891 - EXP-CORREO COLABORATIVO EXCHANGE TIC-SUM
TAS000000289892 - SDNIVEL1</t>
  </si>
  <si>
    <t>TAS000000289596 - EXP-CCT_CITRIX-TICLIENTES-SUM</t>
  </si>
  <si>
    <t>CRQ000000294137</t>
  </si>
  <si>
    <t>Programado para aprobación</t>
  </si>
  <si>
    <t>CRQ000000294707</t>
  </si>
  <si>
    <t>TAS000000290707 - EXP-CCT_CITRIX-TICLIENTES-SUM</t>
  </si>
  <si>
    <t>CRQ000000294143</t>
  </si>
  <si>
    <t>TAS000000290376 - EXP-CCT_CITRIX-TICLIENTES-SUM</t>
  </si>
  <si>
    <t>CRQ000000295049</t>
  </si>
  <si>
    <t>TAS000000290550 - EXP-CCT_CITRIX-TICLIENTES-SUM</t>
  </si>
  <si>
    <t>Infraestructura</t>
  </si>
  <si>
    <t>BBDD SQL SERVER</t>
  </si>
  <si>
    <t>CORREO EXCHANGE</t>
  </si>
  <si>
    <t>SD NIVEL 1</t>
  </si>
  <si>
    <t>SISTEMAS BBDD</t>
  </si>
  <si>
    <t xml:space="preserve">SISTEMAS UNIX                     </t>
  </si>
  <si>
    <t>SKYPE FOR BUSINESS</t>
  </si>
  <si>
    <t>TAS000000290827 - EXP-EMPRESAS-BBDD
TAS000000290754 - EXP-EMPRESAS-MIDDLEWARE
TAS000000290755 - EXP-EMPRESAS-BBDD</t>
  </si>
  <si>
    <t>CRQ000000294983</t>
  </si>
  <si>
    <t>JPLB - KAO CORPORATION, S.A. - Actualizar parches de Microsoft mes de Septiembre</t>
  </si>
  <si>
    <t>CRQ000000295072</t>
  </si>
  <si>
    <t>TAS000000290759 - EXP-CCT_CITRIX-TICLIENTES-SUM</t>
  </si>
  <si>
    <t>POOL - UNIVERSIDAD DE LAS PALMAS - Cambio de RAM en servers de PRO</t>
  </si>
  <si>
    <t>TAS000000290899 - EXP-EMPRESAS-VIRTUALIZADOS
TAS000000291060 - EXP-EMPRESAS-SISTEMASLINUX
TAS000000291701 - EXP-EMPRESAS-MIDDLEWARE</t>
  </si>
  <si>
    <t>CRQ000000294925</t>
  </si>
  <si>
    <t>BiometriaJC1, BiometriaJC2, BiometriaJC3, BiometriaJC4, BiometriaAL1, BiometriaAL2, BiometriaAL3, BiometriaAL4</t>
  </si>
  <si>
    <t>POOL - BBVA - Cambio de IPS en VMs BiometriaAL1-AL4 y BiometriaJC1-JC4</t>
  </si>
  <si>
    <t>CRQ000000295657</t>
  </si>
  <si>
    <t>TAS000000291857 - SDNIVEL1
TAS000000291858 - EXP-EMPRESAS-VIRTUALIZADOS
TAS000000291859 - EXP-EMPRESAS-SISTEMASLINUX
TAS000000291862 - SDNIVEL1</t>
  </si>
  <si>
    <t>Escalado: solicitud de generar el cambio con &lt; 48 horas de pre aviso, Se cancela por falta de recursos</t>
  </si>
  <si>
    <t>POOL - CESPA - Pase a PRE Hygia, WNFRVFET01</t>
  </si>
  <si>
    <t>WNFRVFET01</t>
  </si>
  <si>
    <t>TAS000000291093 - EXP-EMPRESAS-MIDDLEWARE</t>
  </si>
  <si>
    <t>CRQ000000295682</t>
  </si>
  <si>
    <t>Escalado: solicitud de generar el cambio con &lt; 48 horas de pre aviso</t>
  </si>
  <si>
    <t>humvt8s2d2</t>
  </si>
  <si>
    <t>DLN</t>
  </si>
  <si>
    <t>DLN – HUMV –Reinicio de nodo humvt8s2d2</t>
  </si>
  <si>
    <t>CRQ000000295957</t>
  </si>
  <si>
    <t>TAS000000290685 - SDNIVEL1
TAS000000291099 - EXP-EMPRESAS-SISTEMASLINUX
TAS000000291761 - SDNIVEL1</t>
  </si>
  <si>
    <t>CRQ000000295787</t>
  </si>
  <si>
    <t>TAS000000292013 - EXP-SISTEMAS VIRTUALIZADOS
TAS000000291783 - EXP_OPEN_ERP_CL</t>
  </si>
  <si>
    <t>JABQ - LA FABRICA DE LA TELE S.L. - Solicitud de apagado de servidores</t>
  </si>
  <si>
    <t>fltnasconsole, fltvideo01, fltvideo02, netapp_dc1, netapp_dc2, fltfw01, fltfw02</t>
  </si>
  <si>
    <t>POOL - INSTITUT D'ASSISTENCIA SANITARIA - Mover bases de datos al CPD de Julián Camarillo relativos a los cambios de Almacenamiento CRQ000000269378 y CRQ000000269995</t>
  </si>
  <si>
    <t>Q6750003C - INSTITUT D'ASSISTENCIA SANITARIA</t>
  </si>
  <si>
    <t>CRQ000000295230</t>
  </si>
  <si>
    <t>TAS000000292021 - SSO SG EVENTOS
TAS000000290695 - EXP-EMPRESAS-VIRTUALIZADOS
TAS000000290695 - EXP-EMPRESAS-VIRTUALIZADOS</t>
  </si>
  <si>
    <t>Sem</t>
  </si>
  <si>
    <t>CRQ000000296052</t>
  </si>
  <si>
    <t>TAS000000292037 - SDNIVEL1
TAS000000292039 - EXP-CORREO COLABORATIVO EXCHANGE TIC-SUM
TAS000000292135 - SDNIVEL1</t>
  </si>
  <si>
    <t>CLOUD</t>
  </si>
  <si>
    <t>POOL - CESPA S.A. - Migración de los MySQL(PaS) a nuevo cliente CESPA S.A.</t>
  </si>
  <si>
    <t>Extenso: corte toda la ventana</t>
  </si>
  <si>
    <t>dbfrvp04.mysql.database.azure.com, dbfrvp03.documents.azure.com, dbfrvp05.documents.azure.com</t>
  </si>
  <si>
    <t>TAS000000292083 - SSO SG EVENTOS
TAS000000292084 - CLOUD PÚBLICA NIVEL 2_AZURE
TAS000000292489 - CLOUD PÚBLICA NIVEL 2_AZURE</t>
  </si>
  <si>
    <t>CRQ000000296278</t>
  </si>
  <si>
    <t>POOL - INSTITUT D'ASSISTENCIA SANITARIA - Instalación de parches de seguridad - JC</t>
  </si>
  <si>
    <t>POOL - INSTITUT D'ASSISTENCIA SANITARIA - Instalación de parches de seguridad - AL</t>
  </si>
  <si>
    <t>CRQ000000296188</t>
  </si>
  <si>
    <t>CRQ000000296119</t>
  </si>
  <si>
    <t xml:space="preserve">TAS000000292940 - SDNIVEL1_x000D_
TAS000000292941 - EXP-CORREO COLABORATIVO EXCHANGE TIC-SUM_x000D_
TAS000000292724 - SDNIVEL1_x000D_
</t>
  </si>
  <si>
    <t xml:space="preserve">TAS000000292088 - SDNIVEL1_x000D_
TAS000000292089 - EXP-CORREO COLABORATIVO EXCHANGE TIC-SUM_x000D_
TAS000000292942 - SDNIVEL1_x000D_
</t>
  </si>
  <si>
    <t>POOL - HOTELES ELBA S.L. - Actualización del sistema operativo a la última versión en hesappro01 y hesappro02</t>
  </si>
  <si>
    <t>hesappro01, hesappro02</t>
  </si>
  <si>
    <t>TAS000000293429 - SDNIVEL1
TAS000000293431 - EXP-EMPRESAS-SISTEMASLINUX
TAS000000293506 - SDNIVEL1</t>
  </si>
  <si>
    <t>CRQ000000297050</t>
  </si>
  <si>
    <t>CRQ000000297103</t>
  </si>
  <si>
    <t>LCH - ENEL IBEROAMERICA, S.R.L. - Instalación de parches de seguridad de Microsoft PRE</t>
  </si>
  <si>
    <t>TAS000000293845 - SDNIVEL1
TAS000000293848 - EXP-WINTEL TIC-SUM
TAS000000293933 - EXP-SQLSERVER TIC-SUM
TAS000000293863 - SDNIVEL1</t>
  </si>
  <si>
    <t>CRQ000000296594</t>
  </si>
  <si>
    <t>LCH - ENEL IBEROAMERICA, S.R.L. - Instalación de parches de seguridad de Microsoft PRO</t>
  </si>
  <si>
    <t>TAS000000293939 - SDNIVEL1
TAS000000293741 - EXP-SQLSERVER TIC-SUM
TAS000000293866 - EXP-WINTEL TIC-SUM
TAS000000293742 - EXP-SQLSERVER TIC-SUM
TAS000000293743 - SDNIVEL1</t>
  </si>
  <si>
    <t>POOL - COMERCIAL AUTO TRACTOR S.A. - Instalación de parches de seguridad de Microsoft</t>
  </si>
  <si>
    <t>POOL - ACS, ACTIVIDADES DE CONST. Y SERV. S.A. - Instalación de parches de seguridad de Microsoft</t>
  </si>
  <si>
    <t>OAC - MELIA HOTELS INTERNATIONAL, S.A - Instalación de parches de seguridad de Microsoft PRE</t>
  </si>
  <si>
    <t>JMGP - SEMARK AC GROUP S.A. - Instalación de parches de seguridad de Microsoft 1 de 4</t>
  </si>
  <si>
    <t xml:space="preserve">CRQ000000296714 </t>
  </si>
  <si>
    <t>TAS000000293654 - SDNIVEL1
TAS000000294016 - EXP-WINTEL TIC-SUM
TAS000000293074 - EXP-SQLSERVER TIC-SUM
TAS000000293655 - SDNIVEL1</t>
  </si>
  <si>
    <t xml:space="preserve">CRQ000000296804 </t>
  </si>
  <si>
    <t>TAS000000293075 - SDNIVEL1
TAS000000293076 - EXP-WINTEL TIC-SUM
TAS000000293077 - EXP-SQLSERVER TIC-SUM
TAS000000294017 - SDNIVEL1</t>
  </si>
  <si>
    <t>CRQ000000296807</t>
  </si>
  <si>
    <t>TAS000000293078 - SDNIVEL1
TAS000000293079 - EXP-WINTEL TIC-SUM
TAS000000294018 - SDNIVEL1</t>
  </si>
  <si>
    <t xml:space="preserve">CRQ000000297154 </t>
  </si>
  <si>
    <t>TAS000000293082 - SDNIVEL1
TAS000000293978 - EXP-WINTEL TIC-SUM
TAS000000293979 - SDNIVEL1</t>
  </si>
  <si>
    <t>CRQ000000296533</t>
  </si>
  <si>
    <t>TAS000000294223 - SDNIVEL1
TAS000000294224 - EXP-WINTEL TIC-SUM
TAS000000294304 - SDNIVEL1</t>
  </si>
  <si>
    <t>CRQ000000296534</t>
  </si>
  <si>
    <t>AMP - AYUNTAMIENTO DE ALCALA DE HENARES - Instalación de parches de seguridad de Microsoft 1 de 4</t>
  </si>
  <si>
    <t>P2800500G - AYUNTAMIENTO DE ALCALA DE HENARES</t>
  </si>
  <si>
    <t>TAS000000294126 - SDNIVEL1
TAS000000294305 - EXP-WINTEL TIC-SUM
TAS000000294225 - EXP-SQLSERVER TIC-SUM
TAS000000294306 - SDNIVEL1</t>
  </si>
  <si>
    <t xml:space="preserve">CRQ000000296535 </t>
  </si>
  <si>
    <t>POOL - CAJA DE AHORROS DE POLLENSA-COLONYA - Instalación de parches de seguridad de Microsoft</t>
  </si>
  <si>
    <t>TAS000000294226 - SDNIVEL1
TAS000000294232 - EXP-WINTEL TIC-SUM
TAS000000294131 - EXP-SQLSERVER TIC-SUM
TAS000000294132 - SDNIVEL1</t>
  </si>
  <si>
    <t>CRQ000000296538</t>
  </si>
  <si>
    <t>AAT - BANCA MARCH S.A. - Instalación de parches de seguridad de Microsoft</t>
  </si>
  <si>
    <t>TAS000000294135 - SDNIVEL1
TAS000000294238 - EXP-WINTEL TIC-SUM
TAS000000294310 - SDNIVEL1</t>
  </si>
  <si>
    <t>CRQ000000296828</t>
  </si>
  <si>
    <t>AMP - AYUNTAMIENTO DE ALCALA DE HENARES - Instalación de parches de seguridad de Microsoft 2 de 4</t>
  </si>
  <si>
    <t>FILESRV2, aytointranet.cconsistorial.alcala, IMPRESIONPOL01, HVAYALCALADC02, HVPMALCALADC02, IMPRESION2, AYALCATERSER, HVAYALCALAWSUS, SQLTEST, VMISC2</t>
  </si>
  <si>
    <t>TAS000000293590 - SDNIVEL1
TAS000000294311 - EXP-WINTEL TIC-SUM
TAS000000293591 - SDNIVEL1</t>
  </si>
  <si>
    <t>Parcheado Seguridad Octubre  2021</t>
  </si>
  <si>
    <t>CRQ000000297777</t>
  </si>
  <si>
    <t>TAS000000294781 - EXP-EMPRESAS-VIRTUALIZADOS
TAS000000294420 - EXP-EMPRESAS-SISTEMASLINUX
TAS000000294422 - EXP-EMPRESAS-MIDDLEWARE</t>
  </si>
  <si>
    <t>CRQ000000297279</t>
  </si>
  <si>
    <t>JMGP - SEMARK AC GROUP S.A. - Instalación de parches de seguridad de Microsoft 2 de 4</t>
  </si>
  <si>
    <t>TAS000000294902 - SDNIVEL1
TAS000000294903 - EXP-WINTEL TIC-SUM
TAS000000294378 - SDNIVEL1</t>
  </si>
  <si>
    <t>CRQ000000297790</t>
  </si>
  <si>
    <t>JMGP - EQUIPO IVI S.L. - Instalación de parches de seguridad de Microsoft</t>
  </si>
  <si>
    <t>TAS000000294379 - SDNIVEL1
TAS000000294905 - EXP-WINTEL TIC-SUM
TAS000000294380 - SDNIVEL1</t>
  </si>
  <si>
    <t>CRQ000000297281</t>
  </si>
  <si>
    <t>AMP - AYUNTAMIENTO DE ALCALA DE HENARES - Instalación de parches de seguridad de Microsoft 3 de 4</t>
  </si>
  <si>
    <t>TAS000000294444 - SDNIVEL1
TAS000000294383 - EXP-WINTEL TIC-SUM
TAS000000294908 - EXP-SQLSERVER TIC-SUM
TAS000000294445 - SDNIVEL1</t>
  </si>
  <si>
    <t>CRQ000000297365</t>
  </si>
  <si>
    <t>POOL - CTO MEDICINA S.L. - Instalación de parches de seguridad de Microsoft</t>
  </si>
  <si>
    <t>TAS000000295025 - SDNIVEL1
TAS000000295026 - EXP-WINTEL TIC-SUM
TAS000000294384 - EXP-SQLSERVER TIC-SUM
TAS000000294912 - SDNIVEL1</t>
  </si>
  <si>
    <t>CRQ000000297366</t>
  </si>
  <si>
    <t>TAS000000295029 - SDNIVEL1
TAS000000294385 - EXP-WINTEL TIC-SUM
TAS000000295030 - SDNIVEL1</t>
  </si>
  <si>
    <t>CRQ000000297803</t>
  </si>
  <si>
    <t>OAC - MELIA HOTELS INTERNATIONAL, S.A - Instalación de parches de seguridad de Microsoft PRO</t>
  </si>
  <si>
    <t>TAS000000295038 - SDNIVEL1
TAS000000295039 - EXP-SQLSERVER TIC-SUM
TAS000000295040 - EXP-WINTEL TIC-SUM
TAS000000294089 - EXP-SQLSERVER TIC-SUM
TAS000000295041 - SDNIVEL1</t>
  </si>
  <si>
    <t>CRQ000000297878</t>
  </si>
  <si>
    <t>JPLB - KAO CORPORATION, S.A. - Instalación de parches de seguridad de Microsoft</t>
  </si>
  <si>
    <t>TAS000000294545 - SDNIVEL1
TAS000000294546 - EXP-WINTEL TIC-SUM
TAS000000294453 - SDNIVEL1</t>
  </si>
  <si>
    <t>CRQ000000297293</t>
  </si>
  <si>
    <t>POOL - FONDITEL(ENTID.GESTORA FONDOS PENSI - Instalación de parches de seguridad de Microsoft</t>
  </si>
  <si>
    <t>TAS000000294400 - SDNIVEL1
TAS000000295101 - EXP-WINTEL TIC-SUM
TAS000000294555 - EXP-SQLSERVER TIC-SUM
TAS000000294962 - EXP-EMPRESAS-MIDDLEWARE
TAS000000295048 - SDNIVEL1</t>
  </si>
  <si>
    <t>CRQ000000297297</t>
  </si>
  <si>
    <t>JMGP - SEMARK AC GROUP S.A. - Instalación de parches de seguridad de Microsoft 3 de 4</t>
  </si>
  <si>
    <t>TAS000000294092 - SDNIVEL1
TAS000000294460 - EXP-WINTEL TIC-SUM
TAS000000295134 - SDNIVEL1</t>
  </si>
  <si>
    <t xml:space="preserve">CRQ000000297200 </t>
  </si>
  <si>
    <t>POOL - EL ENEBRO S.A. - Instalación de parches de seguridad de Microsoft</t>
  </si>
  <si>
    <t>TAS000000294465 - SDNIVEL1
TAS000000294466 - EXP-WINTEL TIC-SUM
TAS000000294964 - SDNIVEL1</t>
  </si>
  <si>
    <t>POOL - LIPIDOS SANTIGA S.A. - Instalación de parches de seguridad de Microsoft</t>
  </si>
  <si>
    <t>AMP - AYUNTAMIENTO DE ALCALA DE HENARES - Instalación de parches de seguridad de Microsoft 4 de 4</t>
  </si>
  <si>
    <t>Escalado: solicitud de generar el cambio con &lt; 48 horas de pre aviso. No se cerró CRQ en su momento</t>
  </si>
  <si>
    <t>CRQ000000297835</t>
  </si>
  <si>
    <t>TAS000000295082 - SDNIVEL1
TAS000000294577 - EXP-WINTEL TIC-SUM
TAS000000294578 - SDNIVEL1</t>
  </si>
  <si>
    <t>MAAB</t>
  </si>
  <si>
    <t>CRQ000000298092</t>
  </si>
  <si>
    <t>TAS000000294590 - SDNIVEL1
TAS000000295505 - EXP-WINTEL TIC-SUM
TAS000000295506 - SDNIVEL1</t>
  </si>
  <si>
    <t>CRQ000000297420</t>
  </si>
  <si>
    <t>FJNG - COST CO WHOLESALE SPAIN S.L. - Solicitud de apagado de los Servidores a2xhdb05500x01</t>
  </si>
  <si>
    <t>a2xhdb05500x01</t>
  </si>
  <si>
    <t>TAS000000295630 - SSO SG EVENTOS
TAS000000295631 - GLOBAL BACKUP PLATFORM PROVISION
TAS000000295173 - EXP-EMPRESAS-SISTEMASLINUX</t>
  </si>
  <si>
    <t>CRQ000000298247</t>
  </si>
  <si>
    <t>POOL - RENAULT RETAIL GROUP MADRID S.A. - Instalación de parches de seguridad de Microsoft</t>
  </si>
  <si>
    <t>TAS000000294599 - SDNIVEL1
TAS000000294600 - EXP-WINTEL TIC-SUM
TAS000000295170 - SDNIVEL1</t>
  </si>
  <si>
    <t>CRQ000000297411</t>
  </si>
  <si>
    <t>POOL - SANTA LUCIA SERVICIOS COMPARTIDOS A.I.E. - Instalación de parches de seguridad de Microsoft</t>
  </si>
  <si>
    <t>TAS000000295607 - SDNIVEL1
TAS000000295608 - EXP-WINTEL TIC-SUM
TAS000000295609 - SDNIVEL1</t>
  </si>
  <si>
    <t>CRQ000000298149</t>
  </si>
  <si>
    <t>JMGP - SEMARK AC GROUP S.A. - Instalación de parches de seguridad de Microsoft 4 de 4</t>
  </si>
  <si>
    <t>TAS000000295701 - SDNIVEL1
TAS000000295702 - EXP-WINTEL TIC-SUM
TAS000000295703 - SDNIVEL1</t>
  </si>
  <si>
    <t xml:space="preserve">CRQ000000298112 </t>
  </si>
  <si>
    <t>PRP - GMS MANAGEMENT SOLUTIONS S.L. - Instalación de parches de seguridad de Microsoft PRE</t>
  </si>
  <si>
    <t>TAS000000295610 - SDNIVEL1
TAS000000295611 - EXP-WINTEL TIC-SUM
TAS000000295704 - SDNIVEL1</t>
  </si>
  <si>
    <t>POOL - AGRUPACION MUTUAL ASEGURADORA - Despliegue del nuevo war en los tomcats de PRO</t>
  </si>
  <si>
    <t>TAS000000295176 - EXP-EMPRESAS-MIDDLEWARE</t>
  </si>
  <si>
    <t>CRQ000000297424</t>
  </si>
  <si>
    <t>TAS000000295264 - SDNIVEL1
TAS000000295521 - EXP-SQLSERVER TIC-SUM
TAS000000295265 - EXP-WINTEL TIC-SUM
TAS000000295429 - EXP-SQLSERVER TIC-SUM
TAS000000295721 - SDNIVEL1</t>
  </si>
  <si>
    <t>CRQ000000298173</t>
  </si>
  <si>
    <t>Parcheado Seguridad Octubre  2021. Viene de CRQ000000296594 cancelado por error</t>
  </si>
  <si>
    <t>Parcheado Seguridad Octubre  2021. Cancelado por error. Se abre CRQ000000298173</t>
  </si>
  <si>
    <t>CRQ000000297429</t>
  </si>
  <si>
    <t>JABQ - LA FABRICA DE LA TELE S.L. - Instalación de parches de seguridad de Microsoft</t>
  </si>
  <si>
    <t>TAS000000295177 - SDNIVEL1
TAS000000295713 - EXP-WINTEL TIC-SUM
TAS000000295178 - SDNIVEL1</t>
  </si>
  <si>
    <t>CRQ000000297430</t>
  </si>
  <si>
    <t>POOL - HOTELES ELBA S.L. - Instalación de parches de seguridad de Microsoft</t>
  </si>
  <si>
    <t>TAS000000295714 - SDNIVEL1
TAS000000295179 - EXP-WINTEL TIC-SUM
TAS000000295665 - SDNIVEL1</t>
  </si>
  <si>
    <t>CRQ000000297432</t>
  </si>
  <si>
    <t>RJLC - DIRECCIÓN GENERAL DE RACIONALIZACIÓN - Instalación de parches de seguridad de Microsoft</t>
  </si>
  <si>
    <t>TAS000000295715 - SDNIVEL1
TAS000000295180 - EXP-SQLSERVER TIC-SUM
TAS000000295181 - EXP-WINTEL TIC-SUM
TAS000000295716 - SDNIVEL1</t>
  </si>
  <si>
    <t>CRQ000000298167</t>
  </si>
  <si>
    <t>POOL - CONSEJO GENERAL ABOGACIA ESPAÑOLA - Instalación de parches de seguridad de Microsoft</t>
  </si>
  <si>
    <t>TAS000000295182 - SDNIVEL1
TAS000000295182 - EXP-WINTEL TIC-SUM
TAS000000295725 - EXP-EMPRESAS-MIDDLEWARE
TAS000000295442 - SDNIVEL1</t>
  </si>
  <si>
    <t>CRQ000000298678</t>
  </si>
  <si>
    <t>MAAB - IDC Salud, S.L.U. - Instalación de parches de seguridad - JC</t>
  </si>
  <si>
    <t>B83941534 - IDC Salud, S.L.U.</t>
  </si>
  <si>
    <t>TAS000000296302 - SDNIVEL1
TAS000000296303 - EXP-CORREO COLABORATIVO EXCHANGE TIC-SUM
TAS000000295555 - SDNIVEL1</t>
  </si>
  <si>
    <t>CRQ000000298681</t>
  </si>
  <si>
    <t>MAAB - IDC Salud, S.L.U. - Instalación de parches de seguridad - AL</t>
  </si>
  <si>
    <t>TAS000000296127 - SDNIVEL1
TAS000000295768 - EXP-CORREO COLABORATIVO EXCHANGE TIC-SUM
TAS000000296128 - SDNIVEL1</t>
  </si>
  <si>
    <t>CRQ000000298377</t>
  </si>
  <si>
    <t>POOL - TRANSPORTES BOYACA S.L. - Instalación de parches de seguridad de Microsoft</t>
  </si>
  <si>
    <t>TAS000000296217 - SDNIVEL1
TAS000000296218 - EXP-WINTEL TIC-SUM
TAS000000296134 - SDNIVEL1</t>
  </si>
  <si>
    <t>CRQ000000298688</t>
  </si>
  <si>
    <t>POOL - BANCO BILBAO VIZCAYA ARGENTARIA, S.A. - Instalación de parches de seguridad de Microsoft</t>
  </si>
  <si>
    <t>TAS000000296219 - SDNIVEL1
TAS000000296220 - EXP-WINTEL TIC-SUM
TAS000000296221 - SDNIVEL1</t>
  </si>
  <si>
    <t>CRQ000000298879</t>
  </si>
  <si>
    <t>POOL - SANTANDER TECNOLOGIA S.L - Instalación de parches de seguridad de Microsoft</t>
  </si>
  <si>
    <t>TAS000000296030 - SDNIVEL1
TAS000000296031 - EXP-WINTEL TIC-SUM
TAS000000296222 - SDNIVEL1</t>
  </si>
  <si>
    <t>CRQ000000298689</t>
  </si>
  <si>
    <t>JPP - UNIVERSIDAD ANTONIO DE NEBRIJA - Instalación de parches de seguridad de Microsoft</t>
  </si>
  <si>
    <t>TAS000000296306 - SDNIVEL1
TAS000000296223 - EXP-WINTEL TIC-SUM
TAS000000296307 - SDNIVEL1</t>
  </si>
  <si>
    <t>CRQ000000298379</t>
  </si>
  <si>
    <t>POOL - IT NOW, S. A. - Instalación de parches de seguridad de Microsoft</t>
  </si>
  <si>
    <t>TAS000000296308 - SDNIVEL1
TAS000000296033 - EXP-WINTEL TIC-SUM
TAS000000296309 - SDNIVEL1</t>
  </si>
  <si>
    <t>CRQ000000298782</t>
  </si>
  <si>
    <t>TAS000000295577 - SDNIVEL1
TAS000000296143 - EXP-WINTEL TIC-SUM
TAS000000295578 - SDNIVEL1</t>
  </si>
  <si>
    <t>CRQ000000298783</t>
  </si>
  <si>
    <t>PRP - GMS MANAGEMENT SOLUTIONS S.L. - Instalación de parches de seguridad de Microsoft PRO</t>
  </si>
  <si>
    <t>TAS000000296243 - SDNIVEL1
TAS000000295579 - EXP-WINTEL TIC-SUM
TAS000000296244 - SDNIVEL1</t>
  </si>
  <si>
    <t>CRQ000000298784</t>
  </si>
  <si>
    <t>CVS - VIESGO INFRAESTRUCTURAS ENERGÉTICAS, S.L - Instalación de parches de seguridad de Microsoft</t>
  </si>
  <si>
    <t>TAS000000295581 - SDNIVEL1
TAS000000295582 - EXP-WINTEL TIC-SUM
TAS000000295583 - SDNIVEL1</t>
  </si>
  <si>
    <t>CRQ000000298222</t>
  </si>
  <si>
    <t>POOL - DAVASA AUTOMOCION S.L. - Instalación de parches de seguridad de Microsoft</t>
  </si>
  <si>
    <t>B05550330 - DAVASA AUTOMOCION S.L.</t>
  </si>
  <si>
    <t>davasavdcad01, davasavdcad02, davasavdcapp01, davasavdcapp02, davasavdcbbdd01, davasavdclic01, davasavdcsql01, DAVASAVDCRDSSQL, DAVASARDSINF01, DAVASARDSINF02, DAVASARDSSH01, DAVASARDSSH02</t>
  </si>
  <si>
    <t>TAS000000296181 - SDNIVEL1
TAS000000295598 - EXP-WINTEL TIC-SUM
TAS000000295599 - EXP-SQLSERVER TIC-SUM
TAS000000296087 - SDNIVEL1</t>
  </si>
  <si>
    <t xml:space="preserve">Parcheado Seguridad Octubre  2021. La CRQ se cerró como "con éxito" pero no lo fue: INC000007356162 </t>
  </si>
  <si>
    <t>POOL - FONDITEL(ENTID.GESTORA FONDOS PENSI - Despliegue del aplicativo del cliente</t>
  </si>
  <si>
    <t>CRQ000000298240</t>
  </si>
  <si>
    <t>TAS000000296436 - EXP-EMPRESAS-BBDD
TAS000000296653 - EXP-EMPRESAS-MIDDLEWARE
TAS000000296452 - EXP-EMPRESAS-BBDD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</si>
</sst>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hh:mm"/>
  </numFmts>
  <fonts count="27" x14ac:knownFonts="1">
    <font>
      <sz val="11"/>
      <color theme="1"/>
      <name val="Calibri"/>
      <family val="2"/>
      <scheme val="minor"/>
    </font>
    <font>
      <u/>
      <sz val="11"/>
      <color theme="10"/>
      <name val="Calibri"/>
      <family val="2"/>
    </font>
    <font>
      <sz val="8"/>
      <color theme="1"/>
      <name val="Tahoma"/>
      <family val="2"/>
    </font>
    <font>
      <sz val="8"/>
      <color rgb="FFFF0000"/>
      <name val="Tahoma"/>
      <family val="2"/>
    </font>
    <font>
      <u/>
      <sz val="8"/>
      <color theme="10"/>
      <name val="Tahoma"/>
      <family val="2"/>
    </font>
    <font>
      <sz val="8"/>
      <color theme="0"/>
      <name val="Tahoma"/>
      <family val="2"/>
    </font>
    <font>
      <sz val="8"/>
      <name val="Tahoma"/>
      <family val="2"/>
    </font>
    <font>
      <sz val="8"/>
      <color rgb="FF000000"/>
      <name val="Tahoma"/>
      <family val="2"/>
    </font>
    <font>
      <b/>
      <sz val="8"/>
      <color theme="0"/>
      <name val="Tahoma"/>
      <family val="2"/>
    </font>
    <font>
      <sz val="8"/>
      <color theme="1"/>
      <name val="Tahoma"/>
      <family val="2"/>
    </font>
    <font>
      <u/>
      <sz val="8"/>
      <color theme="10"/>
      <name val="Tahoma"/>
      <family val="2"/>
    </font>
    <font>
      <sz val="16"/>
      <color theme="1"/>
      <name val="Calibri"/>
      <family val="2"/>
      <scheme val="minor"/>
    </font>
    <font>
      <sz val="10"/>
      <name val="Arial"/>
      <family val="2"/>
    </font>
    <font>
      <b/>
      <sz val="10"/>
      <color indexed="9"/>
      <name val="Arial"/>
      <family val="2"/>
    </font>
    <font>
      <sz val="14"/>
      <color theme="1"/>
      <name val="Calibri"/>
      <family val="2"/>
    </font>
    <font>
      <b/>
      <sz val="11"/>
      <name val="Calibri"/>
      <family val="2"/>
    </font>
    <font>
      <b/>
      <sz val="11"/>
      <color rgb="FF000000"/>
      <name val="Calibri"/>
      <family val="2"/>
      <scheme val="minor"/>
    </font>
    <font>
      <b/>
      <sz val="11"/>
      <color theme="1"/>
      <name val="Calibri"/>
      <family val="2"/>
      <scheme val="minor"/>
    </font>
    <font>
      <sz val="10"/>
      <color theme="1"/>
      <name val="Verdana"/>
      <family val="2"/>
    </font>
    <font>
      <u/>
      <sz val="11"/>
      <color theme="10"/>
      <name val="Calibri"/>
      <family val="2"/>
      <scheme val="minor"/>
    </font>
    <font>
      <sz val="8"/>
      <name val="Calibri"/>
      <family val="2"/>
      <scheme val="minor"/>
    </font>
    <font>
      <sz val="8"/>
      <color theme="1"/>
      <name val="Tahoma"/>
      <family val="2"/>
    </font>
    <font>
      <sz val="8"/>
      <color rgb="FFFF0000"/>
      <name val="Tahoma"/>
      <family val="2"/>
    </font>
    <font>
      <sz val="8"/>
      <color theme="1"/>
      <name val="Tahoma"/>
      <family val="2"/>
    </font>
    <font>
      <sz val="8"/>
      <color rgb="FFFF0000"/>
      <name val="Tahoma"/>
      <family val="2"/>
    </font>
    <font>
      <sz val="10"/>
      <color theme="1"/>
      <name val="Calibri"/>
      <family val="2"/>
    </font>
    <font>
      <sz val="10"/>
      <color rgb="FF000000"/>
      <name val="Calibri"/>
    </font>
  </fonts>
  <fills count="14">
    <fill>
      <patternFill patternType="none"/>
    </fill>
    <fill>
      <patternFill patternType="gray125"/>
    </fill>
    <fill>
      <patternFill patternType="solid">
        <fgColor theme="3"/>
        <bgColor indexed="64"/>
      </patternFill>
    </fill>
    <fill>
      <patternFill patternType="solid">
        <fgColor rgb="FFFF0000"/>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rgb="FFFFFF00"/>
        <bgColor indexed="64"/>
      </patternFill>
    </fill>
    <fill>
      <patternFill patternType="solid">
        <fgColor rgb="FFC0C0C0"/>
        <bgColor rgb="FFC0C0C0"/>
      </patternFill>
    </fill>
    <fill>
      <patternFill patternType="solid">
        <fgColor theme="0"/>
        <bgColor indexed="64"/>
      </patternFill>
    </fill>
    <fill>
      <patternFill patternType="solid">
        <fgColor theme="0" tint="-0.14999847407452621"/>
        <bgColor indexed="64"/>
      </patternFill>
    </fill>
    <fill>
      <patternFill patternType="solid">
        <fgColor indexed="54"/>
        <bgColor indexed="64"/>
      </patternFill>
    </fill>
    <fill>
      <patternFill patternType="solid">
        <fgColor theme="4" tint="0.79998168889431442"/>
        <bgColor indexed="64"/>
      </patternFill>
    </fill>
    <fill>
      <patternFill patternType="solid">
        <fgColor rgb="FF49F11B"/>
        <bgColor indexed="64"/>
      </patternFill>
    </fill>
    <fill>
      <patternFill patternType="solid">
        <fgColor theme="9"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rgb="FF000000"/>
      </left>
      <right/>
      <top style="thin">
        <color rgb="FF000000"/>
      </top>
      <bottom style="thin">
        <color rgb="FF000000"/>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3">
    <xf numFmtId="0" fontId="0" fillId="0" borderId="0"/>
    <xf numFmtId="0" fontId="12" fillId="0" borderId="0"/>
    <xf numFmtId="0" fontId="19" fillId="0" borderId="0" applyNumberFormat="0" applyFill="0" applyBorder="0" applyAlignment="0" applyProtection="0"/>
  </cellStyleXfs>
  <cellXfs count="149">
    <xf numFmtId="0" fontId="0" fillId="0" borderId="0" xfId="0"/>
    <xf numFmtId="49" fontId="2" fillId="0" borderId="1" xfId="0" applyNumberFormat="1" applyFont="1" applyBorder="1" applyAlignment="1">
      <alignment horizontal="left" vertical="center" wrapText="1"/>
    </xf>
    <xf numFmtId="0" fontId="2" fillId="0" borderId="1" xfId="0" applyFont="1" applyBorder="1" applyAlignment="1">
      <alignment horizontal="left" vertical="center" wrapText="1"/>
    </xf>
    <xf numFmtId="22" fontId="2" fillId="0" borderId="1" xfId="0" applyNumberFormat="1" applyFont="1" applyBorder="1" applyAlignment="1">
      <alignment horizontal="center" vertical="center" wrapText="1"/>
    </xf>
    <xf numFmtId="22" fontId="2" fillId="0" borderId="4" xfId="0" applyNumberFormat="1" applyFont="1" applyBorder="1" applyAlignment="1">
      <alignment horizontal="center" vertical="center" wrapText="1"/>
    </xf>
    <xf numFmtId="0" fontId="2" fillId="0" borderId="1" xfId="0" applyFont="1" applyBorder="1" applyAlignment="1">
      <alignment horizontal="center" vertical="center"/>
    </xf>
    <xf numFmtId="22" fontId="2" fillId="0" borderId="2" xfId="0" applyNumberFormat="1" applyFont="1" applyBorder="1" applyAlignment="1">
      <alignment horizontal="center" vertical="center"/>
    </xf>
    <xf numFmtId="22" fontId="2" fillId="4" borderId="2" xfId="0" applyNumberFormat="1" applyFont="1" applyFill="1" applyBorder="1" applyAlignment="1">
      <alignment horizontal="center" vertical="center" wrapText="1"/>
    </xf>
    <xf numFmtId="22" fontId="2" fillId="4" borderId="2" xfId="0" applyNumberFormat="1" applyFont="1" applyFill="1" applyBorder="1" applyAlignment="1">
      <alignment horizontal="left" vertical="center" wrapText="1"/>
    </xf>
    <xf numFmtId="22" fontId="2" fillId="0" borderId="2" xfId="0" applyNumberFormat="1" applyFont="1" applyBorder="1" applyAlignment="1">
      <alignment horizontal="left" vertical="center" wrapText="1"/>
    </xf>
    <xf numFmtId="0" fontId="0" fillId="0" borderId="0" xfId="0" applyAlignment="1">
      <alignment wrapText="1"/>
    </xf>
    <xf numFmtId="0" fontId="0" fillId="0" borderId="1" xfId="0" applyBorder="1" applyAlignment="1">
      <alignment horizontal="center" vertical="center"/>
    </xf>
    <xf numFmtId="22" fontId="2" fillId="0" borderId="2" xfId="0" applyNumberFormat="1" applyFont="1" applyBorder="1" applyAlignment="1">
      <alignment horizontal="left" vertical="center"/>
    </xf>
    <xf numFmtId="0" fontId="0" fillId="5" borderId="1" xfId="0" applyFill="1" applyBorder="1" applyAlignment="1">
      <alignment horizontal="center"/>
    </xf>
    <xf numFmtId="22" fontId="2" fillId="4" borderId="2" xfId="0" applyNumberFormat="1" applyFont="1" applyFill="1" applyBorder="1" applyAlignment="1">
      <alignment horizontal="center" vertical="top" wrapText="1"/>
    </xf>
    <xf numFmtId="0" fontId="0" fillId="0" borderId="1" xfId="0" applyBorder="1"/>
    <xf numFmtId="0" fontId="6" fillId="0" borderId="1" xfId="0" applyFont="1" applyBorder="1" applyAlignment="1">
      <alignment wrapText="1"/>
    </xf>
    <xf numFmtId="0" fontId="3" fillId="0" borderId="1" xfId="0" applyFont="1" applyBorder="1" applyAlignment="1">
      <alignment horizontal="left" vertical="center" wrapText="1"/>
    </xf>
    <xf numFmtId="0" fontId="0" fillId="0" borderId="1" xfId="0" applyBorder="1" applyAlignment="1">
      <alignment horizontal="center"/>
    </xf>
    <xf numFmtId="22" fontId="2" fillId="4" borderId="4" xfId="0" applyNumberFormat="1" applyFont="1" applyFill="1" applyBorder="1" applyAlignment="1">
      <alignment horizontal="center" vertical="center" wrapText="1"/>
    </xf>
    <xf numFmtId="0" fontId="0" fillId="0" borderId="8" xfId="0" applyBorder="1"/>
    <xf numFmtId="22" fontId="2" fillId="0" borderId="8" xfId="0" applyNumberFormat="1" applyFont="1" applyBorder="1" applyAlignment="1">
      <alignment horizontal="center" vertical="center" wrapText="1"/>
    </xf>
    <xf numFmtId="22" fontId="2" fillId="6" borderId="2" xfId="0" applyNumberFormat="1" applyFont="1" applyFill="1" applyBorder="1" applyAlignment="1">
      <alignment horizontal="left" vertical="center" wrapText="1"/>
    </xf>
    <xf numFmtId="22" fontId="2" fillId="0" borderId="1" xfId="0" applyNumberFormat="1" applyFont="1" applyBorder="1" applyAlignment="1">
      <alignment horizontal="center" vertical="center"/>
    </xf>
    <xf numFmtId="1" fontId="2" fillId="0" borderId="1" xfId="0" applyNumberFormat="1" applyFont="1" applyBorder="1" applyAlignment="1">
      <alignment horizontal="center" vertical="center"/>
    </xf>
    <xf numFmtId="49" fontId="2" fillId="0" borderId="1" xfId="0" applyNumberFormat="1" applyFont="1" applyBorder="1" applyAlignment="1">
      <alignment horizontal="center" vertical="center"/>
    </xf>
    <xf numFmtId="49" fontId="8" fillId="2" borderId="1" xfId="0" applyNumberFormat="1" applyFont="1" applyFill="1" applyBorder="1" applyAlignment="1">
      <alignment horizontal="center" vertical="center" wrapText="1"/>
    </xf>
    <xf numFmtId="49" fontId="2" fillId="0" borderId="1" xfId="0" applyNumberFormat="1" applyFont="1" applyBorder="1" applyAlignment="1">
      <alignment horizontal="center" vertical="center" wrapText="1"/>
    </xf>
    <xf numFmtId="0" fontId="2" fillId="0" borderId="1" xfId="0" applyFont="1" applyBorder="1" applyAlignment="1">
      <alignment vertical="center"/>
    </xf>
    <xf numFmtId="49" fontId="2" fillId="0" borderId="1" xfId="0" applyNumberFormat="1" applyFont="1" applyBorder="1" applyAlignment="1">
      <alignment horizontal="left" vertical="center"/>
    </xf>
    <xf numFmtId="0" fontId="4" fillId="0" borderId="1" xfId="2" applyFont="1" applyBorder="1" applyAlignment="1" applyProtection="1">
      <alignment horizontal="center" vertical="center"/>
    </xf>
    <xf numFmtId="0" fontId="2" fillId="0" borderId="1" xfId="0" applyFont="1" applyBorder="1" applyAlignment="1">
      <alignment horizontal="left" vertical="center"/>
    </xf>
    <xf numFmtId="0" fontId="9" fillId="0" borderId="1" xfId="0" applyFont="1" applyBorder="1" applyAlignment="1">
      <alignment horizontal="center" vertical="center"/>
    </xf>
    <xf numFmtId="1" fontId="9" fillId="0" borderId="1" xfId="0" applyNumberFormat="1" applyFont="1" applyBorder="1" applyAlignment="1">
      <alignment horizontal="center" vertical="center"/>
    </xf>
    <xf numFmtId="49" fontId="9" fillId="0" borderId="1" xfId="0" applyNumberFormat="1" applyFont="1" applyBorder="1" applyAlignment="1">
      <alignment horizontal="center" vertical="center"/>
    </xf>
    <xf numFmtId="0" fontId="9" fillId="0" borderId="1" xfId="0" applyFont="1" applyBorder="1" applyAlignment="1">
      <alignment horizontal="left" vertical="center"/>
    </xf>
    <xf numFmtId="49" fontId="9" fillId="0" borderId="1" xfId="0" applyNumberFormat="1" applyFont="1" applyBorder="1" applyAlignment="1">
      <alignment horizontal="left" vertical="center"/>
    </xf>
    <xf numFmtId="0" fontId="0" fillId="0" borderId="0" xfId="0" applyAlignment="1">
      <alignment vertical="center"/>
    </xf>
    <xf numFmtId="0" fontId="0" fillId="0" borderId="1" xfId="0" applyBorder="1" applyAlignment="1">
      <alignment vertical="center"/>
    </xf>
    <xf numFmtId="0" fontId="0" fillId="0" borderId="1" xfId="0" applyBorder="1" applyAlignment="1">
      <alignment vertical="center" wrapText="1"/>
    </xf>
    <xf numFmtId="0" fontId="11" fillId="4" borderId="1" xfId="0" applyFont="1" applyFill="1" applyBorder="1" applyAlignment="1">
      <alignment horizontal="center" vertical="center"/>
    </xf>
    <xf numFmtId="0" fontId="0" fillId="0" borderId="1" xfId="0" applyBorder="1" applyAlignment="1">
      <alignment horizontal="left" vertical="center" wrapText="1"/>
    </xf>
    <xf numFmtId="0" fontId="9" fillId="0" borderId="1" xfId="0" applyFont="1" applyBorder="1" applyAlignment="1">
      <alignment vertical="center"/>
    </xf>
    <xf numFmtId="0" fontId="5" fillId="2" borderId="1" xfId="0" applyFont="1" applyFill="1" applyBorder="1" applyAlignment="1">
      <alignment horizontal="center" vertical="center" wrapText="1"/>
    </xf>
    <xf numFmtId="0" fontId="10" fillId="0" borderId="1" xfId="2" applyFont="1" applyBorder="1" applyAlignment="1" applyProtection="1">
      <alignment horizontal="center" vertical="center"/>
    </xf>
    <xf numFmtId="49" fontId="5" fillId="2" borderId="1" xfId="0" applyNumberFormat="1" applyFont="1" applyFill="1" applyBorder="1" applyAlignment="1">
      <alignment horizontal="center" vertical="center" wrapText="1"/>
    </xf>
    <xf numFmtId="0" fontId="0" fillId="4" borderId="1" xfId="0" applyFill="1" applyBorder="1" applyAlignment="1">
      <alignment horizontal="center"/>
    </xf>
    <xf numFmtId="0" fontId="0" fillId="0" borderId="1" xfId="0" applyBorder="1" applyAlignment="1">
      <alignment wrapText="1"/>
    </xf>
    <xf numFmtId="0" fontId="13" fillId="10" borderId="0" xfId="0" applyFont="1" applyFill="1" applyAlignment="1">
      <alignment vertical="center"/>
    </xf>
    <xf numFmtId="49" fontId="0" fillId="0" borderId="0" xfId="0" applyNumberFormat="1" applyAlignment="1">
      <alignment vertical="center" wrapText="1"/>
    </xf>
    <xf numFmtId="0" fontId="0" fillId="6" borderId="1" xfId="0" applyFill="1" applyBorder="1"/>
    <xf numFmtId="49" fontId="2" fillId="9" borderId="1" xfId="0" applyNumberFormat="1" applyFont="1" applyFill="1" applyBorder="1" applyAlignment="1">
      <alignment horizontal="center" vertical="center" wrapText="1"/>
    </xf>
    <xf numFmtId="0" fontId="0" fillId="6" borderId="0" xfId="0" applyFill="1" applyAlignment="1">
      <alignment vertical="center"/>
    </xf>
    <xf numFmtId="49" fontId="6" fillId="9" borderId="6" xfId="0" applyNumberFormat="1" applyFont="1" applyFill="1" applyBorder="1" applyAlignment="1">
      <alignment horizontal="center" vertical="center" wrapText="1"/>
    </xf>
    <xf numFmtId="49" fontId="6" fillId="0" borderId="1" xfId="0" applyNumberFormat="1" applyFont="1" applyFill="1" applyBorder="1" applyAlignment="1">
      <alignment vertical="center" wrapText="1"/>
    </xf>
    <xf numFmtId="49" fontId="6" fillId="9" borderId="1" xfId="0" applyNumberFormat="1" applyFont="1" applyFill="1" applyBorder="1" applyAlignment="1">
      <alignment horizontal="center" vertical="center" wrapText="1"/>
    </xf>
    <xf numFmtId="0" fontId="14" fillId="11" borderId="1" xfId="0" applyFont="1" applyFill="1" applyBorder="1" applyAlignment="1">
      <alignment horizontal="center" vertical="center"/>
    </xf>
    <xf numFmtId="0" fontId="14" fillId="11" borderId="1" xfId="0" applyFont="1" applyFill="1" applyBorder="1" applyAlignment="1">
      <alignment horizontal="center" vertical="center" wrapText="1"/>
    </xf>
    <xf numFmtId="0" fontId="1" fillId="0" borderId="1" xfId="2" applyFont="1" applyBorder="1" applyAlignment="1" applyProtection="1"/>
    <xf numFmtId="0" fontId="1" fillId="0" borderId="1" xfId="2" applyFont="1" applyBorder="1" applyAlignment="1" applyProtection="1">
      <alignment vertical="center"/>
    </xf>
    <xf numFmtId="0" fontId="0" fillId="0" borderId="1" xfId="0" applyBorder="1" applyAlignment="1">
      <alignment horizontal="center" wrapText="1"/>
    </xf>
    <xf numFmtId="49" fontId="1" fillId="0" borderId="1" xfId="2" applyNumberFormat="1" applyFont="1" applyBorder="1" applyAlignment="1" applyProtection="1">
      <alignment horizontal="center" vertical="center" wrapText="1"/>
    </xf>
    <xf numFmtId="0" fontId="0" fillId="0" borderId="0" xfId="0" applyBorder="1"/>
    <xf numFmtId="164" fontId="2" fillId="0" borderId="1" xfId="0" applyNumberFormat="1" applyFont="1" applyBorder="1" applyAlignment="1">
      <alignment horizontal="center" vertical="center" wrapText="1"/>
    </xf>
    <xf numFmtId="0" fontId="2" fillId="8"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16" fillId="7" borderId="3" xfId="0" applyFont="1" applyFill="1" applyBorder="1" applyAlignment="1">
      <alignment horizontal="center" vertical="center"/>
    </xf>
    <xf numFmtId="164" fontId="16" fillId="7" borderId="3" xfId="0" applyNumberFormat="1" applyFont="1" applyFill="1" applyBorder="1" applyAlignment="1">
      <alignment horizontal="center" vertical="center"/>
    </xf>
    <xf numFmtId="0" fontId="16" fillId="7" borderId="5" xfId="0" applyFont="1" applyFill="1" applyBorder="1" applyAlignment="1">
      <alignment horizontal="center" vertical="center"/>
    </xf>
    <xf numFmtId="0" fontId="17" fillId="9" borderId="0" xfId="0" applyFont="1" applyFill="1"/>
    <xf numFmtId="0" fontId="18" fillId="0" borderId="0" xfId="0" applyFont="1" applyAlignment="1">
      <alignment horizontal="justify" vertical="center"/>
    </xf>
    <xf numFmtId="0" fontId="18" fillId="0" borderId="0" xfId="0" applyFont="1"/>
    <xf numFmtId="0" fontId="0" fillId="0" borderId="0" xfId="0" applyFill="1" applyBorder="1"/>
    <xf numFmtId="0" fontId="7" fillId="0" borderId="0" xfId="0" applyFont="1" applyFill="1" applyBorder="1" applyAlignment="1">
      <alignment horizontal="center" vertical="center" wrapText="1"/>
    </xf>
    <xf numFmtId="0" fontId="0" fillId="0" borderId="0" xfId="0" applyFill="1" applyBorder="1" applyAlignment="1">
      <alignment horizontal="center" vertical="center"/>
    </xf>
    <xf numFmtId="0" fontId="18" fillId="0" borderId="0" xfId="0" applyFont="1" applyFill="1" applyBorder="1"/>
    <xf numFmtId="0" fontId="0" fillId="0" borderId="0" xfId="0" applyBorder="1" applyAlignment="1">
      <alignment horizontal="center" vertical="center"/>
    </xf>
    <xf numFmtId="22" fontId="2" fillId="0" borderId="2" xfId="0" applyNumberFormat="1" applyFont="1" applyBorder="1" applyAlignment="1">
      <alignment horizontal="center" vertical="center" wrapText="1"/>
    </xf>
    <xf numFmtId="0" fontId="0" fillId="0" borderId="1" xfId="0" applyBorder="1" applyAlignment="1">
      <alignment horizontal="left" vertical="center"/>
    </xf>
    <xf numFmtId="49" fontId="2" fillId="0" borderId="1" xfId="0" applyNumberFormat="1" applyFont="1" applyFill="1" applyBorder="1" applyAlignment="1">
      <alignment horizontal="center" vertical="center" wrapText="1"/>
    </xf>
    <xf numFmtId="0" fontId="2" fillId="0" borderId="3" xfId="0" applyFont="1" applyBorder="1" applyAlignment="1">
      <alignment horizontal="center" vertical="center" wrapText="1"/>
    </xf>
    <xf numFmtId="0" fontId="5" fillId="2" borderId="0" xfId="0" applyFont="1" applyFill="1" applyBorder="1" applyAlignment="1">
      <alignment horizontal="center" vertical="center" wrapText="1"/>
    </xf>
    <xf numFmtId="49" fontId="5" fillId="2" borderId="0" xfId="0" applyNumberFormat="1" applyFont="1" applyFill="1" applyBorder="1" applyAlignment="1">
      <alignment horizontal="center" vertical="center" wrapText="1"/>
    </xf>
    <xf numFmtId="164" fontId="5" fillId="2" borderId="0" xfId="0" applyNumberFormat="1" applyFont="1" applyFill="1" applyBorder="1" applyAlignment="1">
      <alignment horizontal="center" vertical="center" wrapText="1"/>
    </xf>
    <xf numFmtId="0" fontId="0" fillId="9"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wrapText="1"/>
    </xf>
    <xf numFmtId="0" fontId="2" fillId="0" borderId="0" xfId="0" applyFont="1" applyBorder="1" applyAlignment="1">
      <alignment horizontal="center" vertical="center" wrapText="1"/>
    </xf>
    <xf numFmtId="49" fontId="2" fillId="12" borderId="0" xfId="0" applyNumberFormat="1" applyFont="1" applyFill="1" applyBorder="1" applyAlignment="1">
      <alignment horizontal="center" vertical="center" wrapText="1"/>
    </xf>
    <xf numFmtId="49" fontId="2" fillId="0" borderId="0" xfId="0" applyNumberFormat="1" applyFont="1" applyBorder="1" applyAlignment="1">
      <alignment horizontal="center" vertical="center" wrapText="1"/>
    </xf>
    <xf numFmtId="49" fontId="2" fillId="8" borderId="0" xfId="0" applyNumberFormat="1" applyFont="1" applyFill="1" applyBorder="1" applyAlignment="1">
      <alignment horizontal="center" vertical="center" wrapText="1"/>
    </xf>
    <xf numFmtId="0" fontId="2" fillId="0" borderId="0" xfId="0" applyFont="1" applyFill="1" applyBorder="1" applyAlignment="1">
      <alignment horizontal="center" vertical="center" wrapText="1"/>
    </xf>
    <xf numFmtId="0" fontId="2" fillId="6" borderId="0" xfId="0" applyFont="1" applyFill="1" applyBorder="1" applyAlignment="1">
      <alignment horizontal="center" vertical="center" wrapText="1"/>
    </xf>
    <xf numFmtId="0" fontId="2" fillId="8" borderId="0" xfId="0" applyFont="1" applyFill="1" applyBorder="1" applyAlignment="1">
      <alignment horizontal="center" vertical="center" wrapText="1"/>
    </xf>
    <xf numFmtId="164" fontId="2" fillId="0" borderId="0" xfId="0" applyNumberFormat="1" applyFont="1" applyBorder="1" applyAlignment="1">
      <alignment horizontal="center" vertical="center" wrapText="1"/>
    </xf>
    <xf numFmtId="22" fontId="2" fillId="0" borderId="0" xfId="0" applyNumberFormat="1" applyFont="1" applyBorder="1" applyAlignment="1">
      <alignment horizontal="center" vertical="center" wrapText="1"/>
    </xf>
    <xf numFmtId="0" fontId="2" fillId="0" borderId="0" xfId="0" applyFont="1" applyBorder="1" applyAlignment="1">
      <alignment horizontal="center" vertical="center"/>
    </xf>
    <xf numFmtId="0" fontId="3" fillId="0" borderId="0" xfId="0" applyFont="1" applyBorder="1" applyAlignment="1">
      <alignment horizontal="left" vertical="center" wrapText="1"/>
    </xf>
    <xf numFmtId="49" fontId="2" fillId="13" borderId="0" xfId="0" applyNumberFormat="1" applyFont="1" applyFill="1" applyBorder="1" applyAlignment="1">
      <alignment horizontal="center" vertical="center" wrapText="1"/>
    </xf>
    <xf numFmtId="49" fontId="2" fillId="0" borderId="0" xfId="0" applyNumberFormat="1" applyFont="1" applyFill="1" applyBorder="1" applyAlignment="1">
      <alignment horizontal="center" vertical="center" wrapText="1"/>
    </xf>
    <xf numFmtId="49" fontId="2" fillId="3" borderId="0" xfId="0" applyNumberFormat="1" applyFont="1" applyFill="1" applyBorder="1" applyAlignment="1">
      <alignment horizontal="center" vertical="center" wrapText="1"/>
    </xf>
    <xf numFmtId="22" fontId="3" fillId="0" borderId="0" xfId="0" applyNumberFormat="1" applyFont="1" applyBorder="1" applyAlignment="1">
      <alignment horizontal="left" vertical="center" wrapText="1"/>
    </xf>
    <xf numFmtId="49" fontId="2" fillId="0" borderId="0" xfId="0" applyNumberFormat="1" applyFont="1" applyFill="1" applyBorder="1" applyAlignment="1">
      <alignment horizontal="center" vertical="center"/>
    </xf>
    <xf numFmtId="49" fontId="7" fillId="3" borderId="0" xfId="0" applyNumberFormat="1" applyFont="1" applyFill="1" applyBorder="1" applyAlignment="1">
      <alignment horizontal="center" vertical="center" wrapText="1"/>
    </xf>
    <xf numFmtId="49" fontId="3" fillId="0" borderId="0" xfId="0" applyNumberFormat="1" applyFont="1" applyFill="1" applyBorder="1" applyAlignment="1">
      <alignment horizontal="center" vertical="center" wrapText="1"/>
    </xf>
    <xf numFmtId="0" fontId="21" fillId="0" borderId="0" xfId="0" applyFont="1" applyBorder="1" applyAlignment="1">
      <alignment horizontal="center" vertical="center" wrapText="1"/>
    </xf>
    <xf numFmtId="49" fontId="21" fillId="0" borderId="0" xfId="0" applyNumberFormat="1" applyFont="1" applyBorder="1" applyAlignment="1">
      <alignment horizontal="center" vertical="center" wrapText="1"/>
    </xf>
    <xf numFmtId="0" fontId="21" fillId="8" borderId="0" xfId="0" applyFont="1" applyFill="1" applyBorder="1" applyAlignment="1">
      <alignment horizontal="center" vertical="center" wrapText="1"/>
    </xf>
    <xf numFmtId="164" fontId="21" fillId="0" borderId="0" xfId="0" applyNumberFormat="1" applyFont="1" applyBorder="1" applyAlignment="1">
      <alignment horizontal="center" vertical="center" wrapText="1"/>
    </xf>
    <xf numFmtId="22" fontId="21" fillId="0" borderId="0" xfId="0" applyNumberFormat="1" applyFont="1" applyBorder="1" applyAlignment="1">
      <alignment horizontal="center" vertical="center" wrapText="1"/>
    </xf>
    <xf numFmtId="0" fontId="21" fillId="0" borderId="0" xfId="0" applyFont="1" applyBorder="1" applyAlignment="1">
      <alignment horizontal="center" vertical="center"/>
    </xf>
    <xf numFmtId="0" fontId="22" fillId="0" borderId="0" xfId="0" applyFont="1" applyBorder="1" applyAlignment="1">
      <alignment horizontal="left" vertical="center" wrapText="1"/>
    </xf>
    <xf numFmtId="49" fontId="7" fillId="0" borderId="0" xfId="0" applyNumberFormat="1" applyFont="1" applyFill="1" applyBorder="1" applyAlignment="1">
      <alignment horizontal="center" vertical="center"/>
    </xf>
    <xf numFmtId="49" fontId="21" fillId="8"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23" fillId="0" borderId="0" xfId="0" applyFont="1" applyBorder="1" applyAlignment="1">
      <alignment horizontal="center" vertical="center" wrapText="1"/>
    </xf>
    <xf numFmtId="49" fontId="23" fillId="0" borderId="0" xfId="0" applyNumberFormat="1" applyFont="1" applyBorder="1" applyAlignment="1">
      <alignment horizontal="center" vertical="center" wrapText="1"/>
    </xf>
    <xf numFmtId="0" fontId="23" fillId="8" borderId="0" xfId="0" applyFont="1" applyFill="1" applyBorder="1" applyAlignment="1">
      <alignment horizontal="center" vertical="center" wrapText="1"/>
    </xf>
    <xf numFmtId="164" fontId="23" fillId="0" borderId="0" xfId="0" applyNumberFormat="1" applyFont="1" applyBorder="1" applyAlignment="1">
      <alignment horizontal="center" vertical="center" wrapText="1"/>
    </xf>
    <xf numFmtId="22" fontId="23" fillId="0" borderId="0" xfId="0" applyNumberFormat="1" applyFont="1" applyBorder="1" applyAlignment="1">
      <alignment horizontal="center" vertical="center" wrapText="1"/>
    </xf>
    <xf numFmtId="0" fontId="23" fillId="0" borderId="0" xfId="0" applyFont="1" applyBorder="1" applyAlignment="1">
      <alignment horizontal="center" vertical="center"/>
    </xf>
    <xf numFmtId="0" fontId="24" fillId="0" borderId="0" xfId="0" applyFont="1" applyBorder="1" applyAlignment="1">
      <alignment horizontal="left" vertical="center" wrapText="1"/>
    </xf>
    <xf numFmtId="49" fontId="23" fillId="8" borderId="0" xfId="0" applyNumberFormat="1" applyFont="1" applyFill="1" applyBorder="1" applyAlignment="1">
      <alignment horizontal="center" vertical="center" wrapText="1"/>
    </xf>
    <xf numFmtId="0" fontId="23" fillId="0" borderId="0" xfId="0" applyFont="1" applyFill="1" applyBorder="1" applyAlignment="1">
      <alignment horizontal="center" vertical="center" wrapText="1"/>
    </xf>
    <xf numFmtId="0" fontId="7" fillId="0" borderId="0" xfId="0" applyFont="1" applyBorder="1" applyAlignment="1">
      <alignment horizontal="center" vertical="center" wrapText="1"/>
    </xf>
    <xf numFmtId="49" fontId="23" fillId="0" borderId="0" xfId="0" applyNumberFormat="1" applyFont="1" applyFill="1" applyBorder="1" applyAlignment="1">
      <alignment horizontal="center" vertical="center" wrapText="1"/>
    </xf>
    <xf numFmtId="0" fontId="2" fillId="0" borderId="3" xfId="0" applyFont="1" applyFill="1" applyBorder="1" applyAlignment="1">
      <alignment horizontal="center" vertical="center" wrapText="1"/>
    </xf>
    <xf numFmtId="164" fontId="2" fillId="0" borderId="3" xfId="0" applyNumberFormat="1" applyFont="1" applyBorder="1" applyAlignment="1">
      <alignment horizontal="center" vertical="center" wrapText="1"/>
    </xf>
    <xf numFmtId="0" fontId="23" fillId="0" borderId="3" xfId="0" applyFont="1" applyBorder="1" applyAlignment="1">
      <alignment horizontal="center" vertical="center" wrapText="1"/>
    </xf>
    <xf numFmtId="164" fontId="23" fillId="0" borderId="3" xfId="0" applyNumberFormat="1" applyFont="1" applyBorder="1" applyAlignment="1">
      <alignment horizontal="center" vertical="center" wrapText="1"/>
    </xf>
    <xf numFmtId="22" fontId="0" fillId="0" borderId="0" xfId="0" applyNumberFormat="1" applyBorder="1"/>
    <xf numFmtId="0" fontId="0" fillId="0" borderId="0" xfId="0"/>
    <xf numFmtId="49" fontId="2" fillId="9" borderId="3" xfId="0" applyNumberFormat="1" applyFont="1" applyFill="1" applyBorder="1" applyAlignment="1">
      <alignment horizontal="center" vertical="center" wrapText="1"/>
    </xf>
    <xf numFmtId="49" fontId="2" fillId="9" borderId="5" xfId="0" applyNumberFormat="1" applyFont="1" applyFill="1" applyBorder="1" applyAlignment="1">
      <alignment horizontal="center" vertical="center" wrapText="1"/>
    </xf>
    <xf numFmtId="49" fontId="2" fillId="9" borderId="6" xfId="0" applyNumberFormat="1" applyFont="1" applyFill="1" applyBorder="1" applyAlignment="1">
      <alignment horizontal="center" vertical="center" wrapText="1"/>
    </xf>
    <xf numFmtId="0" fontId="2" fillId="9" borderId="3" xfId="0" applyFont="1" applyFill="1" applyBorder="1" applyAlignment="1">
      <alignment horizontal="center" vertical="center" wrapText="1"/>
    </xf>
    <xf numFmtId="0" fontId="2" fillId="9" borderId="5" xfId="0" applyFont="1" applyFill="1" applyBorder="1" applyAlignment="1">
      <alignment horizontal="center" vertical="center" wrapText="1"/>
    </xf>
    <xf numFmtId="0" fontId="2" fillId="9" borderId="6" xfId="0"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0" fontId="1" fillId="0" borderId="1" xfId="2" applyFont="1" applyBorder="1" applyAlignment="1" applyProtection="1">
      <alignment horizontal="center" vertical="center"/>
    </xf>
    <xf numFmtId="0" fontId="2" fillId="0" borderId="1" xfId="0" applyFont="1" applyFill="1" applyBorder="1" applyAlignment="1">
      <alignment horizontal="center" vertical="center"/>
    </xf>
    <xf numFmtId="49" fontId="2" fillId="0" borderId="3" xfId="0" applyNumberFormat="1" applyFont="1" applyFill="1" applyBorder="1" applyAlignment="1">
      <alignment horizontal="center" vertical="center" wrapText="1"/>
    </xf>
    <xf numFmtId="49" fontId="2" fillId="0" borderId="5" xfId="0" applyNumberFormat="1" applyFont="1" applyFill="1" applyBorder="1" applyAlignment="1">
      <alignment horizontal="center" vertical="center" wrapText="1"/>
    </xf>
    <xf numFmtId="49" fontId="2" fillId="0" borderId="6" xfId="0" applyNumberFormat="1" applyFont="1" applyFill="1" applyBorder="1" applyAlignment="1">
      <alignment horizontal="center" vertical="center" wrapText="1"/>
    </xf>
    <xf numFmtId="49" fontId="2" fillId="0" borderId="7" xfId="0" applyNumberFormat="1" applyFont="1" applyFill="1" applyBorder="1" applyAlignment="1">
      <alignment horizontal="center" vertical="center" wrapText="1"/>
    </xf>
    <xf numFmtId="49" fontId="2" fillId="0" borderId="8" xfId="0" applyNumberFormat="1" applyFont="1" applyFill="1" applyBorder="1" applyAlignment="1">
      <alignment horizontal="center" vertical="center" wrapText="1"/>
    </xf>
    <xf numFmtId="49" fontId="2" fillId="0" borderId="9" xfId="0" applyNumberFormat="1" applyFont="1" applyFill="1" applyBorder="1" applyAlignment="1">
      <alignment horizontal="center" vertical="center" wrapText="1"/>
    </xf>
    <xf numFmtId="49" fontId="1" fillId="9" borderId="3" xfId="2" applyNumberFormat="1" applyFont="1" applyFill="1" applyBorder="1" applyAlignment="1" applyProtection="1">
      <alignment horizontal="center" vertical="center" wrapText="1"/>
    </xf>
    <xf numFmtId="0" fontId="0" fillId="0" borderId="0" xfId="0"/>
  </cellXfs>
  <cellStyles count="3">
    <cellStyle name="Hyperlink" xfId="2" builtinId="8"/>
    <cellStyle name="Normal" xfId="0" builtinId="0"/>
    <cellStyle name="Normal 2" xfId="1" xr:uid="{00000000-0005-0000-0000-000002000000}"/>
  </cellStyles>
  <dxfs count="13865">
    <dxf>
      <fill>
        <patternFill patternType="solid">
          <fgColor indexed="64"/>
          <bgColor theme="0" tint="-0.14999847407452621"/>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patternType="none">
          <bgColor auto="1"/>
        </patternFill>
      </fill>
    </dxf>
    <dxf>
      <fill>
        <patternFill>
          <bgColor rgb="FFFFFF00"/>
        </patternFill>
      </fill>
    </dxf>
    <dxf>
      <fill>
        <patternFill patternType="none">
          <bgColor auto="1"/>
        </patternFill>
      </fill>
    </dxf>
    <dxf>
      <fill>
        <patternFill>
          <bgColor rgb="FFFFFF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FFFF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FFFF00"/>
        </patternFill>
      </fill>
    </dxf>
    <dxf>
      <fill>
        <patternFill patternType="none">
          <bgColor auto="1"/>
        </patternFill>
      </fill>
    </dxf>
    <dxf>
      <fill>
        <patternFill patternType="none">
          <bgColor auto="1"/>
        </patternFill>
      </fill>
    </dxf>
    <dxf>
      <fill>
        <patternFill>
          <bgColor rgb="FFFFFF00"/>
        </patternFill>
      </fill>
    </dxf>
    <dxf>
      <fill>
        <patternFill>
          <bgColor rgb="FF49F11B"/>
        </patternFill>
      </fill>
    </dxf>
    <dxf>
      <fill>
        <patternFill>
          <bgColor rgb="FFFF0000"/>
        </patternFill>
      </fill>
    </dxf>
    <dxf>
      <fill>
        <patternFill>
          <bgColor rgb="FFFFC000"/>
        </patternFill>
      </fill>
    </dxf>
    <dxf>
      <fill>
        <patternFill>
          <bgColor rgb="FFFF0000"/>
        </patternFill>
      </fill>
    </dxf>
    <dxf>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ill>
        <patternFill>
          <bgColor rgb="FF7CF927"/>
        </patternFill>
      </fill>
    </dxf>
    <dxf>
      <fill>
        <patternFill>
          <bgColor rgb="FF7CF927"/>
        </patternFill>
      </fill>
    </dxf>
    <dxf>
      <font>
        <b/>
        <i val="0"/>
        <color theme="0"/>
      </font>
      <fill>
        <patternFill>
          <bgColor rgb="FFFFC000"/>
        </patternFill>
      </fill>
    </dxf>
    <dxf>
      <fill>
        <patternFill>
          <bgColor rgb="FFFFC000"/>
        </patternFill>
      </fill>
    </dxf>
    <dxf>
      <font>
        <color theme="0"/>
      </font>
      <fill>
        <patternFill>
          <bgColor rgb="FFFF0000"/>
        </patternFill>
      </fill>
    </dxf>
    <dxf>
      <font>
        <color rgb="FF9C0006"/>
      </font>
      <fill>
        <patternFill>
          <bgColor rgb="FFFFC7CE"/>
        </patternFill>
      </fill>
    </dxf>
    <dxf>
      <font>
        <strike val="0"/>
      </font>
    </dxf>
    <dxf>
      <font>
        <color theme="0"/>
      </font>
      <fill>
        <patternFill>
          <fgColor rgb="FFFF0000"/>
          <bgColor rgb="FFFF0000"/>
        </patternFill>
      </fill>
    </dxf>
    <dxf>
      <fill>
        <patternFill>
          <bgColor theme="9" tint="-0.499984740745262"/>
        </patternFill>
      </fill>
    </dxf>
    <dxf>
      <font>
        <color theme="0"/>
      </font>
      <fill>
        <patternFill>
          <bgColor theme="3" tint="0.79998168889431442"/>
        </patternFill>
      </fill>
    </dxf>
    <dxf>
      <font>
        <color theme="0"/>
      </font>
      <fill>
        <patternFill>
          <bgColor rgb="FF00B0F0"/>
        </patternFill>
      </fill>
    </dxf>
    <dxf>
      <font>
        <b/>
        <i val="0"/>
        <color theme="0"/>
      </font>
      <fill>
        <patternFill>
          <bgColor rgb="FF00B0F0"/>
        </patternFill>
      </fill>
    </dxf>
    <dxf>
      <fill>
        <patternFill>
          <bgColor rgb="FF7CF927"/>
        </patternFill>
      </fill>
    </dxf>
    <dxf>
      <font>
        <b/>
        <i val="0"/>
        <color theme="0"/>
      </font>
      <fill>
        <patternFill>
          <bgColor theme="3" tint="0.59996337778862885"/>
        </patternFill>
      </fill>
    </dxf>
    <dxf>
      <font>
        <b/>
        <i val="0"/>
        <color theme="0"/>
      </font>
      <fill>
        <patternFill>
          <bgColor rgb="FFFF0000"/>
        </patternFill>
      </fill>
    </dxf>
    <dxf>
      <font>
        <b/>
        <i val="0"/>
        <color theme="0"/>
      </font>
      <fill>
        <patternFill>
          <bgColor rgb="FF00B050"/>
        </patternFill>
      </fill>
    </dxf>
    <dxf>
      <font>
        <b/>
        <i val="0"/>
        <color theme="0"/>
      </font>
      <fill>
        <patternFill>
          <bgColor rgb="FF00B0F0"/>
        </patternFill>
      </fill>
    </dxf>
    <dxf>
      <font>
        <b/>
        <i val="0"/>
        <color theme="0"/>
      </font>
      <fill>
        <patternFill>
          <bgColor theme="6" tint="-0.24994659260841701"/>
        </patternFill>
      </fill>
    </dxf>
    <dxf>
      <font>
        <b/>
        <i val="0"/>
        <color theme="0"/>
      </font>
      <fill>
        <patternFill>
          <bgColor theme="9" tint="-0.499984740745262"/>
        </patternFill>
      </fill>
    </dxf>
    <dxf>
      <font>
        <b/>
        <i val="0"/>
        <color theme="0"/>
      </font>
      <fill>
        <patternFill>
          <bgColor theme="9" tint="-0.499984740745262"/>
        </patternFill>
      </fill>
    </dxf>
    <dxf>
      <fill>
        <patternFill>
          <bgColor rgb="FF7CF927"/>
        </patternFill>
      </fill>
    </dxf>
    <dxf>
      <font>
        <b/>
        <i val="0"/>
        <color theme="0"/>
      </font>
      <fill>
        <patternFill>
          <bgColor rgb="FFFFC000"/>
        </patternFill>
      </fill>
    </dxf>
    <dxf>
      <fill>
        <patternFill>
          <bgColor rgb="FFFFC000"/>
        </patternFill>
      </fill>
    </dxf>
    <dxf>
      <font>
        <color theme="0"/>
      </font>
      <fill>
        <patternFill>
          <bgColor rgb="FFFF0000"/>
        </patternFill>
      </fill>
    </dxf>
    <dxf>
      <font>
        <color rgb="FF9C0006"/>
      </font>
      <fill>
        <patternFill>
          <bgColor rgb="FFFFC7CE"/>
        </patternFill>
      </fill>
    </dxf>
    <dxf>
      <font>
        <strike val="0"/>
      </font>
    </dxf>
    <dxf>
      <font>
        <color theme="0"/>
      </font>
      <fill>
        <patternFill>
          <fgColor rgb="FFFF0000"/>
          <bgColor rgb="FFFF0000"/>
        </patternFill>
      </fill>
    </dxf>
    <dxf>
      <fill>
        <patternFill>
          <bgColor theme="9" tint="-0.499984740745262"/>
        </patternFill>
      </fill>
    </dxf>
    <dxf>
      <font>
        <color theme="0"/>
      </font>
      <fill>
        <patternFill>
          <bgColor theme="3" tint="0.79998168889431442"/>
        </patternFill>
      </fill>
    </dxf>
    <dxf>
      <font>
        <color theme="0"/>
      </font>
      <fill>
        <patternFill>
          <bgColor rgb="FF00B0F0"/>
        </patternFill>
      </fill>
    </dxf>
    <dxf>
      <font>
        <b/>
        <i val="0"/>
        <color theme="0"/>
      </font>
      <fill>
        <patternFill>
          <bgColor rgb="FF00B0F0"/>
        </patternFill>
      </fill>
    </dxf>
    <dxf>
      <fill>
        <patternFill>
          <bgColor rgb="FF7CF927"/>
        </patternFill>
      </fill>
    </dxf>
    <dxf>
      <font>
        <b/>
        <i val="0"/>
      </font>
      <fill>
        <patternFill>
          <bgColor rgb="FFFF0000"/>
        </patternFill>
      </fill>
    </dxf>
    <dxf>
      <font>
        <b/>
        <i val="0"/>
      </font>
      <fill>
        <patternFill>
          <bgColor rgb="FFFF0000"/>
        </patternFill>
      </fill>
    </dxf>
    <dxf>
      <font>
        <b/>
        <i val="0"/>
      </font>
      <fill>
        <patternFill>
          <bgColor rgb="FFFFFFFF"/>
        </patternFill>
      </fill>
    </dxf>
    <dxf>
      <font>
        <b/>
        <i val="0"/>
      </font>
      <fill>
        <patternFill>
          <bgColor rgb="FF90F828"/>
        </patternFill>
      </fill>
    </dxf>
    <dxf>
      <font>
        <b/>
        <i val="0"/>
      </font>
      <fill>
        <patternFill>
          <bgColor rgb="FFFF0000"/>
        </patternFill>
      </fill>
    </dxf>
    <dxf>
      <font>
        <b/>
        <i val="0"/>
      </font>
      <fill>
        <patternFill>
          <bgColor rgb="FFFFC000"/>
        </patternFill>
      </fill>
    </dxf>
    <dxf>
      <font>
        <b/>
        <i val="0"/>
      </font>
      <fill>
        <patternFill>
          <bgColor rgb="FFFFFF00"/>
        </patternFill>
      </fill>
    </dxf>
    <dxf>
      <font>
        <b/>
        <i val="0"/>
      </font>
      <fill>
        <patternFill>
          <bgColor rgb="FFFF0000"/>
        </patternFill>
      </fill>
    </dxf>
    <dxf>
      <font>
        <b/>
        <i val="0"/>
      </font>
      <fill>
        <patternFill>
          <bgColor rgb="FFFFC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color theme="0"/>
      </font>
      <fill>
        <patternFill>
          <bgColor theme="3" tint="0.59996337778862885"/>
        </patternFill>
      </fill>
    </dxf>
    <dxf>
      <font>
        <b/>
        <i val="0"/>
        <color theme="0"/>
      </font>
      <fill>
        <patternFill>
          <bgColor rgb="FFFF0000"/>
        </patternFill>
      </fill>
    </dxf>
    <dxf>
      <font>
        <b/>
        <i val="0"/>
        <color theme="0"/>
      </font>
      <fill>
        <patternFill>
          <bgColor rgb="FF00B050"/>
        </patternFill>
      </fill>
    </dxf>
    <dxf>
      <font>
        <b/>
        <i val="0"/>
        <color theme="0"/>
      </font>
      <fill>
        <patternFill>
          <bgColor rgb="FF00B0F0"/>
        </patternFill>
      </fill>
    </dxf>
    <dxf>
      <font>
        <b/>
        <i val="0"/>
        <color theme="0"/>
      </font>
      <fill>
        <patternFill>
          <bgColor theme="6" tint="-0.24994659260841701"/>
        </patternFill>
      </fill>
    </dxf>
    <dxf>
      <font>
        <b/>
        <i val="0"/>
        <color theme="0"/>
      </font>
      <fill>
        <patternFill>
          <bgColor theme="9" tint="-0.499984740745262"/>
        </patternFill>
      </fill>
    </dxf>
    <dxf>
      <font>
        <b/>
        <i val="0"/>
        <color theme="0"/>
      </font>
      <fill>
        <patternFill>
          <bgColor theme="9" tint="-0.499984740745262"/>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9" defaultPivotStyle="PivotStyleLight16">
    <tableStyle name="Table Style 1" pivot="0" count="1" xr9:uid="{ABE42EB0-899B-438B-88F1-32F2068A9F93}">
      <tableStyleElement type="wholeTable" dxfId="13864"/>
    </tableStyle>
  </tableStyles>
  <colors>
    <mruColors>
      <color rgb="FF49F11B"/>
      <color rgb="FF0099CC"/>
      <color rgb="FF3333FF"/>
      <color rgb="FF26FA26"/>
      <color rgb="FF34FB25"/>
      <color rgb="FF90FB25"/>
      <color rgb="FF63F828"/>
      <color rgb="FFFFFFFF"/>
      <color rgb="FF00FF00"/>
      <color rgb="FF7CF92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781051</xdr:colOff>
      <xdr:row>11</xdr:row>
      <xdr:rowOff>170797</xdr:rowOff>
    </xdr:from>
    <xdr:to>
      <xdr:col>4</xdr:col>
      <xdr:colOff>114300</xdr:colOff>
      <xdr:row>33</xdr:row>
      <xdr:rowOff>64775</xdr:rowOff>
    </xdr:to>
    <xdr:pic>
      <xdr:nvPicPr>
        <xdr:cNvPr id="5" name="Imagen 1" descr="image001">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1051" y="2742547"/>
          <a:ext cx="8924924" cy="4084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257175</xdr:colOff>
          <xdr:row>0</xdr:row>
          <xdr:rowOff>295275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s-ES"/>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Cabal Ines, David Manuel" id="{26A07D45-D6C3-4F22-AAAC-396FD5778CDD}" userId="S::david-manuel.cabal-ines@capgemini.com::47c5d564-1a67-4cee-a945-9f62120c3bdc"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V1088" totalsRowShown="0">
  <autoFilter ref="A1:V1088" xr:uid="{160CC3B6-6BC8-4206-8C2E-2B283115CD30}"/>
  <sortState xmlns:xlrd2="http://schemas.microsoft.com/office/spreadsheetml/2017/richdata2" ref="A2:V1088">
    <sortCondition ref="M1:M1088"/>
  </sortState>
  <tableColumns count="22">
    <tableColumn id="6" xr3:uid="{00000000-0010-0000-0000-000006000000}" name="Sem"/>
    <tableColumn id="1" xr3:uid="{00000000-0010-0000-0000-000001000000}" name="Resultado Ejecución"/>
    <tableColumn id="2" xr3:uid="{00000000-0010-0000-0000-000002000000}" name="Comentarios"/>
    <tableColumn id="3" xr3:uid="{00000000-0010-0000-0000-000003000000}" name="Área"/>
    <tableColumn id="4" xr3:uid="{00000000-0010-0000-0000-000004000000}" name="Torre Tecnológica Promotora"/>
    <tableColumn id="5" xr3:uid="{00000000-0010-0000-0000-000005000000}" name="Tipo Cambio"/>
    <tableColumn id="7" xr3:uid="{00000000-0010-0000-0000-000007000000}" name="Estado"/>
    <tableColumn id="8" xr3:uid="{00000000-0010-0000-0000-000008000000}" name="Nº CRQ"/>
    <tableColumn id="9" xr3:uid="{00000000-0010-0000-0000-000009000000}" name="Título CRQ"/>
    <tableColumn id="10" xr3:uid="{00000000-0010-0000-0000-00000A000000}" name="Cliente"/>
    <tableColumn id="11" xr3:uid="{00000000-0010-0000-0000-00000B000000}" name="GTS"/>
    <tableColumn id="12" xr3:uid="{00000000-0010-0000-0000-00000C000000}" name="Corte"/>
    <tableColumn id="13" xr3:uid="{00000000-0010-0000-0000-00000D000000}" name="Fecha Inicio"/>
    <tableColumn id="14" xr3:uid="{00000000-0010-0000-0000-00000E000000}" name="Fecha Fin"/>
    <tableColumn id="15" xr3:uid="{00000000-0010-0000-0000-00000F000000}" name="Mes">
      <calculatedColumnFormula>PROPER(TEXT(Table1[[#This Row],[Fecha Inicio]],"mmmm"))</calculatedColumnFormula>
    </tableColumn>
    <tableColumn id="16" xr3:uid="{00000000-0010-0000-0000-000010000000}" name="CIs Afectados"/>
    <tableColumn id="17" xr3:uid="{00000000-0010-0000-0000-000011000000}" name="Tareas / Buzón Asignado"/>
    <tableColumn id="18" xr3:uid="{00000000-0010-0000-0000-000012000000}" name="Número de máquinas">
      <calculatedColumnFormula>LEN(TRIM(P2))-LEN(SUBSTITUTE(TRIM(P2),",",""))+1</calculatedColumnFormula>
    </tableColumn>
    <tableColumn id="19" xr3:uid="{00000000-0010-0000-0000-000013000000}" name="CON ÉXITO">
      <calculatedColumnFormula>IF(B2="CON ÉXITO",R2,"-")</calculatedColumnFormula>
    </tableColumn>
    <tableColumn id="20" xr3:uid="{00000000-0010-0000-0000-000014000000}" name="Éxito con problemas">
      <calculatedColumnFormula>IF($B2="Éxito con problemas",S2,"-")</calculatedColumnFormula>
    </tableColumn>
    <tableColumn id="21" xr3:uid="{00000000-0010-0000-0000-000015000000}" name="CANCELADO">
      <calculatedColumnFormula>IF($B2="CANCELADO",R2,"-")</calculatedColumnFormula>
    </tableColumn>
    <tableColumn id="22" xr3:uid="{00000000-0010-0000-0000-000016000000}" name="Aplicada marcha atrás">
      <calculatedColumnFormula>IF($B2="Aplicada marcha atrás",R2,"-")</calculatedColumnFormula>
    </tableColumn>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DB7B48-8889-4B59-AFE5-93991FEF1248}" name="Table4" displayName="Table4" ref="A1:V2" totalsRowShown="0" headerRowDxfId="0">
  <autoFilter ref="A1:V2" xr:uid="{C3B122AA-8E46-4F62-AFC2-075056A7A8A9}"/>
  <sortState xmlns:xlrd2="http://schemas.microsoft.com/office/spreadsheetml/2017/richdata2" ref="A2:V2">
    <sortCondition ref="M1:M2"/>
  </sortState>
  <tableColumns count="22">
    <tableColumn id="1" xr3:uid="{91B4C53C-EC6B-40C2-8543-CFA156377580}" name="Sem"/>
    <tableColumn id="2" xr3:uid="{7698C304-E9C3-41C8-ACE7-0EF56956122F}" name="Resultado Ejecución"/>
    <tableColumn id="3" xr3:uid="{CFD19AA2-E6D9-41AB-93DC-46EAE0BA2615}" name="Comentarios"/>
    <tableColumn id="4" xr3:uid="{EB5EF78C-09C3-4775-80CA-73FD533CED6A}" name="Área"/>
    <tableColumn id="5" xr3:uid="{DF23BD6F-8B34-4B8B-B149-C4831CF8DBCB}" name="Torre Tecnológica Promotora"/>
    <tableColumn id="6" xr3:uid="{36FDC5A4-7196-45D5-BE76-D5D0D6428AEA}" name="Tipo Cambio"/>
    <tableColumn id="7" xr3:uid="{D49FB5ED-097A-490B-B142-C765420D4BDA}" name="Estado"/>
    <tableColumn id="8" xr3:uid="{0C3F6241-E108-48F0-9C73-6A0C93080F79}" name="Nº CRQ"/>
    <tableColumn id="9" xr3:uid="{65182D2D-DE8C-44AF-99AC-5297D1062414}" name="Título CRQ"/>
    <tableColumn id="10" xr3:uid="{88B6A6B1-9D00-429D-A0AE-16E18B094405}" name="Cliente"/>
    <tableColumn id="11" xr3:uid="{942A2366-7C91-44BA-85C4-641D6B098B0B}" name="GTS"/>
    <tableColumn id="12" xr3:uid="{A317C8C6-0B63-4FA0-9F45-47D9D3BDC1D0}" name="Corte"/>
    <tableColumn id="13" xr3:uid="{1E1B4C0C-C876-461F-B9EC-F8C9C5C4D208}" name="Fecha Inicio"/>
    <tableColumn id="14" xr3:uid="{F15511E0-7EBD-459C-91EF-2CE7F9A64809}" name="Fecha Fin"/>
    <tableColumn id="15" xr3:uid="{DC725EC7-DA37-44AA-B17E-C7FA60DD0DA8}" name="Mes">
      <calculatedColumnFormula>PROPER(TEXT(Table4[[#This Row],[Fecha Inicio]],"mmmm"))</calculatedColumnFormula>
    </tableColumn>
    <tableColumn id="16" xr3:uid="{E4494F75-D003-436E-977C-7ED74549D363}" name="CIs Afectados"/>
    <tableColumn id="17" xr3:uid="{871C8509-316E-44A9-981F-982FC4581229}" name="Tareas / Buzón Asignado"/>
    <tableColumn id="18" xr3:uid="{34DAFAF4-7237-4827-A2F3-292B26014F06}" name="Número de máquinas">
      <calculatedColumnFormula>LEN(TRIM(P2))-LEN(SUBSTITUTE(TRIM(P2),",",""))+1</calculatedColumnFormula>
    </tableColumn>
    <tableColumn id="19" xr3:uid="{546987EF-E3E6-4C9B-9E49-0C0711527A07}" name="CON ÉXITO">
      <calculatedColumnFormula>IF(B2="CON ÉXITO",R2,"-")</calculatedColumnFormula>
    </tableColumn>
    <tableColumn id="20" xr3:uid="{CC87E8E8-0D65-4BB5-A8F4-4C7C2C1AD771}" name="Éxito con problemas">
      <calculatedColumnFormula>IF($B2="Éxito con problemas",S2,"-")</calculatedColumnFormula>
    </tableColumn>
    <tableColumn id="21" xr3:uid="{5A4D47B7-D709-41B9-85AA-AC5A0B5C5FA6}" name="CANCELADO">
      <calculatedColumnFormula>IF($B2="CANCELADO",R2,"-")</calculatedColumnFormula>
    </tableColumn>
    <tableColumn id="22" xr3:uid="{0EC33F8D-2B28-4EFC-BF87-FD9DF35FC3A7}" name="Aplicada marcha atrás">
      <calculatedColumnFormula>IF($B2="Aplicada marcha atrás",R2,"-")</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451" dT="2021-05-21T07:32:56.21" personId="{26A07D45-D6C3-4F22-AAAC-396FD5778CDD}" id="{2750E84D-81C5-4FFB-9CE7-012B335B14D9}">
    <text>Al abrir a Pool asignar a Francisco Javier Nuñez Diaz hasta que nos indiquen otro responsable de cambios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hyperlink" Target="mailto:marcos.velascofernandez@telefonica.com" TargetMode="External"/><Relationship Id="rId2" Type="http://schemas.openxmlformats.org/officeDocument/2006/relationships/hyperlink" Target="mailto:rafael.camposzarazaga@telefonica.com" TargetMode="External"/><Relationship Id="rId1" Type="http://schemas.openxmlformats.org/officeDocument/2006/relationships/hyperlink" Target="mailto:joseignacio.fernandezolea@telefonica.com" TargetMode="Externa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hyperlink" Target="mailto:cdg.administracion.sap@telefonica.com"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s://te.onbmc.com/arsys/servlet/ViewFormServlet?form=CHG%3AInfrastructure+Change&amp;server=onbmc-s&amp;eid=CRQ000000081693" TargetMode="External"/><Relationship Id="rId2" Type="http://schemas.openxmlformats.org/officeDocument/2006/relationships/hyperlink" Target="https://te.onbmc.com/arsys/servlet/ViewFormServlet?form=CHG%3AInfrastructure+Change&amp;server=onbmc-s&amp;eid=CRQ000000081807" TargetMode="External"/><Relationship Id="rId1" Type="http://schemas.openxmlformats.org/officeDocument/2006/relationships/hyperlink" Target="https://te.onbmc.com/arsys/servlet/ViewFormServlet?form=CHG%3AInfrastructure+Change&amp;server=onbmc-s&amp;eid=CRQ000000082124" TargetMode="External"/><Relationship Id="rId5" Type="http://schemas.openxmlformats.org/officeDocument/2006/relationships/printerSettings" Target="../printerSettings/printerSettings3.bin"/><Relationship Id="rId4" Type="http://schemas.openxmlformats.org/officeDocument/2006/relationships/hyperlink" Target="https://te.onbmc.com/arsys/servlet/ViewFormServlet?form=CHG%3AInfrastructure+Change&amp;server=onbmc-s&amp;eid=CRQ000000082082"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8" Type="http://schemas.openxmlformats.org/officeDocument/2006/relationships/hyperlink" Target="mailto:emp.middleware@telefonica.com" TargetMode="External"/><Relationship Id="rId13" Type="http://schemas.openxmlformats.org/officeDocument/2006/relationships/hyperlink" Target="mailto:emp.virtualizados@telefonica.com" TargetMode="External"/><Relationship Id="rId18" Type="http://schemas.openxmlformats.org/officeDocument/2006/relationships/hyperlink" Target="mailto:te_soporte_endpoint@telefonica.com" TargetMode="External"/><Relationship Id="rId3" Type="http://schemas.openxmlformats.org/officeDocument/2006/relationships/hyperlink" Target="mailto:cdg.citrix@telefonica.com" TargetMode="External"/><Relationship Id="rId21" Type="http://schemas.openxmlformats.org/officeDocument/2006/relationships/printerSettings" Target="../printerSettings/printerSettings6.bin"/><Relationship Id="rId7" Type="http://schemas.openxmlformats.org/officeDocument/2006/relationships/hyperlink" Target="mailto:emp.sistemaslinux@telefonica.com" TargetMode="External"/><Relationship Id="rId12" Type="http://schemas.openxmlformats.org/officeDocument/2006/relationships/hyperlink" Target="mailto:emp.openshift@telefonica.com" TargetMode="External"/><Relationship Id="rId17" Type="http://schemas.openxmlformats.org/officeDocument/2006/relationships/hyperlink" Target="mailto:tools-telefonica.es@capgemini.com" TargetMode="External"/><Relationship Id="rId2" Type="http://schemas.openxmlformats.org/officeDocument/2006/relationships/hyperlink" Target="mailto:bbddsql@telefonica.com" TargetMode="External"/><Relationship Id="rId16" Type="http://schemas.openxmlformats.org/officeDocument/2006/relationships/hyperlink" Target="mailto:emp.sistemaslinux@telefonica.com" TargetMode="External"/><Relationship Id="rId20" Type="http://schemas.openxmlformats.org/officeDocument/2006/relationships/hyperlink" Target="mailto:te_soporte_endpoint@telefonica.com" TargetMode="External"/><Relationship Id="rId1" Type="http://schemas.openxmlformats.org/officeDocument/2006/relationships/hyperlink" Target="mailto:sistemas.windows@telefonica.com" TargetMode="External"/><Relationship Id="rId6" Type="http://schemas.openxmlformats.org/officeDocument/2006/relationships/hyperlink" Target="mailto:serviciomovistaroffice365@telefonica.com" TargetMode="External"/><Relationship Id="rId11" Type="http://schemas.openxmlformats.org/officeDocument/2006/relationships/hyperlink" Target="mailto:cloudpublica@telefonica.com" TargetMode="External"/><Relationship Id="rId5" Type="http://schemas.openxmlformats.org/officeDocument/2006/relationships/hyperlink" Target="mailto:cdg.administracion.exchange@telefonica.com" TargetMode="External"/><Relationship Id="rId15" Type="http://schemas.openxmlformats.org/officeDocument/2006/relationships/hyperlink" Target="mailto:emp.sistemaslinux@telefonica.com" TargetMode="External"/><Relationship Id="rId10" Type="http://schemas.openxmlformats.org/officeDocument/2006/relationships/hyperlink" Target="mailto:cloudpublica@telefonica.com" TargetMode="External"/><Relationship Id="rId19" Type="http://schemas.openxmlformats.org/officeDocument/2006/relationships/hyperlink" Target="mailto:sistemas.backup@telefonica.com" TargetMode="External"/><Relationship Id="rId4" Type="http://schemas.openxmlformats.org/officeDocument/2006/relationships/hyperlink" Target="mailto:dstsol.servicedeskn1@telefonica.com" TargetMode="External"/><Relationship Id="rId9" Type="http://schemas.openxmlformats.org/officeDocument/2006/relationships/hyperlink" Target="mailto:postventa_gestion_cambios@telefonica.com" TargetMode="External"/><Relationship Id="rId14" Type="http://schemas.openxmlformats.org/officeDocument/2006/relationships/hyperlink" Target="mailto:bbddsql@telefonica.com" TargetMode="External"/></Relationships>
</file>

<file path=xl/worksheets/_rels/sheet14.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mailto:SERGI.MESTRESPEREZ.ext@telefonica.com" TargetMode="External"/><Relationship Id="rId7" Type="http://schemas.openxmlformats.org/officeDocument/2006/relationships/printerSettings" Target="../printerSettings/printerSettings7.bin"/><Relationship Id="rId2" Type="http://schemas.openxmlformats.org/officeDocument/2006/relationships/hyperlink" Target="mailto:SERGI.MESTRESPEREZ.ext@telefonica.com" TargetMode="External"/><Relationship Id="rId1" Type="http://schemas.openxmlformats.org/officeDocument/2006/relationships/hyperlink" Target="mailto:JUANPABLO.LOZANOBUSTAMANTE.ext@telefonica.com" TargetMode="External"/><Relationship Id="rId6" Type="http://schemas.openxmlformats.org/officeDocument/2006/relationships/hyperlink" Target="mailto:ignacio.barcenavenero@telefonica.com" TargetMode="External"/><Relationship Id="rId5" Type="http://schemas.openxmlformats.org/officeDocument/2006/relationships/hyperlink" Target="mailto:atencion.gts@telefonica.com" TargetMode="External"/><Relationship Id="rId10" Type="http://schemas.microsoft.com/office/2017/10/relationships/threadedComment" Target="../threadedComments/threadedComment1.xml"/><Relationship Id="rId4" Type="http://schemas.openxmlformats.org/officeDocument/2006/relationships/hyperlink" Target="mailto:oscar.antacalvo@telefonica.com" TargetMode="External"/><Relationship Id="rId9"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8" Type="http://schemas.openxmlformats.org/officeDocument/2006/relationships/hyperlink" Target="mailto:RAFAEL.MUNOZNAVAS.ext@telefonica.com" TargetMode="External"/><Relationship Id="rId3" Type="http://schemas.openxmlformats.org/officeDocument/2006/relationships/hyperlink" Target="mailto:sergio.custardoytorres@telefonica.com" TargetMode="External"/><Relationship Id="rId7" Type="http://schemas.openxmlformats.org/officeDocument/2006/relationships/hyperlink" Target="mailto:pedro.romeropeguero.ext@telefonica.com" TargetMode="External"/><Relationship Id="rId2" Type="http://schemas.openxmlformats.org/officeDocument/2006/relationships/hyperlink" Target="mailto:carlos.rodriguezaguado.ext@telefonica.com" TargetMode="External"/><Relationship Id="rId1" Type="http://schemas.openxmlformats.org/officeDocument/2006/relationships/hyperlink" Target="mailto:adolfo.aguedatirado.ext@telefonica.com" TargetMode="External"/><Relationship Id="rId6" Type="http://schemas.openxmlformats.org/officeDocument/2006/relationships/hyperlink" Target="mailto:david1.garciafernandez@telefonica.com" TargetMode="External"/><Relationship Id="rId5" Type="http://schemas.openxmlformats.org/officeDocument/2006/relationships/hyperlink" Target="mailto:ricardojose.lordencanton.ext@telefonica.com" TargetMode="External"/><Relationship Id="rId4" Type="http://schemas.openxmlformats.org/officeDocument/2006/relationships/hyperlink" Target="mailto:DAVID.JIMENOSALGADO.ext@telefonica.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046857"/>
  <sheetViews>
    <sheetView zoomScaleNormal="100" workbookViewId="0">
      <pane ySplit="1" topLeftCell="A2" activePane="bottomLeft" state="frozen"/>
      <selection activeCell="B26" sqref="B26"/>
      <selection pane="bottomLeft" activeCell="B13" sqref="A13:XFD13"/>
    </sheetView>
  </sheetViews>
  <sheetFormatPr defaultColWidth="9.140625" defaultRowHeight="10.5" x14ac:dyDescent="0.25"/>
  <cols>
    <col min="1" max="1" width="11.5703125" style="27" customWidth="1"/>
    <col min="2" max="2" width="10.140625" style="32" customWidth="1"/>
    <col min="3" max="3" width="33.28515625" style="36" customWidth="1"/>
    <col min="4" max="4" width="12.42578125" style="32" bestFit="1" customWidth="1"/>
    <col min="5" max="5" width="7.5703125" style="33" bestFit="1" customWidth="1"/>
    <col min="6" max="6" width="6" style="34" customWidth="1"/>
    <col min="7" max="7" width="16.140625" style="44" customWidth="1"/>
    <col min="8" max="8" width="22.7109375" style="35" customWidth="1"/>
    <col min="9" max="9" width="23.7109375" style="32" customWidth="1"/>
    <col min="10" max="10" width="17.5703125" style="32" bestFit="1" customWidth="1"/>
    <col min="11" max="11" width="16" style="32" customWidth="1"/>
    <col min="12" max="12" width="14.28515625" style="32" bestFit="1" customWidth="1"/>
    <col min="13" max="13" width="52.140625" style="35" bestFit="1" customWidth="1"/>
    <col min="14" max="14" width="28.42578125" style="36" customWidth="1"/>
    <col min="15" max="15" width="32" style="42" customWidth="1"/>
    <col min="16" max="16384" width="9.140625" style="42"/>
  </cols>
  <sheetData>
    <row r="1" spans="1:14" s="32" customFormat="1" ht="31.5" x14ac:dyDescent="0.25">
      <c r="A1" s="45" t="s">
        <v>0</v>
      </c>
      <c r="B1" s="43" t="s">
        <v>1</v>
      </c>
      <c r="C1" s="43" t="s">
        <v>2</v>
      </c>
      <c r="D1" s="43" t="s">
        <v>3</v>
      </c>
      <c r="E1" s="43" t="s">
        <v>4</v>
      </c>
      <c r="F1" s="43" t="s">
        <v>5</v>
      </c>
      <c r="G1" s="43" t="s">
        <v>6</v>
      </c>
      <c r="H1" s="43" t="s">
        <v>7</v>
      </c>
      <c r="I1" s="43" t="s">
        <v>8</v>
      </c>
      <c r="J1" s="43" t="s">
        <v>9</v>
      </c>
      <c r="K1" s="43" t="s">
        <v>10</v>
      </c>
      <c r="L1" s="43" t="s">
        <v>11</v>
      </c>
      <c r="M1" s="43" t="s">
        <v>12</v>
      </c>
      <c r="N1" s="43" t="s">
        <v>13</v>
      </c>
    </row>
    <row r="2" spans="1:14" ht="73.5" x14ac:dyDescent="0.25">
      <c r="B2" s="65" t="s">
        <v>14</v>
      </c>
      <c r="C2" s="1"/>
      <c r="D2" s="65"/>
      <c r="E2" s="25" t="s">
        <v>15</v>
      </c>
      <c r="F2" s="25" t="s">
        <v>16</v>
      </c>
      <c r="G2" s="64" t="s">
        <v>17</v>
      </c>
      <c r="H2" s="65" t="s">
        <v>18</v>
      </c>
      <c r="I2" s="65" t="s">
        <v>19</v>
      </c>
      <c r="J2" s="2" t="s">
        <v>20</v>
      </c>
      <c r="K2" s="3">
        <v>43483.916666666664</v>
      </c>
      <c r="L2" s="3">
        <v>43484.25</v>
      </c>
      <c r="M2" s="17" t="s">
        <v>21</v>
      </c>
      <c r="N2" s="1" t="s">
        <v>22</v>
      </c>
    </row>
    <row r="3" spans="1:14" ht="21" x14ac:dyDescent="0.25">
      <c r="B3" s="65" t="s">
        <v>14</v>
      </c>
      <c r="C3" s="1"/>
      <c r="D3" s="65"/>
      <c r="E3" s="25" t="s">
        <v>15</v>
      </c>
      <c r="F3" s="25" t="s">
        <v>16</v>
      </c>
      <c r="G3" s="64" t="s">
        <v>23</v>
      </c>
      <c r="H3" s="65" t="s">
        <v>24</v>
      </c>
      <c r="I3" s="65" t="s">
        <v>25</v>
      </c>
      <c r="J3" s="2" t="s">
        <v>26</v>
      </c>
      <c r="K3" s="3">
        <v>43484.041666666664</v>
      </c>
      <c r="L3" s="3">
        <v>43484.291666666664</v>
      </c>
      <c r="M3" s="17" t="s">
        <v>27</v>
      </c>
      <c r="N3" s="1" t="s">
        <v>28</v>
      </c>
    </row>
    <row r="4" spans="1:14" ht="105" x14ac:dyDescent="0.25">
      <c r="B4" s="65" t="s">
        <v>14</v>
      </c>
      <c r="C4" s="1"/>
      <c r="D4" s="65"/>
      <c r="E4" s="25" t="s">
        <v>15</v>
      </c>
      <c r="F4" s="25" t="s">
        <v>16</v>
      </c>
      <c r="G4" s="64" t="s">
        <v>29</v>
      </c>
      <c r="H4" s="65" t="s">
        <v>30</v>
      </c>
      <c r="I4" s="65" t="s">
        <v>19</v>
      </c>
      <c r="J4" s="2" t="s">
        <v>31</v>
      </c>
      <c r="K4" s="3">
        <v>43484.916666666664</v>
      </c>
      <c r="L4" s="3">
        <v>43485.395833333336</v>
      </c>
      <c r="M4" s="17" t="s">
        <v>32</v>
      </c>
      <c r="N4" s="1" t="s">
        <v>33</v>
      </c>
    </row>
    <row r="5" spans="1:14" ht="105" x14ac:dyDescent="0.25">
      <c r="B5" s="65" t="s">
        <v>14</v>
      </c>
      <c r="C5" s="1"/>
      <c r="D5" s="65"/>
      <c r="E5" s="25" t="s">
        <v>15</v>
      </c>
      <c r="F5" s="25" t="s">
        <v>16</v>
      </c>
      <c r="G5" s="64" t="s">
        <v>34</v>
      </c>
      <c r="H5" s="65" t="s">
        <v>35</v>
      </c>
      <c r="I5" s="65" t="s">
        <v>19</v>
      </c>
      <c r="J5" s="2" t="s">
        <v>36</v>
      </c>
      <c r="K5" s="3">
        <v>43484.916666666664</v>
      </c>
      <c r="L5" s="3">
        <v>43485.916666666664</v>
      </c>
      <c r="M5" s="17" t="s">
        <v>37</v>
      </c>
      <c r="N5" s="1" t="s">
        <v>38</v>
      </c>
    </row>
    <row r="6" spans="1:14" ht="105" x14ac:dyDescent="0.25">
      <c r="B6" s="65" t="s">
        <v>14</v>
      </c>
      <c r="C6" s="1"/>
      <c r="D6" s="65"/>
      <c r="E6" s="25" t="s">
        <v>15</v>
      </c>
      <c r="F6" s="25" t="s">
        <v>16</v>
      </c>
      <c r="G6" s="64" t="s">
        <v>39</v>
      </c>
      <c r="H6" s="65" t="s">
        <v>40</v>
      </c>
      <c r="I6" s="65" t="s">
        <v>41</v>
      </c>
      <c r="J6" s="2" t="s">
        <v>42</v>
      </c>
      <c r="K6" s="3">
        <v>43484.9375</v>
      </c>
      <c r="L6" s="3">
        <v>43485.333333333336</v>
      </c>
      <c r="M6" s="17" t="s">
        <v>43</v>
      </c>
      <c r="N6" s="1" t="s">
        <v>44</v>
      </c>
    </row>
    <row r="7" spans="1:14" ht="21" x14ac:dyDescent="0.25">
      <c r="B7" s="65" t="s">
        <v>14</v>
      </c>
      <c r="C7" s="1"/>
      <c r="D7" s="65"/>
      <c r="E7" s="25" t="s">
        <v>15</v>
      </c>
      <c r="F7" s="25" t="s">
        <v>16</v>
      </c>
      <c r="G7" s="64" t="s">
        <v>45</v>
      </c>
      <c r="H7" s="65" t="s">
        <v>46</v>
      </c>
      <c r="I7" s="65" t="s">
        <v>19</v>
      </c>
      <c r="J7" s="2" t="s">
        <v>47</v>
      </c>
      <c r="K7" s="3">
        <v>43485.25</v>
      </c>
      <c r="L7" s="3">
        <v>43485.375</v>
      </c>
      <c r="M7" s="17" t="s">
        <v>48</v>
      </c>
      <c r="N7" s="1" t="s">
        <v>49</v>
      </c>
    </row>
    <row r="8" spans="1:14" ht="31.5" x14ac:dyDescent="0.25">
      <c r="B8" s="65" t="s">
        <v>14</v>
      </c>
      <c r="C8" s="1"/>
      <c r="D8" s="65"/>
      <c r="E8" s="25" t="s">
        <v>15</v>
      </c>
      <c r="F8" s="25" t="s">
        <v>16</v>
      </c>
      <c r="G8" s="64" t="s">
        <v>50</v>
      </c>
      <c r="H8" s="65" t="s">
        <v>51</v>
      </c>
      <c r="I8" s="65" t="s">
        <v>52</v>
      </c>
      <c r="J8" s="2" t="s">
        <v>53</v>
      </c>
      <c r="K8" s="3">
        <v>43486</v>
      </c>
      <c r="L8" s="3">
        <v>43486.25</v>
      </c>
      <c r="M8" s="17" t="s">
        <v>54</v>
      </c>
      <c r="N8" s="1" t="s">
        <v>55</v>
      </c>
    </row>
    <row r="9" spans="1:14" ht="73.5" x14ac:dyDescent="0.25">
      <c r="B9" s="65" t="s">
        <v>14</v>
      </c>
      <c r="C9" s="1"/>
      <c r="D9" s="65"/>
      <c r="E9" s="25" t="s">
        <v>15</v>
      </c>
      <c r="F9" s="25" t="s">
        <v>16</v>
      </c>
      <c r="G9" s="64" t="s">
        <v>56</v>
      </c>
      <c r="H9" s="65" t="s">
        <v>57</v>
      </c>
      <c r="I9" s="65" t="s">
        <v>41</v>
      </c>
      <c r="J9" s="2" t="s">
        <v>58</v>
      </c>
      <c r="K9" s="3">
        <v>43486.041666666664</v>
      </c>
      <c r="L9" s="3">
        <v>43486.291666666664</v>
      </c>
      <c r="M9" s="17" t="s">
        <v>59</v>
      </c>
      <c r="N9" s="1" t="s">
        <v>60</v>
      </c>
    </row>
    <row r="10" spans="1:14" ht="105" x14ac:dyDescent="0.25">
      <c r="B10" s="65" t="s">
        <v>14</v>
      </c>
      <c r="C10" s="1"/>
      <c r="D10" s="65"/>
      <c r="E10" s="25" t="s">
        <v>15</v>
      </c>
      <c r="F10" s="25" t="s">
        <v>16</v>
      </c>
      <c r="G10" s="64" t="s">
        <v>61</v>
      </c>
      <c r="H10" s="65" t="s">
        <v>62</v>
      </c>
      <c r="I10" s="65" t="s">
        <v>52</v>
      </c>
      <c r="J10" s="2" t="s">
        <v>63</v>
      </c>
      <c r="K10" s="3">
        <v>43487.041666666664</v>
      </c>
      <c r="L10" s="3">
        <v>43487.291666666664</v>
      </c>
      <c r="M10" s="17" t="s">
        <v>64</v>
      </c>
      <c r="N10" s="1" t="s">
        <v>65</v>
      </c>
    </row>
    <row r="11" spans="1:14" ht="21" x14ac:dyDescent="0.25">
      <c r="B11" s="65" t="s">
        <v>14</v>
      </c>
      <c r="C11" s="1"/>
      <c r="D11" s="65"/>
      <c r="E11" s="25" t="s">
        <v>15</v>
      </c>
      <c r="F11" s="25" t="s">
        <v>16</v>
      </c>
      <c r="G11" s="64" t="s">
        <v>66</v>
      </c>
      <c r="H11" s="65" t="s">
        <v>67</v>
      </c>
      <c r="I11" s="65" t="s">
        <v>25</v>
      </c>
      <c r="J11" s="2" t="s">
        <v>68</v>
      </c>
      <c r="K11" s="3">
        <v>43488.041666666664</v>
      </c>
      <c r="L11" s="3">
        <v>43488.25</v>
      </c>
      <c r="M11" s="17" t="s">
        <v>69</v>
      </c>
      <c r="N11" s="1" t="s">
        <v>70</v>
      </c>
    </row>
    <row r="12" spans="1:14" ht="126" x14ac:dyDescent="0.25">
      <c r="B12" s="65" t="s">
        <v>14</v>
      </c>
      <c r="C12" s="1"/>
      <c r="D12" s="65"/>
      <c r="E12" s="25" t="s">
        <v>15</v>
      </c>
      <c r="F12" s="25" t="s">
        <v>16</v>
      </c>
      <c r="G12" s="64" t="s">
        <v>71</v>
      </c>
      <c r="H12" s="65" t="s">
        <v>72</v>
      </c>
      <c r="I12" s="65" t="s">
        <v>52</v>
      </c>
      <c r="J12" s="2" t="s">
        <v>73</v>
      </c>
      <c r="K12" s="3">
        <v>43489.041666666664</v>
      </c>
      <c r="L12" s="3">
        <v>43489.291666666664</v>
      </c>
      <c r="M12" s="17" t="s">
        <v>74</v>
      </c>
      <c r="N12" s="1" t="s">
        <v>75</v>
      </c>
    </row>
    <row r="13" spans="1:14" s="33" customFormat="1" x14ac:dyDescent="0.25">
      <c r="A13" s="27"/>
      <c r="B13" s="5"/>
      <c r="C13" s="29"/>
      <c r="D13" s="65"/>
      <c r="E13" s="24"/>
      <c r="F13" s="25"/>
      <c r="G13" s="30"/>
      <c r="H13" s="31"/>
      <c r="I13" s="5"/>
      <c r="J13" s="5"/>
      <c r="K13" s="5"/>
      <c r="L13" s="5"/>
      <c r="M13" s="31"/>
      <c r="N13" s="29"/>
    </row>
    <row r="14" spans="1:14" s="33" customFormat="1" x14ac:dyDescent="0.25">
      <c r="A14" s="27"/>
      <c r="B14" s="5"/>
      <c r="C14" s="29"/>
      <c r="D14" s="65"/>
      <c r="E14" s="24"/>
      <c r="F14" s="25"/>
      <c r="G14" s="30"/>
      <c r="H14" s="31"/>
      <c r="I14" s="5"/>
      <c r="J14" s="5"/>
      <c r="K14" s="5"/>
      <c r="L14" s="5"/>
      <c r="M14" s="31"/>
      <c r="N14" s="29"/>
    </row>
    <row r="15" spans="1:14" s="33" customFormat="1" x14ac:dyDescent="0.25">
      <c r="A15" s="27"/>
      <c r="B15" s="5"/>
      <c r="C15" s="29"/>
      <c r="D15" s="65"/>
      <c r="E15" s="24"/>
      <c r="F15" s="25"/>
      <c r="G15" s="30"/>
      <c r="H15" s="31"/>
      <c r="I15" s="5"/>
      <c r="J15" s="5"/>
      <c r="K15" s="5"/>
      <c r="L15" s="5"/>
      <c r="M15" s="31"/>
      <c r="N15" s="29"/>
    </row>
    <row r="16" spans="1:14" s="33" customFormat="1" x14ac:dyDescent="0.25">
      <c r="A16" s="27"/>
      <c r="B16" s="5"/>
      <c r="C16" s="29"/>
      <c r="D16" s="65"/>
      <c r="E16" s="24"/>
      <c r="F16" s="25"/>
      <c r="G16" s="30"/>
      <c r="H16" s="31"/>
      <c r="I16" s="5"/>
      <c r="J16" s="5"/>
      <c r="K16" s="5"/>
      <c r="L16" s="5"/>
      <c r="M16" s="31"/>
      <c r="N16" s="29"/>
    </row>
    <row r="17" spans="1:14" s="33" customFormat="1" x14ac:dyDescent="0.25">
      <c r="A17" s="27"/>
      <c r="B17" s="5"/>
      <c r="C17" s="29"/>
      <c r="D17" s="65"/>
      <c r="E17" s="24"/>
      <c r="F17" s="25"/>
      <c r="G17" s="30"/>
      <c r="H17" s="31"/>
      <c r="I17" s="5"/>
      <c r="J17" s="5"/>
      <c r="K17" s="5"/>
      <c r="L17" s="5"/>
      <c r="M17" s="31"/>
      <c r="N17" s="29"/>
    </row>
    <row r="18" spans="1:14" s="33" customFormat="1" x14ac:dyDescent="0.25">
      <c r="A18" s="27"/>
      <c r="B18" s="5"/>
      <c r="C18" s="29"/>
      <c r="D18" s="65"/>
      <c r="E18" s="24"/>
      <c r="F18" s="25"/>
      <c r="G18" s="30"/>
      <c r="H18" s="31"/>
      <c r="I18" s="5"/>
      <c r="J18" s="5"/>
      <c r="K18" s="5"/>
      <c r="L18" s="5"/>
      <c r="M18" s="31"/>
      <c r="N18" s="29"/>
    </row>
    <row r="19" spans="1:14" s="33" customFormat="1" x14ac:dyDescent="0.25">
      <c r="A19" s="27"/>
      <c r="B19" s="5"/>
      <c r="C19" s="29"/>
      <c r="D19" s="65"/>
      <c r="E19" s="24"/>
      <c r="F19" s="25"/>
      <c r="G19" s="30"/>
      <c r="H19" s="31"/>
      <c r="I19" s="5"/>
      <c r="J19" s="5"/>
      <c r="K19" s="5"/>
      <c r="L19" s="5"/>
      <c r="M19" s="31"/>
      <c r="N19" s="29"/>
    </row>
    <row r="20" spans="1:14" s="33" customFormat="1" x14ac:dyDescent="0.25">
      <c r="A20" s="27"/>
      <c r="B20" s="5"/>
      <c r="C20" s="29"/>
      <c r="D20" s="65"/>
      <c r="E20" s="24"/>
      <c r="F20" s="25"/>
      <c r="G20" s="30"/>
      <c r="H20" s="31"/>
      <c r="I20" s="5"/>
      <c r="J20" s="5"/>
      <c r="K20" s="5"/>
      <c r="L20" s="5"/>
      <c r="M20" s="31"/>
      <c r="N20" s="29"/>
    </row>
    <row r="21" spans="1:14" s="33" customFormat="1" x14ac:dyDescent="0.25">
      <c r="A21" s="27"/>
      <c r="B21" s="5"/>
      <c r="C21" s="29"/>
      <c r="D21" s="65"/>
      <c r="E21" s="24"/>
      <c r="F21" s="25"/>
      <c r="G21" s="30"/>
      <c r="H21" s="31"/>
      <c r="I21" s="5"/>
      <c r="J21" s="5"/>
      <c r="K21" s="5"/>
      <c r="L21" s="5"/>
      <c r="M21" s="31"/>
      <c r="N21" s="29"/>
    </row>
    <row r="22" spans="1:14" s="33" customFormat="1" x14ac:dyDescent="0.25">
      <c r="A22" s="27"/>
      <c r="B22" s="5"/>
      <c r="C22" s="29"/>
      <c r="D22" s="65"/>
      <c r="E22" s="24"/>
      <c r="F22" s="25"/>
      <c r="G22" s="30"/>
      <c r="H22" s="31"/>
      <c r="I22" s="5"/>
      <c r="J22" s="5"/>
      <c r="K22" s="5"/>
      <c r="L22" s="5"/>
      <c r="M22" s="31"/>
      <c r="N22" s="29"/>
    </row>
    <row r="23" spans="1:14" s="33" customFormat="1" x14ac:dyDescent="0.25">
      <c r="A23" s="27"/>
      <c r="B23" s="5"/>
      <c r="C23" s="29"/>
      <c r="D23" s="65"/>
      <c r="E23" s="24"/>
      <c r="F23" s="25"/>
      <c r="G23" s="30"/>
      <c r="H23" s="31"/>
      <c r="I23" s="5"/>
      <c r="J23" s="5"/>
      <c r="K23" s="5"/>
      <c r="L23" s="5"/>
      <c r="M23" s="31"/>
      <c r="N23" s="29"/>
    </row>
    <row r="24" spans="1:14" s="33" customFormat="1" x14ac:dyDescent="0.25">
      <c r="A24" s="27"/>
      <c r="B24" s="5"/>
      <c r="C24" s="29"/>
      <c r="D24" s="65"/>
      <c r="E24" s="24"/>
      <c r="F24" s="25"/>
      <c r="G24" s="30"/>
      <c r="H24" s="31"/>
      <c r="I24" s="5"/>
      <c r="J24" s="5"/>
      <c r="K24" s="5"/>
      <c r="L24" s="5"/>
      <c r="M24" s="31"/>
      <c r="N24" s="29"/>
    </row>
    <row r="25" spans="1:14" s="33" customFormat="1" x14ac:dyDescent="0.25">
      <c r="A25" s="27"/>
      <c r="B25" s="5"/>
      <c r="C25" s="29"/>
      <c r="D25" s="65"/>
      <c r="E25" s="24"/>
      <c r="F25" s="25"/>
      <c r="G25" s="30"/>
      <c r="H25" s="31"/>
      <c r="I25" s="5"/>
      <c r="J25" s="5"/>
      <c r="K25" s="5"/>
      <c r="L25" s="5"/>
      <c r="M25" s="31"/>
      <c r="N25" s="29"/>
    </row>
    <row r="26" spans="1:14" s="33" customFormat="1" x14ac:dyDescent="0.25">
      <c r="A26" s="27"/>
      <c r="B26" s="5"/>
      <c r="C26" s="29"/>
      <c r="D26" s="65"/>
      <c r="E26" s="24"/>
      <c r="F26" s="25"/>
      <c r="G26" s="30"/>
      <c r="H26" s="31"/>
      <c r="I26" s="5"/>
      <c r="J26" s="5"/>
      <c r="K26" s="5"/>
      <c r="L26" s="5"/>
      <c r="M26" s="31"/>
      <c r="N26" s="29"/>
    </row>
    <row r="27" spans="1:14" s="33" customFormat="1" x14ac:dyDescent="0.25">
      <c r="A27" s="27"/>
      <c r="B27" s="5"/>
      <c r="C27" s="29"/>
      <c r="D27" s="65"/>
      <c r="E27" s="24"/>
      <c r="F27" s="25"/>
      <c r="G27" s="30"/>
      <c r="H27" s="31"/>
      <c r="I27" s="5"/>
      <c r="J27" s="5"/>
      <c r="K27" s="5"/>
      <c r="L27" s="5"/>
      <c r="M27" s="31"/>
      <c r="N27" s="29"/>
    </row>
    <row r="28" spans="1:14" s="33" customFormat="1" x14ac:dyDescent="0.25">
      <c r="A28" s="27"/>
      <c r="B28" s="5"/>
      <c r="C28" s="29"/>
      <c r="D28" s="65"/>
      <c r="E28" s="24"/>
      <c r="F28" s="25"/>
      <c r="G28" s="30"/>
      <c r="H28" s="31"/>
      <c r="I28" s="5"/>
      <c r="J28" s="5"/>
      <c r="K28" s="5"/>
      <c r="L28" s="5"/>
      <c r="M28" s="31"/>
      <c r="N28" s="29"/>
    </row>
    <row r="29" spans="1:14" s="33" customFormat="1" x14ac:dyDescent="0.25">
      <c r="A29" s="27"/>
      <c r="B29" s="5"/>
      <c r="C29" s="29"/>
      <c r="D29" s="65"/>
      <c r="E29" s="24"/>
      <c r="F29" s="25"/>
      <c r="G29" s="30"/>
      <c r="H29" s="31"/>
      <c r="I29" s="5"/>
      <c r="J29" s="5"/>
      <c r="K29" s="5"/>
      <c r="L29" s="5"/>
      <c r="M29" s="31"/>
      <c r="N29" s="29"/>
    </row>
    <row r="30" spans="1:14" s="33" customFormat="1" x14ac:dyDescent="0.25">
      <c r="A30" s="27"/>
      <c r="B30" s="5"/>
      <c r="C30" s="29"/>
      <c r="D30" s="65"/>
      <c r="E30" s="24"/>
      <c r="F30" s="25"/>
      <c r="G30" s="30"/>
      <c r="H30" s="31"/>
      <c r="I30" s="5"/>
      <c r="J30" s="5"/>
      <c r="K30" s="5"/>
      <c r="L30" s="5"/>
      <c r="M30" s="31"/>
      <c r="N30" s="29"/>
    </row>
    <row r="31" spans="1:14" s="33" customFormat="1" x14ac:dyDescent="0.25">
      <c r="A31" s="27"/>
      <c r="B31" s="5"/>
      <c r="C31" s="29"/>
      <c r="D31" s="65"/>
      <c r="E31" s="24"/>
      <c r="F31" s="25"/>
      <c r="G31" s="30"/>
      <c r="H31" s="31"/>
      <c r="I31" s="5"/>
      <c r="J31" s="5"/>
      <c r="K31" s="5"/>
      <c r="L31" s="5"/>
      <c r="M31" s="31"/>
      <c r="N31" s="29"/>
    </row>
    <row r="32" spans="1:14" s="33" customFormat="1" x14ac:dyDescent="0.25">
      <c r="A32" s="27"/>
      <c r="B32" s="5"/>
      <c r="C32" s="29"/>
      <c r="D32" s="65"/>
      <c r="E32" s="24"/>
      <c r="F32" s="25"/>
      <c r="G32" s="30"/>
      <c r="H32" s="31"/>
      <c r="I32" s="5"/>
      <c r="J32" s="5"/>
      <c r="K32" s="5"/>
      <c r="L32" s="5"/>
      <c r="M32" s="31"/>
      <c r="N32" s="29"/>
    </row>
    <row r="33" spans="1:14" s="33" customFormat="1" x14ac:dyDescent="0.25">
      <c r="A33" s="27"/>
      <c r="B33" s="5"/>
      <c r="C33" s="29"/>
      <c r="D33" s="65"/>
      <c r="E33" s="24"/>
      <c r="F33" s="25"/>
      <c r="G33" s="30"/>
      <c r="H33" s="31"/>
      <c r="I33" s="5"/>
      <c r="J33" s="5"/>
      <c r="K33" s="5"/>
      <c r="L33" s="5"/>
      <c r="M33" s="31"/>
      <c r="N33" s="29"/>
    </row>
    <row r="34" spans="1:14" s="33" customFormat="1" x14ac:dyDescent="0.25">
      <c r="A34" s="27"/>
      <c r="B34" s="5"/>
      <c r="C34" s="29"/>
      <c r="D34" s="65"/>
      <c r="E34" s="24"/>
      <c r="F34" s="25"/>
      <c r="G34" s="30"/>
      <c r="H34" s="31"/>
      <c r="I34" s="5"/>
      <c r="J34" s="5"/>
      <c r="K34" s="5"/>
      <c r="L34" s="5"/>
      <c r="M34" s="31"/>
      <c r="N34" s="29"/>
    </row>
    <row r="35" spans="1:14" s="33" customFormat="1" x14ac:dyDescent="0.25">
      <c r="A35" s="27"/>
      <c r="B35" s="5"/>
      <c r="C35" s="29"/>
      <c r="D35" s="65"/>
      <c r="E35" s="24"/>
      <c r="F35" s="25"/>
      <c r="G35" s="30"/>
      <c r="H35" s="31"/>
      <c r="I35" s="5"/>
      <c r="J35" s="5"/>
      <c r="K35" s="5"/>
      <c r="L35" s="5"/>
      <c r="M35" s="31"/>
      <c r="N35" s="29"/>
    </row>
    <row r="36" spans="1:14" s="33" customFormat="1" x14ac:dyDescent="0.25">
      <c r="A36" s="27"/>
      <c r="B36" s="5"/>
      <c r="C36" s="29"/>
      <c r="D36" s="65"/>
      <c r="E36" s="24"/>
      <c r="F36" s="25"/>
      <c r="G36" s="30"/>
      <c r="H36" s="31"/>
      <c r="I36" s="5"/>
      <c r="J36" s="5"/>
      <c r="K36" s="5"/>
      <c r="L36" s="5"/>
      <c r="M36" s="31"/>
      <c r="N36" s="29"/>
    </row>
    <row r="37" spans="1:14" s="33" customFormat="1" x14ac:dyDescent="0.25">
      <c r="A37" s="27"/>
      <c r="B37" s="5"/>
      <c r="C37" s="29"/>
      <c r="D37" s="65"/>
      <c r="E37" s="24"/>
      <c r="F37" s="25"/>
      <c r="G37" s="30"/>
      <c r="H37" s="31"/>
      <c r="I37" s="5"/>
      <c r="J37" s="5"/>
      <c r="K37" s="5"/>
      <c r="L37" s="5"/>
      <c r="M37" s="31"/>
      <c r="N37" s="29"/>
    </row>
    <row r="38" spans="1:14" s="33" customFormat="1" x14ac:dyDescent="0.25">
      <c r="A38" s="27"/>
      <c r="B38" s="5"/>
      <c r="C38" s="29"/>
      <c r="D38" s="65"/>
      <c r="E38" s="24"/>
      <c r="F38" s="25"/>
      <c r="G38" s="30"/>
      <c r="H38" s="31"/>
      <c r="I38" s="5"/>
      <c r="J38" s="5"/>
      <c r="K38" s="5"/>
      <c r="L38" s="5"/>
      <c r="M38" s="31"/>
      <c r="N38" s="29"/>
    </row>
    <row r="39" spans="1:14" s="33" customFormat="1" x14ac:dyDescent="0.25">
      <c r="A39" s="27"/>
      <c r="B39" s="5"/>
      <c r="C39" s="29"/>
      <c r="D39" s="65"/>
      <c r="E39" s="24"/>
      <c r="F39" s="25"/>
      <c r="G39" s="30"/>
      <c r="H39" s="31"/>
      <c r="I39" s="5"/>
      <c r="J39" s="5"/>
      <c r="K39" s="5"/>
      <c r="L39" s="5"/>
      <c r="M39" s="31"/>
      <c r="N39" s="29"/>
    </row>
    <row r="40" spans="1:14" s="33" customFormat="1" x14ac:dyDescent="0.25">
      <c r="A40" s="27"/>
      <c r="B40" s="5"/>
      <c r="C40" s="29"/>
      <c r="D40" s="65"/>
      <c r="E40" s="24"/>
      <c r="F40" s="25"/>
      <c r="G40" s="30"/>
      <c r="H40" s="31"/>
      <c r="I40" s="5"/>
      <c r="J40" s="5"/>
      <c r="K40" s="5"/>
      <c r="L40" s="5"/>
      <c r="M40" s="31"/>
      <c r="N40" s="29"/>
    </row>
    <row r="41" spans="1:14" s="33" customFormat="1" x14ac:dyDescent="0.25">
      <c r="A41" s="27"/>
      <c r="B41" s="5"/>
      <c r="C41" s="29"/>
      <c r="D41" s="65"/>
      <c r="E41" s="24"/>
      <c r="F41" s="25"/>
      <c r="G41" s="30"/>
      <c r="H41" s="31"/>
      <c r="I41" s="5"/>
      <c r="J41" s="5"/>
      <c r="K41" s="5"/>
      <c r="L41" s="5"/>
      <c r="M41" s="31"/>
      <c r="N41" s="29"/>
    </row>
    <row r="42" spans="1:14" s="33" customFormat="1" x14ac:dyDescent="0.25">
      <c r="A42" s="27"/>
      <c r="B42" s="5"/>
      <c r="C42" s="29"/>
      <c r="D42" s="65"/>
      <c r="E42" s="24"/>
      <c r="F42" s="25"/>
      <c r="G42" s="30"/>
      <c r="H42" s="31"/>
      <c r="I42" s="5"/>
      <c r="J42" s="5"/>
      <c r="K42" s="5"/>
      <c r="L42" s="5"/>
      <c r="M42" s="31"/>
      <c r="N42" s="29"/>
    </row>
    <row r="43" spans="1:14" s="33" customFormat="1" x14ac:dyDescent="0.25">
      <c r="A43" s="27"/>
      <c r="B43" s="5"/>
      <c r="C43" s="29"/>
      <c r="D43" s="65"/>
      <c r="E43" s="24"/>
      <c r="F43" s="25"/>
      <c r="G43" s="30"/>
      <c r="H43" s="31"/>
      <c r="I43" s="5"/>
      <c r="J43" s="5"/>
      <c r="K43" s="5"/>
      <c r="L43" s="5"/>
      <c r="M43" s="31"/>
      <c r="N43" s="29"/>
    </row>
    <row r="44" spans="1:14" s="33" customFormat="1" x14ac:dyDescent="0.25">
      <c r="A44" s="27"/>
      <c r="B44" s="5"/>
      <c r="C44" s="29"/>
      <c r="D44" s="65"/>
      <c r="E44" s="24"/>
      <c r="F44" s="25"/>
      <c r="G44" s="30"/>
      <c r="H44" s="31"/>
      <c r="I44" s="5"/>
      <c r="J44" s="5"/>
      <c r="K44" s="5"/>
      <c r="L44" s="5"/>
      <c r="M44" s="31"/>
      <c r="N44" s="29"/>
    </row>
    <row r="45" spans="1:14" s="33" customFormat="1" x14ac:dyDescent="0.25">
      <c r="A45" s="27"/>
      <c r="B45" s="5"/>
      <c r="C45" s="29"/>
      <c r="D45" s="65"/>
      <c r="E45" s="24"/>
      <c r="F45" s="25"/>
      <c r="G45" s="30"/>
      <c r="H45" s="31"/>
      <c r="I45" s="5"/>
      <c r="J45" s="5"/>
      <c r="K45" s="5"/>
      <c r="L45" s="5"/>
      <c r="M45" s="31"/>
      <c r="N45" s="29"/>
    </row>
    <row r="46" spans="1:14" s="33" customFormat="1" x14ac:dyDescent="0.25">
      <c r="A46" s="27"/>
      <c r="B46" s="5"/>
      <c r="C46" s="29"/>
      <c r="D46" s="65"/>
      <c r="E46" s="24"/>
      <c r="F46" s="25"/>
      <c r="G46" s="30"/>
      <c r="H46" s="31"/>
      <c r="I46" s="5"/>
      <c r="J46" s="5"/>
      <c r="K46" s="5"/>
      <c r="L46" s="5"/>
      <c r="M46" s="31"/>
      <c r="N46" s="29"/>
    </row>
    <row r="47" spans="1:14" s="33" customFormat="1" x14ac:dyDescent="0.25">
      <c r="A47" s="27"/>
      <c r="B47" s="5"/>
      <c r="C47" s="29"/>
      <c r="D47" s="65"/>
      <c r="E47" s="24"/>
      <c r="F47" s="25"/>
      <c r="G47" s="30"/>
      <c r="H47" s="31"/>
      <c r="I47" s="5"/>
      <c r="J47" s="5"/>
      <c r="K47" s="5"/>
      <c r="L47" s="5"/>
      <c r="M47" s="31"/>
      <c r="N47" s="29"/>
    </row>
    <row r="48" spans="1:14" s="33" customFormat="1" x14ac:dyDescent="0.25">
      <c r="A48" s="27"/>
      <c r="B48" s="5"/>
      <c r="C48" s="29"/>
      <c r="D48" s="65"/>
      <c r="E48" s="24"/>
      <c r="F48" s="25"/>
      <c r="G48" s="30"/>
      <c r="H48" s="31"/>
      <c r="I48" s="5"/>
      <c r="J48" s="5"/>
      <c r="K48" s="5"/>
      <c r="L48" s="5"/>
      <c r="M48" s="31"/>
      <c r="N48" s="29"/>
    </row>
    <row r="49" spans="1:14" s="33" customFormat="1" x14ac:dyDescent="0.25">
      <c r="A49" s="27"/>
      <c r="B49" s="5"/>
      <c r="C49" s="29"/>
      <c r="D49" s="65"/>
      <c r="E49" s="24"/>
      <c r="F49" s="25"/>
      <c r="G49" s="30"/>
      <c r="H49" s="31"/>
      <c r="I49" s="5"/>
      <c r="J49" s="5"/>
      <c r="K49" s="5"/>
      <c r="L49" s="5"/>
      <c r="M49" s="31"/>
      <c r="N49" s="29"/>
    </row>
    <row r="50" spans="1:14" s="33" customFormat="1" x14ac:dyDescent="0.25">
      <c r="A50" s="27"/>
      <c r="B50" s="5"/>
      <c r="C50" s="29"/>
      <c r="D50" s="65"/>
      <c r="E50" s="24"/>
      <c r="F50" s="25"/>
      <c r="G50" s="30"/>
      <c r="H50" s="31"/>
      <c r="I50" s="5"/>
      <c r="J50" s="5"/>
      <c r="K50" s="5"/>
      <c r="L50" s="5"/>
      <c r="M50" s="31"/>
      <c r="N50" s="29"/>
    </row>
    <row r="51" spans="1:14" s="33" customFormat="1" x14ac:dyDescent="0.25">
      <c r="A51" s="27"/>
      <c r="B51" s="5"/>
      <c r="C51" s="29"/>
      <c r="D51" s="65"/>
      <c r="E51" s="24"/>
      <c r="F51" s="25"/>
      <c r="G51" s="30"/>
      <c r="H51" s="31"/>
      <c r="I51" s="5"/>
      <c r="J51" s="5"/>
      <c r="K51" s="5"/>
      <c r="L51" s="5"/>
      <c r="M51" s="31"/>
      <c r="N51" s="29"/>
    </row>
    <row r="52" spans="1:14" s="33" customFormat="1" x14ac:dyDescent="0.25">
      <c r="A52" s="27"/>
      <c r="B52" s="5"/>
      <c r="C52" s="29"/>
      <c r="D52" s="65"/>
      <c r="E52" s="24"/>
      <c r="F52" s="25"/>
      <c r="G52" s="30"/>
      <c r="H52" s="31"/>
      <c r="I52" s="5"/>
      <c r="J52" s="5"/>
      <c r="K52" s="5"/>
      <c r="L52" s="5"/>
      <c r="M52" s="31"/>
      <c r="N52" s="29"/>
    </row>
    <row r="53" spans="1:14" s="33" customFormat="1" x14ac:dyDescent="0.25">
      <c r="A53" s="27"/>
      <c r="B53" s="5"/>
      <c r="C53" s="29"/>
      <c r="D53" s="65"/>
      <c r="E53" s="24"/>
      <c r="F53" s="25"/>
      <c r="G53" s="30"/>
      <c r="H53" s="31"/>
      <c r="I53" s="5"/>
      <c r="J53" s="5"/>
      <c r="K53" s="5"/>
      <c r="L53" s="5"/>
      <c r="M53" s="31"/>
      <c r="N53" s="29"/>
    </row>
    <row r="54" spans="1:14" s="33" customFormat="1" x14ac:dyDescent="0.25">
      <c r="A54" s="27"/>
      <c r="B54" s="5"/>
      <c r="C54" s="29"/>
      <c r="D54" s="65"/>
      <c r="E54" s="24"/>
      <c r="F54" s="25"/>
      <c r="G54" s="30"/>
      <c r="H54" s="31"/>
      <c r="I54" s="5"/>
      <c r="J54" s="5"/>
      <c r="K54" s="5"/>
      <c r="L54" s="5"/>
      <c r="M54" s="31"/>
      <c r="N54" s="29"/>
    </row>
    <row r="55" spans="1:14" s="33" customFormat="1" x14ac:dyDescent="0.25">
      <c r="A55" s="27"/>
      <c r="B55" s="5"/>
      <c r="C55" s="29"/>
      <c r="D55" s="65"/>
      <c r="E55" s="24"/>
      <c r="F55" s="25"/>
      <c r="G55" s="30"/>
      <c r="H55" s="31"/>
      <c r="I55" s="5"/>
      <c r="J55" s="5"/>
      <c r="K55" s="5"/>
      <c r="L55" s="5"/>
      <c r="M55" s="31"/>
      <c r="N55" s="29"/>
    </row>
    <row r="56" spans="1:14" s="33" customFormat="1" x14ac:dyDescent="0.25">
      <c r="A56" s="27"/>
      <c r="B56" s="5"/>
      <c r="C56" s="29"/>
      <c r="D56" s="65"/>
      <c r="E56" s="24"/>
      <c r="F56" s="25"/>
      <c r="G56" s="30"/>
      <c r="H56" s="31"/>
      <c r="I56" s="5"/>
      <c r="J56" s="5"/>
      <c r="K56" s="5"/>
      <c r="L56" s="5"/>
      <c r="M56" s="31"/>
      <c r="N56" s="29"/>
    </row>
    <row r="57" spans="1:14" s="33" customFormat="1" x14ac:dyDescent="0.25">
      <c r="A57" s="27"/>
      <c r="B57" s="5"/>
      <c r="C57" s="29"/>
      <c r="D57" s="65"/>
      <c r="E57" s="24"/>
      <c r="F57" s="25"/>
      <c r="G57" s="30"/>
      <c r="H57" s="31"/>
      <c r="I57" s="5"/>
      <c r="J57" s="5"/>
      <c r="K57" s="5"/>
      <c r="L57" s="5"/>
      <c r="M57" s="31"/>
      <c r="N57" s="29"/>
    </row>
    <row r="58" spans="1:14" s="33" customFormat="1" x14ac:dyDescent="0.25">
      <c r="A58" s="27"/>
      <c r="B58" s="5"/>
      <c r="C58" s="29"/>
      <c r="D58" s="65"/>
      <c r="E58" s="24"/>
      <c r="F58" s="25"/>
      <c r="G58" s="30"/>
      <c r="H58" s="31"/>
      <c r="I58" s="5"/>
      <c r="J58" s="5"/>
      <c r="K58" s="5"/>
      <c r="L58" s="5"/>
      <c r="M58" s="31"/>
      <c r="N58" s="29"/>
    </row>
    <row r="59" spans="1:14" s="33" customFormat="1" x14ac:dyDescent="0.25">
      <c r="A59" s="27"/>
      <c r="B59" s="5"/>
      <c r="C59" s="29"/>
      <c r="D59" s="65"/>
      <c r="E59" s="24"/>
      <c r="F59" s="25"/>
      <c r="G59" s="30"/>
      <c r="H59" s="31"/>
      <c r="I59" s="5"/>
      <c r="J59" s="5"/>
      <c r="K59" s="5"/>
      <c r="L59" s="5"/>
      <c r="M59" s="31"/>
      <c r="N59" s="29"/>
    </row>
    <row r="60" spans="1:14" s="33" customFormat="1" x14ac:dyDescent="0.25">
      <c r="A60" s="27"/>
      <c r="B60" s="5"/>
      <c r="C60" s="29"/>
      <c r="D60" s="65"/>
      <c r="E60" s="24"/>
      <c r="F60" s="25"/>
      <c r="G60" s="30"/>
      <c r="H60" s="31"/>
      <c r="I60" s="5"/>
      <c r="J60" s="5"/>
      <c r="K60" s="5"/>
      <c r="L60" s="5"/>
      <c r="M60" s="31"/>
      <c r="N60" s="29"/>
    </row>
    <row r="61" spans="1:14" s="33" customFormat="1" x14ac:dyDescent="0.25">
      <c r="A61" s="27"/>
      <c r="B61" s="5"/>
      <c r="C61" s="29"/>
      <c r="D61" s="65"/>
      <c r="E61" s="24"/>
      <c r="F61" s="25"/>
      <c r="G61" s="30"/>
      <c r="H61" s="31"/>
      <c r="I61" s="5"/>
      <c r="J61" s="5"/>
      <c r="K61" s="5"/>
      <c r="L61" s="5"/>
      <c r="M61" s="31"/>
      <c r="N61" s="29"/>
    </row>
    <row r="62" spans="1:14" s="33" customFormat="1" x14ac:dyDescent="0.25">
      <c r="A62" s="27"/>
      <c r="B62" s="5"/>
      <c r="C62" s="29"/>
      <c r="D62" s="65"/>
      <c r="E62" s="24"/>
      <c r="F62" s="25"/>
      <c r="G62" s="30"/>
      <c r="H62" s="31"/>
      <c r="I62" s="5"/>
      <c r="J62" s="5"/>
      <c r="K62" s="5"/>
      <c r="L62" s="5"/>
      <c r="M62" s="31"/>
      <c r="N62" s="29"/>
    </row>
    <row r="63" spans="1:14" s="33" customFormat="1" x14ac:dyDescent="0.25">
      <c r="A63" s="27"/>
      <c r="B63" s="5"/>
      <c r="C63" s="29"/>
      <c r="D63" s="65"/>
      <c r="E63" s="24"/>
      <c r="F63" s="25"/>
      <c r="G63" s="30"/>
      <c r="H63" s="31"/>
      <c r="I63" s="5"/>
      <c r="J63" s="5"/>
      <c r="K63" s="5"/>
      <c r="L63" s="5"/>
      <c r="M63" s="31"/>
      <c r="N63" s="29"/>
    </row>
    <row r="64" spans="1:14" s="33" customFormat="1" x14ac:dyDescent="0.25">
      <c r="A64" s="27"/>
      <c r="B64" s="5"/>
      <c r="C64" s="29"/>
      <c r="D64" s="65"/>
      <c r="E64" s="24"/>
      <c r="F64" s="25"/>
      <c r="G64" s="30"/>
      <c r="H64" s="31"/>
      <c r="I64" s="5"/>
      <c r="J64" s="5"/>
      <c r="K64" s="5"/>
      <c r="L64" s="5"/>
      <c r="M64" s="31"/>
      <c r="N64" s="29"/>
    </row>
    <row r="65" spans="1:14" s="33" customFormat="1" x14ac:dyDescent="0.25">
      <c r="A65" s="27"/>
      <c r="B65" s="5"/>
      <c r="C65" s="29"/>
      <c r="D65" s="65"/>
      <c r="E65" s="24"/>
      <c r="F65" s="25"/>
      <c r="G65" s="30"/>
      <c r="H65" s="31"/>
      <c r="I65" s="5"/>
      <c r="J65" s="5"/>
      <c r="K65" s="5"/>
      <c r="L65" s="5"/>
      <c r="M65" s="31"/>
      <c r="N65" s="29"/>
    </row>
    <row r="66" spans="1:14" s="33" customFormat="1" x14ac:dyDescent="0.25">
      <c r="A66" s="27"/>
      <c r="B66" s="5"/>
      <c r="C66" s="29"/>
      <c r="D66" s="65"/>
      <c r="E66" s="24"/>
      <c r="F66" s="25"/>
      <c r="G66" s="30"/>
      <c r="H66" s="31"/>
      <c r="I66" s="5"/>
      <c r="J66" s="5"/>
      <c r="K66" s="5"/>
      <c r="L66" s="5"/>
      <c r="M66" s="31"/>
      <c r="N66" s="29"/>
    </row>
    <row r="67" spans="1:14" s="33" customFormat="1" x14ac:dyDescent="0.25">
      <c r="A67" s="27"/>
      <c r="B67" s="5"/>
      <c r="C67" s="29"/>
      <c r="D67" s="65"/>
      <c r="E67" s="24"/>
      <c r="F67" s="25"/>
      <c r="G67" s="30"/>
      <c r="H67" s="31"/>
      <c r="I67" s="5"/>
      <c r="J67" s="5"/>
      <c r="K67" s="5"/>
      <c r="L67" s="5"/>
      <c r="M67" s="31"/>
      <c r="N67" s="29"/>
    </row>
    <row r="68" spans="1:14" s="33" customFormat="1" x14ac:dyDescent="0.25">
      <c r="A68" s="27"/>
      <c r="B68" s="5"/>
      <c r="C68" s="29"/>
      <c r="D68" s="65"/>
      <c r="E68" s="24"/>
      <c r="F68" s="25"/>
      <c r="G68" s="30"/>
      <c r="H68" s="31"/>
      <c r="I68" s="5"/>
      <c r="J68" s="5"/>
      <c r="K68" s="5"/>
      <c r="L68" s="5"/>
      <c r="M68" s="31"/>
      <c r="N68" s="29"/>
    </row>
    <row r="69" spans="1:14" s="33" customFormat="1" x14ac:dyDescent="0.25">
      <c r="A69" s="27"/>
      <c r="B69" s="5"/>
      <c r="C69" s="29"/>
      <c r="D69" s="65"/>
      <c r="E69" s="24"/>
      <c r="F69" s="25"/>
      <c r="G69" s="30"/>
      <c r="H69" s="31"/>
      <c r="I69" s="5"/>
      <c r="J69" s="5"/>
      <c r="K69" s="5"/>
      <c r="L69" s="5"/>
      <c r="M69" s="31"/>
      <c r="N69" s="29"/>
    </row>
    <row r="70" spans="1:14" s="33" customFormat="1" x14ac:dyDescent="0.25">
      <c r="A70" s="27"/>
      <c r="B70" s="5"/>
      <c r="C70" s="29"/>
      <c r="D70" s="65"/>
      <c r="E70" s="24"/>
      <c r="F70" s="25"/>
      <c r="G70" s="30"/>
      <c r="H70" s="31"/>
      <c r="I70" s="5"/>
      <c r="J70" s="5"/>
      <c r="K70" s="5"/>
      <c r="L70" s="5"/>
      <c r="M70" s="31"/>
      <c r="N70" s="29"/>
    </row>
    <row r="71" spans="1:14" s="33" customFormat="1" x14ac:dyDescent="0.25">
      <c r="A71" s="27"/>
      <c r="B71" s="5"/>
      <c r="C71" s="29"/>
      <c r="D71" s="65"/>
      <c r="E71" s="24"/>
      <c r="F71" s="25"/>
      <c r="G71" s="30"/>
      <c r="H71" s="31"/>
      <c r="I71" s="5"/>
      <c r="J71" s="5"/>
      <c r="K71" s="5"/>
      <c r="L71" s="5"/>
      <c r="M71" s="31"/>
      <c r="N71" s="29"/>
    </row>
    <row r="72" spans="1:14" s="33" customFormat="1" x14ac:dyDescent="0.25">
      <c r="A72" s="27"/>
      <c r="B72" s="5"/>
      <c r="C72" s="29"/>
      <c r="D72" s="65"/>
      <c r="E72" s="24"/>
      <c r="F72" s="25"/>
      <c r="G72" s="30"/>
      <c r="H72" s="31"/>
      <c r="I72" s="5"/>
      <c r="J72" s="5"/>
      <c r="K72" s="5"/>
      <c r="L72" s="5"/>
      <c r="M72" s="31"/>
      <c r="N72" s="29"/>
    </row>
    <row r="73" spans="1:14" s="33" customFormat="1" x14ac:dyDescent="0.25">
      <c r="A73" s="27"/>
      <c r="B73" s="5"/>
      <c r="C73" s="29"/>
      <c r="D73" s="65"/>
      <c r="E73" s="24"/>
      <c r="F73" s="25"/>
      <c r="G73" s="30"/>
      <c r="H73" s="31"/>
      <c r="I73" s="5"/>
      <c r="J73" s="5"/>
      <c r="K73" s="5"/>
      <c r="L73" s="5"/>
      <c r="M73" s="31"/>
      <c r="N73" s="29"/>
    </row>
    <row r="74" spans="1:14" s="33" customFormat="1" x14ac:dyDescent="0.25">
      <c r="A74" s="27"/>
      <c r="B74" s="5"/>
      <c r="C74" s="29"/>
      <c r="D74" s="65"/>
      <c r="E74" s="24"/>
      <c r="F74" s="25"/>
      <c r="G74" s="30"/>
      <c r="H74" s="31"/>
      <c r="I74" s="5"/>
      <c r="J74" s="5"/>
      <c r="K74" s="5"/>
      <c r="L74" s="5"/>
      <c r="M74" s="31"/>
      <c r="N74" s="29"/>
    </row>
    <row r="75" spans="1:14" s="33" customFormat="1" x14ac:dyDescent="0.25">
      <c r="A75" s="27"/>
      <c r="B75" s="5"/>
      <c r="C75" s="29"/>
      <c r="D75" s="65"/>
      <c r="E75" s="24"/>
      <c r="F75" s="25"/>
      <c r="G75" s="30"/>
      <c r="H75" s="31"/>
      <c r="I75" s="5"/>
      <c r="J75" s="5"/>
      <c r="K75" s="5"/>
      <c r="L75" s="5"/>
      <c r="M75" s="31"/>
      <c r="N75" s="29"/>
    </row>
    <row r="76" spans="1:14" s="33" customFormat="1" x14ac:dyDescent="0.25">
      <c r="A76" s="27"/>
      <c r="B76" s="5"/>
      <c r="C76" s="29"/>
      <c r="D76" s="65"/>
      <c r="E76" s="24"/>
      <c r="F76" s="25"/>
      <c r="G76" s="30"/>
      <c r="H76" s="31"/>
      <c r="I76" s="5"/>
      <c r="J76" s="5"/>
      <c r="K76" s="5"/>
      <c r="L76" s="5"/>
      <c r="M76" s="31"/>
      <c r="N76" s="29"/>
    </row>
    <row r="77" spans="1:14" s="33" customFormat="1" x14ac:dyDescent="0.25">
      <c r="A77" s="27"/>
      <c r="B77" s="5"/>
      <c r="C77" s="29"/>
      <c r="D77" s="65"/>
      <c r="E77" s="24"/>
      <c r="F77" s="25"/>
      <c r="G77" s="30"/>
      <c r="H77" s="31"/>
      <c r="I77" s="5"/>
      <c r="J77" s="5"/>
      <c r="K77" s="5"/>
      <c r="L77" s="5"/>
      <c r="M77" s="31"/>
      <c r="N77" s="29"/>
    </row>
    <row r="78" spans="1:14" s="33" customFormat="1" x14ac:dyDescent="0.25">
      <c r="A78" s="27"/>
      <c r="B78" s="5"/>
      <c r="C78" s="29"/>
      <c r="D78" s="65"/>
      <c r="E78" s="24"/>
      <c r="F78" s="25"/>
      <c r="G78" s="30"/>
      <c r="H78" s="31"/>
      <c r="I78" s="5"/>
      <c r="J78" s="5"/>
      <c r="K78" s="5"/>
      <c r="L78" s="5"/>
      <c r="M78" s="31"/>
      <c r="N78" s="29"/>
    </row>
    <row r="79" spans="1:14" s="33" customFormat="1" x14ac:dyDescent="0.25">
      <c r="A79" s="27"/>
      <c r="B79" s="5"/>
      <c r="C79" s="29"/>
      <c r="D79" s="65"/>
      <c r="E79" s="24"/>
      <c r="F79" s="25"/>
      <c r="G79" s="30"/>
      <c r="H79" s="31"/>
      <c r="I79" s="5"/>
      <c r="J79" s="5"/>
      <c r="K79" s="5"/>
      <c r="L79" s="5"/>
      <c r="M79" s="31"/>
      <c r="N79" s="29"/>
    </row>
    <row r="80" spans="1:14" s="33" customFormat="1" x14ac:dyDescent="0.25">
      <c r="A80" s="27"/>
      <c r="B80" s="5"/>
      <c r="C80" s="29"/>
      <c r="D80" s="65"/>
      <c r="E80" s="24"/>
      <c r="F80" s="25"/>
      <c r="G80" s="30"/>
      <c r="H80" s="31"/>
      <c r="I80" s="5"/>
      <c r="J80" s="5"/>
      <c r="K80" s="5"/>
      <c r="L80" s="5"/>
      <c r="M80" s="31"/>
      <c r="N80" s="29"/>
    </row>
    <row r="81" spans="1:14" s="33" customFormat="1" x14ac:dyDescent="0.25">
      <c r="A81" s="27"/>
      <c r="B81" s="5"/>
      <c r="C81" s="29"/>
      <c r="D81" s="65"/>
      <c r="E81" s="24"/>
      <c r="F81" s="25"/>
      <c r="G81" s="30"/>
      <c r="H81" s="31"/>
      <c r="I81" s="5"/>
      <c r="J81" s="5"/>
      <c r="K81" s="5"/>
      <c r="L81" s="5"/>
      <c r="M81" s="31"/>
      <c r="N81" s="29"/>
    </row>
    <row r="82" spans="1:14" s="33" customFormat="1" x14ac:dyDescent="0.25">
      <c r="A82" s="27"/>
      <c r="B82" s="5"/>
      <c r="C82" s="29"/>
      <c r="D82" s="65"/>
      <c r="E82" s="24"/>
      <c r="F82" s="25"/>
      <c r="G82" s="30"/>
      <c r="H82" s="31"/>
      <c r="I82" s="5"/>
      <c r="J82" s="5"/>
      <c r="K82" s="5"/>
      <c r="L82" s="5"/>
      <c r="M82" s="31"/>
      <c r="N82" s="29"/>
    </row>
    <row r="83" spans="1:14" s="33" customFormat="1" x14ac:dyDescent="0.25">
      <c r="A83" s="27"/>
      <c r="B83" s="5"/>
      <c r="C83" s="29"/>
      <c r="D83" s="65"/>
      <c r="E83" s="24"/>
      <c r="F83" s="25"/>
      <c r="G83" s="30"/>
      <c r="H83" s="31"/>
      <c r="I83" s="5"/>
      <c r="J83" s="5"/>
      <c r="K83" s="5"/>
      <c r="L83" s="5"/>
      <c r="M83" s="31"/>
      <c r="N83" s="29"/>
    </row>
    <row r="84" spans="1:14" s="33" customFormat="1" x14ac:dyDescent="0.25">
      <c r="A84" s="27"/>
      <c r="B84" s="5"/>
      <c r="C84" s="29"/>
      <c r="D84" s="65"/>
      <c r="E84" s="24"/>
      <c r="F84" s="25"/>
      <c r="G84" s="30"/>
      <c r="H84" s="31"/>
      <c r="I84" s="5"/>
      <c r="J84" s="5"/>
      <c r="K84" s="5"/>
      <c r="L84" s="5"/>
      <c r="M84" s="31"/>
      <c r="N84" s="29"/>
    </row>
    <row r="85" spans="1:14" s="33" customFormat="1" x14ac:dyDescent="0.25">
      <c r="A85" s="27"/>
      <c r="B85" s="5"/>
      <c r="C85" s="29"/>
      <c r="D85" s="65"/>
      <c r="E85" s="24"/>
      <c r="F85" s="25"/>
      <c r="G85" s="30"/>
      <c r="H85" s="31"/>
      <c r="I85" s="5"/>
      <c r="J85" s="5"/>
      <c r="K85" s="5"/>
      <c r="L85" s="5"/>
      <c r="M85" s="31"/>
      <c r="N85" s="29"/>
    </row>
    <row r="86" spans="1:14" s="33" customFormat="1" x14ac:dyDescent="0.25">
      <c r="A86" s="27"/>
      <c r="B86" s="5"/>
      <c r="C86" s="29"/>
      <c r="D86" s="65"/>
      <c r="E86" s="24"/>
      <c r="F86" s="25"/>
      <c r="G86" s="30"/>
      <c r="H86" s="31"/>
      <c r="I86" s="5"/>
      <c r="J86" s="5"/>
      <c r="K86" s="5"/>
      <c r="L86" s="5"/>
      <c r="M86" s="31"/>
      <c r="N86" s="29"/>
    </row>
    <row r="87" spans="1:14" s="33" customFormat="1" x14ac:dyDescent="0.25">
      <c r="A87" s="27"/>
      <c r="B87" s="5"/>
      <c r="C87" s="29"/>
      <c r="D87" s="65"/>
      <c r="E87" s="24"/>
      <c r="F87" s="25"/>
      <c r="G87" s="30"/>
      <c r="H87" s="31"/>
      <c r="I87" s="5"/>
      <c r="J87" s="5"/>
      <c r="K87" s="5"/>
      <c r="L87" s="5"/>
      <c r="M87" s="31"/>
      <c r="N87" s="29"/>
    </row>
    <row r="88" spans="1:14" s="33" customFormat="1" x14ac:dyDescent="0.25">
      <c r="A88" s="27"/>
      <c r="B88" s="5"/>
      <c r="C88" s="29"/>
      <c r="D88" s="65"/>
      <c r="E88" s="24"/>
      <c r="F88" s="25"/>
      <c r="G88" s="30"/>
      <c r="H88" s="31"/>
      <c r="I88" s="5"/>
      <c r="J88" s="5"/>
      <c r="K88" s="5"/>
      <c r="L88" s="5"/>
      <c r="M88" s="31"/>
      <c r="N88" s="29"/>
    </row>
    <row r="89" spans="1:14" s="33" customFormat="1" x14ac:dyDescent="0.25">
      <c r="A89" s="27"/>
      <c r="B89" s="5"/>
      <c r="C89" s="29"/>
      <c r="D89" s="65"/>
      <c r="E89" s="24"/>
      <c r="F89" s="25"/>
      <c r="G89" s="30"/>
      <c r="H89" s="31"/>
      <c r="I89" s="5"/>
      <c r="J89" s="5"/>
      <c r="K89" s="5"/>
      <c r="L89" s="5"/>
      <c r="M89" s="31"/>
      <c r="N89" s="29"/>
    </row>
    <row r="90" spans="1:14" s="33" customFormat="1" x14ac:dyDescent="0.25">
      <c r="A90" s="27"/>
      <c r="B90" s="5"/>
      <c r="C90" s="29"/>
      <c r="D90" s="65"/>
      <c r="E90" s="24"/>
      <c r="F90" s="25"/>
      <c r="G90" s="30"/>
      <c r="H90" s="31"/>
      <c r="I90" s="5"/>
      <c r="J90" s="5"/>
      <c r="K90" s="5"/>
      <c r="L90" s="5"/>
      <c r="M90" s="31"/>
      <c r="N90" s="29"/>
    </row>
    <row r="91" spans="1:14" s="33" customFormat="1" x14ac:dyDescent="0.25">
      <c r="A91" s="27"/>
      <c r="B91" s="5"/>
      <c r="C91" s="29"/>
      <c r="D91" s="65"/>
      <c r="E91" s="24"/>
      <c r="F91" s="25"/>
      <c r="G91" s="30"/>
      <c r="H91" s="31"/>
      <c r="I91" s="5"/>
      <c r="J91" s="5"/>
      <c r="K91" s="5"/>
      <c r="L91" s="5"/>
      <c r="M91" s="31"/>
      <c r="N91" s="29"/>
    </row>
    <row r="92" spans="1:14" s="33" customFormat="1" x14ac:dyDescent="0.25">
      <c r="A92" s="27"/>
      <c r="B92" s="5"/>
      <c r="C92" s="29"/>
      <c r="D92" s="65"/>
      <c r="E92" s="24"/>
      <c r="F92" s="25"/>
      <c r="G92" s="30"/>
      <c r="H92" s="31"/>
      <c r="I92" s="5"/>
      <c r="J92" s="5"/>
      <c r="K92" s="5"/>
      <c r="L92" s="5"/>
      <c r="M92" s="31"/>
      <c r="N92" s="29"/>
    </row>
    <row r="93" spans="1:14" s="33" customFormat="1" x14ac:dyDescent="0.25">
      <c r="A93" s="27"/>
      <c r="B93" s="5"/>
      <c r="C93" s="29"/>
      <c r="D93" s="65"/>
      <c r="E93" s="24"/>
      <c r="F93" s="25"/>
      <c r="G93" s="30"/>
      <c r="H93" s="31"/>
      <c r="I93" s="5"/>
      <c r="J93" s="5"/>
      <c r="K93" s="5"/>
      <c r="L93" s="5"/>
      <c r="M93" s="31"/>
      <c r="N93" s="29"/>
    </row>
    <row r="94" spans="1:14" s="33" customFormat="1" x14ac:dyDescent="0.25">
      <c r="A94" s="27"/>
      <c r="B94" s="5"/>
      <c r="C94" s="29"/>
      <c r="D94" s="65"/>
      <c r="E94" s="24"/>
      <c r="F94" s="25"/>
      <c r="G94" s="30"/>
      <c r="H94" s="31"/>
      <c r="I94" s="5"/>
      <c r="J94" s="5"/>
      <c r="K94" s="5"/>
      <c r="L94" s="5"/>
      <c r="M94" s="31"/>
      <c r="N94" s="29"/>
    </row>
    <row r="95" spans="1:14" s="33" customFormat="1" x14ac:dyDescent="0.25">
      <c r="A95" s="27"/>
      <c r="B95" s="5"/>
      <c r="C95" s="29"/>
      <c r="D95" s="65"/>
      <c r="E95" s="24"/>
      <c r="F95" s="25"/>
      <c r="G95" s="30"/>
      <c r="H95" s="31"/>
      <c r="I95" s="5"/>
      <c r="J95" s="5"/>
      <c r="K95" s="5"/>
      <c r="L95" s="5"/>
      <c r="M95" s="31"/>
      <c r="N95" s="29"/>
    </row>
    <row r="96" spans="1:14" s="33" customFormat="1" x14ac:dyDescent="0.25">
      <c r="A96" s="27"/>
      <c r="B96" s="5"/>
      <c r="C96" s="29"/>
      <c r="D96" s="65"/>
      <c r="E96" s="24"/>
      <c r="F96" s="25"/>
      <c r="G96" s="30"/>
      <c r="H96" s="31"/>
      <c r="I96" s="5"/>
      <c r="J96" s="5"/>
      <c r="K96" s="5"/>
      <c r="L96" s="5"/>
      <c r="M96" s="31"/>
      <c r="N96" s="29"/>
    </row>
    <row r="97" spans="1:14" s="33" customFormat="1" x14ac:dyDescent="0.25">
      <c r="A97" s="27"/>
      <c r="B97" s="5"/>
      <c r="C97" s="29"/>
      <c r="D97" s="65"/>
      <c r="E97" s="24"/>
      <c r="F97" s="25"/>
      <c r="G97" s="30"/>
      <c r="H97" s="31"/>
      <c r="I97" s="5"/>
      <c r="J97" s="5"/>
      <c r="K97" s="5"/>
      <c r="L97" s="5"/>
      <c r="M97" s="31"/>
      <c r="N97" s="29"/>
    </row>
    <row r="98" spans="1:14" s="33" customFormat="1" x14ac:dyDescent="0.25">
      <c r="A98" s="27"/>
      <c r="B98" s="5"/>
      <c r="C98" s="29"/>
      <c r="D98" s="65"/>
      <c r="E98" s="24"/>
      <c r="F98" s="25"/>
      <c r="G98" s="30"/>
      <c r="H98" s="31"/>
      <c r="I98" s="5"/>
      <c r="J98" s="5"/>
      <c r="K98" s="5"/>
      <c r="L98" s="5"/>
      <c r="M98" s="31"/>
      <c r="N98" s="29"/>
    </row>
    <row r="99" spans="1:14" s="33" customFormat="1" x14ac:dyDescent="0.25">
      <c r="A99" s="27"/>
      <c r="B99" s="5"/>
      <c r="C99" s="29"/>
      <c r="D99" s="65"/>
      <c r="E99" s="24"/>
      <c r="F99" s="25"/>
      <c r="G99" s="30"/>
      <c r="H99" s="31"/>
      <c r="I99" s="5"/>
      <c r="J99" s="5"/>
      <c r="K99" s="5"/>
      <c r="L99" s="5"/>
      <c r="M99" s="31"/>
      <c r="N99" s="29"/>
    </row>
    <row r="100" spans="1:14" s="33" customFormat="1" x14ac:dyDescent="0.25">
      <c r="A100" s="27"/>
      <c r="B100" s="5"/>
      <c r="C100" s="29"/>
      <c r="D100" s="65"/>
      <c r="E100" s="24"/>
      <c r="F100" s="25"/>
      <c r="G100" s="30"/>
      <c r="H100" s="31"/>
      <c r="I100" s="5"/>
      <c r="J100" s="5"/>
      <c r="K100" s="5"/>
      <c r="L100" s="5"/>
      <c r="M100" s="31"/>
      <c r="N100" s="29"/>
    </row>
    <row r="101" spans="1:14" s="33" customFormat="1" x14ac:dyDescent="0.25">
      <c r="A101" s="27"/>
      <c r="B101" s="5"/>
      <c r="C101" s="29"/>
      <c r="D101" s="65"/>
      <c r="E101" s="24"/>
      <c r="F101" s="25"/>
      <c r="G101" s="30"/>
      <c r="H101" s="31"/>
      <c r="I101" s="5"/>
      <c r="J101" s="5"/>
      <c r="K101" s="5"/>
      <c r="L101" s="5"/>
      <c r="M101" s="31"/>
      <c r="N101" s="29"/>
    </row>
    <row r="102" spans="1:14" s="33" customFormat="1" x14ac:dyDescent="0.25">
      <c r="A102" s="27"/>
      <c r="B102" s="5"/>
      <c r="C102" s="29"/>
      <c r="D102" s="65"/>
      <c r="E102" s="24"/>
      <c r="F102" s="25"/>
      <c r="G102" s="30"/>
      <c r="H102" s="31"/>
      <c r="I102" s="5"/>
      <c r="J102" s="5"/>
      <c r="K102" s="5"/>
      <c r="L102" s="5"/>
      <c r="M102" s="31"/>
      <c r="N102" s="29"/>
    </row>
    <row r="103" spans="1:14" s="33" customFormat="1" x14ac:dyDescent="0.25">
      <c r="A103" s="27"/>
      <c r="B103" s="5"/>
      <c r="C103" s="29"/>
      <c r="D103" s="65"/>
      <c r="E103" s="24"/>
      <c r="F103" s="25"/>
      <c r="G103" s="30"/>
      <c r="H103" s="31"/>
      <c r="I103" s="5"/>
      <c r="J103" s="5"/>
      <c r="K103" s="5"/>
      <c r="L103" s="5"/>
      <c r="M103" s="31"/>
      <c r="N103" s="29"/>
    </row>
    <row r="104" spans="1:14" s="33" customFormat="1" x14ac:dyDescent="0.25">
      <c r="A104" s="27"/>
      <c r="B104" s="5"/>
      <c r="C104" s="29"/>
      <c r="D104" s="65"/>
      <c r="E104" s="24"/>
      <c r="F104" s="25"/>
      <c r="G104" s="30"/>
      <c r="H104" s="31"/>
      <c r="I104" s="5"/>
      <c r="J104" s="5"/>
      <c r="K104" s="5"/>
      <c r="L104" s="5"/>
      <c r="M104" s="31"/>
      <c r="N104" s="29"/>
    </row>
    <row r="105" spans="1:14" s="33" customFormat="1" x14ac:dyDescent="0.25">
      <c r="A105" s="27"/>
      <c r="B105" s="5"/>
      <c r="C105" s="29"/>
      <c r="D105" s="65"/>
      <c r="E105" s="24"/>
      <c r="F105" s="25"/>
      <c r="G105" s="30"/>
      <c r="H105" s="31"/>
      <c r="I105" s="5"/>
      <c r="J105" s="5"/>
      <c r="K105" s="5"/>
      <c r="L105" s="5"/>
      <c r="M105" s="31"/>
      <c r="N105" s="29"/>
    </row>
    <row r="106" spans="1:14" s="33" customFormat="1" x14ac:dyDescent="0.25">
      <c r="A106" s="27"/>
      <c r="B106" s="5"/>
      <c r="C106" s="29"/>
      <c r="D106" s="65"/>
      <c r="E106" s="24"/>
      <c r="F106" s="25"/>
      <c r="G106" s="30"/>
      <c r="H106" s="31"/>
      <c r="I106" s="5"/>
      <c r="J106" s="5"/>
      <c r="K106" s="5"/>
      <c r="L106" s="5"/>
      <c r="M106" s="31"/>
      <c r="N106" s="29"/>
    </row>
    <row r="107" spans="1:14" s="33" customFormat="1" x14ac:dyDescent="0.25">
      <c r="A107" s="27"/>
      <c r="B107" s="5"/>
      <c r="C107" s="29"/>
      <c r="D107" s="65"/>
      <c r="E107" s="24"/>
      <c r="F107" s="25"/>
      <c r="G107" s="30"/>
      <c r="H107" s="31"/>
      <c r="I107" s="5"/>
      <c r="J107" s="5"/>
      <c r="K107" s="5"/>
      <c r="L107" s="5"/>
      <c r="M107" s="31"/>
      <c r="N107" s="29"/>
    </row>
    <row r="108" spans="1:14" s="33" customFormat="1" x14ac:dyDescent="0.25">
      <c r="A108" s="27"/>
      <c r="B108" s="5"/>
      <c r="C108" s="29"/>
      <c r="D108" s="65"/>
      <c r="E108" s="24"/>
      <c r="F108" s="25"/>
      <c r="G108" s="30"/>
      <c r="H108" s="31"/>
      <c r="I108" s="5"/>
      <c r="J108" s="5"/>
      <c r="K108" s="5"/>
      <c r="L108" s="5"/>
      <c r="M108" s="31"/>
      <c r="N108" s="29"/>
    </row>
    <row r="109" spans="1:14" s="33" customFormat="1" x14ac:dyDescent="0.25">
      <c r="A109" s="27"/>
      <c r="B109" s="5"/>
      <c r="C109" s="29"/>
      <c r="D109" s="65"/>
      <c r="E109" s="24"/>
      <c r="F109" s="25"/>
      <c r="G109" s="30"/>
      <c r="H109" s="31"/>
      <c r="I109" s="5"/>
      <c r="J109" s="5"/>
      <c r="K109" s="5"/>
      <c r="L109" s="5"/>
      <c r="M109" s="31"/>
      <c r="N109" s="29"/>
    </row>
    <row r="110" spans="1:14" s="33" customFormat="1" x14ac:dyDescent="0.25">
      <c r="A110" s="27"/>
      <c r="B110" s="5"/>
      <c r="C110" s="29"/>
      <c r="D110" s="65"/>
      <c r="E110" s="24"/>
      <c r="F110" s="25"/>
      <c r="G110" s="30"/>
      <c r="H110" s="31"/>
      <c r="I110" s="5"/>
      <c r="J110" s="5"/>
      <c r="K110" s="5"/>
      <c r="L110" s="5"/>
      <c r="M110" s="31"/>
      <c r="N110" s="29"/>
    </row>
    <row r="111" spans="1:14" s="33" customFormat="1" x14ac:dyDescent="0.25">
      <c r="A111" s="27"/>
      <c r="B111" s="5"/>
      <c r="C111" s="29"/>
      <c r="D111" s="65"/>
      <c r="E111" s="24"/>
      <c r="F111" s="25"/>
      <c r="G111" s="30"/>
      <c r="H111" s="31"/>
      <c r="I111" s="5"/>
      <c r="J111" s="5"/>
      <c r="K111" s="5"/>
      <c r="L111" s="5"/>
      <c r="M111" s="31"/>
      <c r="N111" s="29"/>
    </row>
    <row r="112" spans="1:14" s="33" customFormat="1" x14ac:dyDescent="0.25">
      <c r="A112" s="27"/>
      <c r="B112" s="5"/>
      <c r="C112" s="29"/>
      <c r="D112" s="65"/>
      <c r="E112" s="24"/>
      <c r="F112" s="25"/>
      <c r="G112" s="30"/>
      <c r="H112" s="31"/>
      <c r="I112" s="5"/>
      <c r="J112" s="5"/>
      <c r="K112" s="5"/>
      <c r="L112" s="5"/>
      <c r="M112" s="31"/>
      <c r="N112" s="29"/>
    </row>
    <row r="113" spans="1:14" s="33" customFormat="1" x14ac:dyDescent="0.25">
      <c r="A113" s="27"/>
      <c r="B113" s="5"/>
      <c r="C113" s="29"/>
      <c r="D113" s="65"/>
      <c r="E113" s="24"/>
      <c r="F113" s="25"/>
      <c r="G113" s="30"/>
      <c r="H113" s="31"/>
      <c r="I113" s="5"/>
      <c r="J113" s="5"/>
      <c r="K113" s="5"/>
      <c r="L113" s="5"/>
      <c r="M113" s="31"/>
      <c r="N113" s="29"/>
    </row>
    <row r="114" spans="1:14" s="33" customFormat="1" x14ac:dyDescent="0.25">
      <c r="A114" s="27"/>
      <c r="B114" s="5"/>
      <c r="C114" s="29"/>
      <c r="D114" s="65"/>
      <c r="E114" s="24"/>
      <c r="F114" s="25"/>
      <c r="G114" s="30"/>
      <c r="H114" s="31"/>
      <c r="I114" s="5"/>
      <c r="J114" s="5"/>
      <c r="K114" s="5"/>
      <c r="L114" s="5"/>
      <c r="M114" s="31"/>
      <c r="N114" s="29"/>
    </row>
    <row r="115" spans="1:14" s="33" customFormat="1" x14ac:dyDescent="0.25">
      <c r="A115" s="27"/>
      <c r="B115" s="5"/>
      <c r="C115" s="29"/>
      <c r="D115" s="65"/>
      <c r="E115" s="24"/>
      <c r="F115" s="25"/>
      <c r="G115" s="30"/>
      <c r="H115" s="31"/>
      <c r="I115" s="5"/>
      <c r="J115" s="5"/>
      <c r="K115" s="5"/>
      <c r="L115" s="5"/>
      <c r="M115" s="31"/>
      <c r="N115" s="29"/>
    </row>
    <row r="116" spans="1:14" s="33" customFormat="1" x14ac:dyDescent="0.25">
      <c r="A116" s="27"/>
      <c r="B116" s="5"/>
      <c r="C116" s="29"/>
      <c r="D116" s="65"/>
      <c r="E116" s="24"/>
      <c r="F116" s="25"/>
      <c r="G116" s="30"/>
      <c r="H116" s="31"/>
      <c r="I116" s="5"/>
      <c r="J116" s="5"/>
      <c r="K116" s="5"/>
      <c r="L116" s="5"/>
      <c r="M116" s="31"/>
      <c r="N116" s="29"/>
    </row>
    <row r="117" spans="1:14" s="33" customFormat="1" x14ac:dyDescent="0.25">
      <c r="A117" s="27"/>
      <c r="B117" s="5"/>
      <c r="C117" s="29"/>
      <c r="D117" s="65"/>
      <c r="E117" s="24"/>
      <c r="F117" s="25"/>
      <c r="G117" s="30"/>
      <c r="H117" s="31"/>
      <c r="I117" s="5"/>
      <c r="J117" s="5"/>
      <c r="K117" s="5"/>
      <c r="L117" s="5"/>
      <c r="M117" s="31"/>
      <c r="N117" s="29"/>
    </row>
    <row r="118" spans="1:14" s="33" customFormat="1" x14ac:dyDescent="0.25">
      <c r="A118" s="27"/>
      <c r="B118" s="5"/>
      <c r="C118" s="29"/>
      <c r="D118" s="65"/>
      <c r="E118" s="24"/>
      <c r="F118" s="25"/>
      <c r="G118" s="30"/>
      <c r="H118" s="31"/>
      <c r="I118" s="5"/>
      <c r="J118" s="5"/>
      <c r="K118" s="5"/>
      <c r="L118" s="5"/>
      <c r="M118" s="31"/>
      <c r="N118" s="29"/>
    </row>
    <row r="119" spans="1:14" s="33" customFormat="1" x14ac:dyDescent="0.25">
      <c r="A119" s="27"/>
      <c r="B119" s="5"/>
      <c r="C119" s="29"/>
      <c r="D119" s="65"/>
      <c r="E119" s="24"/>
      <c r="F119" s="25"/>
      <c r="G119" s="30"/>
      <c r="H119" s="31"/>
      <c r="I119" s="5"/>
      <c r="J119" s="5"/>
      <c r="K119" s="5"/>
      <c r="L119" s="5"/>
      <c r="M119" s="31"/>
      <c r="N119" s="29"/>
    </row>
    <row r="120" spans="1:14" s="33" customFormat="1" x14ac:dyDescent="0.25">
      <c r="A120" s="27"/>
      <c r="B120" s="5"/>
      <c r="C120" s="29"/>
      <c r="D120" s="65"/>
      <c r="E120" s="24"/>
      <c r="F120" s="25"/>
      <c r="G120" s="30"/>
      <c r="H120" s="31"/>
      <c r="I120" s="5"/>
      <c r="J120" s="5"/>
      <c r="K120" s="5"/>
      <c r="L120" s="5"/>
      <c r="M120" s="31"/>
      <c r="N120" s="29"/>
    </row>
    <row r="121" spans="1:14" s="33" customFormat="1" x14ac:dyDescent="0.25">
      <c r="A121" s="27"/>
      <c r="B121" s="5"/>
      <c r="C121" s="29"/>
      <c r="D121" s="65"/>
      <c r="E121" s="24"/>
      <c r="F121" s="25"/>
      <c r="G121" s="30"/>
      <c r="H121" s="31"/>
      <c r="I121" s="5"/>
      <c r="J121" s="5"/>
      <c r="K121" s="5"/>
      <c r="L121" s="5"/>
      <c r="M121" s="31"/>
      <c r="N121" s="29"/>
    </row>
    <row r="122" spans="1:14" s="33" customFormat="1" x14ac:dyDescent="0.25">
      <c r="A122" s="27"/>
      <c r="B122" s="5"/>
      <c r="C122" s="29"/>
      <c r="D122" s="65"/>
      <c r="E122" s="24"/>
      <c r="F122" s="25"/>
      <c r="G122" s="30"/>
      <c r="H122" s="31"/>
      <c r="I122" s="5"/>
      <c r="J122" s="5"/>
      <c r="K122" s="5"/>
      <c r="L122" s="5"/>
      <c r="M122" s="31"/>
      <c r="N122" s="29"/>
    </row>
    <row r="123" spans="1:14" s="33" customFormat="1" x14ac:dyDescent="0.25">
      <c r="A123" s="27"/>
      <c r="B123" s="5"/>
      <c r="C123" s="29"/>
      <c r="D123" s="65"/>
      <c r="E123" s="24"/>
      <c r="F123" s="25"/>
      <c r="G123" s="30"/>
      <c r="H123" s="31"/>
      <c r="I123" s="5"/>
      <c r="J123" s="5"/>
      <c r="K123" s="5"/>
      <c r="L123" s="5"/>
      <c r="M123" s="31"/>
      <c r="N123" s="29"/>
    </row>
    <row r="124" spans="1:14" s="33" customFormat="1" x14ac:dyDescent="0.25">
      <c r="A124" s="27"/>
      <c r="B124" s="5"/>
      <c r="C124" s="29"/>
      <c r="D124" s="65"/>
      <c r="E124" s="24"/>
      <c r="F124" s="25"/>
      <c r="G124" s="30"/>
      <c r="H124" s="31"/>
      <c r="I124" s="5"/>
      <c r="J124" s="5"/>
      <c r="K124" s="5"/>
      <c r="L124" s="5"/>
      <c r="M124" s="31"/>
      <c r="N124" s="29"/>
    </row>
    <row r="125" spans="1:14" s="33" customFormat="1" x14ac:dyDescent="0.25">
      <c r="A125" s="27"/>
      <c r="B125" s="5"/>
      <c r="C125" s="29"/>
      <c r="D125" s="65"/>
      <c r="E125" s="24"/>
      <c r="F125" s="25"/>
      <c r="G125" s="30"/>
      <c r="H125" s="31"/>
      <c r="I125" s="5"/>
      <c r="J125" s="5"/>
      <c r="K125" s="5"/>
      <c r="L125" s="5"/>
      <c r="M125" s="31"/>
      <c r="N125" s="29"/>
    </row>
    <row r="126" spans="1:14" s="33" customFormat="1" x14ac:dyDescent="0.25">
      <c r="A126" s="27"/>
      <c r="B126" s="5"/>
      <c r="C126" s="29"/>
      <c r="D126" s="65"/>
      <c r="E126" s="24"/>
      <c r="F126" s="25"/>
      <c r="G126" s="30"/>
      <c r="H126" s="31"/>
      <c r="I126" s="5"/>
      <c r="J126" s="5"/>
      <c r="K126" s="5"/>
      <c r="L126" s="5"/>
      <c r="M126" s="31"/>
      <c r="N126" s="29"/>
    </row>
    <row r="127" spans="1:14" s="33" customFormat="1" x14ac:dyDescent="0.25">
      <c r="A127" s="27"/>
      <c r="B127" s="5"/>
      <c r="C127" s="29"/>
      <c r="D127" s="65"/>
      <c r="E127" s="24"/>
      <c r="F127" s="25"/>
      <c r="G127" s="30"/>
      <c r="H127" s="31"/>
      <c r="I127" s="5"/>
      <c r="J127" s="5"/>
      <c r="K127" s="5"/>
      <c r="L127" s="5"/>
      <c r="M127" s="31"/>
      <c r="N127" s="29"/>
    </row>
    <row r="128" spans="1:14" s="33" customFormat="1" x14ac:dyDescent="0.25">
      <c r="A128" s="27"/>
      <c r="B128" s="5"/>
      <c r="C128" s="29"/>
      <c r="D128" s="65"/>
      <c r="E128" s="24"/>
      <c r="F128" s="25"/>
      <c r="G128" s="30"/>
      <c r="H128" s="31"/>
      <c r="I128" s="5"/>
      <c r="J128" s="5"/>
      <c r="K128" s="5"/>
      <c r="L128" s="5"/>
      <c r="M128" s="31"/>
      <c r="N128" s="29"/>
    </row>
    <row r="129" spans="1:14" s="33" customFormat="1" x14ac:dyDescent="0.25">
      <c r="A129" s="27"/>
      <c r="B129" s="5"/>
      <c r="C129" s="29"/>
      <c r="D129" s="65"/>
      <c r="E129" s="24"/>
      <c r="F129" s="25"/>
      <c r="G129" s="30"/>
      <c r="H129" s="31"/>
      <c r="I129" s="5"/>
      <c r="J129" s="5"/>
      <c r="K129" s="5"/>
      <c r="L129" s="5"/>
      <c r="M129" s="31"/>
      <c r="N129" s="29"/>
    </row>
    <row r="130" spans="1:14" s="33" customFormat="1" x14ac:dyDescent="0.25">
      <c r="A130" s="27"/>
      <c r="B130" s="5"/>
      <c r="C130" s="29"/>
      <c r="D130" s="65"/>
      <c r="E130" s="24"/>
      <c r="F130" s="25"/>
      <c r="G130" s="30"/>
      <c r="H130" s="31"/>
      <c r="I130" s="5"/>
      <c r="J130" s="5"/>
      <c r="K130" s="5"/>
      <c r="L130" s="5"/>
      <c r="M130" s="31"/>
      <c r="N130" s="29"/>
    </row>
    <row r="131" spans="1:14" s="33" customFormat="1" x14ac:dyDescent="0.25">
      <c r="A131" s="27"/>
      <c r="B131" s="5"/>
      <c r="C131" s="29"/>
      <c r="D131" s="65"/>
      <c r="E131" s="24"/>
      <c r="F131" s="25"/>
      <c r="G131" s="30"/>
      <c r="H131" s="31"/>
      <c r="I131" s="5"/>
      <c r="J131" s="5"/>
      <c r="K131" s="5"/>
      <c r="L131" s="5"/>
      <c r="M131" s="31"/>
      <c r="N131" s="29"/>
    </row>
    <row r="132" spans="1:14" s="33" customFormat="1" x14ac:dyDescent="0.25">
      <c r="A132" s="27"/>
      <c r="B132" s="5"/>
      <c r="C132" s="29"/>
      <c r="D132" s="65"/>
      <c r="E132" s="24"/>
      <c r="F132" s="25"/>
      <c r="G132" s="30"/>
      <c r="H132" s="31"/>
      <c r="I132" s="5"/>
      <c r="J132" s="5"/>
      <c r="K132" s="5"/>
      <c r="L132" s="5"/>
      <c r="M132" s="31"/>
      <c r="N132" s="29"/>
    </row>
    <row r="133" spans="1:14" s="33" customFormat="1" x14ac:dyDescent="0.25">
      <c r="A133" s="27"/>
      <c r="B133" s="5"/>
      <c r="C133" s="29"/>
      <c r="D133" s="65"/>
      <c r="E133" s="24"/>
      <c r="F133" s="25"/>
      <c r="G133" s="30"/>
      <c r="H133" s="31"/>
      <c r="I133" s="5"/>
      <c r="J133" s="5"/>
      <c r="K133" s="5"/>
      <c r="L133" s="5"/>
      <c r="M133" s="31"/>
      <c r="N133" s="29"/>
    </row>
    <row r="134" spans="1:14" s="33" customFormat="1" x14ac:dyDescent="0.25">
      <c r="A134" s="27"/>
      <c r="B134" s="5"/>
      <c r="C134" s="29"/>
      <c r="D134" s="65"/>
      <c r="E134" s="24"/>
      <c r="F134" s="25"/>
      <c r="G134" s="30"/>
      <c r="H134" s="31"/>
      <c r="I134" s="5"/>
      <c r="J134" s="5"/>
      <c r="K134" s="5"/>
      <c r="L134" s="5"/>
      <c r="M134" s="31"/>
      <c r="N134" s="29"/>
    </row>
    <row r="135" spans="1:14" s="33" customFormat="1" x14ac:dyDescent="0.25">
      <c r="A135" s="27"/>
      <c r="B135" s="5"/>
      <c r="C135" s="29"/>
      <c r="D135" s="65"/>
      <c r="E135" s="24"/>
      <c r="F135" s="25"/>
      <c r="G135" s="30"/>
      <c r="H135" s="31"/>
      <c r="I135" s="5"/>
      <c r="J135" s="5"/>
      <c r="K135" s="5"/>
      <c r="L135" s="5"/>
      <c r="M135" s="31"/>
      <c r="N135" s="29"/>
    </row>
    <row r="136" spans="1:14" s="33" customFormat="1" x14ac:dyDescent="0.25">
      <c r="A136" s="27"/>
      <c r="B136" s="5"/>
      <c r="C136" s="29"/>
      <c r="D136" s="65"/>
      <c r="E136" s="24"/>
      <c r="F136" s="25"/>
      <c r="G136" s="30"/>
      <c r="H136" s="31"/>
      <c r="I136" s="5"/>
      <c r="J136" s="5"/>
      <c r="K136" s="5"/>
      <c r="L136" s="5"/>
      <c r="M136" s="31"/>
      <c r="N136" s="29"/>
    </row>
    <row r="137" spans="1:14" s="33" customFormat="1" x14ac:dyDescent="0.25">
      <c r="A137" s="27"/>
      <c r="B137" s="5"/>
      <c r="C137" s="29"/>
      <c r="D137" s="65"/>
      <c r="E137" s="24"/>
      <c r="F137" s="25"/>
      <c r="G137" s="30"/>
      <c r="H137" s="31"/>
      <c r="I137" s="5"/>
      <c r="J137" s="5"/>
      <c r="K137" s="5"/>
      <c r="L137" s="5"/>
      <c r="M137" s="31"/>
      <c r="N137" s="29"/>
    </row>
    <row r="138" spans="1:14" s="33" customFormat="1" x14ac:dyDescent="0.25">
      <c r="A138" s="27"/>
      <c r="B138" s="5"/>
      <c r="C138" s="29"/>
      <c r="D138" s="65"/>
      <c r="E138" s="24"/>
      <c r="F138" s="25"/>
      <c r="G138" s="30"/>
      <c r="H138" s="31"/>
      <c r="I138" s="5"/>
      <c r="J138" s="5"/>
      <c r="K138" s="5"/>
      <c r="L138" s="5"/>
      <c r="M138" s="31"/>
      <c r="N138" s="29"/>
    </row>
    <row r="139" spans="1:14" s="33" customFormat="1" x14ac:dyDescent="0.25">
      <c r="A139" s="27"/>
      <c r="B139" s="5"/>
      <c r="C139" s="29"/>
      <c r="D139" s="65"/>
      <c r="E139" s="24"/>
      <c r="F139" s="25"/>
      <c r="G139" s="30"/>
      <c r="H139" s="31"/>
      <c r="I139" s="5"/>
      <c r="J139" s="5"/>
      <c r="K139" s="5"/>
      <c r="L139" s="5"/>
      <c r="M139" s="31"/>
      <c r="N139" s="29"/>
    </row>
    <row r="140" spans="1:14" s="33" customFormat="1" x14ac:dyDescent="0.25">
      <c r="A140" s="27"/>
      <c r="B140" s="5"/>
      <c r="C140" s="29"/>
      <c r="D140" s="65"/>
      <c r="E140" s="24"/>
      <c r="F140" s="25"/>
      <c r="G140" s="30"/>
      <c r="H140" s="31"/>
      <c r="I140" s="5"/>
      <c r="J140" s="5"/>
      <c r="K140" s="5"/>
      <c r="L140" s="5"/>
      <c r="M140" s="31"/>
      <c r="N140" s="29"/>
    </row>
    <row r="141" spans="1:14" s="33" customFormat="1" x14ac:dyDescent="0.25">
      <c r="A141" s="27"/>
      <c r="B141" s="5"/>
      <c r="C141" s="29"/>
      <c r="D141" s="65"/>
      <c r="E141" s="24"/>
      <c r="F141" s="25"/>
      <c r="G141" s="30"/>
      <c r="H141" s="31"/>
      <c r="I141" s="5"/>
      <c r="J141" s="5"/>
      <c r="K141" s="5"/>
      <c r="L141" s="5"/>
      <c r="M141" s="31"/>
      <c r="N141" s="29"/>
    </row>
    <row r="142" spans="1:14" s="33" customFormat="1" x14ac:dyDescent="0.25">
      <c r="A142" s="27"/>
      <c r="B142" s="5"/>
      <c r="C142" s="29"/>
      <c r="D142" s="65"/>
      <c r="E142" s="24"/>
      <c r="F142" s="25"/>
      <c r="G142" s="30"/>
      <c r="H142" s="31"/>
      <c r="I142" s="5"/>
      <c r="J142" s="5"/>
      <c r="K142" s="5"/>
      <c r="L142" s="5"/>
      <c r="M142" s="31"/>
      <c r="N142" s="29"/>
    </row>
    <row r="143" spans="1:14" s="33" customFormat="1" x14ac:dyDescent="0.25">
      <c r="A143" s="27"/>
      <c r="B143" s="5"/>
      <c r="C143" s="29"/>
      <c r="D143" s="65"/>
      <c r="E143" s="24"/>
      <c r="F143" s="25"/>
      <c r="G143" s="30"/>
      <c r="H143" s="31"/>
      <c r="I143" s="5"/>
      <c r="J143" s="5"/>
      <c r="K143" s="5"/>
      <c r="L143" s="5"/>
      <c r="M143" s="31"/>
      <c r="N143" s="29"/>
    </row>
    <row r="144" spans="1:14" s="33" customFormat="1" x14ac:dyDescent="0.25">
      <c r="A144" s="27"/>
      <c r="B144" s="5"/>
      <c r="C144" s="29"/>
      <c r="D144" s="65"/>
      <c r="E144" s="24"/>
      <c r="F144" s="25"/>
      <c r="G144" s="30"/>
      <c r="H144" s="31"/>
      <c r="I144" s="5"/>
      <c r="J144" s="5"/>
      <c r="K144" s="5"/>
      <c r="L144" s="5"/>
      <c r="M144" s="31"/>
      <c r="N144" s="29"/>
    </row>
    <row r="145" spans="1:14" s="33" customFormat="1" x14ac:dyDescent="0.25">
      <c r="A145" s="27"/>
      <c r="B145" s="5"/>
      <c r="C145" s="29"/>
      <c r="D145" s="65"/>
      <c r="E145" s="24"/>
      <c r="F145" s="25"/>
      <c r="G145" s="30"/>
      <c r="H145" s="31"/>
      <c r="I145" s="5"/>
      <c r="J145" s="5"/>
      <c r="K145" s="5"/>
      <c r="L145" s="5"/>
      <c r="M145" s="31"/>
      <c r="N145" s="29"/>
    </row>
    <row r="146" spans="1:14" s="33" customFormat="1" x14ac:dyDescent="0.25">
      <c r="A146" s="27"/>
      <c r="B146" s="5"/>
      <c r="C146" s="29"/>
      <c r="D146" s="65"/>
      <c r="E146" s="24"/>
      <c r="F146" s="25"/>
      <c r="G146" s="30"/>
      <c r="H146" s="31"/>
      <c r="I146" s="5"/>
      <c r="J146" s="5"/>
      <c r="K146" s="5"/>
      <c r="L146" s="5"/>
      <c r="M146" s="31"/>
      <c r="N146" s="29"/>
    </row>
    <row r="147" spans="1:14" s="33" customFormat="1" x14ac:dyDescent="0.25">
      <c r="A147" s="27"/>
      <c r="B147" s="5"/>
      <c r="C147" s="29"/>
      <c r="D147" s="65"/>
      <c r="E147" s="24"/>
      <c r="F147" s="25"/>
      <c r="G147" s="30"/>
      <c r="H147" s="31"/>
      <c r="I147" s="5"/>
      <c r="J147" s="5"/>
      <c r="K147" s="5"/>
      <c r="L147" s="5"/>
      <c r="M147" s="31"/>
      <c r="N147" s="29"/>
    </row>
    <row r="148" spans="1:14" s="33" customFormat="1" x14ac:dyDescent="0.25">
      <c r="A148" s="27"/>
      <c r="B148" s="5"/>
      <c r="C148" s="29"/>
      <c r="D148" s="65"/>
      <c r="E148" s="24"/>
      <c r="F148" s="25"/>
      <c r="G148" s="30"/>
      <c r="H148" s="31"/>
      <c r="I148" s="5"/>
      <c r="J148" s="5"/>
      <c r="K148" s="5"/>
      <c r="L148" s="5"/>
      <c r="M148" s="31"/>
      <c r="N148" s="29"/>
    </row>
    <row r="149" spans="1:14" s="33" customFormat="1" x14ac:dyDescent="0.25">
      <c r="A149" s="27"/>
      <c r="B149" s="5"/>
      <c r="C149" s="29"/>
      <c r="D149" s="65"/>
      <c r="E149" s="24"/>
      <c r="F149" s="25"/>
      <c r="G149" s="30"/>
      <c r="H149" s="31"/>
      <c r="I149" s="5"/>
      <c r="J149" s="5"/>
      <c r="K149" s="5"/>
      <c r="L149" s="5"/>
      <c r="M149" s="31"/>
      <c r="N149" s="29"/>
    </row>
    <row r="150" spans="1:14" s="33" customFormat="1" x14ac:dyDescent="0.25">
      <c r="A150" s="27"/>
      <c r="B150" s="5"/>
      <c r="C150" s="29"/>
      <c r="D150" s="65"/>
      <c r="E150" s="24"/>
      <c r="F150" s="25"/>
      <c r="G150" s="30"/>
      <c r="H150" s="31"/>
      <c r="I150" s="5"/>
      <c r="J150" s="5"/>
      <c r="K150" s="5"/>
      <c r="L150" s="5"/>
      <c r="M150" s="31"/>
      <c r="N150" s="29"/>
    </row>
    <row r="151" spans="1:14" s="33" customFormat="1" x14ac:dyDescent="0.25">
      <c r="A151" s="27"/>
      <c r="B151" s="5"/>
      <c r="C151" s="29"/>
      <c r="D151" s="65"/>
      <c r="E151" s="24"/>
      <c r="F151" s="25"/>
      <c r="G151" s="30"/>
      <c r="H151" s="31"/>
      <c r="I151" s="5"/>
      <c r="J151" s="5"/>
      <c r="K151" s="5"/>
      <c r="L151" s="5"/>
      <c r="M151" s="31"/>
      <c r="N151" s="29"/>
    </row>
    <row r="152" spans="1:14" s="33" customFormat="1" x14ac:dyDescent="0.25">
      <c r="A152" s="27"/>
      <c r="B152" s="5"/>
      <c r="C152" s="29"/>
      <c r="D152" s="65"/>
      <c r="E152" s="24"/>
      <c r="F152" s="25"/>
      <c r="G152" s="30"/>
      <c r="H152" s="31"/>
      <c r="I152" s="5"/>
      <c r="J152" s="5"/>
      <c r="K152" s="5"/>
      <c r="L152" s="5"/>
      <c r="M152" s="31"/>
      <c r="N152" s="29"/>
    </row>
    <row r="153" spans="1:14" s="33" customFormat="1" x14ac:dyDescent="0.25">
      <c r="A153" s="27"/>
      <c r="B153" s="5"/>
      <c r="C153" s="29"/>
      <c r="D153" s="65"/>
      <c r="E153" s="24"/>
      <c r="F153" s="25"/>
      <c r="G153" s="30"/>
      <c r="H153" s="31"/>
      <c r="I153" s="5"/>
      <c r="J153" s="5"/>
      <c r="K153" s="5"/>
      <c r="L153" s="5"/>
      <c r="M153" s="31"/>
      <c r="N153" s="29"/>
    </row>
    <row r="154" spans="1:14" s="33" customFormat="1" x14ac:dyDescent="0.25">
      <c r="A154" s="27"/>
      <c r="B154" s="5"/>
      <c r="C154" s="29"/>
      <c r="D154" s="65"/>
      <c r="E154" s="24"/>
      <c r="F154" s="25"/>
      <c r="G154" s="30"/>
      <c r="H154" s="31"/>
      <c r="I154" s="5"/>
      <c r="J154" s="5"/>
      <c r="K154" s="5"/>
      <c r="L154" s="5"/>
      <c r="M154" s="31"/>
      <c r="N154" s="29"/>
    </row>
    <row r="155" spans="1:14" s="33" customFormat="1" x14ac:dyDescent="0.25">
      <c r="A155" s="27"/>
      <c r="B155" s="5"/>
      <c r="C155" s="29"/>
      <c r="D155" s="65"/>
      <c r="E155" s="24"/>
      <c r="F155" s="25"/>
      <c r="G155" s="30"/>
      <c r="H155" s="31"/>
      <c r="I155" s="5"/>
      <c r="J155" s="5"/>
      <c r="K155" s="5"/>
      <c r="L155" s="5"/>
      <c r="M155" s="31"/>
      <c r="N155" s="29"/>
    </row>
    <row r="156" spans="1:14" s="33" customFormat="1" x14ac:dyDescent="0.25">
      <c r="A156" s="27"/>
      <c r="B156" s="5"/>
      <c r="C156" s="29"/>
      <c r="D156" s="65"/>
      <c r="E156" s="24"/>
      <c r="F156" s="25"/>
      <c r="G156" s="30"/>
      <c r="H156" s="31"/>
      <c r="I156" s="5"/>
      <c r="J156" s="5"/>
      <c r="K156" s="5"/>
      <c r="L156" s="5"/>
      <c r="M156" s="31"/>
      <c r="N156" s="29"/>
    </row>
    <row r="157" spans="1:14" s="33" customFormat="1" x14ac:dyDescent="0.25">
      <c r="A157" s="27"/>
      <c r="B157" s="5"/>
      <c r="C157" s="29"/>
      <c r="D157" s="65"/>
      <c r="E157" s="24"/>
      <c r="F157" s="25"/>
      <c r="G157" s="30"/>
      <c r="H157" s="31"/>
      <c r="I157" s="5"/>
      <c r="J157" s="5"/>
      <c r="K157" s="5"/>
      <c r="L157" s="5"/>
      <c r="M157" s="31"/>
      <c r="N157" s="29"/>
    </row>
    <row r="158" spans="1:14" s="33" customFormat="1" x14ac:dyDescent="0.25">
      <c r="A158" s="27"/>
      <c r="B158" s="5"/>
      <c r="C158" s="29"/>
      <c r="D158" s="65"/>
      <c r="E158" s="24"/>
      <c r="F158" s="25"/>
      <c r="G158" s="30"/>
      <c r="H158" s="31"/>
      <c r="I158" s="5"/>
      <c r="J158" s="5"/>
      <c r="K158" s="5"/>
      <c r="L158" s="5"/>
      <c r="M158" s="31"/>
      <c r="N158" s="29"/>
    </row>
    <row r="159" spans="1:14" s="33" customFormat="1" x14ac:dyDescent="0.25">
      <c r="A159" s="27"/>
      <c r="B159" s="5"/>
      <c r="C159" s="29"/>
      <c r="D159" s="65"/>
      <c r="E159" s="24"/>
      <c r="F159" s="25"/>
      <c r="G159" s="30"/>
      <c r="H159" s="31"/>
      <c r="I159" s="5"/>
      <c r="J159" s="5"/>
      <c r="K159" s="5"/>
      <c r="L159" s="5"/>
      <c r="M159" s="31"/>
      <c r="N159" s="29"/>
    </row>
    <row r="160" spans="1:14" s="33" customFormat="1" x14ac:dyDescent="0.25">
      <c r="A160" s="27"/>
      <c r="B160" s="5"/>
      <c r="C160" s="29"/>
      <c r="D160" s="65"/>
      <c r="E160" s="24"/>
      <c r="F160" s="25"/>
      <c r="G160" s="30"/>
      <c r="H160" s="31"/>
      <c r="I160" s="5"/>
      <c r="J160" s="5"/>
      <c r="K160" s="5"/>
      <c r="L160" s="5"/>
      <c r="M160" s="31"/>
      <c r="N160" s="29"/>
    </row>
    <row r="161" spans="1:14" s="33" customFormat="1" x14ac:dyDescent="0.25">
      <c r="A161" s="27"/>
      <c r="B161" s="5"/>
      <c r="C161" s="29"/>
      <c r="D161" s="65"/>
      <c r="E161" s="24"/>
      <c r="F161" s="25"/>
      <c r="G161" s="30"/>
      <c r="H161" s="31"/>
      <c r="I161" s="5"/>
      <c r="J161" s="5"/>
      <c r="K161" s="5"/>
      <c r="L161" s="5"/>
      <c r="M161" s="31"/>
      <c r="N161" s="29"/>
    </row>
    <row r="162" spans="1:14" s="33" customFormat="1" x14ac:dyDescent="0.25">
      <c r="A162" s="27"/>
      <c r="B162" s="5"/>
      <c r="C162" s="29"/>
      <c r="D162" s="65"/>
      <c r="E162" s="24"/>
      <c r="F162" s="25"/>
      <c r="G162" s="30"/>
      <c r="H162" s="31"/>
      <c r="I162" s="5"/>
      <c r="J162" s="5"/>
      <c r="K162" s="5"/>
      <c r="L162" s="5"/>
      <c r="M162" s="31"/>
      <c r="N162" s="29"/>
    </row>
    <row r="163" spans="1:14" s="33" customFormat="1" x14ac:dyDescent="0.25">
      <c r="A163" s="27"/>
      <c r="B163" s="5"/>
      <c r="C163" s="29"/>
      <c r="D163" s="65"/>
      <c r="E163" s="24"/>
      <c r="F163" s="25"/>
      <c r="G163" s="30"/>
      <c r="H163" s="31"/>
      <c r="I163" s="5"/>
      <c r="J163" s="5"/>
      <c r="K163" s="5"/>
      <c r="L163" s="5"/>
      <c r="M163" s="31"/>
      <c r="N163" s="29"/>
    </row>
    <row r="164" spans="1:14" s="33" customFormat="1" x14ac:dyDescent="0.25">
      <c r="A164" s="27"/>
      <c r="B164" s="5"/>
      <c r="C164" s="29"/>
      <c r="D164" s="65"/>
      <c r="E164" s="24"/>
      <c r="F164" s="25"/>
      <c r="G164" s="30"/>
      <c r="H164" s="31"/>
      <c r="I164" s="5"/>
      <c r="J164" s="5"/>
      <c r="K164" s="5"/>
      <c r="L164" s="5"/>
      <c r="M164" s="31"/>
      <c r="N164" s="29"/>
    </row>
    <row r="165" spans="1:14" s="33" customFormat="1" x14ac:dyDescent="0.25">
      <c r="A165" s="27"/>
      <c r="B165" s="5"/>
      <c r="C165" s="29"/>
      <c r="D165" s="65"/>
      <c r="E165" s="24"/>
      <c r="F165" s="25"/>
      <c r="G165" s="30"/>
      <c r="H165" s="31"/>
      <c r="I165" s="5"/>
      <c r="J165" s="5"/>
      <c r="K165" s="5"/>
      <c r="L165" s="5"/>
      <c r="M165" s="31"/>
      <c r="N165" s="29"/>
    </row>
    <row r="166" spans="1:14" s="33" customFormat="1" x14ac:dyDescent="0.25">
      <c r="A166" s="27"/>
      <c r="B166" s="5"/>
      <c r="C166" s="29"/>
      <c r="D166" s="65"/>
      <c r="E166" s="24"/>
      <c r="F166" s="25"/>
      <c r="G166" s="30"/>
      <c r="H166" s="31"/>
      <c r="I166" s="5"/>
      <c r="J166" s="5"/>
      <c r="K166" s="5"/>
      <c r="L166" s="5"/>
      <c r="M166" s="31"/>
      <c r="N166" s="29"/>
    </row>
    <row r="167" spans="1:14" s="33" customFormat="1" x14ac:dyDescent="0.25">
      <c r="A167" s="27"/>
      <c r="B167" s="5"/>
      <c r="C167" s="29"/>
      <c r="D167" s="65"/>
      <c r="E167" s="24"/>
      <c r="F167" s="25"/>
      <c r="G167" s="30"/>
      <c r="H167" s="31"/>
      <c r="I167" s="5"/>
      <c r="J167" s="5"/>
      <c r="K167" s="5"/>
      <c r="L167" s="5"/>
      <c r="M167" s="31"/>
      <c r="N167" s="29"/>
    </row>
    <row r="168" spans="1:14" s="33" customFormat="1" x14ac:dyDescent="0.25">
      <c r="A168" s="27"/>
      <c r="B168" s="5"/>
      <c r="C168" s="29"/>
      <c r="D168" s="65"/>
      <c r="E168" s="24"/>
      <c r="F168" s="25"/>
      <c r="G168" s="30"/>
      <c r="H168" s="31"/>
      <c r="I168" s="5"/>
      <c r="J168" s="5"/>
      <c r="K168" s="5"/>
      <c r="L168" s="5"/>
      <c r="M168" s="31"/>
      <c r="N168" s="29"/>
    </row>
    <row r="169" spans="1:14" s="33" customFormat="1" x14ac:dyDescent="0.25">
      <c r="A169" s="27"/>
      <c r="B169" s="5"/>
      <c r="C169" s="29"/>
      <c r="D169" s="65"/>
      <c r="E169" s="24"/>
      <c r="F169" s="25"/>
      <c r="G169" s="30"/>
      <c r="H169" s="31"/>
      <c r="I169" s="5"/>
      <c r="J169" s="5"/>
      <c r="K169" s="5"/>
      <c r="L169" s="5"/>
      <c r="M169" s="31"/>
      <c r="N169" s="29"/>
    </row>
    <row r="170" spans="1:14" s="33" customFormat="1" x14ac:dyDescent="0.25">
      <c r="A170" s="27"/>
      <c r="B170" s="5"/>
      <c r="C170" s="29"/>
      <c r="D170" s="65"/>
      <c r="E170" s="24"/>
      <c r="F170" s="25"/>
      <c r="G170" s="30"/>
      <c r="H170" s="31"/>
      <c r="I170" s="5"/>
      <c r="J170" s="5"/>
      <c r="K170" s="5"/>
      <c r="L170" s="5"/>
      <c r="M170" s="31"/>
      <c r="N170" s="29"/>
    </row>
    <row r="171" spans="1:14" s="33" customFormat="1" x14ac:dyDescent="0.25">
      <c r="A171" s="27"/>
      <c r="B171" s="5"/>
      <c r="C171" s="29"/>
      <c r="D171" s="65"/>
      <c r="E171" s="24"/>
      <c r="F171" s="25"/>
      <c r="G171" s="30"/>
      <c r="H171" s="31"/>
      <c r="I171" s="5"/>
      <c r="J171" s="5"/>
      <c r="K171" s="5"/>
      <c r="L171" s="5"/>
      <c r="M171" s="31"/>
      <c r="N171" s="29"/>
    </row>
    <row r="172" spans="1:14" s="33" customFormat="1" x14ac:dyDescent="0.25">
      <c r="A172" s="27"/>
      <c r="B172" s="5"/>
      <c r="C172" s="29"/>
      <c r="D172" s="65"/>
      <c r="E172" s="24"/>
      <c r="F172" s="25"/>
      <c r="G172" s="30"/>
      <c r="H172" s="31"/>
      <c r="I172" s="5"/>
      <c r="J172" s="5"/>
      <c r="K172" s="5"/>
      <c r="L172" s="5"/>
      <c r="M172" s="31"/>
      <c r="N172" s="29"/>
    </row>
    <row r="173" spans="1:14" s="33" customFormat="1" x14ac:dyDescent="0.25">
      <c r="A173" s="27"/>
      <c r="B173" s="5"/>
      <c r="C173" s="29"/>
      <c r="D173" s="65"/>
      <c r="E173" s="24"/>
      <c r="F173" s="25"/>
      <c r="G173" s="30"/>
      <c r="H173" s="31"/>
      <c r="I173" s="5"/>
      <c r="J173" s="5"/>
      <c r="K173" s="5"/>
      <c r="L173" s="5"/>
      <c r="M173" s="31"/>
      <c r="N173" s="29"/>
    </row>
    <row r="174" spans="1:14" s="33" customFormat="1" x14ac:dyDescent="0.25">
      <c r="A174" s="27"/>
      <c r="B174" s="5"/>
      <c r="C174" s="29"/>
      <c r="D174" s="65"/>
      <c r="E174" s="24"/>
      <c r="F174" s="25"/>
      <c r="G174" s="30"/>
      <c r="H174" s="31"/>
      <c r="I174" s="5"/>
      <c r="J174" s="5"/>
      <c r="K174" s="5"/>
      <c r="L174" s="5"/>
      <c r="M174" s="31"/>
      <c r="N174" s="29"/>
    </row>
    <row r="175" spans="1:14" s="33" customFormat="1" x14ac:dyDescent="0.25">
      <c r="A175" s="27"/>
      <c r="B175" s="5"/>
      <c r="C175" s="29"/>
      <c r="D175" s="65"/>
      <c r="E175" s="24"/>
      <c r="F175" s="25"/>
      <c r="G175" s="30"/>
      <c r="H175" s="31"/>
      <c r="I175" s="5"/>
      <c r="J175" s="5"/>
      <c r="K175" s="5"/>
      <c r="L175" s="5"/>
      <c r="M175" s="31"/>
      <c r="N175" s="29"/>
    </row>
    <row r="176" spans="1:14" s="33" customFormat="1" x14ac:dyDescent="0.25">
      <c r="A176" s="27"/>
      <c r="B176" s="5"/>
      <c r="C176" s="29"/>
      <c r="D176" s="65"/>
      <c r="E176" s="24"/>
      <c r="F176" s="25"/>
      <c r="G176" s="30"/>
      <c r="H176" s="31"/>
      <c r="I176" s="5"/>
      <c r="J176" s="5"/>
      <c r="K176" s="5"/>
      <c r="L176" s="5"/>
      <c r="M176" s="31"/>
      <c r="N176" s="29"/>
    </row>
    <row r="177" spans="1:14" s="33" customFormat="1" x14ac:dyDescent="0.25">
      <c r="A177" s="27"/>
      <c r="B177" s="5"/>
      <c r="C177" s="29"/>
      <c r="D177" s="65"/>
      <c r="E177" s="24"/>
      <c r="F177" s="25"/>
      <c r="G177" s="30"/>
      <c r="H177" s="31"/>
      <c r="I177" s="5"/>
      <c r="J177" s="5"/>
      <c r="K177" s="5"/>
      <c r="L177" s="5"/>
      <c r="M177" s="31"/>
      <c r="N177" s="29"/>
    </row>
    <row r="178" spans="1:14" s="33" customFormat="1" x14ac:dyDescent="0.25">
      <c r="A178" s="27"/>
      <c r="B178" s="5"/>
      <c r="C178" s="29"/>
      <c r="D178" s="65"/>
      <c r="E178" s="24"/>
      <c r="F178" s="25"/>
      <c r="G178" s="30"/>
      <c r="H178" s="31"/>
      <c r="I178" s="5"/>
      <c r="J178" s="5"/>
      <c r="K178" s="5"/>
      <c r="L178" s="5"/>
      <c r="M178" s="31"/>
      <c r="N178" s="29"/>
    </row>
    <row r="179" spans="1:14" s="33" customFormat="1" x14ac:dyDescent="0.25">
      <c r="A179" s="27"/>
      <c r="B179" s="5"/>
      <c r="C179" s="29"/>
      <c r="D179" s="65"/>
      <c r="E179" s="24"/>
      <c r="F179" s="25"/>
      <c r="G179" s="30"/>
      <c r="H179" s="31"/>
      <c r="I179" s="5"/>
      <c r="J179" s="5"/>
      <c r="K179" s="5"/>
      <c r="L179" s="5"/>
      <c r="M179" s="31"/>
      <c r="N179" s="29"/>
    </row>
    <row r="180" spans="1:14" s="33" customFormat="1" x14ac:dyDescent="0.25">
      <c r="A180" s="27"/>
      <c r="B180" s="5"/>
      <c r="C180" s="29"/>
      <c r="D180" s="65"/>
      <c r="E180" s="24"/>
      <c r="F180" s="25"/>
      <c r="G180" s="30"/>
      <c r="H180" s="31"/>
      <c r="I180" s="5"/>
      <c r="J180" s="5"/>
      <c r="K180" s="5"/>
      <c r="L180" s="5"/>
      <c r="M180" s="31"/>
      <c r="N180" s="29"/>
    </row>
    <row r="181" spans="1:14" s="33" customFormat="1" x14ac:dyDescent="0.25">
      <c r="A181" s="27"/>
      <c r="B181" s="5"/>
      <c r="C181" s="29"/>
      <c r="D181" s="65"/>
      <c r="E181" s="24"/>
      <c r="F181" s="25"/>
      <c r="G181" s="30"/>
      <c r="H181" s="31"/>
      <c r="I181" s="5"/>
      <c r="J181" s="5"/>
      <c r="K181" s="5"/>
      <c r="L181" s="5"/>
      <c r="M181" s="31"/>
      <c r="N181" s="29"/>
    </row>
    <row r="182" spans="1:14" s="33" customFormat="1" x14ac:dyDescent="0.25">
      <c r="A182" s="27"/>
      <c r="B182" s="5"/>
      <c r="C182" s="29"/>
      <c r="D182" s="65"/>
      <c r="E182" s="24"/>
      <c r="F182" s="25"/>
      <c r="G182" s="30"/>
      <c r="H182" s="31"/>
      <c r="I182" s="5"/>
      <c r="J182" s="5"/>
      <c r="K182" s="5"/>
      <c r="L182" s="5"/>
      <c r="M182" s="31"/>
      <c r="N182" s="29"/>
    </row>
    <row r="183" spans="1:14" s="33" customFormat="1" x14ac:dyDescent="0.25">
      <c r="A183" s="27"/>
      <c r="B183" s="5"/>
      <c r="C183" s="29"/>
      <c r="D183" s="65"/>
      <c r="E183" s="24"/>
      <c r="F183" s="25"/>
      <c r="G183" s="30"/>
      <c r="H183" s="31"/>
      <c r="I183" s="5"/>
      <c r="J183" s="5"/>
      <c r="K183" s="5"/>
      <c r="L183" s="5"/>
      <c r="M183" s="31"/>
      <c r="N183" s="29"/>
    </row>
    <row r="184" spans="1:14" s="33" customFormat="1" x14ac:dyDescent="0.25">
      <c r="A184" s="27"/>
      <c r="B184" s="5"/>
      <c r="C184" s="29"/>
      <c r="D184" s="65"/>
      <c r="E184" s="24"/>
      <c r="F184" s="25"/>
      <c r="G184" s="30"/>
      <c r="H184" s="31"/>
      <c r="I184" s="5"/>
      <c r="J184" s="5"/>
      <c r="K184" s="5"/>
      <c r="L184" s="5"/>
      <c r="M184" s="31"/>
      <c r="N184" s="29"/>
    </row>
    <row r="185" spans="1:14" s="33" customFormat="1" x14ac:dyDescent="0.25">
      <c r="A185" s="27"/>
      <c r="B185" s="5"/>
      <c r="C185" s="29"/>
      <c r="D185" s="65"/>
      <c r="E185" s="24"/>
      <c r="F185" s="25"/>
      <c r="G185" s="30"/>
      <c r="H185" s="31"/>
      <c r="I185" s="5"/>
      <c r="J185" s="5"/>
      <c r="K185" s="5"/>
      <c r="L185" s="5"/>
      <c r="M185" s="31"/>
      <c r="N185" s="29"/>
    </row>
    <row r="186" spans="1:14" s="33" customFormat="1" x14ac:dyDescent="0.25">
      <c r="A186" s="27"/>
      <c r="B186" s="5"/>
      <c r="C186" s="29"/>
      <c r="D186" s="65"/>
      <c r="E186" s="24"/>
      <c r="F186" s="25"/>
      <c r="G186" s="30"/>
      <c r="H186" s="31"/>
      <c r="I186" s="5"/>
      <c r="J186" s="5"/>
      <c r="K186" s="5"/>
      <c r="L186" s="5"/>
      <c r="M186" s="31"/>
      <c r="N186" s="29"/>
    </row>
    <row r="187" spans="1:14" s="33" customFormat="1" x14ac:dyDescent="0.25">
      <c r="A187" s="27"/>
      <c r="B187" s="5"/>
      <c r="C187" s="29"/>
      <c r="D187" s="65"/>
      <c r="E187" s="24"/>
      <c r="F187" s="25"/>
      <c r="G187" s="30"/>
      <c r="H187" s="31"/>
      <c r="I187" s="5"/>
      <c r="J187" s="5"/>
      <c r="K187" s="5"/>
      <c r="L187" s="5"/>
      <c r="M187" s="31"/>
      <c r="N187" s="29"/>
    </row>
    <row r="188" spans="1:14" s="33" customFormat="1" x14ac:dyDescent="0.25">
      <c r="A188" s="27"/>
      <c r="B188" s="5"/>
      <c r="C188" s="29"/>
      <c r="D188" s="65"/>
      <c r="E188" s="24"/>
      <c r="F188" s="25"/>
      <c r="G188" s="30"/>
      <c r="H188" s="31"/>
      <c r="I188" s="5"/>
      <c r="J188" s="5"/>
      <c r="K188" s="5"/>
      <c r="L188" s="5"/>
      <c r="M188" s="31"/>
      <c r="N188" s="29"/>
    </row>
    <row r="189" spans="1:14" s="33" customFormat="1" x14ac:dyDescent="0.25">
      <c r="A189" s="27"/>
      <c r="B189" s="5"/>
      <c r="C189" s="29"/>
      <c r="D189" s="65"/>
      <c r="E189" s="24"/>
      <c r="F189" s="25"/>
      <c r="G189" s="30"/>
      <c r="H189" s="31"/>
      <c r="I189" s="5"/>
      <c r="J189" s="5"/>
      <c r="K189" s="5"/>
      <c r="L189" s="5"/>
      <c r="M189" s="31"/>
      <c r="N189" s="29"/>
    </row>
    <row r="190" spans="1:14" s="33" customFormat="1" x14ac:dyDescent="0.25">
      <c r="A190" s="27"/>
      <c r="B190" s="5"/>
      <c r="C190" s="29"/>
      <c r="D190" s="65"/>
      <c r="E190" s="24"/>
      <c r="F190" s="25"/>
      <c r="G190" s="30"/>
      <c r="H190" s="31"/>
      <c r="I190" s="5"/>
      <c r="J190" s="5"/>
      <c r="K190" s="5"/>
      <c r="L190" s="5"/>
      <c r="M190" s="31"/>
      <c r="N190" s="29"/>
    </row>
    <row r="191" spans="1:14" s="33" customFormat="1" x14ac:dyDescent="0.25">
      <c r="A191" s="27"/>
      <c r="B191" s="5"/>
      <c r="C191" s="29"/>
      <c r="D191" s="65"/>
      <c r="E191" s="24"/>
      <c r="F191" s="25"/>
      <c r="G191" s="30"/>
      <c r="H191" s="31"/>
      <c r="I191" s="5"/>
      <c r="J191" s="5"/>
      <c r="K191" s="5"/>
      <c r="L191" s="5"/>
      <c r="M191" s="31"/>
      <c r="N191" s="29"/>
    </row>
    <row r="192" spans="1:14" s="33" customFormat="1" x14ac:dyDescent="0.25">
      <c r="A192" s="27"/>
      <c r="B192" s="5"/>
      <c r="C192" s="29"/>
      <c r="D192" s="65"/>
      <c r="E192" s="24"/>
      <c r="F192" s="25"/>
      <c r="G192" s="30"/>
      <c r="H192" s="31"/>
      <c r="I192" s="5"/>
      <c r="J192" s="5"/>
      <c r="K192" s="5"/>
      <c r="L192" s="5"/>
      <c r="M192" s="31"/>
      <c r="N192" s="29"/>
    </row>
    <row r="193" spans="1:14" s="33" customFormat="1" x14ac:dyDescent="0.25">
      <c r="A193" s="27"/>
      <c r="B193" s="5"/>
      <c r="C193" s="29"/>
      <c r="D193" s="65"/>
      <c r="E193" s="24"/>
      <c r="F193" s="25"/>
      <c r="G193" s="30"/>
      <c r="H193" s="31"/>
      <c r="I193" s="5"/>
      <c r="J193" s="5"/>
      <c r="K193" s="5"/>
      <c r="L193" s="5"/>
      <c r="M193" s="31"/>
      <c r="N193" s="29"/>
    </row>
    <row r="194" spans="1:14" s="33" customFormat="1" x14ac:dyDescent="0.25">
      <c r="A194" s="27"/>
      <c r="B194" s="5"/>
      <c r="C194" s="29"/>
      <c r="D194" s="65"/>
      <c r="E194" s="24"/>
      <c r="F194" s="25"/>
      <c r="G194" s="30"/>
      <c r="H194" s="31"/>
      <c r="I194" s="5"/>
      <c r="J194" s="5"/>
      <c r="K194" s="5"/>
      <c r="L194" s="5"/>
      <c r="M194" s="31"/>
      <c r="N194" s="29"/>
    </row>
    <row r="195" spans="1:14" s="33" customFormat="1" x14ac:dyDescent="0.25">
      <c r="A195" s="27"/>
      <c r="B195" s="5"/>
      <c r="C195" s="29"/>
      <c r="D195" s="65"/>
      <c r="E195" s="24"/>
      <c r="F195" s="25"/>
      <c r="G195" s="30"/>
      <c r="H195" s="31"/>
      <c r="I195" s="5"/>
      <c r="J195" s="5"/>
      <c r="K195" s="5"/>
      <c r="L195" s="5"/>
      <c r="M195" s="31"/>
      <c r="N195" s="29"/>
    </row>
    <row r="196" spans="1:14" s="33" customFormat="1" x14ac:dyDescent="0.25">
      <c r="A196" s="27"/>
      <c r="B196" s="5"/>
      <c r="C196" s="29"/>
      <c r="D196" s="65"/>
      <c r="E196" s="24"/>
      <c r="F196" s="25"/>
      <c r="G196" s="30"/>
      <c r="H196" s="31"/>
      <c r="I196" s="5"/>
      <c r="J196" s="5"/>
      <c r="K196" s="5"/>
      <c r="L196" s="5"/>
      <c r="M196" s="31"/>
      <c r="N196" s="29"/>
    </row>
    <row r="197" spans="1:14" s="33" customFormat="1" x14ac:dyDescent="0.25">
      <c r="A197" s="27"/>
      <c r="B197" s="5"/>
      <c r="C197" s="29"/>
      <c r="D197" s="65"/>
      <c r="E197" s="24"/>
      <c r="F197" s="25"/>
      <c r="G197" s="30"/>
      <c r="H197" s="31"/>
      <c r="I197" s="5"/>
      <c r="J197" s="5"/>
      <c r="K197" s="5"/>
      <c r="L197" s="5"/>
      <c r="M197" s="31"/>
      <c r="N197" s="29"/>
    </row>
    <row r="198" spans="1:14" s="33" customFormat="1" x14ac:dyDescent="0.25">
      <c r="A198" s="27"/>
      <c r="B198" s="5"/>
      <c r="C198" s="29"/>
      <c r="D198" s="65"/>
      <c r="E198" s="24"/>
      <c r="F198" s="25"/>
      <c r="G198" s="30"/>
      <c r="H198" s="31"/>
      <c r="I198" s="5"/>
      <c r="J198" s="5"/>
      <c r="K198" s="5"/>
      <c r="L198" s="5"/>
      <c r="M198" s="31"/>
      <c r="N198" s="29"/>
    </row>
    <row r="199" spans="1:14" s="33" customFormat="1" x14ac:dyDescent="0.25">
      <c r="A199" s="27"/>
      <c r="B199" s="5"/>
      <c r="C199" s="29"/>
      <c r="D199" s="65"/>
      <c r="E199" s="24"/>
      <c r="F199" s="25"/>
      <c r="G199" s="30"/>
      <c r="H199" s="31"/>
      <c r="I199" s="5"/>
      <c r="J199" s="5"/>
      <c r="K199" s="5"/>
      <c r="L199" s="5"/>
      <c r="M199" s="31"/>
      <c r="N199" s="29"/>
    </row>
    <row r="200" spans="1:14" s="33" customFormat="1" x14ac:dyDescent="0.25">
      <c r="A200" s="27"/>
      <c r="B200" s="5"/>
      <c r="C200" s="29"/>
      <c r="D200" s="65"/>
      <c r="E200" s="24"/>
      <c r="F200" s="25"/>
      <c r="G200" s="30"/>
      <c r="H200" s="31"/>
      <c r="I200" s="5"/>
      <c r="J200" s="5"/>
      <c r="K200" s="5"/>
      <c r="L200" s="5"/>
      <c r="M200" s="31"/>
      <c r="N200" s="29"/>
    </row>
    <row r="201" spans="1:14" s="33" customFormat="1" x14ac:dyDescent="0.25">
      <c r="A201" s="27"/>
      <c r="B201" s="5"/>
      <c r="C201" s="29"/>
      <c r="D201" s="65"/>
      <c r="E201" s="24"/>
      <c r="F201" s="25"/>
      <c r="G201" s="30"/>
      <c r="H201" s="31"/>
      <c r="I201" s="5"/>
      <c r="J201" s="5"/>
      <c r="K201" s="5"/>
      <c r="L201" s="5"/>
      <c r="M201" s="31"/>
      <c r="N201" s="29"/>
    </row>
    <row r="202" spans="1:14" s="33" customFormat="1" x14ac:dyDescent="0.25">
      <c r="A202" s="27"/>
      <c r="B202" s="5"/>
      <c r="C202" s="29"/>
      <c r="D202" s="65"/>
      <c r="E202" s="24"/>
      <c r="F202" s="25"/>
      <c r="G202" s="30"/>
      <c r="H202" s="31"/>
      <c r="I202" s="5"/>
      <c r="J202" s="5"/>
      <c r="K202" s="5"/>
      <c r="L202" s="5"/>
      <c r="M202" s="31"/>
      <c r="N202" s="29"/>
    </row>
    <row r="203" spans="1:14" s="33" customFormat="1" x14ac:dyDescent="0.25">
      <c r="A203" s="27"/>
      <c r="B203" s="5"/>
      <c r="C203" s="29"/>
      <c r="D203" s="65"/>
      <c r="E203" s="24"/>
      <c r="F203" s="25"/>
      <c r="G203" s="30"/>
      <c r="H203" s="31"/>
      <c r="I203" s="5"/>
      <c r="J203" s="5"/>
      <c r="K203" s="5"/>
      <c r="L203" s="5"/>
      <c r="M203" s="31"/>
      <c r="N203" s="29"/>
    </row>
    <row r="204" spans="1:14" s="33" customFormat="1" x14ac:dyDescent="0.25">
      <c r="A204" s="27"/>
      <c r="B204" s="5"/>
      <c r="C204" s="29"/>
      <c r="D204" s="65"/>
      <c r="E204" s="24"/>
      <c r="F204" s="25"/>
      <c r="G204" s="30"/>
      <c r="H204" s="31"/>
      <c r="I204" s="5"/>
      <c r="J204" s="5"/>
      <c r="K204" s="5"/>
      <c r="L204" s="5"/>
      <c r="M204" s="31"/>
      <c r="N204" s="29"/>
    </row>
    <row r="205" spans="1:14" s="33" customFormat="1" x14ac:dyDescent="0.25">
      <c r="A205" s="27"/>
      <c r="B205" s="5"/>
      <c r="C205" s="29"/>
      <c r="D205" s="65"/>
      <c r="E205" s="24"/>
      <c r="F205" s="25"/>
      <c r="G205" s="30"/>
      <c r="H205" s="31"/>
      <c r="I205" s="5"/>
      <c r="J205" s="5"/>
      <c r="K205" s="5"/>
      <c r="L205" s="5"/>
      <c r="M205" s="31"/>
      <c r="N205" s="29"/>
    </row>
    <row r="206" spans="1:14" s="33" customFormat="1" x14ac:dyDescent="0.25">
      <c r="A206" s="27"/>
      <c r="B206" s="5"/>
      <c r="C206" s="29"/>
      <c r="D206" s="65"/>
      <c r="E206" s="24"/>
      <c r="F206" s="25"/>
      <c r="G206" s="30"/>
      <c r="H206" s="31"/>
      <c r="I206" s="5"/>
      <c r="J206" s="5"/>
      <c r="K206" s="5"/>
      <c r="L206" s="5"/>
      <c r="M206" s="31"/>
      <c r="N206" s="29"/>
    </row>
    <row r="207" spans="1:14" s="33" customFormat="1" x14ac:dyDescent="0.25">
      <c r="A207" s="27"/>
      <c r="B207" s="5"/>
      <c r="C207" s="29"/>
      <c r="D207" s="65"/>
      <c r="E207" s="24"/>
      <c r="F207" s="25"/>
      <c r="G207" s="30"/>
      <c r="H207" s="31"/>
      <c r="I207" s="5"/>
      <c r="J207" s="5"/>
      <c r="K207" s="5"/>
      <c r="L207" s="5"/>
      <c r="M207" s="31"/>
      <c r="N207" s="29"/>
    </row>
    <row r="208" spans="1:14" s="33" customFormat="1" x14ac:dyDescent="0.25">
      <c r="A208" s="27"/>
      <c r="B208" s="5"/>
      <c r="C208" s="29"/>
      <c r="D208" s="65"/>
      <c r="E208" s="24"/>
      <c r="F208" s="25"/>
      <c r="G208" s="30"/>
      <c r="H208" s="31"/>
      <c r="I208" s="5"/>
      <c r="J208" s="5"/>
      <c r="K208" s="5"/>
      <c r="L208" s="5"/>
      <c r="M208" s="31"/>
      <c r="N208" s="29"/>
    </row>
    <row r="209" spans="1:14" s="33" customFormat="1" x14ac:dyDescent="0.25">
      <c r="A209" s="27"/>
      <c r="B209" s="5"/>
      <c r="C209" s="29"/>
      <c r="D209" s="65"/>
      <c r="E209" s="24"/>
      <c r="F209" s="25"/>
      <c r="G209" s="30"/>
      <c r="H209" s="31"/>
      <c r="I209" s="5"/>
      <c r="J209" s="5"/>
      <c r="K209" s="5"/>
      <c r="L209" s="5"/>
      <c r="M209" s="31"/>
      <c r="N209" s="29"/>
    </row>
    <row r="210" spans="1:14" s="33" customFormat="1" x14ac:dyDescent="0.25">
      <c r="A210" s="27"/>
      <c r="B210" s="5"/>
      <c r="C210" s="29"/>
      <c r="D210" s="65"/>
      <c r="E210" s="24"/>
      <c r="F210" s="25"/>
      <c r="G210" s="30"/>
      <c r="H210" s="31"/>
      <c r="I210" s="5"/>
      <c r="J210" s="5"/>
      <c r="K210" s="5"/>
      <c r="L210" s="5"/>
      <c r="M210" s="31"/>
      <c r="N210" s="29"/>
    </row>
    <row r="211" spans="1:14" s="33" customFormat="1" x14ac:dyDescent="0.25">
      <c r="A211" s="27"/>
      <c r="B211" s="5"/>
      <c r="C211" s="29"/>
      <c r="D211" s="65"/>
      <c r="E211" s="24"/>
      <c r="F211" s="25"/>
      <c r="G211" s="30"/>
      <c r="H211" s="31"/>
      <c r="I211" s="5"/>
      <c r="J211" s="5"/>
      <c r="K211" s="5"/>
      <c r="L211" s="5"/>
      <c r="M211" s="31"/>
      <c r="N211" s="29"/>
    </row>
    <row r="212" spans="1:14" s="33" customFormat="1" x14ac:dyDescent="0.25">
      <c r="A212" s="27"/>
      <c r="B212" s="5"/>
      <c r="C212" s="29"/>
      <c r="D212" s="65"/>
      <c r="E212" s="24"/>
      <c r="F212" s="25"/>
      <c r="G212" s="30"/>
      <c r="H212" s="31"/>
      <c r="I212" s="5"/>
      <c r="J212" s="5"/>
      <c r="K212" s="5"/>
      <c r="L212" s="5"/>
      <c r="M212" s="31"/>
      <c r="N212" s="29"/>
    </row>
    <row r="213" spans="1:14" s="33" customFormat="1" x14ac:dyDescent="0.25">
      <c r="A213" s="27"/>
      <c r="B213" s="5"/>
      <c r="C213" s="29"/>
      <c r="D213" s="65"/>
      <c r="E213" s="24"/>
      <c r="F213" s="25"/>
      <c r="G213" s="30"/>
      <c r="H213" s="31"/>
      <c r="I213" s="5"/>
      <c r="J213" s="5"/>
      <c r="K213" s="5"/>
      <c r="L213" s="5"/>
      <c r="M213" s="31"/>
      <c r="N213" s="29"/>
    </row>
    <row r="214" spans="1:14" s="33" customFormat="1" x14ac:dyDescent="0.25">
      <c r="A214" s="27"/>
      <c r="B214" s="5"/>
      <c r="C214" s="29"/>
      <c r="D214" s="65"/>
      <c r="E214" s="24"/>
      <c r="F214" s="25"/>
      <c r="G214" s="30"/>
      <c r="H214" s="31"/>
      <c r="I214" s="5"/>
      <c r="J214" s="5"/>
      <c r="K214" s="5"/>
      <c r="L214" s="5"/>
      <c r="M214" s="31"/>
      <c r="N214" s="29"/>
    </row>
    <row r="215" spans="1:14" s="33" customFormat="1" x14ac:dyDescent="0.25">
      <c r="A215" s="27"/>
      <c r="B215" s="5"/>
      <c r="C215" s="29"/>
      <c r="D215" s="65"/>
      <c r="E215" s="24"/>
      <c r="F215" s="25"/>
      <c r="G215" s="30"/>
      <c r="H215" s="31"/>
      <c r="I215" s="5"/>
      <c r="J215" s="5"/>
      <c r="K215" s="5"/>
      <c r="L215" s="5"/>
      <c r="M215" s="31"/>
      <c r="N215" s="29"/>
    </row>
    <row r="216" spans="1:14" s="33" customFormat="1" x14ac:dyDescent="0.25">
      <c r="A216" s="27"/>
      <c r="B216" s="5"/>
      <c r="C216" s="29"/>
      <c r="D216" s="65"/>
      <c r="E216" s="24"/>
      <c r="F216" s="25"/>
      <c r="G216" s="30"/>
      <c r="H216" s="31"/>
      <c r="I216" s="5"/>
      <c r="J216" s="5"/>
      <c r="K216" s="5"/>
      <c r="L216" s="5"/>
      <c r="M216" s="31"/>
      <c r="N216" s="29"/>
    </row>
    <row r="217" spans="1:14" s="33" customFormat="1" x14ac:dyDescent="0.25">
      <c r="A217" s="27"/>
      <c r="B217" s="5"/>
      <c r="C217" s="29"/>
      <c r="D217" s="65"/>
      <c r="E217" s="24"/>
      <c r="F217" s="25"/>
      <c r="G217" s="30"/>
      <c r="H217" s="31"/>
      <c r="I217" s="5"/>
      <c r="J217" s="5"/>
      <c r="K217" s="5"/>
      <c r="L217" s="5"/>
      <c r="M217" s="31"/>
      <c r="N217" s="29"/>
    </row>
    <row r="218" spans="1:14" s="33" customFormat="1" x14ac:dyDescent="0.25">
      <c r="A218" s="27"/>
      <c r="B218" s="5"/>
      <c r="C218" s="29"/>
      <c r="D218" s="65"/>
      <c r="E218" s="24"/>
      <c r="F218" s="25"/>
      <c r="G218" s="30"/>
      <c r="H218" s="31"/>
      <c r="I218" s="5"/>
      <c r="J218" s="5"/>
      <c r="K218" s="5"/>
      <c r="L218" s="5"/>
      <c r="M218" s="31"/>
      <c r="N218" s="29"/>
    </row>
    <row r="219" spans="1:14" s="33" customFormat="1" x14ac:dyDescent="0.25">
      <c r="A219" s="27"/>
      <c r="B219" s="5"/>
      <c r="C219" s="29"/>
      <c r="D219" s="65"/>
      <c r="E219" s="24"/>
      <c r="F219" s="25"/>
      <c r="G219" s="30"/>
      <c r="H219" s="31"/>
      <c r="I219" s="5"/>
      <c r="J219" s="5"/>
      <c r="K219" s="5"/>
      <c r="L219" s="5"/>
      <c r="M219" s="31"/>
      <c r="N219" s="29"/>
    </row>
    <row r="220" spans="1:14" s="33" customFormat="1" x14ac:dyDescent="0.25">
      <c r="A220" s="27"/>
      <c r="B220" s="5"/>
      <c r="C220" s="29"/>
      <c r="D220" s="65"/>
      <c r="E220" s="24"/>
      <c r="F220" s="25"/>
      <c r="G220" s="30"/>
      <c r="H220" s="31"/>
      <c r="I220" s="5"/>
      <c r="J220" s="5"/>
      <c r="K220" s="5"/>
      <c r="L220" s="5"/>
      <c r="M220" s="31"/>
      <c r="N220" s="29"/>
    </row>
    <row r="221" spans="1:14" s="33" customFormat="1" x14ac:dyDescent="0.25">
      <c r="A221" s="27"/>
      <c r="B221" s="5"/>
      <c r="C221" s="29"/>
      <c r="D221" s="65"/>
      <c r="E221" s="24"/>
      <c r="F221" s="25"/>
      <c r="G221" s="30"/>
      <c r="H221" s="31"/>
      <c r="I221" s="5"/>
      <c r="J221" s="5"/>
      <c r="K221" s="5"/>
      <c r="L221" s="5"/>
      <c r="M221" s="31"/>
      <c r="N221" s="29"/>
    </row>
    <row r="222" spans="1:14" s="33" customFormat="1" x14ac:dyDescent="0.25">
      <c r="A222" s="27"/>
      <c r="B222" s="5"/>
      <c r="C222" s="29"/>
      <c r="D222" s="65"/>
      <c r="E222" s="24"/>
      <c r="F222" s="25"/>
      <c r="G222" s="30"/>
      <c r="H222" s="31"/>
      <c r="I222" s="5"/>
      <c r="J222" s="5"/>
      <c r="K222" s="5"/>
      <c r="L222" s="5"/>
      <c r="M222" s="31"/>
      <c r="N222" s="29"/>
    </row>
    <row r="223" spans="1:14" s="33" customFormat="1" x14ac:dyDescent="0.25">
      <c r="A223" s="27"/>
      <c r="B223" s="5"/>
      <c r="C223" s="29"/>
      <c r="D223" s="65"/>
      <c r="E223" s="24"/>
      <c r="F223" s="25"/>
      <c r="G223" s="30"/>
      <c r="H223" s="31"/>
      <c r="I223" s="5"/>
      <c r="J223" s="5"/>
      <c r="K223" s="5"/>
      <c r="L223" s="5"/>
      <c r="M223" s="31"/>
      <c r="N223" s="29"/>
    </row>
    <row r="224" spans="1:14" s="33" customFormat="1" x14ac:dyDescent="0.25">
      <c r="A224" s="27"/>
      <c r="B224" s="5"/>
      <c r="C224" s="29"/>
      <c r="D224" s="65"/>
      <c r="E224" s="24"/>
      <c r="F224" s="25"/>
      <c r="G224" s="30"/>
      <c r="H224" s="31"/>
      <c r="I224" s="5"/>
      <c r="J224" s="5"/>
      <c r="K224" s="5"/>
      <c r="L224" s="5"/>
      <c r="M224" s="31"/>
      <c r="N224" s="29"/>
    </row>
    <row r="225" spans="1:14" s="33" customFormat="1" x14ac:dyDescent="0.25">
      <c r="A225" s="27"/>
      <c r="B225" s="5"/>
      <c r="C225" s="29"/>
      <c r="D225" s="65"/>
      <c r="E225" s="24"/>
      <c r="F225" s="25"/>
      <c r="G225" s="30"/>
      <c r="H225" s="31"/>
      <c r="I225" s="5"/>
      <c r="J225" s="5"/>
      <c r="K225" s="5"/>
      <c r="L225" s="5"/>
      <c r="M225" s="31"/>
      <c r="N225" s="29"/>
    </row>
    <row r="226" spans="1:14" s="33" customFormat="1" x14ac:dyDescent="0.25">
      <c r="A226" s="27"/>
      <c r="B226" s="5"/>
      <c r="C226" s="29"/>
      <c r="D226" s="65"/>
      <c r="E226" s="24"/>
      <c r="F226" s="25"/>
      <c r="G226" s="30"/>
      <c r="H226" s="31"/>
      <c r="I226" s="5"/>
      <c r="J226" s="5"/>
      <c r="K226" s="5"/>
      <c r="L226" s="5"/>
      <c r="M226" s="31"/>
      <c r="N226" s="29"/>
    </row>
    <row r="227" spans="1:14" s="33" customFormat="1" x14ac:dyDescent="0.25">
      <c r="A227" s="27"/>
      <c r="B227" s="5"/>
      <c r="C227" s="29"/>
      <c r="D227" s="65"/>
      <c r="E227" s="24"/>
      <c r="F227" s="25"/>
      <c r="G227" s="30"/>
      <c r="H227" s="31"/>
      <c r="I227" s="5"/>
      <c r="J227" s="5"/>
      <c r="K227" s="5"/>
      <c r="L227" s="5"/>
      <c r="M227" s="31"/>
      <c r="N227" s="29"/>
    </row>
    <row r="228" spans="1:14" s="33" customFormat="1" x14ac:dyDescent="0.25">
      <c r="A228" s="27"/>
      <c r="B228" s="5"/>
      <c r="C228" s="29"/>
      <c r="D228" s="65"/>
      <c r="E228" s="24"/>
      <c r="F228" s="25"/>
      <c r="G228" s="30"/>
      <c r="H228" s="31"/>
      <c r="I228" s="5"/>
      <c r="J228" s="5"/>
      <c r="K228" s="5"/>
      <c r="L228" s="5"/>
      <c r="M228" s="31"/>
      <c r="N228" s="29"/>
    </row>
    <row r="229" spans="1:14" s="33" customFormat="1" x14ac:dyDescent="0.25">
      <c r="A229" s="27"/>
      <c r="B229" s="5"/>
      <c r="C229" s="29"/>
      <c r="D229" s="65"/>
      <c r="E229" s="24"/>
      <c r="F229" s="25"/>
      <c r="G229" s="30"/>
      <c r="H229" s="31"/>
      <c r="I229" s="5"/>
      <c r="J229" s="5"/>
      <c r="K229" s="5"/>
      <c r="L229" s="5"/>
      <c r="M229" s="31"/>
      <c r="N229" s="29"/>
    </row>
    <row r="230" spans="1:14" s="33" customFormat="1" x14ac:dyDescent="0.25">
      <c r="A230" s="27"/>
      <c r="B230" s="5"/>
      <c r="C230" s="29"/>
      <c r="D230" s="65"/>
      <c r="E230" s="24"/>
      <c r="F230" s="25"/>
      <c r="G230" s="30"/>
      <c r="H230" s="31"/>
      <c r="I230" s="5"/>
      <c r="J230" s="5"/>
      <c r="K230" s="5"/>
      <c r="L230" s="5"/>
      <c r="M230" s="31"/>
      <c r="N230" s="29"/>
    </row>
    <row r="231" spans="1:14" s="33" customFormat="1" x14ac:dyDescent="0.25">
      <c r="A231" s="27"/>
      <c r="B231" s="5"/>
      <c r="C231" s="29"/>
      <c r="D231" s="65"/>
      <c r="E231" s="24"/>
      <c r="F231" s="25"/>
      <c r="G231" s="30"/>
      <c r="H231" s="31"/>
      <c r="I231" s="5"/>
      <c r="J231" s="5"/>
      <c r="K231" s="5"/>
      <c r="L231" s="5"/>
      <c r="M231" s="31"/>
      <c r="N231" s="29"/>
    </row>
    <row r="232" spans="1:14" s="33" customFormat="1" x14ac:dyDescent="0.25">
      <c r="A232" s="27"/>
      <c r="B232" s="5"/>
      <c r="C232" s="29"/>
      <c r="D232" s="65"/>
      <c r="E232" s="24"/>
      <c r="F232" s="25"/>
      <c r="G232" s="30"/>
      <c r="H232" s="31"/>
      <c r="I232" s="5"/>
      <c r="J232" s="5"/>
      <c r="K232" s="5"/>
      <c r="L232" s="5"/>
      <c r="M232" s="31"/>
      <c r="N232" s="29"/>
    </row>
    <row r="233" spans="1:14" s="33" customFormat="1" x14ac:dyDescent="0.25">
      <c r="A233" s="27"/>
      <c r="B233" s="5"/>
      <c r="C233" s="29"/>
      <c r="D233" s="65"/>
      <c r="E233" s="24"/>
      <c r="F233" s="25"/>
      <c r="G233" s="30"/>
      <c r="H233" s="31"/>
      <c r="I233" s="5"/>
      <c r="J233" s="5"/>
      <c r="K233" s="5"/>
      <c r="L233" s="5"/>
      <c r="M233" s="31"/>
      <c r="N233" s="29"/>
    </row>
    <row r="234" spans="1:14" s="33" customFormat="1" x14ac:dyDescent="0.25">
      <c r="A234" s="27"/>
      <c r="B234" s="5"/>
      <c r="C234" s="29"/>
      <c r="D234" s="65"/>
      <c r="E234" s="24"/>
      <c r="F234" s="25"/>
      <c r="G234" s="30"/>
      <c r="H234" s="31"/>
      <c r="I234" s="5"/>
      <c r="J234" s="5"/>
      <c r="K234" s="5"/>
      <c r="L234" s="5"/>
      <c r="M234" s="31"/>
      <c r="N234" s="29"/>
    </row>
    <row r="235" spans="1:14" s="33" customFormat="1" x14ac:dyDescent="0.25">
      <c r="A235" s="27"/>
      <c r="B235" s="5"/>
      <c r="C235" s="29"/>
      <c r="D235" s="65"/>
      <c r="E235" s="24"/>
      <c r="F235" s="25"/>
      <c r="G235" s="30"/>
      <c r="H235" s="31"/>
      <c r="I235" s="5"/>
      <c r="J235" s="5"/>
      <c r="K235" s="5"/>
      <c r="L235" s="5"/>
      <c r="M235" s="31"/>
      <c r="N235" s="29"/>
    </row>
    <row r="236" spans="1:14" s="33" customFormat="1" x14ac:dyDescent="0.25">
      <c r="A236" s="27"/>
      <c r="B236" s="5"/>
      <c r="C236" s="29"/>
      <c r="D236" s="65"/>
      <c r="E236" s="24"/>
      <c r="F236" s="25"/>
      <c r="G236" s="30"/>
      <c r="H236" s="31"/>
      <c r="I236" s="5"/>
      <c r="J236" s="5"/>
      <c r="K236" s="5"/>
      <c r="L236" s="5"/>
      <c r="M236" s="31"/>
      <c r="N236" s="29"/>
    </row>
    <row r="237" spans="1:14" s="33" customFormat="1" x14ac:dyDescent="0.25">
      <c r="A237" s="27"/>
      <c r="B237" s="5"/>
      <c r="C237" s="29"/>
      <c r="D237" s="65"/>
      <c r="E237" s="24"/>
      <c r="F237" s="25"/>
      <c r="G237" s="30"/>
      <c r="H237" s="31"/>
      <c r="I237" s="5"/>
      <c r="J237" s="5"/>
      <c r="K237" s="5"/>
      <c r="L237" s="5"/>
      <c r="M237" s="31"/>
      <c r="N237" s="29"/>
    </row>
    <row r="238" spans="1:14" s="33" customFormat="1" x14ac:dyDescent="0.25">
      <c r="A238" s="27"/>
      <c r="B238" s="5"/>
      <c r="C238" s="29"/>
      <c r="D238" s="65"/>
      <c r="E238" s="24"/>
      <c r="F238" s="25"/>
      <c r="G238" s="30"/>
      <c r="H238" s="31"/>
      <c r="I238" s="5"/>
      <c r="J238" s="5"/>
      <c r="K238" s="5"/>
      <c r="L238" s="5"/>
      <c r="M238" s="31"/>
      <c r="N238" s="29"/>
    </row>
    <row r="239" spans="1:14" s="33" customFormat="1" x14ac:dyDescent="0.25">
      <c r="A239" s="27"/>
      <c r="B239" s="5"/>
      <c r="C239" s="29"/>
      <c r="D239" s="65"/>
      <c r="E239" s="24"/>
      <c r="F239" s="25"/>
      <c r="G239" s="30"/>
      <c r="H239" s="31"/>
      <c r="I239" s="5"/>
      <c r="J239" s="5"/>
      <c r="K239" s="5"/>
      <c r="L239" s="5"/>
      <c r="M239" s="31"/>
      <c r="N239" s="29"/>
    </row>
    <row r="240" spans="1:14" s="33" customFormat="1" x14ac:dyDescent="0.25">
      <c r="A240" s="27"/>
      <c r="B240" s="5"/>
      <c r="C240" s="29"/>
      <c r="D240" s="65"/>
      <c r="E240" s="24"/>
      <c r="F240" s="25"/>
      <c r="G240" s="30"/>
      <c r="H240" s="31"/>
      <c r="I240" s="5"/>
      <c r="J240" s="5"/>
      <c r="K240" s="5"/>
      <c r="L240" s="5"/>
      <c r="M240" s="31"/>
      <c r="N240" s="29"/>
    </row>
    <row r="241" spans="1:14" s="33" customFormat="1" x14ac:dyDescent="0.25">
      <c r="A241" s="27"/>
      <c r="B241" s="5"/>
      <c r="C241" s="29"/>
      <c r="D241" s="65"/>
      <c r="E241" s="24"/>
      <c r="F241" s="25"/>
      <c r="G241" s="30"/>
      <c r="H241" s="31"/>
      <c r="I241" s="5"/>
      <c r="J241" s="5"/>
      <c r="K241" s="5"/>
      <c r="L241" s="5"/>
      <c r="M241" s="31"/>
      <c r="N241" s="29"/>
    </row>
    <row r="242" spans="1:14" s="33" customFormat="1" x14ac:dyDescent="0.25">
      <c r="A242" s="27"/>
      <c r="B242" s="5"/>
      <c r="C242" s="29"/>
      <c r="D242" s="65"/>
      <c r="E242" s="24"/>
      <c r="F242" s="25"/>
      <c r="G242" s="30"/>
      <c r="H242" s="31"/>
      <c r="I242" s="5"/>
      <c r="J242" s="5"/>
      <c r="K242" s="5"/>
      <c r="L242" s="5"/>
      <c r="M242" s="31"/>
      <c r="N242" s="29"/>
    </row>
    <row r="243" spans="1:14" s="33" customFormat="1" x14ac:dyDescent="0.25">
      <c r="A243" s="27"/>
      <c r="B243" s="5"/>
      <c r="C243" s="29"/>
      <c r="D243" s="65"/>
      <c r="E243" s="24"/>
      <c r="F243" s="25"/>
      <c r="G243" s="30"/>
      <c r="H243" s="31"/>
      <c r="I243" s="5"/>
      <c r="J243" s="5"/>
      <c r="K243" s="5"/>
      <c r="L243" s="5"/>
      <c r="M243" s="31"/>
      <c r="N243" s="29"/>
    </row>
    <row r="244" spans="1:14" s="33" customFormat="1" x14ac:dyDescent="0.25">
      <c r="A244" s="27"/>
      <c r="B244" s="5"/>
      <c r="C244" s="29"/>
      <c r="D244" s="65"/>
      <c r="E244" s="24"/>
      <c r="F244" s="25"/>
      <c r="G244" s="30"/>
      <c r="H244" s="31"/>
      <c r="I244" s="5"/>
      <c r="J244" s="5"/>
      <c r="K244" s="5"/>
      <c r="L244" s="5"/>
      <c r="M244" s="31"/>
      <c r="N244" s="29"/>
    </row>
    <row r="245" spans="1:14" s="33" customFormat="1" x14ac:dyDescent="0.25">
      <c r="A245" s="27"/>
      <c r="B245" s="5"/>
      <c r="C245" s="29"/>
      <c r="D245" s="65"/>
      <c r="E245" s="24"/>
      <c r="F245" s="25"/>
      <c r="G245" s="30"/>
      <c r="H245" s="31"/>
      <c r="I245" s="5"/>
      <c r="J245" s="5"/>
      <c r="K245" s="5"/>
      <c r="L245" s="5"/>
      <c r="M245" s="31"/>
      <c r="N245" s="29"/>
    </row>
    <row r="246" spans="1:14" s="33" customFormat="1" x14ac:dyDescent="0.25">
      <c r="A246" s="27"/>
      <c r="B246" s="5"/>
      <c r="C246" s="29"/>
      <c r="D246" s="65"/>
      <c r="E246" s="24"/>
      <c r="F246" s="25"/>
      <c r="G246" s="30"/>
      <c r="H246" s="31"/>
      <c r="I246" s="5"/>
      <c r="J246" s="5"/>
      <c r="K246" s="5"/>
      <c r="L246" s="5"/>
      <c r="M246" s="31"/>
      <c r="N246" s="29"/>
    </row>
    <row r="247" spans="1:14" s="33" customFormat="1" x14ac:dyDescent="0.25">
      <c r="A247" s="27"/>
      <c r="B247" s="5"/>
      <c r="C247" s="29"/>
      <c r="D247" s="65"/>
      <c r="E247" s="24"/>
      <c r="F247" s="25"/>
      <c r="G247" s="30"/>
      <c r="H247" s="31"/>
      <c r="I247" s="5"/>
      <c r="J247" s="5"/>
      <c r="K247" s="5"/>
      <c r="L247" s="5"/>
      <c r="M247" s="31"/>
      <c r="N247" s="29"/>
    </row>
    <row r="248" spans="1:14" s="33" customFormat="1" x14ac:dyDescent="0.25">
      <c r="A248" s="27"/>
      <c r="B248" s="5"/>
      <c r="C248" s="29"/>
      <c r="D248" s="65"/>
      <c r="E248" s="24"/>
      <c r="F248" s="25"/>
      <c r="G248" s="30"/>
      <c r="H248" s="31"/>
      <c r="I248" s="5"/>
      <c r="J248" s="5"/>
      <c r="K248" s="5"/>
      <c r="L248" s="5"/>
      <c r="M248" s="31"/>
      <c r="N248" s="29"/>
    </row>
    <row r="249" spans="1:14" s="33" customFormat="1" x14ac:dyDescent="0.25">
      <c r="A249" s="27"/>
      <c r="B249" s="5"/>
      <c r="C249" s="29"/>
      <c r="D249" s="65"/>
      <c r="E249" s="24"/>
      <c r="F249" s="25"/>
      <c r="G249" s="30"/>
      <c r="H249" s="31"/>
      <c r="I249" s="5"/>
      <c r="J249" s="5"/>
      <c r="K249" s="5"/>
      <c r="L249" s="5"/>
      <c r="M249" s="31"/>
      <c r="N249" s="29"/>
    </row>
    <row r="250" spans="1:14" s="33" customFormat="1" x14ac:dyDescent="0.25">
      <c r="A250" s="27"/>
      <c r="B250" s="5"/>
      <c r="C250" s="29"/>
      <c r="D250" s="65"/>
      <c r="E250" s="24"/>
      <c r="F250" s="25"/>
      <c r="G250" s="30"/>
      <c r="H250" s="31"/>
      <c r="I250" s="5"/>
      <c r="J250" s="5"/>
      <c r="K250" s="5"/>
      <c r="L250" s="5"/>
      <c r="M250" s="31"/>
      <c r="N250" s="29"/>
    </row>
    <row r="251" spans="1:14" s="33" customFormat="1" x14ac:dyDescent="0.25">
      <c r="A251" s="27"/>
      <c r="B251" s="5"/>
      <c r="C251" s="29"/>
      <c r="D251" s="65"/>
      <c r="E251" s="24"/>
      <c r="F251" s="25"/>
      <c r="G251" s="30"/>
      <c r="H251" s="31"/>
      <c r="I251" s="5"/>
      <c r="J251" s="5"/>
      <c r="K251" s="5"/>
      <c r="L251" s="5"/>
      <c r="M251" s="31"/>
      <c r="N251" s="29"/>
    </row>
    <row r="252" spans="1:14" s="33" customFormat="1" x14ac:dyDescent="0.25">
      <c r="A252" s="27"/>
      <c r="B252" s="5"/>
      <c r="C252" s="29"/>
      <c r="D252" s="65"/>
      <c r="E252" s="24"/>
      <c r="F252" s="25"/>
      <c r="G252" s="30"/>
      <c r="H252" s="31"/>
      <c r="I252" s="5"/>
      <c r="J252" s="5"/>
      <c r="K252" s="5"/>
      <c r="L252" s="5"/>
      <c r="M252" s="31"/>
      <c r="N252" s="29"/>
    </row>
    <row r="253" spans="1:14" s="33" customFormat="1" x14ac:dyDescent="0.25">
      <c r="A253" s="27"/>
      <c r="B253" s="5"/>
      <c r="C253" s="29"/>
      <c r="D253" s="65"/>
      <c r="E253" s="24"/>
      <c r="F253" s="25"/>
      <c r="G253" s="30"/>
      <c r="H253" s="31"/>
      <c r="I253" s="5"/>
      <c r="J253" s="5"/>
      <c r="K253" s="5"/>
      <c r="L253" s="5"/>
      <c r="M253" s="31"/>
      <c r="N253" s="29"/>
    </row>
    <row r="254" spans="1:14" s="33" customFormat="1" x14ac:dyDescent="0.25">
      <c r="A254" s="27"/>
      <c r="B254" s="5"/>
      <c r="C254" s="29"/>
      <c r="D254" s="65"/>
      <c r="E254" s="24"/>
      <c r="F254" s="25"/>
      <c r="G254" s="30"/>
      <c r="H254" s="31"/>
      <c r="I254" s="5"/>
      <c r="J254" s="5"/>
      <c r="K254" s="5"/>
      <c r="L254" s="5"/>
      <c r="M254" s="31"/>
      <c r="N254" s="29"/>
    </row>
    <row r="255" spans="1:14" s="33" customFormat="1" x14ac:dyDescent="0.25">
      <c r="A255" s="27"/>
      <c r="B255" s="5"/>
      <c r="C255" s="29"/>
      <c r="D255" s="65"/>
      <c r="E255" s="24"/>
      <c r="F255" s="25"/>
      <c r="G255" s="30"/>
      <c r="H255" s="31"/>
      <c r="I255" s="5"/>
      <c r="J255" s="5"/>
      <c r="K255" s="5"/>
      <c r="L255" s="5"/>
      <c r="M255" s="31"/>
      <c r="N255" s="29"/>
    </row>
    <row r="256" spans="1:14" s="33" customFormat="1" x14ac:dyDescent="0.25">
      <c r="A256" s="27"/>
      <c r="B256" s="5"/>
      <c r="C256" s="29"/>
      <c r="D256" s="65"/>
      <c r="E256" s="24"/>
      <c r="F256" s="25"/>
      <c r="G256" s="30"/>
      <c r="H256" s="31"/>
      <c r="I256" s="5"/>
      <c r="J256" s="5"/>
      <c r="K256" s="5"/>
      <c r="L256" s="5"/>
      <c r="M256" s="31"/>
      <c r="N256" s="29"/>
    </row>
    <row r="257" spans="1:14" s="33" customFormat="1" x14ac:dyDescent="0.25">
      <c r="A257" s="27"/>
      <c r="B257" s="5"/>
      <c r="C257" s="29"/>
      <c r="D257" s="65"/>
      <c r="E257" s="24"/>
      <c r="F257" s="25"/>
      <c r="G257" s="30"/>
      <c r="H257" s="31"/>
      <c r="I257" s="5"/>
      <c r="J257" s="5"/>
      <c r="K257" s="5"/>
      <c r="L257" s="5"/>
      <c r="M257" s="31"/>
      <c r="N257" s="29"/>
    </row>
    <row r="258" spans="1:14" s="33" customFormat="1" x14ac:dyDescent="0.25">
      <c r="A258" s="27"/>
      <c r="B258" s="5"/>
      <c r="C258" s="29"/>
      <c r="D258" s="65"/>
      <c r="E258" s="24"/>
      <c r="F258" s="25"/>
      <c r="G258" s="30"/>
      <c r="H258" s="31"/>
      <c r="I258" s="5"/>
      <c r="J258" s="5"/>
      <c r="K258" s="5"/>
      <c r="L258" s="5"/>
      <c r="M258" s="31"/>
      <c r="N258" s="29"/>
    </row>
    <row r="259" spans="1:14" s="33" customFormat="1" x14ac:dyDescent="0.25">
      <c r="A259" s="27"/>
      <c r="B259" s="5"/>
      <c r="C259" s="29"/>
      <c r="D259" s="65"/>
      <c r="E259" s="24"/>
      <c r="F259" s="25"/>
      <c r="G259" s="30"/>
      <c r="H259" s="31"/>
      <c r="I259" s="5"/>
      <c r="J259" s="5"/>
      <c r="K259" s="5"/>
      <c r="L259" s="5"/>
      <c r="M259" s="31"/>
      <c r="N259" s="29"/>
    </row>
    <row r="260" spans="1:14" s="33" customFormat="1" x14ac:dyDescent="0.25">
      <c r="A260" s="27"/>
      <c r="B260" s="5"/>
      <c r="C260" s="29"/>
      <c r="D260" s="65"/>
      <c r="E260" s="24"/>
      <c r="F260" s="25"/>
      <c r="G260" s="30"/>
      <c r="H260" s="31"/>
      <c r="I260" s="5"/>
      <c r="J260" s="5"/>
      <c r="K260" s="5"/>
      <c r="L260" s="5"/>
      <c r="M260" s="31"/>
      <c r="N260" s="29"/>
    </row>
    <row r="261" spans="1:14" s="33" customFormat="1" x14ac:dyDescent="0.25">
      <c r="A261" s="27"/>
      <c r="B261" s="5"/>
      <c r="C261" s="29"/>
      <c r="D261" s="65"/>
      <c r="E261" s="24"/>
      <c r="F261" s="25"/>
      <c r="G261" s="30"/>
      <c r="H261" s="31"/>
      <c r="I261" s="5"/>
      <c r="J261" s="5"/>
      <c r="K261" s="5"/>
      <c r="L261" s="5"/>
      <c r="M261" s="31"/>
      <c r="N261" s="29"/>
    </row>
    <row r="262" spans="1:14" s="33" customFormat="1" x14ac:dyDescent="0.25">
      <c r="A262" s="27"/>
      <c r="B262" s="5"/>
      <c r="C262" s="29"/>
      <c r="D262" s="65"/>
      <c r="E262" s="24"/>
      <c r="F262" s="25"/>
      <c r="G262" s="30"/>
      <c r="H262" s="31"/>
      <c r="I262" s="5"/>
      <c r="J262" s="5"/>
      <c r="K262" s="5"/>
      <c r="L262" s="5"/>
      <c r="M262" s="31"/>
      <c r="N262" s="29"/>
    </row>
    <row r="263" spans="1:14" s="33" customFormat="1" x14ac:dyDescent="0.25">
      <c r="A263" s="27"/>
      <c r="B263" s="5"/>
      <c r="C263" s="29"/>
      <c r="D263" s="65"/>
      <c r="E263" s="24"/>
      <c r="F263" s="25"/>
      <c r="G263" s="30"/>
      <c r="H263" s="31"/>
      <c r="I263" s="5"/>
      <c r="J263" s="5"/>
      <c r="K263" s="5"/>
      <c r="L263" s="5"/>
      <c r="M263" s="31"/>
      <c r="N263" s="29"/>
    </row>
    <row r="264" spans="1:14" s="33" customFormat="1" x14ac:dyDescent="0.25">
      <c r="A264" s="27"/>
      <c r="B264" s="5"/>
      <c r="C264" s="29"/>
      <c r="D264" s="65"/>
      <c r="E264" s="24"/>
      <c r="F264" s="25"/>
      <c r="G264" s="30"/>
      <c r="H264" s="31"/>
      <c r="I264" s="5"/>
      <c r="J264" s="5"/>
      <c r="K264" s="5"/>
      <c r="L264" s="5"/>
      <c r="M264" s="31"/>
      <c r="N264" s="29"/>
    </row>
    <row r="265" spans="1:14" s="33" customFormat="1" x14ac:dyDescent="0.25">
      <c r="A265" s="27"/>
      <c r="B265" s="5"/>
      <c r="C265" s="29"/>
      <c r="D265" s="65"/>
      <c r="E265" s="24"/>
      <c r="F265" s="25"/>
      <c r="G265" s="30"/>
      <c r="H265" s="31"/>
      <c r="I265" s="5"/>
      <c r="J265" s="5"/>
      <c r="K265" s="5"/>
      <c r="L265" s="5"/>
      <c r="M265" s="31"/>
      <c r="N265" s="29"/>
    </row>
    <row r="266" spans="1:14" s="33" customFormat="1" x14ac:dyDescent="0.25">
      <c r="A266" s="27"/>
      <c r="B266" s="5"/>
      <c r="C266" s="29"/>
      <c r="D266" s="65"/>
      <c r="E266" s="24"/>
      <c r="F266" s="25"/>
      <c r="G266" s="30"/>
      <c r="H266" s="31"/>
      <c r="I266" s="5"/>
      <c r="J266" s="5"/>
      <c r="K266" s="5"/>
      <c r="L266" s="5"/>
      <c r="M266" s="31"/>
      <c r="N266" s="29"/>
    </row>
    <row r="267" spans="1:14" s="33" customFormat="1" x14ac:dyDescent="0.25">
      <c r="A267" s="27"/>
      <c r="B267" s="5"/>
      <c r="C267" s="29"/>
      <c r="D267" s="65"/>
      <c r="E267" s="24"/>
      <c r="F267" s="25"/>
      <c r="G267" s="30"/>
      <c r="H267" s="31"/>
      <c r="I267" s="5"/>
      <c r="J267" s="5"/>
      <c r="K267" s="5"/>
      <c r="L267" s="5"/>
      <c r="M267" s="31"/>
      <c r="N267" s="29"/>
    </row>
    <row r="268" spans="1:14" s="33" customFormat="1" x14ac:dyDescent="0.25">
      <c r="A268" s="27"/>
      <c r="B268" s="5"/>
      <c r="C268" s="29"/>
      <c r="D268" s="65"/>
      <c r="E268" s="24"/>
      <c r="F268" s="25"/>
      <c r="G268" s="30"/>
      <c r="H268" s="31"/>
      <c r="I268" s="5"/>
      <c r="J268" s="5"/>
      <c r="K268" s="5"/>
      <c r="L268" s="5"/>
      <c r="M268" s="31"/>
      <c r="N268" s="29"/>
    </row>
    <row r="269" spans="1:14" s="33" customFormat="1" x14ac:dyDescent="0.25">
      <c r="A269" s="27"/>
      <c r="B269" s="5"/>
      <c r="C269" s="29"/>
      <c r="D269" s="65"/>
      <c r="E269" s="24"/>
      <c r="F269" s="25"/>
      <c r="G269" s="30"/>
      <c r="H269" s="31"/>
      <c r="I269" s="5"/>
      <c r="J269" s="5"/>
      <c r="K269" s="5"/>
      <c r="L269" s="5"/>
      <c r="M269" s="31"/>
      <c r="N269" s="29"/>
    </row>
    <row r="270" spans="1:14" s="33" customFormat="1" x14ac:dyDescent="0.25">
      <c r="A270" s="27"/>
      <c r="B270" s="5"/>
      <c r="C270" s="29"/>
      <c r="D270" s="65"/>
      <c r="E270" s="24"/>
      <c r="F270" s="25"/>
      <c r="G270" s="30"/>
      <c r="H270" s="31"/>
      <c r="I270" s="5"/>
      <c r="J270" s="5"/>
      <c r="K270" s="5"/>
      <c r="L270" s="5"/>
      <c r="M270" s="31"/>
      <c r="N270" s="29"/>
    </row>
    <row r="271" spans="1:14" s="33" customFormat="1" x14ac:dyDescent="0.25">
      <c r="A271" s="27"/>
      <c r="B271" s="5"/>
      <c r="C271" s="29"/>
      <c r="D271" s="65"/>
      <c r="E271" s="24"/>
      <c r="F271" s="25"/>
      <c r="G271" s="30"/>
      <c r="H271" s="31"/>
      <c r="I271" s="5"/>
      <c r="J271" s="5"/>
      <c r="K271" s="5"/>
      <c r="L271" s="5"/>
      <c r="M271" s="31"/>
      <c r="N271" s="29"/>
    </row>
    <row r="272" spans="1:14" s="33" customFormat="1" x14ac:dyDescent="0.25">
      <c r="A272" s="27"/>
      <c r="B272" s="5"/>
      <c r="C272" s="29"/>
      <c r="D272" s="65"/>
      <c r="E272" s="24"/>
      <c r="F272" s="25"/>
      <c r="G272" s="30"/>
      <c r="H272" s="31"/>
      <c r="I272" s="5"/>
      <c r="J272" s="5"/>
      <c r="K272" s="5"/>
      <c r="L272" s="5"/>
      <c r="M272" s="31"/>
      <c r="N272" s="29"/>
    </row>
    <row r="273" spans="1:14" s="33" customFormat="1" x14ac:dyDescent="0.25">
      <c r="A273" s="27"/>
      <c r="B273" s="5"/>
      <c r="C273" s="29"/>
      <c r="D273" s="65"/>
      <c r="E273" s="24"/>
      <c r="F273" s="25"/>
      <c r="G273" s="30"/>
      <c r="H273" s="31"/>
      <c r="I273" s="5"/>
      <c r="J273" s="5"/>
      <c r="K273" s="5"/>
      <c r="L273" s="5"/>
      <c r="M273" s="31"/>
      <c r="N273" s="29"/>
    </row>
    <row r="274" spans="1:14" s="33" customFormat="1" x14ac:dyDescent="0.25">
      <c r="A274" s="27"/>
      <c r="B274" s="5"/>
      <c r="C274" s="29"/>
      <c r="D274" s="65"/>
      <c r="E274" s="24"/>
      <c r="F274" s="25"/>
      <c r="G274" s="30"/>
      <c r="H274" s="31"/>
      <c r="I274" s="5"/>
      <c r="J274" s="5"/>
      <c r="K274" s="5"/>
      <c r="L274" s="5"/>
      <c r="M274" s="31"/>
      <c r="N274" s="29"/>
    </row>
    <row r="275" spans="1:14" s="33" customFormat="1" x14ac:dyDescent="0.25">
      <c r="A275" s="27"/>
      <c r="B275" s="5"/>
      <c r="C275" s="29"/>
      <c r="D275" s="65"/>
      <c r="E275" s="24"/>
      <c r="F275" s="25"/>
      <c r="G275" s="30"/>
      <c r="H275" s="31"/>
      <c r="I275" s="5"/>
      <c r="J275" s="5"/>
      <c r="K275" s="5"/>
      <c r="L275" s="5"/>
      <c r="M275" s="31"/>
      <c r="N275" s="29"/>
    </row>
    <row r="276" spans="1:14" s="33" customFormat="1" x14ac:dyDescent="0.25">
      <c r="A276" s="27"/>
      <c r="B276" s="5"/>
      <c r="C276" s="29"/>
      <c r="D276" s="65"/>
      <c r="E276" s="24"/>
      <c r="F276" s="25"/>
      <c r="G276" s="30"/>
      <c r="H276" s="31"/>
      <c r="I276" s="5"/>
      <c r="J276" s="5"/>
      <c r="K276" s="5"/>
      <c r="L276" s="5"/>
      <c r="M276" s="31"/>
      <c r="N276" s="29"/>
    </row>
    <row r="277" spans="1:14" s="33" customFormat="1" x14ac:dyDescent="0.25">
      <c r="A277" s="27"/>
      <c r="B277" s="5"/>
      <c r="C277" s="29"/>
      <c r="D277" s="65"/>
      <c r="E277" s="24"/>
      <c r="F277" s="25"/>
      <c r="G277" s="30"/>
      <c r="H277" s="31"/>
      <c r="I277" s="5"/>
      <c r="J277" s="5"/>
      <c r="K277" s="5"/>
      <c r="L277" s="5"/>
      <c r="M277" s="31"/>
      <c r="N277" s="29"/>
    </row>
    <row r="278" spans="1:14" s="33" customFormat="1" x14ac:dyDescent="0.25">
      <c r="A278" s="27"/>
      <c r="B278" s="5"/>
      <c r="C278" s="29"/>
      <c r="D278" s="65"/>
      <c r="E278" s="24"/>
      <c r="F278" s="25"/>
      <c r="G278" s="30"/>
      <c r="H278" s="31"/>
      <c r="I278" s="5"/>
      <c r="J278" s="5"/>
      <c r="K278" s="5"/>
      <c r="L278" s="5"/>
      <c r="M278" s="31"/>
      <c r="N278" s="29"/>
    </row>
    <row r="279" spans="1:14" s="33" customFormat="1" x14ac:dyDescent="0.25">
      <c r="A279" s="27"/>
      <c r="B279" s="5"/>
      <c r="C279" s="29"/>
      <c r="D279" s="65"/>
      <c r="E279" s="24"/>
      <c r="F279" s="25"/>
      <c r="G279" s="30"/>
      <c r="H279" s="31"/>
      <c r="I279" s="5"/>
      <c r="J279" s="5"/>
      <c r="K279" s="5"/>
      <c r="L279" s="5"/>
      <c r="M279" s="31"/>
      <c r="N279" s="29"/>
    </row>
    <row r="280" spans="1:14" s="33" customFormat="1" x14ac:dyDescent="0.25">
      <c r="A280" s="27"/>
      <c r="B280" s="5"/>
      <c r="C280" s="29"/>
      <c r="D280" s="65"/>
      <c r="E280" s="24"/>
      <c r="F280" s="25"/>
      <c r="G280" s="30"/>
      <c r="H280" s="31"/>
      <c r="I280" s="5"/>
      <c r="J280" s="5"/>
      <c r="K280" s="5"/>
      <c r="L280" s="5"/>
      <c r="M280" s="31"/>
      <c r="N280" s="29"/>
    </row>
    <row r="281" spans="1:14" s="33" customFormat="1" x14ac:dyDescent="0.25">
      <c r="A281" s="27"/>
      <c r="B281" s="5"/>
      <c r="C281" s="29"/>
      <c r="D281" s="65"/>
      <c r="E281" s="24"/>
      <c r="F281" s="25"/>
      <c r="G281" s="30"/>
      <c r="H281" s="31"/>
      <c r="I281" s="5"/>
      <c r="J281" s="5"/>
      <c r="K281" s="5"/>
      <c r="L281" s="5"/>
      <c r="M281" s="31"/>
      <c r="N281" s="29"/>
    </row>
    <row r="282" spans="1:14" s="33" customFormat="1" x14ac:dyDescent="0.25">
      <c r="A282" s="27"/>
      <c r="B282" s="5"/>
      <c r="C282" s="29"/>
      <c r="D282" s="65"/>
      <c r="E282" s="24"/>
      <c r="F282" s="25"/>
      <c r="G282" s="30"/>
      <c r="H282" s="31"/>
      <c r="I282" s="5"/>
      <c r="J282" s="5"/>
      <c r="K282" s="5"/>
      <c r="L282" s="5"/>
      <c r="M282" s="31"/>
      <c r="N282" s="29"/>
    </row>
    <row r="283" spans="1:14" s="33" customFormat="1" x14ac:dyDescent="0.25">
      <c r="A283" s="27"/>
      <c r="B283" s="5"/>
      <c r="C283" s="29"/>
      <c r="D283" s="65"/>
      <c r="E283" s="24"/>
      <c r="F283" s="25"/>
      <c r="G283" s="30"/>
      <c r="H283" s="31"/>
      <c r="I283" s="5"/>
      <c r="J283" s="5"/>
      <c r="K283" s="5"/>
      <c r="L283" s="5"/>
      <c r="M283" s="31"/>
      <c r="N283" s="29"/>
    </row>
    <row r="284" spans="1:14" s="33" customFormat="1" x14ac:dyDescent="0.25">
      <c r="A284" s="27"/>
      <c r="B284" s="5"/>
      <c r="C284" s="29"/>
      <c r="D284" s="65"/>
      <c r="E284" s="24"/>
      <c r="F284" s="25"/>
      <c r="G284" s="30"/>
      <c r="H284" s="31"/>
      <c r="I284" s="5"/>
      <c r="J284" s="5"/>
      <c r="K284" s="5"/>
      <c r="L284" s="5"/>
      <c r="M284" s="31"/>
      <c r="N284" s="29"/>
    </row>
    <row r="285" spans="1:14" s="33" customFormat="1" x14ac:dyDescent="0.25">
      <c r="A285" s="27"/>
      <c r="B285" s="5"/>
      <c r="C285" s="29"/>
      <c r="D285" s="65"/>
      <c r="E285" s="24"/>
      <c r="F285" s="25"/>
      <c r="G285" s="30"/>
      <c r="H285" s="31"/>
      <c r="I285" s="5"/>
      <c r="J285" s="5"/>
      <c r="K285" s="5"/>
      <c r="L285" s="5"/>
      <c r="M285" s="31"/>
      <c r="N285" s="29"/>
    </row>
    <row r="286" spans="1:14" s="33" customFormat="1" x14ac:dyDescent="0.25">
      <c r="A286" s="27"/>
      <c r="B286" s="5"/>
      <c r="C286" s="29"/>
      <c r="D286" s="65"/>
      <c r="E286" s="24"/>
      <c r="F286" s="25"/>
      <c r="G286" s="30"/>
      <c r="H286" s="31"/>
      <c r="I286" s="5"/>
      <c r="J286" s="5"/>
      <c r="K286" s="5"/>
      <c r="L286" s="5"/>
      <c r="M286" s="31"/>
      <c r="N286" s="29"/>
    </row>
    <row r="287" spans="1:14" s="33" customFormat="1" x14ac:dyDescent="0.25">
      <c r="A287" s="27"/>
      <c r="B287" s="5"/>
      <c r="C287" s="29"/>
      <c r="D287" s="65"/>
      <c r="E287" s="24"/>
      <c r="F287" s="25"/>
      <c r="G287" s="30"/>
      <c r="H287" s="31"/>
      <c r="I287" s="5"/>
      <c r="J287" s="5"/>
      <c r="K287" s="5"/>
      <c r="L287" s="5"/>
      <c r="M287" s="31"/>
      <c r="N287" s="29"/>
    </row>
    <row r="288" spans="1:14" s="33" customFormat="1" x14ac:dyDescent="0.25">
      <c r="A288" s="27"/>
      <c r="B288" s="5"/>
      <c r="C288" s="29"/>
      <c r="D288" s="65"/>
      <c r="E288" s="24"/>
      <c r="F288" s="25"/>
      <c r="G288" s="30"/>
      <c r="H288" s="31"/>
      <c r="I288" s="5"/>
      <c r="J288" s="5"/>
      <c r="K288" s="5"/>
      <c r="L288" s="5"/>
      <c r="M288" s="31"/>
      <c r="N288" s="29"/>
    </row>
    <row r="289" spans="1:14" s="33" customFormat="1" x14ac:dyDescent="0.25">
      <c r="A289" s="27"/>
      <c r="B289" s="5"/>
      <c r="C289" s="29"/>
      <c r="D289" s="65"/>
      <c r="E289" s="24"/>
      <c r="F289" s="25"/>
      <c r="G289" s="30"/>
      <c r="H289" s="31"/>
      <c r="I289" s="5"/>
      <c r="J289" s="5"/>
      <c r="K289" s="5"/>
      <c r="L289" s="5"/>
      <c r="M289" s="31"/>
      <c r="N289" s="29"/>
    </row>
    <row r="290" spans="1:14" s="33" customFormat="1" x14ac:dyDescent="0.25">
      <c r="A290" s="27"/>
      <c r="B290" s="5"/>
      <c r="C290" s="29"/>
      <c r="D290" s="65"/>
      <c r="E290" s="24"/>
      <c r="F290" s="25"/>
      <c r="G290" s="30"/>
      <c r="H290" s="31"/>
      <c r="I290" s="5"/>
      <c r="J290" s="5"/>
      <c r="K290" s="5"/>
      <c r="L290" s="5"/>
      <c r="M290" s="31"/>
      <c r="N290" s="29"/>
    </row>
    <row r="291" spans="1:14" s="33" customFormat="1" x14ac:dyDescent="0.25">
      <c r="A291" s="27"/>
      <c r="B291" s="5"/>
      <c r="C291" s="29"/>
      <c r="D291" s="65"/>
      <c r="E291" s="24"/>
      <c r="F291" s="25"/>
      <c r="G291" s="30"/>
      <c r="H291" s="31"/>
      <c r="I291" s="5"/>
      <c r="J291" s="5"/>
      <c r="K291" s="5"/>
      <c r="L291" s="5"/>
      <c r="M291" s="31"/>
      <c r="N291" s="29"/>
    </row>
    <row r="292" spans="1:14" s="33" customFormat="1" x14ac:dyDescent="0.25">
      <c r="A292" s="27"/>
      <c r="B292" s="5"/>
      <c r="C292" s="29"/>
      <c r="D292" s="65"/>
      <c r="E292" s="24"/>
      <c r="F292" s="25"/>
      <c r="G292" s="30"/>
      <c r="H292" s="31"/>
      <c r="I292" s="5"/>
      <c r="J292" s="5"/>
      <c r="K292" s="5"/>
      <c r="L292" s="5"/>
      <c r="M292" s="31"/>
      <c r="N292" s="29"/>
    </row>
    <row r="293" spans="1:14" s="33" customFormat="1" x14ac:dyDescent="0.25">
      <c r="A293" s="27"/>
      <c r="B293" s="5"/>
      <c r="C293" s="29"/>
      <c r="D293" s="65"/>
      <c r="E293" s="24"/>
      <c r="F293" s="25"/>
      <c r="G293" s="30"/>
      <c r="H293" s="31"/>
      <c r="I293" s="5"/>
      <c r="J293" s="5"/>
      <c r="K293" s="5"/>
      <c r="L293" s="5"/>
      <c r="M293" s="31"/>
      <c r="N293" s="29"/>
    </row>
    <row r="294" spans="1:14" s="33" customFormat="1" x14ac:dyDescent="0.25">
      <c r="A294" s="27"/>
      <c r="B294" s="5"/>
      <c r="C294" s="29"/>
      <c r="D294" s="65"/>
      <c r="E294" s="24"/>
      <c r="F294" s="25"/>
      <c r="G294" s="30"/>
      <c r="H294" s="31"/>
      <c r="I294" s="5"/>
      <c r="J294" s="5"/>
      <c r="K294" s="5"/>
      <c r="L294" s="5"/>
      <c r="M294" s="31"/>
      <c r="N294" s="29"/>
    </row>
    <row r="295" spans="1:14" s="33" customFormat="1" x14ac:dyDescent="0.25">
      <c r="A295" s="27"/>
      <c r="B295" s="5"/>
      <c r="C295" s="29"/>
      <c r="D295" s="65"/>
      <c r="E295" s="24"/>
      <c r="F295" s="25"/>
      <c r="G295" s="30"/>
      <c r="H295" s="31"/>
      <c r="I295" s="5"/>
      <c r="J295" s="5"/>
      <c r="K295" s="5"/>
      <c r="L295" s="5"/>
      <c r="M295" s="31"/>
      <c r="N295" s="29"/>
    </row>
    <row r="296" spans="1:14" s="33" customFormat="1" x14ac:dyDescent="0.25">
      <c r="A296" s="27"/>
      <c r="B296" s="5"/>
      <c r="C296" s="29"/>
      <c r="D296" s="65"/>
      <c r="E296" s="24"/>
      <c r="F296" s="25"/>
      <c r="G296" s="30"/>
      <c r="H296" s="31"/>
      <c r="I296" s="5"/>
      <c r="J296" s="5"/>
      <c r="K296" s="5"/>
      <c r="L296" s="5"/>
      <c r="M296" s="31"/>
      <c r="N296" s="29"/>
    </row>
    <row r="297" spans="1:14" s="33" customFormat="1" x14ac:dyDescent="0.25">
      <c r="A297" s="27"/>
      <c r="B297" s="5"/>
      <c r="C297" s="29"/>
      <c r="D297" s="65"/>
      <c r="E297" s="24"/>
      <c r="F297" s="25"/>
      <c r="G297" s="30"/>
      <c r="H297" s="31"/>
      <c r="I297" s="5"/>
      <c r="J297" s="5"/>
      <c r="K297" s="5"/>
      <c r="L297" s="5"/>
      <c r="M297" s="31"/>
      <c r="N297" s="29"/>
    </row>
    <row r="298" spans="1:14" s="33" customFormat="1" x14ac:dyDescent="0.25">
      <c r="A298" s="27"/>
      <c r="B298" s="5"/>
      <c r="C298" s="29"/>
      <c r="D298" s="65"/>
      <c r="E298" s="24"/>
      <c r="F298" s="25"/>
      <c r="G298" s="30"/>
      <c r="H298" s="31"/>
      <c r="I298" s="5"/>
      <c r="J298" s="5"/>
      <c r="K298" s="5"/>
      <c r="L298" s="5"/>
      <c r="M298" s="31"/>
      <c r="N298" s="29"/>
    </row>
    <row r="299" spans="1:14" s="33" customFormat="1" x14ac:dyDescent="0.25">
      <c r="A299" s="27"/>
      <c r="B299" s="5"/>
      <c r="C299" s="29"/>
      <c r="D299" s="65"/>
      <c r="E299" s="24"/>
      <c r="F299" s="25"/>
      <c r="G299" s="30"/>
      <c r="H299" s="31"/>
      <c r="I299" s="5"/>
      <c r="J299" s="5"/>
      <c r="K299" s="5"/>
      <c r="L299" s="5"/>
      <c r="M299" s="31"/>
      <c r="N299" s="29"/>
    </row>
    <row r="300" spans="1:14" s="33" customFormat="1" x14ac:dyDescent="0.25">
      <c r="A300" s="27"/>
      <c r="B300" s="5"/>
      <c r="C300" s="29"/>
      <c r="D300" s="65"/>
      <c r="E300" s="24"/>
      <c r="F300" s="25"/>
      <c r="G300" s="30"/>
      <c r="H300" s="31"/>
      <c r="I300" s="5"/>
      <c r="J300" s="5"/>
      <c r="K300" s="5"/>
      <c r="L300" s="5"/>
      <c r="M300" s="31"/>
      <c r="N300" s="29"/>
    </row>
    <row r="301" spans="1:14" s="33" customFormat="1" x14ac:dyDescent="0.25">
      <c r="A301" s="27"/>
      <c r="B301" s="5"/>
      <c r="C301" s="29"/>
      <c r="D301" s="65"/>
      <c r="E301" s="24"/>
      <c r="F301" s="25"/>
      <c r="G301" s="30"/>
      <c r="H301" s="31"/>
      <c r="I301" s="5"/>
      <c r="J301" s="5"/>
      <c r="K301" s="5"/>
      <c r="L301" s="5"/>
      <c r="M301" s="31"/>
      <c r="N301" s="29"/>
    </row>
    <row r="302" spans="1:14" s="33" customFormat="1" x14ac:dyDescent="0.25">
      <c r="A302" s="27"/>
      <c r="B302" s="5"/>
      <c r="C302" s="29"/>
      <c r="D302" s="65"/>
      <c r="E302" s="24"/>
      <c r="F302" s="25"/>
      <c r="G302" s="30"/>
      <c r="H302" s="31"/>
      <c r="I302" s="5"/>
      <c r="J302" s="5"/>
      <c r="K302" s="5"/>
      <c r="L302" s="5"/>
      <c r="M302" s="31"/>
      <c r="N302" s="29"/>
    </row>
    <row r="303" spans="1:14" s="33" customFormat="1" x14ac:dyDescent="0.25">
      <c r="A303" s="27"/>
      <c r="B303" s="5"/>
      <c r="C303" s="29"/>
      <c r="D303" s="65"/>
      <c r="E303" s="24"/>
      <c r="F303" s="25"/>
      <c r="G303" s="30"/>
      <c r="H303" s="31"/>
      <c r="I303" s="5"/>
      <c r="J303" s="5"/>
      <c r="K303" s="5"/>
      <c r="L303" s="5"/>
      <c r="M303" s="31"/>
      <c r="N303" s="29"/>
    </row>
    <row r="304" spans="1:14" s="33" customFormat="1" x14ac:dyDescent="0.25">
      <c r="A304" s="27"/>
      <c r="B304" s="5"/>
      <c r="C304" s="29"/>
      <c r="D304" s="65"/>
      <c r="E304" s="24"/>
      <c r="F304" s="25"/>
      <c r="G304" s="30"/>
      <c r="H304" s="31"/>
      <c r="I304" s="5"/>
      <c r="J304" s="5"/>
      <c r="K304" s="5"/>
      <c r="L304" s="5"/>
      <c r="M304" s="31"/>
      <c r="N304" s="29"/>
    </row>
    <row r="305" spans="1:14" s="33" customFormat="1" x14ac:dyDescent="0.25">
      <c r="A305" s="27"/>
      <c r="B305" s="5"/>
      <c r="C305" s="29"/>
      <c r="D305" s="65"/>
      <c r="E305" s="24"/>
      <c r="F305" s="25"/>
      <c r="G305" s="30"/>
      <c r="H305" s="31"/>
      <c r="I305" s="5"/>
      <c r="J305" s="5"/>
      <c r="K305" s="5"/>
      <c r="L305" s="5"/>
      <c r="M305" s="31"/>
      <c r="N305" s="29"/>
    </row>
    <row r="306" spans="1:14" s="33" customFormat="1" x14ac:dyDescent="0.25">
      <c r="A306" s="27"/>
      <c r="B306" s="5"/>
      <c r="C306" s="29"/>
      <c r="D306" s="65"/>
      <c r="E306" s="24"/>
      <c r="F306" s="25"/>
      <c r="G306" s="30"/>
      <c r="H306" s="31"/>
      <c r="I306" s="5"/>
      <c r="J306" s="5"/>
      <c r="K306" s="5"/>
      <c r="L306" s="5"/>
      <c r="M306" s="31"/>
      <c r="N306" s="29"/>
    </row>
    <row r="307" spans="1:14" s="33" customFormat="1" x14ac:dyDescent="0.25">
      <c r="A307" s="27"/>
      <c r="B307" s="5"/>
      <c r="C307" s="29"/>
      <c r="D307" s="65"/>
      <c r="E307" s="24"/>
      <c r="F307" s="25"/>
      <c r="G307" s="30"/>
      <c r="H307" s="31"/>
      <c r="I307" s="5"/>
      <c r="J307" s="5"/>
      <c r="K307" s="5"/>
      <c r="L307" s="5"/>
      <c r="M307" s="31"/>
      <c r="N307" s="29"/>
    </row>
    <row r="308" spans="1:14" s="33" customFormat="1" x14ac:dyDescent="0.25">
      <c r="A308" s="27"/>
      <c r="B308" s="5"/>
      <c r="C308" s="29"/>
      <c r="D308" s="65"/>
      <c r="E308" s="24"/>
      <c r="F308" s="25"/>
      <c r="G308" s="30"/>
      <c r="H308" s="31"/>
      <c r="I308" s="5"/>
      <c r="J308" s="5"/>
      <c r="K308" s="5"/>
      <c r="L308" s="5"/>
      <c r="M308" s="31"/>
      <c r="N308" s="29"/>
    </row>
    <row r="309" spans="1:14" s="33" customFormat="1" x14ac:dyDescent="0.25">
      <c r="A309" s="27"/>
      <c r="B309" s="5"/>
      <c r="C309" s="29"/>
      <c r="D309" s="65"/>
      <c r="E309" s="24"/>
      <c r="F309" s="25"/>
      <c r="G309" s="30"/>
      <c r="H309" s="31"/>
      <c r="I309" s="5"/>
      <c r="J309" s="5"/>
      <c r="K309" s="5"/>
      <c r="L309" s="5"/>
      <c r="M309" s="31"/>
      <c r="N309" s="29"/>
    </row>
    <row r="310" spans="1:14" s="33" customFormat="1" x14ac:dyDescent="0.25">
      <c r="A310" s="27"/>
      <c r="B310" s="5"/>
      <c r="C310" s="29"/>
      <c r="D310" s="65"/>
      <c r="E310" s="24"/>
      <c r="F310" s="25"/>
      <c r="G310" s="30"/>
      <c r="H310" s="31"/>
      <c r="I310" s="5"/>
      <c r="J310" s="5"/>
      <c r="K310" s="5"/>
      <c r="L310" s="5"/>
      <c r="M310" s="31"/>
      <c r="N310" s="29"/>
    </row>
    <row r="311" spans="1:14" s="33" customFormat="1" x14ac:dyDescent="0.25">
      <c r="A311" s="27"/>
      <c r="B311" s="5"/>
      <c r="C311" s="29"/>
      <c r="D311" s="65"/>
      <c r="E311" s="24"/>
      <c r="F311" s="25"/>
      <c r="G311" s="30"/>
      <c r="H311" s="31"/>
      <c r="I311" s="5"/>
      <c r="J311" s="5"/>
      <c r="K311" s="5"/>
      <c r="L311" s="5"/>
      <c r="M311" s="31"/>
      <c r="N311" s="29"/>
    </row>
    <row r="312" spans="1:14" s="33" customFormat="1" x14ac:dyDescent="0.25">
      <c r="A312" s="27"/>
      <c r="B312" s="5"/>
      <c r="C312" s="29"/>
      <c r="D312" s="65"/>
      <c r="E312" s="24"/>
      <c r="F312" s="25"/>
      <c r="G312" s="30"/>
      <c r="H312" s="31"/>
      <c r="I312" s="5"/>
      <c r="J312" s="5"/>
      <c r="K312" s="5"/>
      <c r="L312" s="5"/>
      <c r="M312" s="31"/>
      <c r="N312" s="29"/>
    </row>
    <row r="313" spans="1:14" s="33" customFormat="1" x14ac:dyDescent="0.25">
      <c r="A313" s="27"/>
      <c r="B313" s="5"/>
      <c r="C313" s="29"/>
      <c r="D313" s="65"/>
      <c r="E313" s="24"/>
      <c r="F313" s="25"/>
      <c r="G313" s="30"/>
      <c r="H313" s="31"/>
      <c r="I313" s="5"/>
      <c r="J313" s="5"/>
      <c r="K313" s="5"/>
      <c r="L313" s="5"/>
      <c r="M313" s="31"/>
      <c r="N313" s="29"/>
    </row>
    <row r="314" spans="1:14" s="33" customFormat="1" x14ac:dyDescent="0.25">
      <c r="A314" s="27"/>
      <c r="B314" s="5"/>
      <c r="C314" s="29"/>
      <c r="D314" s="65"/>
      <c r="E314" s="24"/>
      <c r="F314" s="25"/>
      <c r="G314" s="30"/>
      <c r="H314" s="31"/>
      <c r="I314" s="5"/>
      <c r="J314" s="5"/>
      <c r="K314" s="5"/>
      <c r="L314" s="5"/>
      <c r="M314" s="31"/>
      <c r="N314" s="29"/>
    </row>
    <row r="315" spans="1:14" s="33" customFormat="1" x14ac:dyDescent="0.25">
      <c r="A315" s="27"/>
      <c r="B315" s="5"/>
      <c r="C315" s="29"/>
      <c r="D315" s="65"/>
      <c r="E315" s="24"/>
      <c r="F315" s="25"/>
      <c r="G315" s="30"/>
      <c r="H315" s="31"/>
      <c r="I315" s="5"/>
      <c r="J315" s="5"/>
      <c r="K315" s="5"/>
      <c r="L315" s="5"/>
      <c r="M315" s="31"/>
      <c r="N315" s="29"/>
    </row>
    <row r="316" spans="1:14" s="33" customFormat="1" x14ac:dyDescent="0.25">
      <c r="A316" s="27"/>
      <c r="B316" s="5"/>
      <c r="C316" s="29"/>
      <c r="D316" s="65"/>
      <c r="E316" s="24"/>
      <c r="F316" s="25"/>
      <c r="G316" s="30"/>
      <c r="H316" s="31"/>
      <c r="I316" s="5"/>
      <c r="J316" s="5"/>
      <c r="K316" s="5"/>
      <c r="L316" s="5"/>
      <c r="M316" s="31"/>
      <c r="N316" s="29"/>
    </row>
    <row r="317" spans="1:14" s="33" customFormat="1" x14ac:dyDescent="0.25">
      <c r="A317" s="27"/>
      <c r="B317" s="5"/>
      <c r="C317" s="29"/>
      <c r="D317" s="65"/>
      <c r="E317" s="24"/>
      <c r="F317" s="25"/>
      <c r="G317" s="30"/>
      <c r="H317" s="31"/>
      <c r="I317" s="5"/>
      <c r="J317" s="5"/>
      <c r="K317" s="5"/>
      <c r="L317" s="5"/>
      <c r="M317" s="31"/>
      <c r="N317" s="29"/>
    </row>
    <row r="318" spans="1:14" s="33" customFormat="1" x14ac:dyDescent="0.25">
      <c r="A318" s="27"/>
      <c r="B318" s="5"/>
      <c r="C318" s="29"/>
      <c r="D318" s="65"/>
      <c r="E318" s="24"/>
      <c r="F318" s="25"/>
      <c r="G318" s="30"/>
      <c r="H318" s="31"/>
      <c r="I318" s="5"/>
      <c r="J318" s="5"/>
      <c r="K318" s="5"/>
      <c r="L318" s="5"/>
      <c r="M318" s="31"/>
      <c r="N318" s="29"/>
    </row>
    <row r="319" spans="1:14" s="33" customFormat="1" x14ac:dyDescent="0.25">
      <c r="A319" s="27"/>
      <c r="B319" s="5"/>
      <c r="C319" s="29"/>
      <c r="D319" s="65"/>
      <c r="E319" s="24"/>
      <c r="F319" s="25"/>
      <c r="G319" s="30"/>
      <c r="H319" s="31"/>
      <c r="I319" s="5"/>
      <c r="J319" s="5"/>
      <c r="K319" s="5"/>
      <c r="L319" s="5"/>
      <c r="M319" s="31"/>
      <c r="N319" s="29"/>
    </row>
    <row r="320" spans="1:14" s="33" customFormat="1" x14ac:dyDescent="0.25">
      <c r="A320" s="27"/>
      <c r="B320" s="5"/>
      <c r="C320" s="29"/>
      <c r="D320" s="65"/>
      <c r="E320" s="24"/>
      <c r="F320" s="25"/>
      <c r="G320" s="30"/>
      <c r="H320" s="31"/>
      <c r="I320" s="5"/>
      <c r="J320" s="5"/>
      <c r="K320" s="5"/>
      <c r="L320" s="5"/>
      <c r="M320" s="31"/>
      <c r="N320" s="29"/>
    </row>
    <row r="321" spans="1:14" s="33" customFormat="1" x14ac:dyDescent="0.25">
      <c r="A321" s="27"/>
      <c r="B321" s="5"/>
      <c r="C321" s="29"/>
      <c r="D321" s="65"/>
      <c r="E321" s="24"/>
      <c r="F321" s="25"/>
      <c r="G321" s="30"/>
      <c r="H321" s="31"/>
      <c r="I321" s="5"/>
      <c r="J321" s="5"/>
      <c r="K321" s="5"/>
      <c r="L321" s="5"/>
      <c r="M321" s="31"/>
      <c r="N321" s="29"/>
    </row>
    <row r="322" spans="1:14" s="33" customFormat="1" x14ac:dyDescent="0.25">
      <c r="A322" s="27"/>
      <c r="B322" s="5"/>
      <c r="C322" s="29"/>
      <c r="D322" s="65"/>
      <c r="E322" s="24"/>
      <c r="F322" s="25"/>
      <c r="G322" s="30"/>
      <c r="H322" s="31"/>
      <c r="I322" s="5"/>
      <c r="J322" s="5"/>
      <c r="K322" s="5"/>
      <c r="L322" s="5"/>
      <c r="M322" s="31"/>
      <c r="N322" s="29"/>
    </row>
    <row r="323" spans="1:14" s="33" customFormat="1" x14ac:dyDescent="0.25">
      <c r="A323" s="27"/>
      <c r="B323" s="5"/>
      <c r="C323" s="29"/>
      <c r="D323" s="65"/>
      <c r="E323" s="24"/>
      <c r="F323" s="25"/>
      <c r="G323" s="30"/>
      <c r="H323" s="31"/>
      <c r="I323" s="5"/>
      <c r="J323" s="5"/>
      <c r="K323" s="5"/>
      <c r="L323" s="5"/>
      <c r="M323" s="31"/>
      <c r="N323" s="29"/>
    </row>
    <row r="324" spans="1:14" s="33" customFormat="1" x14ac:dyDescent="0.25">
      <c r="A324" s="27"/>
      <c r="B324" s="5"/>
      <c r="C324" s="29"/>
      <c r="D324" s="65"/>
      <c r="E324" s="24"/>
      <c r="F324" s="25"/>
      <c r="G324" s="30"/>
      <c r="H324" s="31"/>
      <c r="I324" s="5"/>
      <c r="J324" s="5"/>
      <c r="K324" s="5"/>
      <c r="L324" s="5"/>
      <c r="M324" s="31"/>
      <c r="N324" s="29"/>
    </row>
    <row r="325" spans="1:14" s="33" customFormat="1" x14ac:dyDescent="0.25">
      <c r="A325" s="27"/>
      <c r="B325" s="5"/>
      <c r="C325" s="29"/>
      <c r="D325" s="65"/>
      <c r="E325" s="24"/>
      <c r="F325" s="25"/>
      <c r="G325" s="30"/>
      <c r="H325" s="31"/>
      <c r="I325" s="5"/>
      <c r="J325" s="5"/>
      <c r="K325" s="5"/>
      <c r="L325" s="5"/>
      <c r="M325" s="31"/>
      <c r="N325" s="29"/>
    </row>
    <row r="326" spans="1:14" s="33" customFormat="1" x14ac:dyDescent="0.25">
      <c r="A326" s="27"/>
      <c r="B326" s="5"/>
      <c r="C326" s="29"/>
      <c r="D326" s="65"/>
      <c r="E326" s="24"/>
      <c r="F326" s="25"/>
      <c r="G326" s="30"/>
      <c r="H326" s="31"/>
      <c r="I326" s="5"/>
      <c r="J326" s="5"/>
      <c r="K326" s="5"/>
      <c r="L326" s="5"/>
      <c r="M326" s="31"/>
      <c r="N326" s="29"/>
    </row>
    <row r="327" spans="1:14" s="33" customFormat="1" x14ac:dyDescent="0.25">
      <c r="A327" s="27"/>
      <c r="B327" s="5"/>
      <c r="C327" s="29"/>
      <c r="D327" s="65"/>
      <c r="E327" s="24"/>
      <c r="F327" s="25"/>
      <c r="G327" s="30"/>
      <c r="H327" s="31"/>
      <c r="I327" s="5"/>
      <c r="J327" s="5"/>
      <c r="K327" s="5"/>
      <c r="L327" s="5"/>
      <c r="M327" s="31"/>
      <c r="N327" s="29"/>
    </row>
    <row r="328" spans="1:14" s="33" customFormat="1" x14ac:dyDescent="0.25">
      <c r="A328" s="27"/>
      <c r="B328" s="5"/>
      <c r="C328" s="29"/>
      <c r="D328" s="65"/>
      <c r="E328" s="24"/>
      <c r="F328" s="25"/>
      <c r="G328" s="30"/>
      <c r="H328" s="31"/>
      <c r="I328" s="5"/>
      <c r="J328" s="5"/>
      <c r="K328" s="5"/>
      <c r="L328" s="5"/>
      <c r="M328" s="31"/>
      <c r="N328" s="29"/>
    </row>
    <row r="329" spans="1:14" s="33" customFormat="1" x14ac:dyDescent="0.25">
      <c r="A329" s="27"/>
      <c r="B329" s="5"/>
      <c r="C329" s="29"/>
      <c r="D329" s="65"/>
      <c r="E329" s="24"/>
      <c r="F329" s="25"/>
      <c r="G329" s="30"/>
      <c r="H329" s="31"/>
      <c r="I329" s="5"/>
      <c r="J329" s="5"/>
      <c r="K329" s="5"/>
      <c r="L329" s="5"/>
      <c r="M329" s="31"/>
      <c r="N329" s="29"/>
    </row>
    <row r="330" spans="1:14" s="33" customFormat="1" x14ac:dyDescent="0.25">
      <c r="A330" s="27"/>
      <c r="B330" s="5"/>
      <c r="C330" s="29"/>
      <c r="D330" s="65"/>
      <c r="E330" s="24"/>
      <c r="F330" s="25"/>
      <c r="G330" s="30"/>
      <c r="H330" s="31"/>
      <c r="I330" s="5"/>
      <c r="J330" s="5"/>
      <c r="K330" s="5"/>
      <c r="L330" s="5"/>
      <c r="M330" s="31"/>
      <c r="N330" s="29"/>
    </row>
    <row r="331" spans="1:14" s="33" customFormat="1" x14ac:dyDescent="0.25">
      <c r="A331" s="27"/>
      <c r="B331" s="5"/>
      <c r="C331" s="29"/>
      <c r="D331" s="65"/>
      <c r="E331" s="24"/>
      <c r="F331" s="25"/>
      <c r="G331" s="30"/>
      <c r="H331" s="31"/>
      <c r="I331" s="5"/>
      <c r="J331" s="5"/>
      <c r="K331" s="5"/>
      <c r="L331" s="5"/>
      <c r="M331" s="31"/>
      <c r="N331" s="29"/>
    </row>
    <row r="332" spans="1:14" s="33" customFormat="1" x14ac:dyDescent="0.25">
      <c r="A332" s="27"/>
      <c r="B332" s="5"/>
      <c r="C332" s="29"/>
      <c r="D332" s="65"/>
      <c r="E332" s="24"/>
      <c r="F332" s="25"/>
      <c r="G332" s="30"/>
      <c r="H332" s="31"/>
      <c r="I332" s="5"/>
      <c r="J332" s="5"/>
      <c r="K332" s="5"/>
      <c r="L332" s="5"/>
      <c r="M332" s="31"/>
      <c r="N332" s="29"/>
    </row>
    <row r="333" spans="1:14" s="33" customFormat="1" x14ac:dyDescent="0.25">
      <c r="A333" s="27"/>
      <c r="B333" s="5"/>
      <c r="C333" s="29"/>
      <c r="D333" s="65"/>
      <c r="E333" s="24"/>
      <c r="F333" s="25"/>
      <c r="G333" s="30"/>
      <c r="H333" s="31"/>
      <c r="I333" s="5"/>
      <c r="J333" s="5"/>
      <c r="K333" s="5"/>
      <c r="L333" s="5"/>
      <c r="M333" s="31"/>
      <c r="N333" s="29"/>
    </row>
    <row r="334" spans="1:14" s="33" customFormat="1" x14ac:dyDescent="0.25">
      <c r="A334" s="27"/>
      <c r="B334" s="5"/>
      <c r="C334" s="29"/>
      <c r="D334" s="65"/>
      <c r="E334" s="24"/>
      <c r="F334" s="25"/>
      <c r="G334" s="30"/>
      <c r="H334" s="31"/>
      <c r="I334" s="5"/>
      <c r="J334" s="5"/>
      <c r="K334" s="5"/>
      <c r="L334" s="5"/>
      <c r="M334" s="31"/>
      <c r="N334" s="29"/>
    </row>
    <row r="335" spans="1:14" s="33" customFormat="1" x14ac:dyDescent="0.25">
      <c r="A335" s="27"/>
      <c r="B335" s="5"/>
      <c r="C335" s="29"/>
      <c r="D335" s="65"/>
      <c r="E335" s="24"/>
      <c r="F335" s="25"/>
      <c r="G335" s="30"/>
      <c r="H335" s="31"/>
      <c r="I335" s="5"/>
      <c r="J335" s="5"/>
      <c r="K335" s="5"/>
      <c r="L335" s="5"/>
      <c r="M335" s="31"/>
      <c r="N335" s="29"/>
    </row>
    <row r="336" spans="1:14" s="33" customFormat="1" x14ac:dyDescent="0.25">
      <c r="A336" s="27"/>
      <c r="B336" s="5"/>
      <c r="C336" s="29"/>
      <c r="D336" s="65"/>
      <c r="E336" s="24"/>
      <c r="F336" s="25"/>
      <c r="G336" s="30"/>
      <c r="H336" s="31"/>
      <c r="I336" s="5"/>
      <c r="J336" s="5"/>
      <c r="K336" s="5"/>
      <c r="L336" s="5"/>
      <c r="M336" s="31"/>
      <c r="N336" s="29"/>
    </row>
    <row r="337" spans="1:14" s="33" customFormat="1" x14ac:dyDescent="0.25">
      <c r="A337" s="27"/>
      <c r="B337" s="5"/>
      <c r="C337" s="29"/>
      <c r="D337" s="65"/>
      <c r="E337" s="24"/>
      <c r="F337" s="25"/>
      <c r="G337" s="30"/>
      <c r="H337" s="31"/>
      <c r="I337" s="5"/>
      <c r="J337" s="5"/>
      <c r="K337" s="5"/>
      <c r="L337" s="5"/>
      <c r="M337" s="31"/>
      <c r="N337" s="29"/>
    </row>
    <row r="338" spans="1:14" s="33" customFormat="1" x14ac:dyDescent="0.25">
      <c r="A338" s="27"/>
      <c r="B338" s="5"/>
      <c r="C338" s="29"/>
      <c r="D338" s="65"/>
      <c r="E338" s="24"/>
      <c r="F338" s="25"/>
      <c r="G338" s="30"/>
      <c r="H338" s="31"/>
      <c r="I338" s="5"/>
      <c r="J338" s="5"/>
      <c r="K338" s="5"/>
      <c r="L338" s="5"/>
      <c r="M338" s="31"/>
      <c r="N338" s="29"/>
    </row>
    <row r="339" spans="1:14" s="33" customFormat="1" x14ac:dyDescent="0.25">
      <c r="A339" s="27"/>
      <c r="B339" s="5"/>
      <c r="C339" s="29"/>
      <c r="D339" s="65"/>
      <c r="E339" s="24"/>
      <c r="F339" s="25"/>
      <c r="G339" s="30"/>
      <c r="H339" s="31"/>
      <c r="I339" s="5"/>
      <c r="J339" s="5"/>
      <c r="K339" s="5"/>
      <c r="L339" s="5"/>
      <c r="M339" s="31"/>
      <c r="N339" s="29"/>
    </row>
    <row r="340" spans="1:14" s="33" customFormat="1" x14ac:dyDescent="0.25">
      <c r="A340" s="27"/>
      <c r="B340" s="5"/>
      <c r="C340" s="29"/>
      <c r="D340" s="65"/>
      <c r="E340" s="24"/>
      <c r="F340" s="25"/>
      <c r="G340" s="30"/>
      <c r="H340" s="31"/>
      <c r="I340" s="5"/>
      <c r="J340" s="5"/>
      <c r="K340" s="5"/>
      <c r="L340" s="5"/>
      <c r="M340" s="31"/>
      <c r="N340" s="29"/>
    </row>
    <row r="341" spans="1:14" s="33" customFormat="1" x14ac:dyDescent="0.25">
      <c r="A341" s="27"/>
      <c r="B341" s="5"/>
      <c r="C341" s="29"/>
      <c r="D341" s="65"/>
      <c r="E341" s="24"/>
      <c r="F341" s="25"/>
      <c r="G341" s="30"/>
      <c r="H341" s="31"/>
      <c r="I341" s="5"/>
      <c r="J341" s="5"/>
      <c r="K341" s="5"/>
      <c r="L341" s="5"/>
      <c r="M341" s="31"/>
      <c r="N341" s="29"/>
    </row>
    <row r="342" spans="1:14" s="33" customFormat="1" x14ac:dyDescent="0.25">
      <c r="A342" s="27"/>
      <c r="B342" s="5"/>
      <c r="C342" s="29"/>
      <c r="D342" s="65"/>
      <c r="E342" s="24"/>
      <c r="F342" s="25"/>
      <c r="G342" s="30"/>
      <c r="H342" s="31"/>
      <c r="I342" s="5"/>
      <c r="J342" s="5"/>
      <c r="K342" s="5"/>
      <c r="L342" s="5"/>
      <c r="M342" s="31"/>
      <c r="N342" s="29"/>
    </row>
    <row r="343" spans="1:14" s="33" customFormat="1" x14ac:dyDescent="0.25">
      <c r="A343" s="27"/>
      <c r="B343" s="5"/>
      <c r="C343" s="29"/>
      <c r="D343" s="65"/>
      <c r="E343" s="24"/>
      <c r="F343" s="25"/>
      <c r="G343" s="30"/>
      <c r="H343" s="31"/>
      <c r="I343" s="5"/>
      <c r="J343" s="5"/>
      <c r="K343" s="5"/>
      <c r="L343" s="5"/>
      <c r="M343" s="31"/>
      <c r="N343" s="29"/>
    </row>
    <row r="344" spans="1:14" s="33" customFormat="1" x14ac:dyDescent="0.25">
      <c r="A344" s="27"/>
      <c r="B344" s="5"/>
      <c r="C344" s="29"/>
      <c r="D344" s="65"/>
      <c r="E344" s="24"/>
      <c r="F344" s="25"/>
      <c r="G344" s="30"/>
      <c r="H344" s="31"/>
      <c r="I344" s="5"/>
      <c r="J344" s="5"/>
      <c r="K344" s="5"/>
      <c r="L344" s="5"/>
      <c r="M344" s="31"/>
      <c r="N344" s="29"/>
    </row>
    <row r="345" spans="1:14" s="33" customFormat="1" x14ac:dyDescent="0.25">
      <c r="A345" s="27"/>
      <c r="B345" s="5"/>
      <c r="C345" s="29"/>
      <c r="D345" s="65"/>
      <c r="E345" s="24"/>
      <c r="F345" s="25"/>
      <c r="G345" s="30"/>
      <c r="H345" s="31"/>
      <c r="I345" s="5"/>
      <c r="J345" s="5"/>
      <c r="K345" s="5"/>
      <c r="L345" s="5"/>
      <c r="M345" s="31"/>
      <c r="N345" s="29"/>
    </row>
    <row r="346" spans="1:14" s="33" customFormat="1" x14ac:dyDescent="0.25">
      <c r="A346" s="27"/>
      <c r="B346" s="5"/>
      <c r="C346" s="29"/>
      <c r="D346" s="65"/>
      <c r="E346" s="24"/>
      <c r="F346" s="25"/>
      <c r="G346" s="30"/>
      <c r="H346" s="31"/>
      <c r="I346" s="5"/>
      <c r="J346" s="5"/>
      <c r="K346" s="5"/>
      <c r="L346" s="5"/>
      <c r="M346" s="31"/>
      <c r="N346" s="29"/>
    </row>
    <row r="347" spans="1:14" s="33" customFormat="1" x14ac:dyDescent="0.25">
      <c r="A347" s="27"/>
      <c r="B347" s="5"/>
      <c r="C347" s="29"/>
      <c r="D347" s="65"/>
      <c r="E347" s="24"/>
      <c r="F347" s="25"/>
      <c r="G347" s="30"/>
      <c r="H347" s="31"/>
      <c r="I347" s="5"/>
      <c r="J347" s="5"/>
      <c r="K347" s="5"/>
      <c r="L347" s="5"/>
      <c r="M347" s="31"/>
      <c r="N347" s="29"/>
    </row>
    <row r="348" spans="1:14" s="33" customFormat="1" x14ac:dyDescent="0.25">
      <c r="A348" s="27"/>
      <c r="B348" s="5"/>
      <c r="C348" s="29"/>
      <c r="D348" s="65"/>
      <c r="E348" s="24"/>
      <c r="F348" s="25"/>
      <c r="G348" s="30"/>
      <c r="H348" s="31"/>
      <c r="I348" s="5"/>
      <c r="J348" s="5"/>
      <c r="K348" s="5"/>
      <c r="L348" s="5"/>
      <c r="M348" s="31"/>
      <c r="N348" s="29"/>
    </row>
    <row r="349" spans="1:14" s="33" customFormat="1" x14ac:dyDescent="0.25">
      <c r="A349" s="27"/>
      <c r="B349" s="5"/>
      <c r="C349" s="29"/>
      <c r="D349" s="65"/>
      <c r="E349" s="24"/>
      <c r="F349" s="25"/>
      <c r="G349" s="30"/>
      <c r="H349" s="31"/>
      <c r="I349" s="5"/>
      <c r="J349" s="5"/>
      <c r="K349" s="5"/>
      <c r="L349" s="5"/>
      <c r="M349" s="31"/>
      <c r="N349" s="29"/>
    </row>
    <row r="350" spans="1:14" s="33" customFormat="1" x14ac:dyDescent="0.25">
      <c r="A350" s="27"/>
      <c r="B350" s="5"/>
      <c r="C350" s="29"/>
      <c r="D350" s="65"/>
      <c r="E350" s="24"/>
      <c r="F350" s="25"/>
      <c r="G350" s="30"/>
      <c r="H350" s="31"/>
      <c r="I350" s="5"/>
      <c r="J350" s="5"/>
      <c r="K350" s="5"/>
      <c r="L350" s="5"/>
      <c r="M350" s="31"/>
      <c r="N350" s="29"/>
    </row>
    <row r="351" spans="1:14" s="33" customFormat="1" x14ac:dyDescent="0.25">
      <c r="A351" s="27"/>
      <c r="B351" s="5"/>
      <c r="C351" s="29"/>
      <c r="D351" s="65"/>
      <c r="E351" s="24"/>
      <c r="F351" s="25"/>
      <c r="G351" s="30"/>
      <c r="H351" s="31"/>
      <c r="I351" s="5"/>
      <c r="J351" s="5"/>
      <c r="K351" s="5"/>
      <c r="L351" s="5"/>
      <c r="M351" s="31"/>
      <c r="N351" s="29"/>
    </row>
    <row r="352" spans="1:14" s="33" customFormat="1" x14ac:dyDescent="0.25">
      <c r="A352" s="27"/>
      <c r="B352" s="5"/>
      <c r="C352" s="29"/>
      <c r="D352" s="65"/>
      <c r="E352" s="24"/>
      <c r="F352" s="25"/>
      <c r="G352" s="30"/>
      <c r="H352" s="31"/>
      <c r="I352" s="5"/>
      <c r="J352" s="5"/>
      <c r="K352" s="5"/>
      <c r="L352" s="5"/>
      <c r="M352" s="31"/>
      <c r="N352" s="29"/>
    </row>
    <row r="353" spans="1:14" s="33" customFormat="1" x14ac:dyDescent="0.25">
      <c r="A353" s="27"/>
      <c r="B353" s="5"/>
      <c r="C353" s="29"/>
      <c r="D353" s="65"/>
      <c r="E353" s="24"/>
      <c r="F353" s="25"/>
      <c r="G353" s="30"/>
      <c r="H353" s="31"/>
      <c r="I353" s="5"/>
      <c r="J353" s="5"/>
      <c r="K353" s="5"/>
      <c r="L353" s="5"/>
      <c r="M353" s="31"/>
      <c r="N353" s="29"/>
    </row>
    <row r="354" spans="1:14" s="33" customFormat="1" x14ac:dyDescent="0.25">
      <c r="A354" s="27"/>
      <c r="B354" s="5"/>
      <c r="C354" s="29"/>
      <c r="D354" s="65"/>
      <c r="E354" s="24"/>
      <c r="F354" s="25"/>
      <c r="G354" s="30"/>
      <c r="H354" s="31"/>
      <c r="I354" s="5"/>
      <c r="J354" s="5"/>
      <c r="K354" s="5"/>
      <c r="L354" s="5"/>
      <c r="M354" s="31"/>
      <c r="N354" s="29"/>
    </row>
    <row r="355" spans="1:14" s="33" customFormat="1" x14ac:dyDescent="0.25">
      <c r="A355" s="27"/>
      <c r="B355" s="5"/>
      <c r="C355" s="29"/>
      <c r="D355" s="65"/>
      <c r="E355" s="24"/>
      <c r="F355" s="25"/>
      <c r="G355" s="30"/>
      <c r="H355" s="31"/>
      <c r="I355" s="5"/>
      <c r="J355" s="5"/>
      <c r="K355" s="5"/>
      <c r="L355" s="5"/>
      <c r="M355" s="31"/>
      <c r="N355" s="29"/>
    </row>
    <row r="356" spans="1:14" s="33" customFormat="1" x14ac:dyDescent="0.25">
      <c r="A356" s="27"/>
      <c r="B356" s="5"/>
      <c r="C356" s="29"/>
      <c r="D356" s="65"/>
      <c r="E356" s="24"/>
      <c r="F356" s="25"/>
      <c r="G356" s="30"/>
      <c r="H356" s="31"/>
      <c r="I356" s="5"/>
      <c r="J356" s="5"/>
      <c r="K356" s="5"/>
      <c r="L356" s="5"/>
      <c r="M356" s="31"/>
      <c r="N356" s="29"/>
    </row>
    <row r="357" spans="1:14" s="33" customFormat="1" x14ac:dyDescent="0.25">
      <c r="A357" s="27"/>
      <c r="B357" s="5"/>
      <c r="C357" s="29"/>
      <c r="D357" s="65"/>
      <c r="E357" s="24"/>
      <c r="F357" s="25"/>
      <c r="G357" s="30"/>
      <c r="H357" s="31"/>
      <c r="I357" s="5"/>
      <c r="J357" s="5"/>
      <c r="K357" s="5"/>
      <c r="L357" s="5"/>
      <c r="M357" s="31"/>
      <c r="N357" s="29"/>
    </row>
    <row r="358" spans="1:14" s="33" customFormat="1" x14ac:dyDescent="0.25">
      <c r="A358" s="27"/>
      <c r="B358" s="5"/>
      <c r="C358" s="29"/>
      <c r="D358" s="65"/>
      <c r="E358" s="24"/>
      <c r="F358" s="25"/>
      <c r="G358" s="30"/>
      <c r="H358" s="31"/>
      <c r="I358" s="5"/>
      <c r="J358" s="5"/>
      <c r="K358" s="5"/>
      <c r="L358" s="5"/>
      <c r="M358" s="31"/>
      <c r="N358" s="29"/>
    </row>
    <row r="359" spans="1:14" s="33" customFormat="1" x14ac:dyDescent="0.25">
      <c r="A359" s="27"/>
      <c r="B359" s="5"/>
      <c r="C359" s="29"/>
      <c r="D359" s="65"/>
      <c r="E359" s="24"/>
      <c r="F359" s="25"/>
      <c r="G359" s="30"/>
      <c r="H359" s="31"/>
      <c r="I359" s="5"/>
      <c r="J359" s="5"/>
      <c r="K359" s="5"/>
      <c r="L359" s="5"/>
      <c r="M359" s="31"/>
      <c r="N359" s="29"/>
    </row>
    <row r="360" spans="1:14" s="33" customFormat="1" x14ac:dyDescent="0.25">
      <c r="A360" s="27"/>
      <c r="B360" s="5"/>
      <c r="C360" s="29"/>
      <c r="D360" s="65"/>
      <c r="E360" s="24"/>
      <c r="F360" s="25"/>
      <c r="G360" s="30"/>
      <c r="H360" s="31"/>
      <c r="I360" s="5"/>
      <c r="J360" s="5"/>
      <c r="K360" s="5"/>
      <c r="L360" s="5"/>
      <c r="M360" s="31"/>
      <c r="N360" s="29"/>
    </row>
    <row r="361" spans="1:14" s="33" customFormat="1" x14ac:dyDescent="0.25">
      <c r="A361" s="27"/>
      <c r="B361" s="5"/>
      <c r="C361" s="29"/>
      <c r="D361" s="65"/>
      <c r="E361" s="24"/>
      <c r="F361" s="25"/>
      <c r="G361" s="30"/>
      <c r="H361" s="31"/>
      <c r="I361" s="5"/>
      <c r="J361" s="5"/>
      <c r="K361" s="5"/>
      <c r="L361" s="5"/>
      <c r="M361" s="31"/>
      <c r="N361" s="29"/>
    </row>
    <row r="362" spans="1:14" s="33" customFormat="1" x14ac:dyDescent="0.25">
      <c r="A362" s="27"/>
      <c r="B362" s="5"/>
      <c r="C362" s="29"/>
      <c r="D362" s="65"/>
      <c r="E362" s="24"/>
      <c r="F362" s="25"/>
      <c r="G362" s="30"/>
      <c r="H362" s="31"/>
      <c r="I362" s="5"/>
      <c r="J362" s="5"/>
      <c r="K362" s="5"/>
      <c r="L362" s="5"/>
      <c r="M362" s="31"/>
      <c r="N362" s="29"/>
    </row>
    <row r="363" spans="1:14" s="33" customFormat="1" x14ac:dyDescent="0.25">
      <c r="A363" s="27"/>
      <c r="B363" s="5"/>
      <c r="C363" s="29"/>
      <c r="D363" s="65"/>
      <c r="E363" s="24"/>
      <c r="F363" s="25"/>
      <c r="G363" s="30"/>
      <c r="H363" s="31"/>
      <c r="I363" s="5"/>
      <c r="J363" s="5"/>
      <c r="K363" s="5"/>
      <c r="L363" s="5"/>
      <c r="M363" s="31"/>
      <c r="N363" s="29"/>
    </row>
    <row r="364" spans="1:14" s="33" customFormat="1" x14ac:dyDescent="0.25">
      <c r="A364" s="27"/>
      <c r="B364" s="5"/>
      <c r="C364" s="29"/>
      <c r="D364" s="65"/>
      <c r="E364" s="24"/>
      <c r="F364" s="25"/>
      <c r="G364" s="30"/>
      <c r="H364" s="31"/>
      <c r="I364" s="5"/>
      <c r="J364" s="5"/>
      <c r="K364" s="5"/>
      <c r="L364" s="5"/>
      <c r="M364" s="31"/>
      <c r="N364" s="29"/>
    </row>
    <row r="365" spans="1:14" s="33" customFormat="1" x14ac:dyDescent="0.25">
      <c r="A365" s="27"/>
      <c r="B365" s="5"/>
      <c r="C365" s="29"/>
      <c r="D365" s="65"/>
      <c r="E365" s="24"/>
      <c r="F365" s="25"/>
      <c r="G365" s="30"/>
      <c r="H365" s="31"/>
      <c r="I365" s="5"/>
      <c r="J365" s="5"/>
      <c r="K365" s="5"/>
      <c r="L365" s="5"/>
      <c r="M365" s="31"/>
      <c r="N365" s="29"/>
    </row>
    <row r="366" spans="1:14" s="33" customFormat="1" x14ac:dyDescent="0.25">
      <c r="A366" s="27"/>
      <c r="B366" s="5"/>
      <c r="C366" s="29"/>
      <c r="D366" s="65"/>
      <c r="E366" s="24"/>
      <c r="F366" s="25"/>
      <c r="G366" s="30"/>
      <c r="H366" s="31"/>
      <c r="I366" s="5"/>
      <c r="J366" s="5"/>
      <c r="K366" s="5"/>
      <c r="L366" s="5"/>
      <c r="M366" s="31"/>
      <c r="N366" s="29"/>
    </row>
    <row r="367" spans="1:14" s="33" customFormat="1" x14ac:dyDescent="0.25">
      <c r="A367" s="27"/>
      <c r="B367" s="5"/>
      <c r="C367" s="29"/>
      <c r="D367" s="65"/>
      <c r="E367" s="24"/>
      <c r="F367" s="25"/>
      <c r="G367" s="30"/>
      <c r="H367" s="31"/>
      <c r="I367" s="5"/>
      <c r="J367" s="5"/>
      <c r="K367" s="5"/>
      <c r="L367" s="5"/>
      <c r="M367" s="31"/>
      <c r="N367" s="29"/>
    </row>
    <row r="368" spans="1:14" s="33" customFormat="1" x14ac:dyDescent="0.25">
      <c r="A368" s="27"/>
      <c r="B368" s="5"/>
      <c r="C368" s="29"/>
      <c r="D368" s="65"/>
      <c r="E368" s="24"/>
      <c r="F368" s="25"/>
      <c r="G368" s="30"/>
      <c r="H368" s="31"/>
      <c r="I368" s="5"/>
      <c r="J368" s="5"/>
      <c r="K368" s="5"/>
      <c r="L368" s="5"/>
      <c r="M368" s="31"/>
      <c r="N368" s="29"/>
    </row>
    <row r="369" spans="1:14" s="33" customFormat="1" x14ac:dyDescent="0.25">
      <c r="A369" s="27"/>
      <c r="B369" s="5"/>
      <c r="C369" s="29"/>
      <c r="D369" s="65"/>
      <c r="E369" s="24"/>
      <c r="F369" s="25"/>
      <c r="G369" s="30"/>
      <c r="H369" s="31"/>
      <c r="I369" s="5"/>
      <c r="J369" s="5"/>
      <c r="K369" s="5"/>
      <c r="L369" s="5"/>
      <c r="M369" s="31"/>
      <c r="N369" s="29"/>
    </row>
    <row r="370" spans="1:14" s="33" customFormat="1" x14ac:dyDescent="0.25">
      <c r="A370" s="27"/>
      <c r="B370" s="5"/>
      <c r="C370" s="29"/>
      <c r="D370" s="65"/>
      <c r="E370" s="24"/>
      <c r="F370" s="25"/>
      <c r="G370" s="30"/>
      <c r="H370" s="31"/>
      <c r="I370" s="5"/>
      <c r="J370" s="5"/>
      <c r="K370" s="5"/>
      <c r="L370" s="5"/>
      <c r="M370" s="31"/>
      <c r="N370" s="29"/>
    </row>
    <row r="371" spans="1:14" s="33" customFormat="1" x14ac:dyDescent="0.25">
      <c r="A371" s="27"/>
      <c r="B371" s="5"/>
      <c r="C371" s="29"/>
      <c r="D371" s="65"/>
      <c r="E371" s="24"/>
      <c r="F371" s="25"/>
      <c r="G371" s="30"/>
      <c r="H371" s="31"/>
      <c r="I371" s="5"/>
      <c r="J371" s="5"/>
      <c r="K371" s="5"/>
      <c r="L371" s="5"/>
      <c r="M371" s="31"/>
      <c r="N371" s="29"/>
    </row>
    <row r="372" spans="1:14" s="33" customFormat="1" x14ac:dyDescent="0.25">
      <c r="A372" s="27"/>
      <c r="B372" s="5"/>
      <c r="C372" s="29"/>
      <c r="D372" s="65"/>
      <c r="E372" s="24"/>
      <c r="F372" s="25"/>
      <c r="G372" s="30"/>
      <c r="H372" s="31"/>
      <c r="I372" s="5"/>
      <c r="J372" s="5"/>
      <c r="K372" s="5"/>
      <c r="L372" s="5"/>
      <c r="M372" s="31"/>
      <c r="N372" s="29"/>
    </row>
    <row r="373" spans="1:14" s="33" customFormat="1" x14ac:dyDescent="0.25">
      <c r="A373" s="27"/>
      <c r="B373" s="5"/>
      <c r="C373" s="29"/>
      <c r="D373" s="65"/>
      <c r="E373" s="24"/>
      <c r="F373" s="25"/>
      <c r="G373" s="30"/>
      <c r="H373" s="31"/>
      <c r="I373" s="5"/>
      <c r="J373" s="5"/>
      <c r="K373" s="5"/>
      <c r="L373" s="5"/>
      <c r="M373" s="31"/>
      <c r="N373" s="29"/>
    </row>
    <row r="374" spans="1:14" s="33" customFormat="1" x14ac:dyDescent="0.25">
      <c r="A374" s="27"/>
      <c r="B374" s="5"/>
      <c r="C374" s="29"/>
      <c r="D374" s="65"/>
      <c r="E374" s="24"/>
      <c r="F374" s="25"/>
      <c r="G374" s="30"/>
      <c r="H374" s="31"/>
      <c r="I374" s="5"/>
      <c r="J374" s="5"/>
      <c r="K374" s="5"/>
      <c r="L374" s="5"/>
      <c r="M374" s="31"/>
      <c r="N374" s="29"/>
    </row>
    <row r="375" spans="1:14" s="33" customFormat="1" x14ac:dyDescent="0.25">
      <c r="A375" s="27"/>
      <c r="B375" s="5"/>
      <c r="C375" s="29"/>
      <c r="D375" s="65"/>
      <c r="E375" s="24"/>
      <c r="F375" s="25"/>
      <c r="G375" s="30"/>
      <c r="H375" s="31"/>
      <c r="I375" s="5"/>
      <c r="J375" s="5"/>
      <c r="K375" s="5"/>
      <c r="L375" s="5"/>
      <c r="M375" s="31"/>
      <c r="N375" s="29"/>
    </row>
    <row r="376" spans="1:14" s="33" customFormat="1" x14ac:dyDescent="0.25">
      <c r="A376" s="27"/>
      <c r="B376" s="5"/>
      <c r="C376" s="29"/>
      <c r="D376" s="65"/>
      <c r="E376" s="24"/>
      <c r="F376" s="25"/>
      <c r="G376" s="30"/>
      <c r="H376" s="31"/>
      <c r="I376" s="5"/>
      <c r="J376" s="5"/>
      <c r="K376" s="5"/>
      <c r="L376" s="5"/>
      <c r="M376" s="31"/>
      <c r="N376" s="29"/>
    </row>
    <row r="377" spans="1:14" s="33" customFormat="1" x14ac:dyDescent="0.25">
      <c r="A377" s="27"/>
      <c r="B377" s="5"/>
      <c r="C377" s="29"/>
      <c r="D377" s="65"/>
      <c r="E377" s="24"/>
      <c r="F377" s="25"/>
      <c r="G377" s="30"/>
      <c r="H377" s="31"/>
      <c r="I377" s="5"/>
      <c r="J377" s="5"/>
      <c r="K377" s="5"/>
      <c r="L377" s="5"/>
      <c r="M377" s="31"/>
      <c r="N377" s="29"/>
    </row>
    <row r="378" spans="1:14" s="33" customFormat="1" x14ac:dyDescent="0.25">
      <c r="A378" s="27"/>
      <c r="B378" s="5"/>
      <c r="C378" s="29"/>
      <c r="D378" s="65"/>
      <c r="E378" s="24"/>
      <c r="F378" s="25"/>
      <c r="G378" s="30"/>
      <c r="H378" s="31"/>
      <c r="I378" s="5"/>
      <c r="J378" s="5"/>
      <c r="K378" s="5"/>
      <c r="L378" s="5"/>
      <c r="M378" s="31"/>
      <c r="N378" s="29"/>
    </row>
    <row r="379" spans="1:14" s="33" customFormat="1" x14ac:dyDescent="0.25">
      <c r="A379" s="27"/>
      <c r="B379" s="5"/>
      <c r="C379" s="29"/>
      <c r="D379" s="65"/>
      <c r="E379" s="24"/>
      <c r="F379" s="25"/>
      <c r="G379" s="30"/>
      <c r="H379" s="31"/>
      <c r="I379" s="5"/>
      <c r="J379" s="5"/>
      <c r="K379" s="5"/>
      <c r="L379" s="5"/>
      <c r="M379" s="31"/>
      <c r="N379" s="29"/>
    </row>
    <row r="380" spans="1:14" s="33" customFormat="1" x14ac:dyDescent="0.25">
      <c r="A380" s="27"/>
      <c r="B380" s="5"/>
      <c r="C380" s="29"/>
      <c r="D380" s="65"/>
      <c r="E380" s="24"/>
      <c r="F380" s="25"/>
      <c r="G380" s="30"/>
      <c r="H380" s="31"/>
      <c r="I380" s="5"/>
      <c r="J380" s="5"/>
      <c r="K380" s="5"/>
      <c r="L380" s="5"/>
      <c r="M380" s="31"/>
      <c r="N380" s="29"/>
    </row>
    <row r="381" spans="1:14" s="33" customFormat="1" x14ac:dyDescent="0.25">
      <c r="A381" s="27"/>
      <c r="B381" s="5"/>
      <c r="C381" s="29"/>
      <c r="D381" s="65"/>
      <c r="E381" s="24"/>
      <c r="F381" s="25"/>
      <c r="G381" s="30"/>
      <c r="H381" s="31"/>
      <c r="I381" s="5"/>
      <c r="J381" s="5"/>
      <c r="K381" s="5"/>
      <c r="L381" s="5"/>
      <c r="M381" s="31"/>
      <c r="N381" s="29"/>
    </row>
    <row r="382" spans="1:14" s="33" customFormat="1" x14ac:dyDescent="0.25">
      <c r="A382" s="27"/>
      <c r="B382" s="5"/>
      <c r="C382" s="29"/>
      <c r="D382" s="65"/>
      <c r="E382" s="24"/>
      <c r="F382" s="25"/>
      <c r="G382" s="30"/>
      <c r="H382" s="31"/>
      <c r="I382" s="5"/>
      <c r="J382" s="5"/>
      <c r="K382" s="5"/>
      <c r="L382" s="5"/>
      <c r="M382" s="31"/>
      <c r="N382" s="29"/>
    </row>
    <row r="383" spans="1:14" s="33" customFormat="1" x14ac:dyDescent="0.25">
      <c r="A383" s="27"/>
      <c r="B383" s="5"/>
      <c r="C383" s="29"/>
      <c r="D383" s="65"/>
      <c r="E383" s="24"/>
      <c r="F383" s="25"/>
      <c r="G383" s="30"/>
      <c r="H383" s="31"/>
      <c r="I383" s="5"/>
      <c r="J383" s="5"/>
      <c r="K383" s="5"/>
      <c r="L383" s="5"/>
      <c r="M383" s="31"/>
      <c r="N383" s="29"/>
    </row>
    <row r="384" spans="1:14" s="33" customFormat="1" x14ac:dyDescent="0.25">
      <c r="A384" s="27"/>
      <c r="B384" s="5"/>
      <c r="C384" s="29"/>
      <c r="D384" s="65"/>
      <c r="E384" s="24"/>
      <c r="F384" s="25"/>
      <c r="G384" s="30"/>
      <c r="H384" s="31"/>
      <c r="I384" s="5"/>
      <c r="J384" s="5"/>
      <c r="K384" s="5"/>
      <c r="L384" s="5"/>
      <c r="M384" s="31"/>
      <c r="N384" s="29"/>
    </row>
    <row r="385" spans="1:14" s="33" customFormat="1" x14ac:dyDescent="0.25">
      <c r="A385" s="27"/>
      <c r="B385" s="5"/>
      <c r="C385" s="29"/>
      <c r="D385" s="65"/>
      <c r="E385" s="24"/>
      <c r="F385" s="25"/>
      <c r="G385" s="30"/>
      <c r="H385" s="31"/>
      <c r="I385" s="5"/>
      <c r="J385" s="5"/>
      <c r="K385" s="5"/>
      <c r="L385" s="5"/>
      <c r="M385" s="31"/>
      <c r="N385" s="29"/>
    </row>
    <row r="386" spans="1:14" s="33" customFormat="1" x14ac:dyDescent="0.25">
      <c r="A386" s="27"/>
      <c r="B386" s="5"/>
      <c r="C386" s="29"/>
      <c r="D386" s="65"/>
      <c r="E386" s="24"/>
      <c r="F386" s="25"/>
      <c r="G386" s="30"/>
      <c r="H386" s="31"/>
      <c r="I386" s="5"/>
      <c r="J386" s="5"/>
      <c r="K386" s="5"/>
      <c r="L386" s="5"/>
      <c r="M386" s="31"/>
      <c r="N386" s="29"/>
    </row>
    <row r="387" spans="1:14" s="33" customFormat="1" x14ac:dyDescent="0.25">
      <c r="A387" s="27"/>
      <c r="B387" s="5"/>
      <c r="C387" s="29"/>
      <c r="D387" s="65"/>
      <c r="E387" s="24"/>
      <c r="F387" s="25"/>
      <c r="G387" s="30"/>
      <c r="H387" s="31"/>
      <c r="I387" s="5"/>
      <c r="J387" s="5"/>
      <c r="K387" s="5"/>
      <c r="L387" s="5"/>
      <c r="M387" s="31"/>
      <c r="N387" s="29"/>
    </row>
    <row r="388" spans="1:14" s="33" customFormat="1" x14ac:dyDescent="0.25">
      <c r="A388" s="27"/>
      <c r="B388" s="5"/>
      <c r="C388" s="29"/>
      <c r="D388" s="65"/>
      <c r="E388" s="24"/>
      <c r="F388" s="25"/>
      <c r="G388" s="30"/>
      <c r="H388" s="31"/>
      <c r="I388" s="5"/>
      <c r="J388" s="5"/>
      <c r="K388" s="5"/>
      <c r="L388" s="5"/>
      <c r="M388" s="31"/>
      <c r="N388" s="29"/>
    </row>
    <row r="389" spans="1:14" s="33" customFormat="1" x14ac:dyDescent="0.25">
      <c r="A389" s="27"/>
      <c r="B389" s="5"/>
      <c r="C389" s="29"/>
      <c r="D389" s="65"/>
      <c r="E389" s="24"/>
      <c r="F389" s="25"/>
      <c r="G389" s="30"/>
      <c r="H389" s="31"/>
      <c r="I389" s="5"/>
      <c r="J389" s="5"/>
      <c r="K389" s="5"/>
      <c r="L389" s="5"/>
      <c r="M389" s="31"/>
      <c r="N389" s="29"/>
    </row>
    <row r="390" spans="1:14" s="33" customFormat="1" x14ac:dyDescent="0.25">
      <c r="A390" s="27"/>
      <c r="B390" s="5"/>
      <c r="C390" s="29"/>
      <c r="D390" s="65"/>
      <c r="E390" s="24"/>
      <c r="F390" s="25"/>
      <c r="G390" s="30"/>
      <c r="H390" s="31"/>
      <c r="I390" s="5"/>
      <c r="J390" s="5"/>
      <c r="K390" s="5"/>
      <c r="L390" s="5"/>
      <c r="M390" s="31"/>
      <c r="N390" s="29"/>
    </row>
    <row r="391" spans="1:14" s="33" customFormat="1" x14ac:dyDescent="0.25">
      <c r="A391" s="27"/>
      <c r="B391" s="5"/>
      <c r="C391" s="29"/>
      <c r="D391" s="65"/>
      <c r="E391" s="24"/>
      <c r="F391" s="25"/>
      <c r="G391" s="30"/>
      <c r="H391" s="31"/>
      <c r="I391" s="5"/>
      <c r="J391" s="5"/>
      <c r="K391" s="5"/>
      <c r="L391" s="5"/>
      <c r="M391" s="31"/>
      <c r="N391" s="29"/>
    </row>
    <row r="392" spans="1:14" s="33" customFormat="1" x14ac:dyDescent="0.25">
      <c r="A392" s="27"/>
      <c r="B392" s="5"/>
      <c r="C392" s="29"/>
      <c r="D392" s="65"/>
      <c r="E392" s="24"/>
      <c r="F392" s="25"/>
      <c r="G392" s="30"/>
      <c r="H392" s="31"/>
      <c r="I392" s="5"/>
      <c r="J392" s="5"/>
      <c r="K392" s="5"/>
      <c r="L392" s="5"/>
      <c r="M392" s="31"/>
      <c r="N392" s="29"/>
    </row>
    <row r="393" spans="1:14" s="33" customFormat="1" x14ac:dyDescent="0.25">
      <c r="A393" s="27"/>
      <c r="B393" s="5"/>
      <c r="C393" s="29"/>
      <c r="D393" s="65"/>
      <c r="E393" s="24"/>
      <c r="F393" s="25"/>
      <c r="G393" s="30"/>
      <c r="H393" s="31"/>
      <c r="I393" s="5"/>
      <c r="J393" s="5"/>
      <c r="K393" s="5"/>
      <c r="L393" s="5"/>
      <c r="M393" s="31"/>
      <c r="N393" s="29"/>
    </row>
    <row r="394" spans="1:14" s="33" customFormat="1" x14ac:dyDescent="0.25">
      <c r="A394" s="27"/>
      <c r="B394" s="5"/>
      <c r="C394" s="29"/>
      <c r="D394" s="65"/>
      <c r="E394" s="24"/>
      <c r="F394" s="25"/>
      <c r="G394" s="30"/>
      <c r="H394" s="31"/>
      <c r="I394" s="5"/>
      <c r="J394" s="5"/>
      <c r="K394" s="5"/>
      <c r="L394" s="5"/>
      <c r="M394" s="31"/>
      <c r="N394" s="29"/>
    </row>
    <row r="395" spans="1:14" s="33" customFormat="1" x14ac:dyDescent="0.25">
      <c r="A395" s="27"/>
      <c r="B395" s="5"/>
      <c r="C395" s="29"/>
      <c r="D395" s="65"/>
      <c r="E395" s="24"/>
      <c r="F395" s="25"/>
      <c r="G395" s="30"/>
      <c r="H395" s="31"/>
      <c r="I395" s="5"/>
      <c r="J395" s="5"/>
      <c r="K395" s="5"/>
      <c r="L395" s="5"/>
      <c r="M395" s="31"/>
      <c r="N395" s="29"/>
    </row>
    <row r="396" spans="1:14" s="33" customFormat="1" x14ac:dyDescent="0.25">
      <c r="A396" s="27"/>
      <c r="B396" s="5"/>
      <c r="C396" s="29"/>
      <c r="D396" s="65"/>
      <c r="E396" s="24"/>
      <c r="F396" s="25"/>
      <c r="G396" s="30"/>
      <c r="H396" s="31"/>
      <c r="I396" s="5"/>
      <c r="J396" s="5"/>
      <c r="K396" s="5"/>
      <c r="L396" s="5"/>
      <c r="M396" s="31"/>
      <c r="N396" s="29"/>
    </row>
    <row r="397" spans="1:14" s="33" customFormat="1" x14ac:dyDescent="0.25">
      <c r="A397" s="27"/>
      <c r="B397" s="5"/>
      <c r="C397" s="29"/>
      <c r="D397" s="65"/>
      <c r="E397" s="24"/>
      <c r="F397" s="25"/>
      <c r="G397" s="30"/>
      <c r="H397" s="31"/>
      <c r="I397" s="5"/>
      <c r="J397" s="5"/>
      <c r="K397" s="5"/>
      <c r="L397" s="5"/>
      <c r="M397" s="31"/>
      <c r="N397" s="29"/>
    </row>
    <row r="398" spans="1:14" s="33" customFormat="1" x14ac:dyDescent="0.25">
      <c r="A398" s="27"/>
      <c r="B398" s="5"/>
      <c r="C398" s="29"/>
      <c r="D398" s="65"/>
      <c r="E398" s="24"/>
      <c r="F398" s="25"/>
      <c r="G398" s="30"/>
      <c r="H398" s="31"/>
      <c r="I398" s="5"/>
      <c r="J398" s="5"/>
      <c r="K398" s="5"/>
      <c r="L398" s="5"/>
      <c r="M398" s="31"/>
      <c r="N398" s="29"/>
    </row>
    <row r="399" spans="1:14" s="33" customFormat="1" x14ac:dyDescent="0.25">
      <c r="A399" s="27"/>
      <c r="B399" s="5"/>
      <c r="C399" s="29"/>
      <c r="D399" s="65"/>
      <c r="E399" s="24"/>
      <c r="F399" s="25"/>
      <c r="G399" s="30"/>
      <c r="H399" s="31"/>
      <c r="I399" s="5"/>
      <c r="J399" s="5"/>
      <c r="K399" s="5"/>
      <c r="L399" s="5"/>
      <c r="M399" s="31"/>
      <c r="N399" s="29"/>
    </row>
    <row r="400" spans="1:14" s="33" customFormat="1" x14ac:dyDescent="0.25">
      <c r="A400" s="27"/>
      <c r="B400" s="5"/>
      <c r="C400" s="29"/>
      <c r="D400" s="65"/>
      <c r="E400" s="24"/>
      <c r="F400" s="25"/>
      <c r="G400" s="30"/>
      <c r="H400" s="31"/>
      <c r="I400" s="5"/>
      <c r="J400" s="5"/>
      <c r="K400" s="5"/>
      <c r="L400" s="5"/>
      <c r="M400" s="31"/>
      <c r="N400" s="29"/>
    </row>
    <row r="401" spans="1:14" s="33" customFormat="1" x14ac:dyDescent="0.25">
      <c r="A401" s="27"/>
      <c r="B401" s="5"/>
      <c r="C401" s="29"/>
      <c r="D401" s="65"/>
      <c r="E401" s="24"/>
      <c r="F401" s="25"/>
      <c r="G401" s="30"/>
      <c r="H401" s="31"/>
      <c r="I401" s="5"/>
      <c r="J401" s="5"/>
      <c r="K401" s="5"/>
      <c r="L401" s="5"/>
      <c r="M401" s="31"/>
      <c r="N401" s="29"/>
    </row>
    <row r="402" spans="1:14" s="33" customFormat="1" x14ac:dyDescent="0.25">
      <c r="A402" s="27"/>
      <c r="B402" s="5"/>
      <c r="C402" s="29"/>
      <c r="D402" s="65"/>
      <c r="E402" s="24"/>
      <c r="F402" s="25"/>
      <c r="G402" s="30"/>
      <c r="H402" s="31"/>
      <c r="I402" s="5"/>
      <c r="J402" s="5"/>
      <c r="K402" s="5"/>
      <c r="L402" s="5"/>
      <c r="M402" s="31"/>
      <c r="N402" s="29"/>
    </row>
    <row r="403" spans="1:14" s="33" customFormat="1" x14ac:dyDescent="0.25">
      <c r="A403" s="27"/>
      <c r="B403" s="5"/>
      <c r="C403" s="29"/>
      <c r="D403" s="65"/>
      <c r="E403" s="24"/>
      <c r="F403" s="25"/>
      <c r="G403" s="30"/>
      <c r="H403" s="31"/>
      <c r="I403" s="5"/>
      <c r="J403" s="5"/>
      <c r="K403" s="5"/>
      <c r="L403" s="5"/>
      <c r="M403" s="31"/>
      <c r="N403" s="29"/>
    </row>
    <row r="404" spans="1:14" s="33" customFormat="1" x14ac:dyDescent="0.25">
      <c r="A404" s="27"/>
      <c r="B404" s="5"/>
      <c r="C404" s="29"/>
      <c r="D404" s="65"/>
      <c r="E404" s="24"/>
      <c r="F404" s="25"/>
      <c r="G404" s="30"/>
      <c r="H404" s="31"/>
      <c r="I404" s="5"/>
      <c r="J404" s="5"/>
      <c r="K404" s="5"/>
      <c r="L404" s="5"/>
      <c r="M404" s="31"/>
      <c r="N404" s="29"/>
    </row>
    <row r="405" spans="1:14" s="33" customFormat="1" x14ac:dyDescent="0.25">
      <c r="A405" s="27"/>
      <c r="B405" s="5"/>
      <c r="C405" s="29"/>
      <c r="D405" s="65"/>
      <c r="E405" s="24"/>
      <c r="F405" s="25"/>
      <c r="G405" s="30"/>
      <c r="H405" s="31"/>
      <c r="I405" s="5"/>
      <c r="J405" s="5"/>
      <c r="K405" s="5"/>
      <c r="L405" s="5"/>
      <c r="M405" s="31"/>
      <c r="N405" s="29"/>
    </row>
    <row r="406" spans="1:14" s="33" customFormat="1" x14ac:dyDescent="0.25">
      <c r="A406" s="27"/>
      <c r="B406" s="5"/>
      <c r="C406" s="29"/>
      <c r="D406" s="65"/>
      <c r="E406" s="24"/>
      <c r="F406" s="25"/>
      <c r="G406" s="30"/>
      <c r="H406" s="31"/>
      <c r="I406" s="5"/>
      <c r="J406" s="5"/>
      <c r="K406" s="5"/>
      <c r="L406" s="5"/>
      <c r="M406" s="31"/>
      <c r="N406" s="29"/>
    </row>
    <row r="407" spans="1:14" s="33" customFormat="1" x14ac:dyDescent="0.25">
      <c r="A407" s="27"/>
      <c r="B407" s="5"/>
      <c r="C407" s="29"/>
      <c r="D407" s="65"/>
      <c r="E407" s="24"/>
      <c r="F407" s="25"/>
      <c r="G407" s="30"/>
      <c r="H407" s="31"/>
      <c r="I407" s="5"/>
      <c r="J407" s="5"/>
      <c r="K407" s="5"/>
      <c r="L407" s="5"/>
      <c r="M407" s="31"/>
      <c r="N407" s="29"/>
    </row>
    <row r="408" spans="1:14" s="33" customFormat="1" x14ac:dyDescent="0.25">
      <c r="A408" s="27"/>
      <c r="B408" s="5"/>
      <c r="C408" s="29"/>
      <c r="D408" s="65"/>
      <c r="E408" s="24"/>
      <c r="F408" s="25"/>
      <c r="G408" s="30"/>
      <c r="H408" s="31"/>
      <c r="I408" s="5"/>
      <c r="J408" s="5"/>
      <c r="K408" s="5"/>
      <c r="L408" s="5"/>
      <c r="M408" s="31"/>
      <c r="N408" s="29"/>
    </row>
    <row r="409" spans="1:14" s="33" customFormat="1" x14ac:dyDescent="0.25">
      <c r="A409" s="27"/>
      <c r="B409" s="5"/>
      <c r="C409" s="29"/>
      <c r="D409" s="65"/>
      <c r="E409" s="24"/>
      <c r="F409" s="25"/>
      <c r="G409" s="30"/>
      <c r="H409" s="31"/>
      <c r="I409" s="5"/>
      <c r="J409" s="5"/>
      <c r="K409" s="5"/>
      <c r="L409" s="5"/>
      <c r="M409" s="31"/>
      <c r="N409" s="29"/>
    </row>
    <row r="410" spans="1:14" s="33" customFormat="1" x14ac:dyDescent="0.25">
      <c r="A410" s="27"/>
      <c r="B410" s="5"/>
      <c r="C410" s="29"/>
      <c r="D410" s="65"/>
      <c r="E410" s="24"/>
      <c r="F410" s="25"/>
      <c r="G410" s="30"/>
      <c r="H410" s="31"/>
      <c r="I410" s="5"/>
      <c r="J410" s="5"/>
      <c r="K410" s="5"/>
      <c r="L410" s="5"/>
      <c r="M410" s="31"/>
      <c r="N410" s="29"/>
    </row>
    <row r="411" spans="1:14" s="33" customFormat="1" x14ac:dyDescent="0.25">
      <c r="A411" s="27"/>
      <c r="B411" s="5"/>
      <c r="C411" s="29"/>
      <c r="D411" s="65"/>
      <c r="E411" s="24"/>
      <c r="F411" s="25"/>
      <c r="G411" s="30"/>
      <c r="H411" s="31"/>
      <c r="I411" s="5"/>
      <c r="J411" s="5"/>
      <c r="K411" s="5"/>
      <c r="L411" s="5"/>
      <c r="M411" s="31"/>
      <c r="N411" s="29"/>
    </row>
    <row r="412" spans="1:14" s="33" customFormat="1" x14ac:dyDescent="0.25">
      <c r="A412" s="27"/>
      <c r="B412" s="5"/>
      <c r="C412" s="29"/>
      <c r="D412" s="65"/>
      <c r="E412" s="24"/>
      <c r="F412" s="25"/>
      <c r="G412" s="30"/>
      <c r="H412" s="31"/>
      <c r="I412" s="5"/>
      <c r="J412" s="5"/>
      <c r="K412" s="5"/>
      <c r="L412" s="5"/>
      <c r="M412" s="31"/>
      <c r="N412" s="29"/>
    </row>
    <row r="413" spans="1:14" s="33" customFormat="1" x14ac:dyDescent="0.25">
      <c r="A413" s="27"/>
      <c r="B413" s="5"/>
      <c r="C413" s="29"/>
      <c r="D413" s="65"/>
      <c r="E413" s="24"/>
      <c r="F413" s="25"/>
      <c r="G413" s="30"/>
      <c r="H413" s="31"/>
      <c r="I413" s="5"/>
      <c r="J413" s="5"/>
      <c r="K413" s="5"/>
      <c r="L413" s="5"/>
      <c r="M413" s="31"/>
      <c r="N413" s="29"/>
    </row>
    <row r="414" spans="1:14" s="33" customFormat="1" x14ac:dyDescent="0.25">
      <c r="A414" s="27"/>
      <c r="B414" s="5"/>
      <c r="C414" s="29"/>
      <c r="D414" s="65"/>
      <c r="E414" s="24"/>
      <c r="F414" s="25"/>
      <c r="G414" s="30"/>
      <c r="H414" s="31"/>
      <c r="I414" s="5"/>
      <c r="J414" s="5"/>
      <c r="K414" s="5"/>
      <c r="L414" s="5"/>
      <c r="M414" s="31"/>
      <c r="N414" s="29"/>
    </row>
    <row r="415" spans="1:14" s="33" customFormat="1" x14ac:dyDescent="0.25">
      <c r="A415" s="27"/>
      <c r="B415" s="5"/>
      <c r="C415" s="29"/>
      <c r="D415" s="65"/>
      <c r="E415" s="24"/>
      <c r="F415" s="25"/>
      <c r="G415" s="30"/>
      <c r="H415" s="31"/>
      <c r="I415" s="5"/>
      <c r="J415" s="5"/>
      <c r="K415" s="5"/>
      <c r="L415" s="5"/>
      <c r="M415" s="31"/>
      <c r="N415" s="29"/>
    </row>
    <row r="416" spans="1:14" s="33" customFormat="1" x14ac:dyDescent="0.25">
      <c r="A416" s="27"/>
      <c r="B416" s="5"/>
      <c r="C416" s="29"/>
      <c r="D416" s="65"/>
      <c r="E416" s="24"/>
      <c r="F416" s="25"/>
      <c r="G416" s="30"/>
      <c r="H416" s="31"/>
      <c r="I416" s="5"/>
      <c r="J416" s="5"/>
      <c r="K416" s="5"/>
      <c r="L416" s="5"/>
      <c r="M416" s="31"/>
      <c r="N416" s="29"/>
    </row>
    <row r="417" spans="1:14" s="33" customFormat="1" x14ac:dyDescent="0.25">
      <c r="A417" s="27"/>
      <c r="B417" s="5"/>
      <c r="C417" s="29"/>
      <c r="D417" s="65"/>
      <c r="E417" s="24"/>
      <c r="F417" s="25"/>
      <c r="G417" s="30"/>
      <c r="H417" s="31"/>
      <c r="I417" s="5"/>
      <c r="J417" s="5"/>
      <c r="K417" s="5"/>
      <c r="L417" s="5"/>
      <c r="M417" s="31"/>
      <c r="N417" s="29"/>
    </row>
    <row r="418" spans="1:14" s="33" customFormat="1" x14ac:dyDescent="0.25">
      <c r="A418" s="27"/>
      <c r="B418" s="5"/>
      <c r="C418" s="29"/>
      <c r="D418" s="65"/>
      <c r="E418" s="24"/>
      <c r="F418" s="25"/>
      <c r="G418" s="30"/>
      <c r="H418" s="31"/>
      <c r="I418" s="5"/>
      <c r="J418" s="5"/>
      <c r="K418" s="5"/>
      <c r="L418" s="5"/>
      <c r="M418" s="31"/>
      <c r="N418" s="29"/>
    </row>
    <row r="419" spans="1:14" s="33" customFormat="1" x14ac:dyDescent="0.25">
      <c r="A419" s="27"/>
      <c r="B419" s="5"/>
      <c r="C419" s="29"/>
      <c r="D419" s="65"/>
      <c r="E419" s="24"/>
      <c r="F419" s="25"/>
      <c r="G419" s="30"/>
      <c r="H419" s="31"/>
      <c r="I419" s="5"/>
      <c r="J419" s="5"/>
      <c r="K419" s="5"/>
      <c r="L419" s="5"/>
      <c r="M419" s="31"/>
      <c r="N419" s="29"/>
    </row>
    <row r="420" spans="1:14" s="33" customFormat="1" x14ac:dyDescent="0.25">
      <c r="A420" s="27"/>
      <c r="B420" s="5"/>
      <c r="C420" s="29"/>
      <c r="D420" s="65"/>
      <c r="E420" s="24"/>
      <c r="F420" s="25"/>
      <c r="G420" s="30"/>
      <c r="H420" s="31"/>
      <c r="I420" s="5"/>
      <c r="J420" s="5"/>
      <c r="K420" s="5"/>
      <c r="L420" s="5"/>
      <c r="M420" s="31"/>
      <c r="N420" s="29"/>
    </row>
    <row r="421" spans="1:14" s="33" customFormat="1" x14ac:dyDescent="0.25">
      <c r="A421" s="27"/>
      <c r="B421" s="5"/>
      <c r="C421" s="29"/>
      <c r="D421" s="65"/>
      <c r="E421" s="24"/>
      <c r="F421" s="25"/>
      <c r="G421" s="30"/>
      <c r="H421" s="31"/>
      <c r="I421" s="5"/>
      <c r="J421" s="5"/>
      <c r="K421" s="5"/>
      <c r="L421" s="5"/>
      <c r="M421" s="31"/>
      <c r="N421" s="29"/>
    </row>
    <row r="422" spans="1:14" s="33" customFormat="1" x14ac:dyDescent="0.25">
      <c r="A422" s="27"/>
      <c r="B422" s="5"/>
      <c r="C422" s="29"/>
      <c r="D422" s="65"/>
      <c r="E422" s="24"/>
      <c r="F422" s="25"/>
      <c r="G422" s="30"/>
      <c r="H422" s="31"/>
      <c r="I422" s="5"/>
      <c r="J422" s="5"/>
      <c r="K422" s="5"/>
      <c r="L422" s="5"/>
      <c r="M422" s="31"/>
      <c r="N422" s="29"/>
    </row>
    <row r="423" spans="1:14" s="33" customFormat="1" x14ac:dyDescent="0.25">
      <c r="A423" s="27"/>
      <c r="B423" s="5"/>
      <c r="C423" s="29"/>
      <c r="D423" s="65"/>
      <c r="E423" s="24"/>
      <c r="F423" s="25"/>
      <c r="G423" s="30"/>
      <c r="H423" s="31"/>
      <c r="I423" s="5"/>
      <c r="J423" s="5"/>
      <c r="K423" s="5"/>
      <c r="L423" s="5"/>
      <c r="M423" s="31"/>
      <c r="N423" s="29"/>
    </row>
    <row r="424" spans="1:14" s="33" customFormat="1" x14ac:dyDescent="0.25">
      <c r="A424" s="27"/>
      <c r="B424" s="5"/>
      <c r="C424" s="29"/>
      <c r="D424" s="65"/>
      <c r="E424" s="24"/>
      <c r="F424" s="25"/>
      <c r="G424" s="30"/>
      <c r="H424" s="31"/>
      <c r="I424" s="5"/>
      <c r="J424" s="5"/>
      <c r="K424" s="5"/>
      <c r="L424" s="5"/>
      <c r="M424" s="31"/>
      <c r="N424" s="29"/>
    </row>
    <row r="425" spans="1:14" s="33" customFormat="1" x14ac:dyDescent="0.25">
      <c r="A425" s="27"/>
      <c r="B425" s="5"/>
      <c r="C425" s="29"/>
      <c r="D425" s="65"/>
      <c r="E425" s="24"/>
      <c r="F425" s="25"/>
      <c r="G425" s="30"/>
      <c r="H425" s="31"/>
      <c r="I425" s="5"/>
      <c r="J425" s="5"/>
      <c r="K425" s="5"/>
      <c r="L425" s="5"/>
      <c r="M425" s="31"/>
      <c r="N425" s="29"/>
    </row>
    <row r="426" spans="1:14" s="33" customFormat="1" x14ac:dyDescent="0.25">
      <c r="A426" s="27"/>
      <c r="B426" s="5"/>
      <c r="C426" s="29"/>
      <c r="D426" s="65"/>
      <c r="E426" s="24"/>
      <c r="F426" s="25"/>
      <c r="G426" s="30"/>
      <c r="H426" s="31"/>
      <c r="I426" s="5"/>
      <c r="J426" s="5"/>
      <c r="K426" s="5"/>
      <c r="L426" s="5"/>
      <c r="M426" s="31"/>
      <c r="N426" s="29"/>
    </row>
    <row r="427" spans="1:14" s="33" customFormat="1" x14ac:dyDescent="0.25">
      <c r="A427" s="27"/>
      <c r="B427" s="5"/>
      <c r="C427" s="29"/>
      <c r="D427" s="65"/>
      <c r="E427" s="24"/>
      <c r="F427" s="25"/>
      <c r="G427" s="30"/>
      <c r="H427" s="31"/>
      <c r="I427" s="5"/>
      <c r="J427" s="5"/>
      <c r="K427" s="5"/>
      <c r="L427" s="5"/>
      <c r="M427" s="31"/>
      <c r="N427" s="29"/>
    </row>
    <row r="428" spans="1:14" s="33" customFormat="1" x14ac:dyDescent="0.25">
      <c r="A428" s="27"/>
      <c r="B428" s="5"/>
      <c r="C428" s="29"/>
      <c r="D428" s="65"/>
      <c r="E428" s="24"/>
      <c r="F428" s="25"/>
      <c r="G428" s="30"/>
      <c r="H428" s="31"/>
      <c r="I428" s="5"/>
      <c r="J428" s="5"/>
      <c r="K428" s="5"/>
      <c r="L428" s="5"/>
      <c r="M428" s="31"/>
      <c r="N428" s="29"/>
    </row>
    <row r="429" spans="1:14" s="33" customFormat="1" x14ac:dyDescent="0.25">
      <c r="A429" s="27"/>
      <c r="B429" s="5"/>
      <c r="C429" s="29"/>
      <c r="D429" s="65"/>
      <c r="E429" s="24"/>
      <c r="F429" s="25"/>
      <c r="G429" s="30"/>
      <c r="H429" s="31"/>
      <c r="I429" s="5"/>
      <c r="J429" s="5"/>
      <c r="K429" s="5"/>
      <c r="L429" s="5"/>
      <c r="M429" s="31"/>
      <c r="N429" s="29"/>
    </row>
    <row r="430" spans="1:14" s="33" customFormat="1" x14ac:dyDescent="0.25">
      <c r="A430" s="27"/>
      <c r="B430" s="5"/>
      <c r="C430" s="29"/>
      <c r="D430" s="65"/>
      <c r="E430" s="24"/>
      <c r="F430" s="25"/>
      <c r="G430" s="30"/>
      <c r="H430" s="31"/>
      <c r="I430" s="5"/>
      <c r="J430" s="5"/>
      <c r="K430" s="5"/>
      <c r="L430" s="5"/>
      <c r="M430" s="31"/>
      <c r="N430" s="29"/>
    </row>
    <row r="431" spans="1:14" s="33" customFormat="1" x14ac:dyDescent="0.25">
      <c r="A431" s="27"/>
      <c r="B431" s="5"/>
      <c r="C431" s="29"/>
      <c r="D431" s="65"/>
      <c r="E431" s="24"/>
      <c r="F431" s="25"/>
      <c r="G431" s="30"/>
      <c r="H431" s="31"/>
      <c r="I431" s="5"/>
      <c r="J431" s="5"/>
      <c r="K431" s="5"/>
      <c r="L431" s="5"/>
      <c r="M431" s="31"/>
      <c r="N431" s="29"/>
    </row>
    <row r="432" spans="1:14" s="33" customFormat="1" x14ac:dyDescent="0.25">
      <c r="A432" s="27"/>
      <c r="B432" s="5"/>
      <c r="C432" s="29"/>
      <c r="D432" s="65"/>
      <c r="E432" s="24"/>
      <c r="F432" s="25"/>
      <c r="G432" s="30"/>
      <c r="H432" s="31"/>
      <c r="I432" s="5"/>
      <c r="J432" s="5"/>
      <c r="K432" s="5"/>
      <c r="L432" s="5"/>
      <c r="M432" s="31"/>
      <c r="N432" s="29"/>
    </row>
    <row r="433" spans="1:14" s="33" customFormat="1" x14ac:dyDescent="0.25">
      <c r="A433" s="27"/>
      <c r="B433" s="5"/>
      <c r="C433" s="29"/>
      <c r="D433" s="65"/>
      <c r="E433" s="24"/>
      <c r="F433" s="25"/>
      <c r="G433" s="30"/>
      <c r="H433" s="31"/>
      <c r="I433" s="5"/>
      <c r="J433" s="5"/>
      <c r="K433" s="5"/>
      <c r="L433" s="5"/>
      <c r="M433" s="31"/>
      <c r="N433" s="29"/>
    </row>
    <row r="434" spans="1:14" s="33" customFormat="1" x14ac:dyDescent="0.25">
      <c r="A434" s="27"/>
      <c r="B434" s="5"/>
      <c r="C434" s="29"/>
      <c r="D434" s="65"/>
      <c r="E434" s="24"/>
      <c r="F434" s="25"/>
      <c r="G434" s="30"/>
      <c r="H434" s="31"/>
      <c r="I434" s="5"/>
      <c r="J434" s="5"/>
      <c r="K434" s="5"/>
      <c r="L434" s="5"/>
      <c r="M434" s="31"/>
      <c r="N434" s="29"/>
    </row>
    <row r="435" spans="1:14" s="33" customFormat="1" x14ac:dyDescent="0.25">
      <c r="A435" s="27"/>
      <c r="B435" s="5"/>
      <c r="C435" s="29"/>
      <c r="D435" s="65"/>
      <c r="E435" s="24"/>
      <c r="F435" s="25"/>
      <c r="G435" s="30"/>
      <c r="H435" s="31"/>
      <c r="I435" s="5"/>
      <c r="J435" s="5"/>
      <c r="K435" s="5"/>
      <c r="L435" s="5"/>
      <c r="M435" s="31"/>
      <c r="N435" s="29"/>
    </row>
    <row r="436" spans="1:14" s="33" customFormat="1" x14ac:dyDescent="0.25">
      <c r="A436" s="27"/>
      <c r="B436" s="5"/>
      <c r="C436" s="29"/>
      <c r="D436" s="65"/>
      <c r="E436" s="24"/>
      <c r="F436" s="25"/>
      <c r="G436" s="30"/>
      <c r="H436" s="31"/>
      <c r="I436" s="5"/>
      <c r="J436" s="5"/>
      <c r="K436" s="5"/>
      <c r="L436" s="5"/>
      <c r="M436" s="31"/>
      <c r="N436" s="29"/>
    </row>
    <row r="437" spans="1:14" s="33" customFormat="1" x14ac:dyDescent="0.25">
      <c r="A437" s="27"/>
      <c r="B437" s="5"/>
      <c r="C437" s="29"/>
      <c r="D437" s="65"/>
      <c r="E437" s="24"/>
      <c r="F437" s="25"/>
      <c r="G437" s="30"/>
      <c r="H437" s="31"/>
      <c r="I437" s="5"/>
      <c r="J437" s="5"/>
      <c r="K437" s="5"/>
      <c r="L437" s="5"/>
      <c r="M437" s="31"/>
      <c r="N437" s="29"/>
    </row>
    <row r="438" spans="1:14" s="33" customFormat="1" x14ac:dyDescent="0.25">
      <c r="A438" s="27"/>
      <c r="B438" s="5"/>
      <c r="C438" s="29"/>
      <c r="D438" s="65"/>
      <c r="E438" s="24"/>
      <c r="F438" s="25"/>
      <c r="G438" s="30"/>
      <c r="H438" s="31"/>
      <c r="I438" s="5"/>
      <c r="J438" s="5"/>
      <c r="K438" s="5"/>
      <c r="L438" s="5"/>
      <c r="M438" s="31"/>
      <c r="N438" s="29"/>
    </row>
    <row r="439" spans="1:14" s="33" customFormat="1" x14ac:dyDescent="0.25">
      <c r="A439" s="27"/>
      <c r="B439" s="5"/>
      <c r="C439" s="29"/>
      <c r="D439" s="65"/>
      <c r="E439" s="24"/>
      <c r="F439" s="25"/>
      <c r="G439" s="30"/>
      <c r="H439" s="31"/>
      <c r="I439" s="5"/>
      <c r="J439" s="5"/>
      <c r="K439" s="5"/>
      <c r="L439" s="5"/>
      <c r="M439" s="31"/>
      <c r="N439" s="29"/>
    </row>
    <row r="440" spans="1:14" s="33" customFormat="1" x14ac:dyDescent="0.25">
      <c r="A440" s="27"/>
      <c r="B440" s="5"/>
      <c r="C440" s="29"/>
      <c r="D440" s="65"/>
      <c r="E440" s="24"/>
      <c r="F440" s="25"/>
      <c r="G440" s="30"/>
      <c r="H440" s="31"/>
      <c r="I440" s="5"/>
      <c r="J440" s="5"/>
      <c r="K440" s="5"/>
      <c r="L440" s="5"/>
      <c r="M440" s="31"/>
      <c r="N440" s="29"/>
    </row>
    <row r="441" spans="1:14" s="33" customFormat="1" x14ac:dyDescent="0.25">
      <c r="A441" s="27"/>
      <c r="B441" s="5"/>
      <c r="C441" s="29"/>
      <c r="D441" s="65"/>
      <c r="E441" s="24"/>
      <c r="F441" s="25"/>
      <c r="G441" s="30"/>
      <c r="H441" s="31"/>
      <c r="I441" s="5"/>
      <c r="J441" s="5"/>
      <c r="K441" s="5"/>
      <c r="L441" s="5"/>
      <c r="M441" s="31"/>
      <c r="N441" s="29"/>
    </row>
    <row r="442" spans="1:14" s="33" customFormat="1" x14ac:dyDescent="0.25">
      <c r="A442" s="27"/>
      <c r="B442" s="5"/>
      <c r="C442" s="29"/>
      <c r="D442" s="65"/>
      <c r="E442" s="24"/>
      <c r="F442" s="25"/>
      <c r="G442" s="30"/>
      <c r="H442" s="31"/>
      <c r="I442" s="5"/>
      <c r="J442" s="5"/>
      <c r="K442" s="5"/>
      <c r="L442" s="5"/>
      <c r="M442" s="31"/>
      <c r="N442" s="29"/>
    </row>
    <row r="443" spans="1:14" s="33" customFormat="1" x14ac:dyDescent="0.25">
      <c r="A443" s="27"/>
      <c r="B443" s="5"/>
      <c r="C443" s="29"/>
      <c r="D443" s="65"/>
      <c r="E443" s="24"/>
      <c r="F443" s="25"/>
      <c r="G443" s="30"/>
      <c r="H443" s="31"/>
      <c r="I443" s="5"/>
      <c r="J443" s="5"/>
      <c r="K443" s="5"/>
      <c r="L443" s="5"/>
      <c r="M443" s="31"/>
      <c r="N443" s="29"/>
    </row>
    <row r="444" spans="1:14" s="33" customFormat="1" x14ac:dyDescent="0.25">
      <c r="A444" s="27"/>
      <c r="B444" s="5"/>
      <c r="C444" s="29"/>
      <c r="D444" s="65"/>
      <c r="E444" s="24"/>
      <c r="F444" s="25"/>
      <c r="G444" s="30"/>
      <c r="H444" s="31"/>
      <c r="I444" s="5"/>
      <c r="J444" s="5"/>
      <c r="K444" s="5"/>
      <c r="L444" s="5"/>
      <c r="M444" s="31"/>
      <c r="N444" s="29"/>
    </row>
    <row r="445" spans="1:14" s="33" customFormat="1" x14ac:dyDescent="0.25">
      <c r="A445" s="27"/>
      <c r="B445" s="5"/>
      <c r="C445" s="29"/>
      <c r="D445" s="65"/>
      <c r="E445" s="24"/>
      <c r="F445" s="25"/>
      <c r="G445" s="30"/>
      <c r="H445" s="31"/>
      <c r="I445" s="5"/>
      <c r="J445" s="5"/>
      <c r="K445" s="5"/>
      <c r="L445" s="5"/>
      <c r="M445" s="31"/>
      <c r="N445" s="29"/>
    </row>
    <row r="446" spans="1:14" s="33" customFormat="1" x14ac:dyDescent="0.25">
      <c r="A446" s="27"/>
      <c r="B446" s="5"/>
      <c r="C446" s="29"/>
      <c r="D446" s="65"/>
      <c r="E446" s="24"/>
      <c r="F446" s="25"/>
      <c r="G446" s="30"/>
      <c r="H446" s="31"/>
      <c r="I446" s="5"/>
      <c r="J446" s="5"/>
      <c r="K446" s="5"/>
      <c r="L446" s="5"/>
      <c r="M446" s="31"/>
      <c r="N446" s="29"/>
    </row>
    <row r="447" spans="1:14" s="33" customFormat="1" x14ac:dyDescent="0.25">
      <c r="A447" s="27"/>
      <c r="B447" s="5"/>
      <c r="C447" s="29"/>
      <c r="D447" s="65"/>
      <c r="E447" s="24"/>
      <c r="F447" s="25"/>
      <c r="G447" s="30"/>
      <c r="H447" s="31"/>
      <c r="I447" s="5"/>
      <c r="J447" s="5"/>
      <c r="K447" s="5"/>
      <c r="L447" s="5"/>
      <c r="M447" s="31"/>
      <c r="N447" s="29"/>
    </row>
    <row r="448" spans="1:14" s="33" customFormat="1" x14ac:dyDescent="0.25">
      <c r="A448" s="27"/>
      <c r="B448" s="5"/>
      <c r="C448" s="29"/>
      <c r="D448" s="65"/>
      <c r="E448" s="24"/>
      <c r="F448" s="25"/>
      <c r="G448" s="30"/>
      <c r="H448" s="31"/>
      <c r="I448" s="5"/>
      <c r="J448" s="5"/>
      <c r="K448" s="5"/>
      <c r="L448" s="5"/>
      <c r="M448" s="31"/>
      <c r="N448" s="29"/>
    </row>
    <row r="449" spans="1:14" s="33" customFormat="1" x14ac:dyDescent="0.25">
      <c r="A449" s="27"/>
      <c r="B449" s="5"/>
      <c r="C449" s="29"/>
      <c r="D449" s="65"/>
      <c r="E449" s="24"/>
      <c r="F449" s="25"/>
      <c r="G449" s="30"/>
      <c r="H449" s="31"/>
      <c r="I449" s="5"/>
      <c r="J449" s="5"/>
      <c r="K449" s="5"/>
      <c r="L449" s="5"/>
      <c r="M449" s="31"/>
      <c r="N449" s="29"/>
    </row>
    <row r="450" spans="1:14" s="33" customFormat="1" x14ac:dyDescent="0.25">
      <c r="A450" s="27"/>
      <c r="B450" s="5"/>
      <c r="C450" s="29"/>
      <c r="D450" s="65"/>
      <c r="E450" s="24"/>
      <c r="F450" s="25"/>
      <c r="G450" s="30"/>
      <c r="H450" s="31"/>
      <c r="I450" s="5"/>
      <c r="J450" s="5"/>
      <c r="K450" s="5"/>
      <c r="L450" s="5"/>
      <c r="M450" s="31"/>
      <c r="N450" s="29"/>
    </row>
    <row r="451" spans="1:14" s="33" customFormat="1" x14ac:dyDescent="0.25">
      <c r="A451" s="27"/>
      <c r="B451" s="5"/>
      <c r="C451" s="29"/>
      <c r="D451" s="65"/>
      <c r="E451" s="24"/>
      <c r="F451" s="25"/>
      <c r="G451" s="30"/>
      <c r="H451" s="31"/>
      <c r="I451" s="5"/>
      <c r="J451" s="5"/>
      <c r="K451" s="5"/>
      <c r="L451" s="5"/>
      <c r="M451" s="31"/>
      <c r="N451" s="29"/>
    </row>
    <row r="452" spans="1:14" s="33" customFormat="1" x14ac:dyDescent="0.25">
      <c r="A452" s="27"/>
      <c r="B452" s="5"/>
      <c r="C452" s="29"/>
      <c r="D452" s="65"/>
      <c r="E452" s="24"/>
      <c r="F452" s="25"/>
      <c r="G452" s="30"/>
      <c r="H452" s="31"/>
      <c r="I452" s="5"/>
      <c r="J452" s="5"/>
      <c r="K452" s="5"/>
      <c r="L452" s="5"/>
      <c r="M452" s="31"/>
      <c r="N452" s="29"/>
    </row>
    <row r="453" spans="1:14" s="33" customFormat="1" x14ac:dyDescent="0.25">
      <c r="A453" s="27"/>
      <c r="B453" s="5"/>
      <c r="C453" s="29"/>
      <c r="D453" s="65"/>
      <c r="E453" s="24"/>
      <c r="F453" s="25"/>
      <c r="G453" s="30"/>
      <c r="H453" s="31"/>
      <c r="I453" s="5"/>
      <c r="J453" s="5"/>
      <c r="K453" s="5"/>
      <c r="L453" s="5"/>
      <c r="M453" s="31"/>
      <c r="N453" s="29"/>
    </row>
    <row r="454" spans="1:14" s="33" customFormat="1" x14ac:dyDescent="0.25">
      <c r="A454" s="27"/>
      <c r="B454" s="5"/>
      <c r="C454" s="29"/>
      <c r="D454" s="65"/>
      <c r="E454" s="24"/>
      <c r="F454" s="25"/>
      <c r="G454" s="30"/>
      <c r="H454" s="31"/>
      <c r="I454" s="5"/>
      <c r="J454" s="5"/>
      <c r="K454" s="5"/>
      <c r="L454" s="5"/>
      <c r="M454" s="31"/>
      <c r="N454" s="29"/>
    </row>
    <row r="455" spans="1:14" s="33" customFormat="1" x14ac:dyDescent="0.25">
      <c r="A455" s="27"/>
      <c r="B455" s="5"/>
      <c r="C455" s="29"/>
      <c r="D455" s="65"/>
      <c r="E455" s="24"/>
      <c r="F455" s="25"/>
      <c r="G455" s="30"/>
      <c r="H455" s="31"/>
      <c r="I455" s="5"/>
      <c r="J455" s="5"/>
      <c r="K455" s="5"/>
      <c r="L455" s="5"/>
      <c r="M455" s="31"/>
      <c r="N455" s="29"/>
    </row>
    <row r="456" spans="1:14" s="33" customFormat="1" x14ac:dyDescent="0.25">
      <c r="A456" s="27"/>
      <c r="B456" s="5"/>
      <c r="C456" s="29"/>
      <c r="D456" s="65"/>
      <c r="E456" s="24"/>
      <c r="F456" s="25"/>
      <c r="G456" s="30"/>
      <c r="H456" s="31"/>
      <c r="I456" s="5"/>
      <c r="J456" s="5"/>
      <c r="K456" s="5"/>
      <c r="L456" s="5"/>
      <c r="M456" s="31"/>
      <c r="N456" s="29"/>
    </row>
    <row r="457" spans="1:14" s="33" customFormat="1" x14ac:dyDescent="0.25">
      <c r="A457" s="27"/>
      <c r="B457" s="5"/>
      <c r="C457" s="29"/>
      <c r="D457" s="65"/>
      <c r="E457" s="24"/>
      <c r="F457" s="25"/>
      <c r="G457" s="30"/>
      <c r="H457" s="31"/>
      <c r="I457" s="5"/>
      <c r="J457" s="5"/>
      <c r="K457" s="5"/>
      <c r="L457" s="5"/>
      <c r="M457" s="31"/>
      <c r="N457" s="29"/>
    </row>
    <row r="458" spans="1:14" s="33" customFormat="1" x14ac:dyDescent="0.25">
      <c r="A458" s="27"/>
      <c r="B458" s="5"/>
      <c r="C458" s="29"/>
      <c r="D458" s="65"/>
      <c r="E458" s="24"/>
      <c r="F458" s="25"/>
      <c r="G458" s="30"/>
      <c r="H458" s="31"/>
      <c r="I458" s="5"/>
      <c r="J458" s="5"/>
      <c r="K458" s="5"/>
      <c r="L458" s="5"/>
      <c r="M458" s="31"/>
      <c r="N458" s="29"/>
    </row>
    <row r="459" spans="1:14" s="33" customFormat="1" x14ac:dyDescent="0.25">
      <c r="A459" s="27"/>
      <c r="B459" s="5"/>
      <c r="C459" s="29"/>
      <c r="D459" s="65"/>
      <c r="E459" s="24"/>
      <c r="F459" s="25"/>
      <c r="G459" s="30"/>
      <c r="H459" s="31"/>
      <c r="I459" s="5"/>
      <c r="J459" s="5"/>
      <c r="K459" s="5"/>
      <c r="L459" s="5"/>
      <c r="M459" s="31"/>
      <c r="N459" s="29"/>
    </row>
    <row r="460" spans="1:14" s="33" customFormat="1" x14ac:dyDescent="0.25">
      <c r="A460" s="27"/>
      <c r="B460" s="5"/>
      <c r="C460" s="29"/>
      <c r="D460" s="65"/>
      <c r="E460" s="24"/>
      <c r="F460" s="25"/>
      <c r="G460" s="30"/>
      <c r="H460" s="31"/>
      <c r="I460" s="5"/>
      <c r="J460" s="5"/>
      <c r="K460" s="5"/>
      <c r="L460" s="5"/>
      <c r="M460" s="31"/>
      <c r="N460" s="29"/>
    </row>
    <row r="461" spans="1:14" s="33" customFormat="1" x14ac:dyDescent="0.25">
      <c r="A461" s="27"/>
      <c r="B461" s="5"/>
      <c r="C461" s="29"/>
      <c r="D461" s="65"/>
      <c r="E461" s="24"/>
      <c r="F461" s="25"/>
      <c r="G461" s="30"/>
      <c r="H461" s="31"/>
      <c r="I461" s="5"/>
      <c r="J461" s="5"/>
      <c r="K461" s="5"/>
      <c r="L461" s="5"/>
      <c r="M461" s="31"/>
      <c r="N461" s="29"/>
    </row>
    <row r="462" spans="1:14" s="33" customFormat="1" x14ac:dyDescent="0.25">
      <c r="A462" s="27"/>
      <c r="B462" s="5"/>
      <c r="C462" s="29"/>
      <c r="D462" s="65"/>
      <c r="E462" s="24"/>
      <c r="F462" s="25"/>
      <c r="G462" s="30"/>
      <c r="H462" s="31"/>
      <c r="I462" s="5"/>
      <c r="J462" s="5"/>
      <c r="K462" s="5"/>
      <c r="L462" s="5"/>
      <c r="M462" s="31"/>
      <c r="N462" s="29"/>
    </row>
    <row r="463" spans="1:14" s="33" customFormat="1" x14ac:dyDescent="0.25">
      <c r="A463" s="27"/>
      <c r="B463" s="5"/>
      <c r="C463" s="29"/>
      <c r="D463" s="65"/>
      <c r="E463" s="24"/>
      <c r="F463" s="25"/>
      <c r="G463" s="30"/>
      <c r="H463" s="31"/>
      <c r="I463" s="5"/>
      <c r="J463" s="5"/>
      <c r="K463" s="5"/>
      <c r="L463" s="5"/>
      <c r="M463" s="31"/>
      <c r="N463" s="29"/>
    </row>
    <row r="464" spans="1:14" s="33" customFormat="1" x14ac:dyDescent="0.25">
      <c r="A464" s="27"/>
      <c r="B464" s="5"/>
      <c r="C464" s="29"/>
      <c r="D464" s="65"/>
      <c r="E464" s="24"/>
      <c r="F464" s="25"/>
      <c r="G464" s="30"/>
      <c r="H464" s="31"/>
      <c r="I464" s="5"/>
      <c r="J464" s="5"/>
      <c r="K464" s="5"/>
      <c r="L464" s="5"/>
      <c r="M464" s="31"/>
      <c r="N464" s="29"/>
    </row>
    <row r="465" spans="1:14" s="33" customFormat="1" x14ac:dyDescent="0.25">
      <c r="A465" s="27"/>
      <c r="B465" s="5"/>
      <c r="C465" s="29"/>
      <c r="D465" s="65"/>
      <c r="E465" s="24"/>
      <c r="F465" s="25"/>
      <c r="G465" s="30"/>
      <c r="H465" s="31"/>
      <c r="I465" s="5"/>
      <c r="J465" s="5"/>
      <c r="K465" s="5"/>
      <c r="L465" s="5"/>
      <c r="M465" s="31"/>
      <c r="N465" s="29"/>
    </row>
    <row r="466" spans="1:14" s="33" customFormat="1" x14ac:dyDescent="0.25">
      <c r="A466" s="27"/>
      <c r="B466" s="5"/>
      <c r="C466" s="29"/>
      <c r="D466" s="65"/>
      <c r="E466" s="24"/>
      <c r="F466" s="25"/>
      <c r="G466" s="30"/>
      <c r="H466" s="31"/>
      <c r="I466" s="5"/>
      <c r="J466" s="5"/>
      <c r="K466" s="5"/>
      <c r="L466" s="5"/>
      <c r="M466" s="31"/>
      <c r="N466" s="29"/>
    </row>
    <row r="467" spans="1:14" s="33" customFormat="1" x14ac:dyDescent="0.25">
      <c r="A467" s="27"/>
      <c r="B467" s="5"/>
      <c r="C467" s="29"/>
      <c r="D467" s="65"/>
      <c r="E467" s="24"/>
      <c r="F467" s="25"/>
      <c r="G467" s="30"/>
      <c r="H467" s="31"/>
      <c r="I467" s="5"/>
      <c r="J467" s="5"/>
      <c r="K467" s="5"/>
      <c r="L467" s="5"/>
      <c r="M467" s="31"/>
      <c r="N467" s="29"/>
    </row>
    <row r="468" spans="1:14" s="33" customFormat="1" x14ac:dyDescent="0.25">
      <c r="A468" s="27"/>
      <c r="B468" s="5"/>
      <c r="C468" s="29"/>
      <c r="D468" s="65"/>
      <c r="E468" s="24"/>
      <c r="F468" s="25"/>
      <c r="G468" s="30"/>
      <c r="H468" s="31"/>
      <c r="I468" s="5"/>
      <c r="J468" s="5"/>
      <c r="K468" s="5"/>
      <c r="L468" s="5"/>
      <c r="M468" s="31"/>
      <c r="N468" s="29"/>
    </row>
    <row r="469" spans="1:14" s="33" customFormat="1" x14ac:dyDescent="0.25">
      <c r="A469" s="27"/>
      <c r="B469" s="5"/>
      <c r="C469" s="29"/>
      <c r="D469" s="65"/>
      <c r="E469" s="24"/>
      <c r="F469" s="25"/>
      <c r="G469" s="30"/>
      <c r="H469" s="31"/>
      <c r="I469" s="5"/>
      <c r="J469" s="5"/>
      <c r="K469" s="5"/>
      <c r="L469" s="5"/>
      <c r="M469" s="31"/>
      <c r="N469" s="29"/>
    </row>
    <row r="470" spans="1:14" s="33" customFormat="1" x14ac:dyDescent="0.25">
      <c r="A470" s="27"/>
      <c r="B470" s="5"/>
      <c r="C470" s="29"/>
      <c r="D470" s="65"/>
      <c r="E470" s="24"/>
      <c r="F470" s="25"/>
      <c r="G470" s="30"/>
      <c r="H470" s="31"/>
      <c r="I470" s="5"/>
      <c r="J470" s="5"/>
      <c r="K470" s="5"/>
      <c r="L470" s="5"/>
      <c r="M470" s="31"/>
      <c r="N470" s="29"/>
    </row>
    <row r="471" spans="1:14" s="33" customFormat="1" x14ac:dyDescent="0.25">
      <c r="A471" s="27"/>
      <c r="B471" s="5"/>
      <c r="C471" s="29"/>
      <c r="D471" s="65"/>
      <c r="E471" s="24"/>
      <c r="F471" s="25"/>
      <c r="G471" s="30"/>
      <c r="H471" s="31"/>
      <c r="I471" s="5"/>
      <c r="J471" s="5"/>
      <c r="K471" s="5"/>
      <c r="L471" s="5"/>
      <c r="M471" s="31"/>
      <c r="N471" s="29"/>
    </row>
    <row r="472" spans="1:14" s="33" customFormat="1" x14ac:dyDescent="0.25">
      <c r="A472" s="27"/>
      <c r="B472" s="5"/>
      <c r="C472" s="29"/>
      <c r="D472" s="65"/>
      <c r="E472" s="24"/>
      <c r="F472" s="25"/>
      <c r="G472" s="30"/>
      <c r="H472" s="31"/>
      <c r="I472" s="5"/>
      <c r="J472" s="5"/>
      <c r="K472" s="5"/>
      <c r="L472" s="5"/>
      <c r="M472" s="31"/>
      <c r="N472" s="29"/>
    </row>
    <row r="473" spans="1:14" s="33" customFormat="1" x14ac:dyDescent="0.25">
      <c r="A473" s="27"/>
      <c r="B473" s="5"/>
      <c r="C473" s="29"/>
      <c r="D473" s="65"/>
      <c r="E473" s="24"/>
      <c r="F473" s="25"/>
      <c r="G473" s="30"/>
      <c r="H473" s="31"/>
      <c r="I473" s="5"/>
      <c r="J473" s="5"/>
      <c r="K473" s="5"/>
      <c r="L473" s="5"/>
      <c r="M473" s="31"/>
      <c r="N473" s="29"/>
    </row>
    <row r="474" spans="1:14" s="33" customFormat="1" x14ac:dyDescent="0.25">
      <c r="A474" s="27"/>
      <c r="B474" s="5"/>
      <c r="C474" s="29"/>
      <c r="D474" s="65"/>
      <c r="E474" s="24"/>
      <c r="F474" s="25"/>
      <c r="G474" s="30"/>
      <c r="H474" s="31"/>
      <c r="I474" s="5"/>
      <c r="J474" s="5"/>
      <c r="K474" s="5"/>
      <c r="L474" s="5"/>
      <c r="M474" s="31"/>
      <c r="N474" s="29"/>
    </row>
    <row r="475" spans="1:14" s="33" customFormat="1" x14ac:dyDescent="0.25">
      <c r="A475" s="27"/>
      <c r="B475" s="5"/>
      <c r="C475" s="29"/>
      <c r="D475" s="65"/>
      <c r="E475" s="24"/>
      <c r="F475" s="25"/>
      <c r="G475" s="30"/>
      <c r="H475" s="31"/>
      <c r="I475" s="5"/>
      <c r="J475" s="5"/>
      <c r="K475" s="5"/>
      <c r="L475" s="5"/>
      <c r="M475" s="31"/>
      <c r="N475" s="29"/>
    </row>
    <row r="476" spans="1:14" s="33" customFormat="1" x14ac:dyDescent="0.25">
      <c r="A476" s="27"/>
      <c r="B476" s="5"/>
      <c r="C476" s="29"/>
      <c r="D476" s="65"/>
      <c r="E476" s="24"/>
      <c r="F476" s="25"/>
      <c r="G476" s="30"/>
      <c r="H476" s="31"/>
      <c r="I476" s="5"/>
      <c r="J476" s="5"/>
      <c r="K476" s="5"/>
      <c r="L476" s="5"/>
      <c r="M476" s="31"/>
      <c r="N476" s="29"/>
    </row>
    <row r="477" spans="1:14" s="33" customFormat="1" x14ac:dyDescent="0.25">
      <c r="A477" s="27"/>
      <c r="B477" s="5"/>
      <c r="C477" s="29"/>
      <c r="D477" s="65"/>
      <c r="E477" s="24"/>
      <c r="F477" s="25"/>
      <c r="G477" s="30"/>
      <c r="H477" s="31"/>
      <c r="I477" s="5"/>
      <c r="J477" s="5"/>
      <c r="K477" s="5"/>
      <c r="L477" s="5"/>
      <c r="M477" s="31"/>
      <c r="N477" s="29"/>
    </row>
    <row r="478" spans="1:14" s="33" customFormat="1" x14ac:dyDescent="0.25">
      <c r="A478" s="27"/>
      <c r="B478" s="5"/>
      <c r="C478" s="29"/>
      <c r="D478" s="65"/>
      <c r="E478" s="24"/>
      <c r="F478" s="25"/>
      <c r="G478" s="30"/>
      <c r="H478" s="31"/>
      <c r="I478" s="5"/>
      <c r="J478" s="5"/>
      <c r="K478" s="5"/>
      <c r="L478" s="5"/>
      <c r="M478" s="31"/>
      <c r="N478" s="29"/>
    </row>
    <row r="479" spans="1:14" s="33" customFormat="1" x14ac:dyDescent="0.25">
      <c r="A479" s="27"/>
      <c r="B479" s="5"/>
      <c r="C479" s="29"/>
      <c r="D479" s="65"/>
      <c r="E479" s="24"/>
      <c r="F479" s="25"/>
      <c r="G479" s="30"/>
      <c r="H479" s="31"/>
      <c r="I479" s="5"/>
      <c r="J479" s="5"/>
      <c r="K479" s="5"/>
      <c r="L479" s="5"/>
      <c r="M479" s="31"/>
      <c r="N479" s="29"/>
    </row>
    <row r="480" spans="1:14" s="33" customFormat="1" x14ac:dyDescent="0.25">
      <c r="A480" s="27"/>
      <c r="B480" s="5"/>
      <c r="C480" s="29"/>
      <c r="D480" s="65"/>
      <c r="E480" s="24"/>
      <c r="F480" s="25"/>
      <c r="G480" s="30"/>
      <c r="H480" s="31"/>
      <c r="I480" s="5"/>
      <c r="J480" s="5"/>
      <c r="K480" s="5"/>
      <c r="L480" s="5"/>
      <c r="M480" s="31"/>
      <c r="N480" s="29"/>
    </row>
    <row r="481" spans="1:14" s="33" customFormat="1" x14ac:dyDescent="0.25">
      <c r="A481" s="27"/>
      <c r="B481" s="5"/>
      <c r="C481" s="29"/>
      <c r="D481" s="65"/>
      <c r="E481" s="24"/>
      <c r="F481" s="25"/>
      <c r="G481" s="30"/>
      <c r="H481" s="31"/>
      <c r="I481" s="5"/>
      <c r="J481" s="5"/>
      <c r="K481" s="5"/>
      <c r="L481" s="5"/>
      <c r="M481" s="31"/>
      <c r="N481" s="29"/>
    </row>
    <row r="482" spans="1:14" s="33" customFormat="1" x14ac:dyDescent="0.25">
      <c r="A482" s="27"/>
      <c r="B482" s="5"/>
      <c r="C482" s="29"/>
      <c r="D482" s="65"/>
      <c r="E482" s="24"/>
      <c r="F482" s="25"/>
      <c r="G482" s="30"/>
      <c r="H482" s="31"/>
      <c r="I482" s="5"/>
      <c r="J482" s="5"/>
      <c r="K482" s="5"/>
      <c r="L482" s="5"/>
      <c r="M482" s="31"/>
      <c r="N482" s="29"/>
    </row>
    <row r="483" spans="1:14" s="33" customFormat="1" x14ac:dyDescent="0.25">
      <c r="A483" s="27"/>
      <c r="B483" s="5"/>
      <c r="C483" s="29"/>
      <c r="D483" s="65"/>
      <c r="E483" s="24"/>
      <c r="F483" s="25"/>
      <c r="G483" s="30"/>
      <c r="H483" s="31"/>
      <c r="I483" s="5"/>
      <c r="J483" s="5"/>
      <c r="K483" s="5"/>
      <c r="L483" s="5"/>
      <c r="M483" s="31"/>
      <c r="N483" s="29"/>
    </row>
    <row r="484" spans="1:14" s="33" customFormat="1" x14ac:dyDescent="0.25">
      <c r="A484" s="27"/>
      <c r="B484" s="5"/>
      <c r="C484" s="29"/>
      <c r="D484" s="65"/>
      <c r="E484" s="24"/>
      <c r="F484" s="25"/>
      <c r="G484" s="30"/>
      <c r="H484" s="31"/>
      <c r="I484" s="5"/>
      <c r="J484" s="5"/>
      <c r="K484" s="5"/>
      <c r="L484" s="5"/>
      <c r="M484" s="31"/>
      <c r="N484" s="29"/>
    </row>
    <row r="485" spans="1:14" s="33" customFormat="1" x14ac:dyDescent="0.25">
      <c r="A485" s="27"/>
      <c r="B485" s="5"/>
      <c r="C485" s="29"/>
      <c r="D485" s="65"/>
      <c r="E485" s="24"/>
      <c r="F485" s="25"/>
      <c r="G485" s="30"/>
      <c r="H485" s="31"/>
      <c r="I485" s="5"/>
      <c r="J485" s="5"/>
      <c r="K485" s="5"/>
      <c r="L485" s="5"/>
      <c r="M485" s="31"/>
      <c r="N485" s="29"/>
    </row>
    <row r="486" spans="1:14" s="33" customFormat="1" x14ac:dyDescent="0.25">
      <c r="A486" s="27"/>
      <c r="B486" s="5"/>
      <c r="C486" s="29"/>
      <c r="D486" s="65"/>
      <c r="E486" s="24"/>
      <c r="F486" s="25"/>
      <c r="G486" s="30"/>
      <c r="H486" s="31"/>
      <c r="I486" s="5"/>
      <c r="J486" s="5"/>
      <c r="K486" s="5"/>
      <c r="L486" s="5"/>
      <c r="M486" s="31"/>
      <c r="N486" s="29"/>
    </row>
    <row r="487" spans="1:14" s="33" customFormat="1" x14ac:dyDescent="0.25">
      <c r="A487" s="27"/>
      <c r="B487" s="5"/>
      <c r="C487" s="29"/>
      <c r="D487" s="65"/>
      <c r="E487" s="24"/>
      <c r="F487" s="25"/>
      <c r="G487" s="30"/>
      <c r="H487" s="31"/>
      <c r="I487" s="5"/>
      <c r="J487" s="5"/>
      <c r="K487" s="5"/>
      <c r="L487" s="5"/>
      <c r="M487" s="31"/>
      <c r="N487" s="29"/>
    </row>
    <row r="488" spans="1:14" s="33" customFormat="1" x14ac:dyDescent="0.25">
      <c r="A488" s="27"/>
      <c r="B488" s="5"/>
      <c r="C488" s="29"/>
      <c r="D488" s="65"/>
      <c r="E488" s="24"/>
      <c r="F488" s="25"/>
      <c r="G488" s="30"/>
      <c r="H488" s="31"/>
      <c r="I488" s="5"/>
      <c r="J488" s="5"/>
      <c r="K488" s="5"/>
      <c r="L488" s="5"/>
      <c r="M488" s="31"/>
      <c r="N488" s="29"/>
    </row>
    <row r="489" spans="1:14" s="33" customFormat="1" x14ac:dyDescent="0.25">
      <c r="A489" s="27"/>
      <c r="B489" s="5"/>
      <c r="C489" s="29"/>
      <c r="D489" s="65"/>
      <c r="E489" s="24"/>
      <c r="F489" s="25"/>
      <c r="G489" s="30"/>
      <c r="H489" s="31"/>
      <c r="I489" s="5"/>
      <c r="J489" s="5"/>
      <c r="K489" s="5"/>
      <c r="L489" s="5"/>
      <c r="M489" s="31"/>
      <c r="N489" s="29"/>
    </row>
    <row r="490" spans="1:14" s="33" customFormat="1" x14ac:dyDescent="0.25">
      <c r="A490" s="27"/>
      <c r="B490" s="5"/>
      <c r="C490" s="29"/>
      <c r="D490" s="65"/>
      <c r="E490" s="24"/>
      <c r="F490" s="25"/>
      <c r="G490" s="30"/>
      <c r="H490" s="31"/>
      <c r="I490" s="5"/>
      <c r="J490" s="5"/>
      <c r="K490" s="5"/>
      <c r="L490" s="5"/>
      <c r="M490" s="31"/>
      <c r="N490" s="29"/>
    </row>
    <row r="491" spans="1:14" s="33" customFormat="1" x14ac:dyDescent="0.25">
      <c r="A491" s="27"/>
      <c r="B491" s="5"/>
      <c r="C491" s="29"/>
      <c r="D491" s="65"/>
      <c r="E491" s="24"/>
      <c r="F491" s="25"/>
      <c r="G491" s="30"/>
      <c r="H491" s="31"/>
      <c r="I491" s="5"/>
      <c r="J491" s="5"/>
      <c r="K491" s="5"/>
      <c r="L491" s="5"/>
      <c r="M491" s="31"/>
      <c r="N491" s="29"/>
    </row>
    <row r="492" spans="1:14" s="33" customFormat="1" x14ac:dyDescent="0.25">
      <c r="A492" s="27"/>
      <c r="B492" s="5"/>
      <c r="C492" s="29"/>
      <c r="D492" s="65"/>
      <c r="E492" s="24"/>
      <c r="F492" s="25"/>
      <c r="G492" s="30"/>
      <c r="H492" s="31"/>
      <c r="I492" s="5"/>
      <c r="J492" s="5"/>
      <c r="K492" s="5"/>
      <c r="L492" s="5"/>
      <c r="M492" s="31"/>
      <c r="N492" s="29"/>
    </row>
    <row r="493" spans="1:14" s="33" customFormat="1" x14ac:dyDescent="0.25">
      <c r="A493" s="27"/>
      <c r="B493" s="5"/>
      <c r="C493" s="29"/>
      <c r="D493" s="65"/>
      <c r="E493" s="24"/>
      <c r="F493" s="25"/>
      <c r="G493" s="30"/>
      <c r="H493" s="31"/>
      <c r="I493" s="5"/>
      <c r="J493" s="5"/>
      <c r="K493" s="5"/>
      <c r="L493" s="5"/>
      <c r="M493" s="31"/>
      <c r="N493" s="29"/>
    </row>
    <row r="494" spans="1:14" s="33" customFormat="1" x14ac:dyDescent="0.25">
      <c r="A494" s="27"/>
      <c r="B494" s="5"/>
      <c r="C494" s="29"/>
      <c r="D494" s="65"/>
      <c r="E494" s="24"/>
      <c r="F494" s="25"/>
      <c r="G494" s="30"/>
      <c r="H494" s="31"/>
      <c r="I494" s="5"/>
      <c r="J494" s="5"/>
      <c r="K494" s="5"/>
      <c r="L494" s="5"/>
      <c r="M494" s="31"/>
      <c r="N494" s="29"/>
    </row>
    <row r="495" spans="1:14" s="33" customFormat="1" x14ac:dyDescent="0.25">
      <c r="A495" s="27"/>
      <c r="B495" s="5"/>
      <c r="C495" s="29"/>
      <c r="D495" s="65"/>
      <c r="E495" s="24"/>
      <c r="F495" s="25"/>
      <c r="G495" s="30"/>
      <c r="H495" s="31"/>
      <c r="I495" s="5"/>
      <c r="J495" s="5"/>
      <c r="K495" s="5"/>
      <c r="L495" s="5"/>
      <c r="M495" s="31"/>
      <c r="N495" s="29"/>
    </row>
    <row r="496" spans="1:14" s="33" customFormat="1" x14ac:dyDescent="0.25">
      <c r="A496" s="27"/>
      <c r="B496" s="5"/>
      <c r="C496" s="29"/>
      <c r="D496" s="65"/>
      <c r="E496" s="24"/>
      <c r="F496" s="25"/>
      <c r="G496" s="30"/>
      <c r="H496" s="31"/>
      <c r="I496" s="5"/>
      <c r="J496" s="5"/>
      <c r="K496" s="5"/>
      <c r="L496" s="5"/>
      <c r="M496" s="31"/>
      <c r="N496" s="29"/>
    </row>
    <row r="497" spans="1:14" s="33" customFormat="1" x14ac:dyDescent="0.25">
      <c r="A497" s="27"/>
      <c r="B497" s="5"/>
      <c r="C497" s="29"/>
      <c r="D497" s="65"/>
      <c r="E497" s="24"/>
      <c r="F497" s="25"/>
      <c r="G497" s="30"/>
      <c r="H497" s="31"/>
      <c r="I497" s="5"/>
      <c r="J497" s="5"/>
      <c r="K497" s="5"/>
      <c r="L497" s="5"/>
      <c r="M497" s="31"/>
      <c r="N497" s="29"/>
    </row>
    <row r="498" spans="1:14" s="33" customFormat="1" x14ac:dyDescent="0.25">
      <c r="A498" s="27"/>
      <c r="B498" s="5"/>
      <c r="C498" s="29"/>
      <c r="D498" s="65"/>
      <c r="E498" s="24"/>
      <c r="F498" s="25"/>
      <c r="G498" s="30"/>
      <c r="H498" s="31"/>
      <c r="I498" s="5"/>
      <c r="J498" s="5"/>
      <c r="K498" s="5"/>
      <c r="L498" s="5"/>
      <c r="M498" s="31"/>
      <c r="N498" s="29"/>
    </row>
    <row r="499" spans="1:14" s="33" customFormat="1" x14ac:dyDescent="0.25">
      <c r="A499" s="27"/>
      <c r="B499" s="5"/>
      <c r="C499" s="29"/>
      <c r="D499" s="65"/>
      <c r="E499" s="24"/>
      <c r="F499" s="25"/>
      <c r="G499" s="30"/>
      <c r="H499" s="31"/>
      <c r="I499" s="5"/>
      <c r="J499" s="5"/>
      <c r="K499" s="5"/>
      <c r="L499" s="5"/>
      <c r="M499" s="31"/>
      <c r="N499" s="29"/>
    </row>
    <row r="500" spans="1:14" s="33" customFormat="1" x14ac:dyDescent="0.25">
      <c r="A500" s="27"/>
      <c r="B500" s="5"/>
      <c r="C500" s="29"/>
      <c r="D500" s="65"/>
      <c r="E500" s="24"/>
      <c r="F500" s="25"/>
      <c r="G500" s="30"/>
      <c r="H500" s="31"/>
      <c r="I500" s="5"/>
      <c r="J500" s="5"/>
      <c r="K500" s="5"/>
      <c r="L500" s="5"/>
      <c r="M500" s="31"/>
      <c r="N500" s="29"/>
    </row>
    <row r="501" spans="1:14" s="33" customFormat="1" x14ac:dyDescent="0.25">
      <c r="A501" s="27"/>
      <c r="B501" s="5"/>
      <c r="C501" s="29"/>
      <c r="D501" s="65"/>
      <c r="E501" s="24"/>
      <c r="F501" s="25"/>
      <c r="G501" s="30"/>
      <c r="H501" s="31"/>
      <c r="I501" s="5"/>
      <c r="J501" s="5"/>
      <c r="K501" s="5"/>
      <c r="L501" s="5"/>
      <c r="M501" s="31"/>
      <c r="N501" s="29"/>
    </row>
    <row r="502" spans="1:14" s="33" customFormat="1" x14ac:dyDescent="0.25">
      <c r="A502" s="27"/>
      <c r="B502" s="5"/>
      <c r="C502" s="29"/>
      <c r="D502" s="65"/>
      <c r="E502" s="24"/>
      <c r="F502" s="25"/>
      <c r="G502" s="30"/>
      <c r="H502" s="31"/>
      <c r="I502" s="5"/>
      <c r="J502" s="5"/>
      <c r="K502" s="5"/>
      <c r="L502" s="5"/>
      <c r="M502" s="31"/>
      <c r="N502" s="29"/>
    </row>
    <row r="503" spans="1:14" s="33" customFormat="1" x14ac:dyDescent="0.25">
      <c r="A503" s="27"/>
      <c r="B503" s="5"/>
      <c r="C503" s="29"/>
      <c r="D503" s="65"/>
      <c r="E503" s="24"/>
      <c r="F503" s="25"/>
      <c r="G503" s="30"/>
      <c r="H503" s="31"/>
      <c r="I503" s="5"/>
      <c r="J503" s="5"/>
      <c r="K503" s="5"/>
      <c r="L503" s="5"/>
      <c r="M503" s="31"/>
      <c r="N503" s="29"/>
    </row>
    <row r="504" spans="1:14" s="33" customFormat="1" x14ac:dyDescent="0.25">
      <c r="A504" s="27"/>
      <c r="B504" s="5"/>
      <c r="C504" s="29"/>
      <c r="D504" s="65"/>
      <c r="E504" s="24"/>
      <c r="F504" s="25"/>
      <c r="G504" s="30"/>
      <c r="H504" s="31"/>
      <c r="I504" s="5"/>
      <c r="J504" s="5"/>
      <c r="K504" s="5"/>
      <c r="L504" s="5"/>
      <c r="M504" s="31"/>
      <c r="N504" s="29"/>
    </row>
    <row r="505" spans="1:14" s="33" customFormat="1" x14ac:dyDescent="0.25">
      <c r="A505" s="27"/>
      <c r="B505" s="5"/>
      <c r="C505" s="29"/>
      <c r="D505" s="65"/>
      <c r="E505" s="24"/>
      <c r="F505" s="25"/>
      <c r="G505" s="30"/>
      <c r="H505" s="31"/>
      <c r="I505" s="5"/>
      <c r="J505" s="5"/>
      <c r="K505" s="5"/>
      <c r="L505" s="5"/>
      <c r="M505" s="31"/>
      <c r="N505" s="29"/>
    </row>
    <row r="506" spans="1:14" s="33" customFormat="1" x14ac:dyDescent="0.25">
      <c r="A506" s="27"/>
      <c r="B506" s="5"/>
      <c r="C506" s="29"/>
      <c r="D506" s="65"/>
      <c r="E506" s="24"/>
      <c r="F506" s="25"/>
      <c r="G506" s="30"/>
      <c r="H506" s="31"/>
      <c r="I506" s="5"/>
      <c r="J506" s="5"/>
      <c r="K506" s="5"/>
      <c r="L506" s="5"/>
      <c r="M506" s="31"/>
      <c r="N506" s="29"/>
    </row>
    <row r="507" spans="1:14" s="33" customFormat="1" x14ac:dyDescent="0.25">
      <c r="A507" s="27"/>
      <c r="B507" s="5"/>
      <c r="C507" s="29"/>
      <c r="D507" s="65"/>
      <c r="E507" s="24"/>
      <c r="F507" s="25"/>
      <c r="G507" s="30"/>
      <c r="H507" s="31"/>
      <c r="I507" s="5"/>
      <c r="J507" s="5"/>
      <c r="K507" s="5"/>
      <c r="L507" s="5"/>
      <c r="M507" s="31"/>
      <c r="N507" s="29"/>
    </row>
    <row r="508" spans="1:14" s="33" customFormat="1" x14ac:dyDescent="0.25">
      <c r="A508" s="27"/>
      <c r="B508" s="5"/>
      <c r="C508" s="29"/>
      <c r="D508" s="65"/>
      <c r="E508" s="24"/>
      <c r="F508" s="25"/>
      <c r="G508" s="30"/>
      <c r="H508" s="31"/>
      <c r="I508" s="5"/>
      <c r="J508" s="5"/>
      <c r="K508" s="5"/>
      <c r="L508" s="5"/>
      <c r="M508" s="31"/>
      <c r="N508" s="29"/>
    </row>
    <row r="509" spans="1:14" s="33" customFormat="1" x14ac:dyDescent="0.25">
      <c r="A509" s="27"/>
      <c r="B509" s="5"/>
      <c r="C509" s="29"/>
      <c r="D509" s="65"/>
      <c r="E509" s="24"/>
      <c r="F509" s="25"/>
      <c r="G509" s="30"/>
      <c r="H509" s="31"/>
      <c r="I509" s="5"/>
      <c r="J509" s="5"/>
      <c r="K509" s="5"/>
      <c r="L509" s="5"/>
      <c r="M509" s="31"/>
      <c r="N509" s="29"/>
    </row>
    <row r="510" spans="1:14" s="33" customFormat="1" x14ac:dyDescent="0.25">
      <c r="A510" s="27"/>
      <c r="B510" s="5"/>
      <c r="C510" s="29"/>
      <c r="D510" s="65"/>
      <c r="E510" s="24"/>
      <c r="F510" s="25"/>
      <c r="G510" s="30"/>
      <c r="H510" s="31"/>
      <c r="I510" s="5"/>
      <c r="J510" s="5"/>
      <c r="K510" s="5"/>
      <c r="L510" s="5"/>
      <c r="M510" s="31"/>
      <c r="N510" s="29"/>
    </row>
    <row r="511" spans="1:14" s="33" customFormat="1" x14ac:dyDescent="0.25">
      <c r="A511" s="27"/>
      <c r="B511" s="5"/>
      <c r="C511" s="29"/>
      <c r="D511" s="65"/>
      <c r="E511" s="24"/>
      <c r="F511" s="25"/>
      <c r="G511" s="30"/>
      <c r="H511" s="31"/>
      <c r="I511" s="5"/>
      <c r="J511" s="5"/>
      <c r="K511" s="5"/>
      <c r="L511" s="5"/>
      <c r="M511" s="31"/>
      <c r="N511" s="29"/>
    </row>
    <row r="512" spans="1:14" s="33" customFormat="1" x14ac:dyDescent="0.25">
      <c r="A512" s="27"/>
      <c r="B512" s="5"/>
      <c r="C512" s="29"/>
      <c r="D512" s="65"/>
      <c r="E512" s="24"/>
      <c r="F512" s="25"/>
      <c r="G512" s="30"/>
      <c r="H512" s="31"/>
      <c r="I512" s="5"/>
      <c r="J512" s="5"/>
      <c r="K512" s="5"/>
      <c r="L512" s="5"/>
      <c r="M512" s="31"/>
      <c r="N512" s="29"/>
    </row>
    <row r="513" spans="1:14" s="33" customFormat="1" x14ac:dyDescent="0.25">
      <c r="A513" s="27"/>
      <c r="B513" s="5"/>
      <c r="C513" s="29"/>
      <c r="D513" s="65"/>
      <c r="E513" s="24"/>
      <c r="F513" s="25"/>
      <c r="G513" s="30"/>
      <c r="H513" s="31"/>
      <c r="I513" s="5"/>
      <c r="J513" s="5"/>
      <c r="K513" s="5"/>
      <c r="L513" s="5"/>
      <c r="M513" s="31"/>
      <c r="N513" s="29"/>
    </row>
    <row r="514" spans="1:14" s="33" customFormat="1" x14ac:dyDescent="0.25">
      <c r="A514" s="27"/>
      <c r="B514" s="5"/>
      <c r="C514" s="29"/>
      <c r="D514" s="65"/>
      <c r="E514" s="24"/>
      <c r="F514" s="25"/>
      <c r="G514" s="30"/>
      <c r="H514" s="31"/>
      <c r="I514" s="5"/>
      <c r="J514" s="5"/>
      <c r="K514" s="5"/>
      <c r="L514" s="5"/>
      <c r="M514" s="31"/>
      <c r="N514" s="29"/>
    </row>
    <row r="515" spans="1:14" s="33" customFormat="1" x14ac:dyDescent="0.25">
      <c r="A515" s="27"/>
      <c r="B515" s="5"/>
      <c r="C515" s="29"/>
      <c r="D515" s="65"/>
      <c r="E515" s="24"/>
      <c r="F515" s="25"/>
      <c r="G515" s="30"/>
      <c r="H515" s="31"/>
      <c r="I515" s="5"/>
      <c r="J515" s="5"/>
      <c r="K515" s="5"/>
      <c r="L515" s="5"/>
      <c r="M515" s="31"/>
      <c r="N515" s="29"/>
    </row>
    <row r="516" spans="1:14" s="33" customFormat="1" x14ac:dyDescent="0.25">
      <c r="A516" s="27"/>
      <c r="B516" s="5"/>
      <c r="C516" s="29"/>
      <c r="D516" s="65"/>
      <c r="E516" s="24"/>
      <c r="F516" s="25"/>
      <c r="G516" s="30"/>
      <c r="H516" s="31"/>
      <c r="I516" s="5"/>
      <c r="J516" s="5"/>
      <c r="K516" s="5"/>
      <c r="L516" s="5"/>
      <c r="M516" s="31"/>
      <c r="N516" s="29"/>
    </row>
    <row r="517" spans="1:14" s="33" customFormat="1" x14ac:dyDescent="0.25">
      <c r="A517" s="27"/>
      <c r="B517" s="5"/>
      <c r="C517" s="29"/>
      <c r="D517" s="65"/>
      <c r="E517" s="24"/>
      <c r="F517" s="25"/>
      <c r="G517" s="30"/>
      <c r="H517" s="31"/>
      <c r="I517" s="5"/>
      <c r="J517" s="5"/>
      <c r="K517" s="5"/>
      <c r="L517" s="5"/>
      <c r="M517" s="31"/>
      <c r="N517" s="29"/>
    </row>
    <row r="518" spans="1:14" s="33" customFormat="1" x14ac:dyDescent="0.25">
      <c r="A518" s="27"/>
      <c r="B518" s="5"/>
      <c r="C518" s="29"/>
      <c r="D518" s="65"/>
      <c r="E518" s="24"/>
      <c r="F518" s="25"/>
      <c r="G518" s="30"/>
      <c r="H518" s="31"/>
      <c r="I518" s="5"/>
      <c r="J518" s="5"/>
      <c r="K518" s="5"/>
      <c r="L518" s="5"/>
      <c r="M518" s="31"/>
      <c r="N518" s="29"/>
    </row>
    <row r="519" spans="1:14" s="33" customFormat="1" x14ac:dyDescent="0.25">
      <c r="A519" s="27"/>
      <c r="B519" s="5"/>
      <c r="C519" s="29"/>
      <c r="D519" s="65"/>
      <c r="E519" s="24"/>
      <c r="F519" s="25"/>
      <c r="G519" s="30"/>
      <c r="H519" s="31"/>
      <c r="I519" s="5"/>
      <c r="J519" s="5"/>
      <c r="K519" s="5"/>
      <c r="L519" s="5"/>
      <c r="M519" s="31"/>
      <c r="N519" s="29"/>
    </row>
    <row r="520" spans="1:14" s="33" customFormat="1" x14ac:dyDescent="0.25">
      <c r="A520" s="27"/>
      <c r="B520" s="5"/>
      <c r="C520" s="29"/>
      <c r="D520" s="65"/>
      <c r="E520" s="24"/>
      <c r="F520" s="25"/>
      <c r="G520" s="30"/>
      <c r="H520" s="31"/>
      <c r="I520" s="5"/>
      <c r="J520" s="5"/>
      <c r="K520" s="5"/>
      <c r="L520" s="5"/>
      <c r="M520" s="31"/>
      <c r="N520" s="29"/>
    </row>
    <row r="521" spans="1:14" s="33" customFormat="1" x14ac:dyDescent="0.25">
      <c r="A521" s="27"/>
      <c r="B521" s="5"/>
      <c r="C521" s="29"/>
      <c r="D521" s="65"/>
      <c r="E521" s="24"/>
      <c r="F521" s="25"/>
      <c r="G521" s="30"/>
      <c r="H521" s="31"/>
      <c r="I521" s="5"/>
      <c r="J521" s="5"/>
      <c r="K521" s="5"/>
      <c r="L521" s="5"/>
      <c r="M521" s="31"/>
      <c r="N521" s="29"/>
    </row>
    <row r="522" spans="1:14" s="33" customFormat="1" x14ac:dyDescent="0.25">
      <c r="A522" s="27"/>
      <c r="B522" s="5"/>
      <c r="C522" s="29"/>
      <c r="D522" s="65"/>
      <c r="E522" s="24"/>
      <c r="F522" s="25"/>
      <c r="G522" s="30"/>
      <c r="H522" s="31"/>
      <c r="I522" s="5"/>
      <c r="J522" s="5"/>
      <c r="K522" s="5"/>
      <c r="L522" s="5"/>
      <c r="M522" s="31"/>
      <c r="N522" s="29"/>
    </row>
    <row r="523" spans="1:14" s="33" customFormat="1" x14ac:dyDescent="0.25">
      <c r="A523" s="27"/>
      <c r="B523" s="5"/>
      <c r="C523" s="29"/>
      <c r="D523" s="65"/>
      <c r="E523" s="24"/>
      <c r="F523" s="25"/>
      <c r="G523" s="30"/>
      <c r="H523" s="31"/>
      <c r="I523" s="5"/>
      <c r="J523" s="5"/>
      <c r="K523" s="5"/>
      <c r="L523" s="5"/>
      <c r="M523" s="31"/>
      <c r="N523" s="29"/>
    </row>
    <row r="524" spans="1:14" s="33" customFormat="1" x14ac:dyDescent="0.25">
      <c r="A524" s="27"/>
      <c r="B524" s="5"/>
      <c r="C524" s="29"/>
      <c r="D524" s="65"/>
      <c r="E524" s="24"/>
      <c r="F524" s="25"/>
      <c r="G524" s="30"/>
      <c r="H524" s="31"/>
      <c r="I524" s="5"/>
      <c r="J524" s="5"/>
      <c r="K524" s="5"/>
      <c r="L524" s="5"/>
      <c r="M524" s="31"/>
      <c r="N524" s="29"/>
    </row>
    <row r="525" spans="1:14" s="33" customFormat="1" x14ac:dyDescent="0.25">
      <c r="A525" s="27"/>
      <c r="B525" s="5"/>
      <c r="C525" s="29"/>
      <c r="D525" s="65"/>
      <c r="E525" s="24"/>
      <c r="F525" s="25"/>
      <c r="G525" s="30"/>
      <c r="H525" s="31"/>
      <c r="I525" s="5"/>
      <c r="J525" s="5"/>
      <c r="K525" s="5"/>
      <c r="L525" s="5"/>
      <c r="M525" s="31"/>
      <c r="N525" s="29"/>
    </row>
    <row r="526" spans="1:14" s="33" customFormat="1" x14ac:dyDescent="0.25">
      <c r="A526" s="27"/>
      <c r="B526" s="5"/>
      <c r="C526" s="29"/>
      <c r="D526" s="65"/>
      <c r="E526" s="24"/>
      <c r="F526" s="25"/>
      <c r="G526" s="30"/>
      <c r="H526" s="31"/>
      <c r="I526" s="5"/>
      <c r="J526" s="5"/>
      <c r="K526" s="5"/>
      <c r="L526" s="5"/>
      <c r="M526" s="31"/>
      <c r="N526" s="29"/>
    </row>
    <row r="527" spans="1:14" s="33" customFormat="1" x14ac:dyDescent="0.25">
      <c r="A527" s="27"/>
      <c r="B527" s="5"/>
      <c r="C527" s="29"/>
      <c r="D527" s="65"/>
      <c r="E527" s="24"/>
      <c r="F527" s="25"/>
      <c r="G527" s="30"/>
      <c r="H527" s="31"/>
      <c r="I527" s="5"/>
      <c r="J527" s="5"/>
      <c r="K527" s="5"/>
      <c r="L527" s="5"/>
      <c r="M527" s="31"/>
      <c r="N527" s="29"/>
    </row>
    <row r="528" spans="1:14" s="33" customFormat="1" x14ac:dyDescent="0.25">
      <c r="A528" s="27"/>
      <c r="B528" s="5"/>
      <c r="C528" s="29"/>
      <c r="D528" s="65"/>
      <c r="E528" s="24"/>
      <c r="F528" s="25"/>
      <c r="G528" s="30"/>
      <c r="H528" s="31"/>
      <c r="I528" s="5"/>
      <c r="J528" s="5"/>
      <c r="K528" s="5"/>
      <c r="L528" s="5"/>
      <c r="M528" s="31"/>
      <c r="N528" s="29"/>
    </row>
    <row r="529" spans="1:14" s="33" customFormat="1" x14ac:dyDescent="0.25">
      <c r="A529" s="27"/>
      <c r="B529" s="5"/>
      <c r="C529" s="29"/>
      <c r="D529" s="65"/>
      <c r="E529" s="24"/>
      <c r="F529" s="25"/>
      <c r="G529" s="30"/>
      <c r="H529" s="31"/>
      <c r="I529" s="5"/>
      <c r="J529" s="5"/>
      <c r="K529" s="5"/>
      <c r="L529" s="5"/>
      <c r="M529" s="31"/>
      <c r="N529" s="29"/>
    </row>
    <row r="530" spans="1:14" s="33" customFormat="1" x14ac:dyDescent="0.25">
      <c r="A530" s="27"/>
      <c r="B530" s="5"/>
      <c r="C530" s="29"/>
      <c r="D530" s="65"/>
      <c r="E530" s="24"/>
      <c r="F530" s="25"/>
      <c r="G530" s="30"/>
      <c r="H530" s="31"/>
      <c r="I530" s="5"/>
      <c r="J530" s="5"/>
      <c r="K530" s="5"/>
      <c r="L530" s="5"/>
      <c r="M530" s="31"/>
      <c r="N530" s="29"/>
    </row>
    <row r="531" spans="1:14" s="33" customFormat="1" x14ac:dyDescent="0.25">
      <c r="A531" s="27"/>
      <c r="B531" s="5"/>
      <c r="C531" s="29"/>
      <c r="D531" s="65"/>
      <c r="E531" s="24"/>
      <c r="F531" s="25"/>
      <c r="G531" s="30"/>
      <c r="H531" s="31"/>
      <c r="I531" s="5"/>
      <c r="J531" s="5"/>
      <c r="K531" s="5"/>
      <c r="L531" s="5"/>
      <c r="M531" s="31"/>
      <c r="N531" s="29"/>
    </row>
    <row r="532" spans="1:14" s="33" customFormat="1" x14ac:dyDescent="0.25">
      <c r="A532" s="27"/>
      <c r="B532" s="5"/>
      <c r="C532" s="29"/>
      <c r="D532" s="65"/>
      <c r="E532" s="24"/>
      <c r="F532" s="25"/>
      <c r="G532" s="30"/>
      <c r="H532" s="31"/>
      <c r="I532" s="5"/>
      <c r="J532" s="5"/>
      <c r="K532" s="5"/>
      <c r="L532" s="5"/>
      <c r="M532" s="31"/>
      <c r="N532" s="29"/>
    </row>
    <row r="533" spans="1:14" s="33" customFormat="1" x14ac:dyDescent="0.25">
      <c r="A533" s="27"/>
      <c r="B533" s="5"/>
      <c r="C533" s="29"/>
      <c r="D533" s="65"/>
      <c r="E533" s="24"/>
      <c r="F533" s="25"/>
      <c r="G533" s="30"/>
      <c r="H533" s="31"/>
      <c r="I533" s="5"/>
      <c r="J533" s="5"/>
      <c r="K533" s="5"/>
      <c r="L533" s="5"/>
      <c r="M533" s="31"/>
      <c r="N533" s="29"/>
    </row>
    <row r="534" spans="1:14" s="33" customFormat="1" x14ac:dyDescent="0.25">
      <c r="A534" s="27"/>
      <c r="B534" s="5"/>
      <c r="C534" s="29"/>
      <c r="D534" s="65"/>
      <c r="E534" s="24"/>
      <c r="F534" s="25"/>
      <c r="G534" s="30"/>
      <c r="H534" s="31"/>
      <c r="I534" s="5"/>
      <c r="J534" s="5"/>
      <c r="K534" s="5"/>
      <c r="L534" s="5"/>
      <c r="M534" s="31"/>
      <c r="N534" s="29"/>
    </row>
    <row r="535" spans="1:14" s="33" customFormat="1" x14ac:dyDescent="0.25">
      <c r="A535" s="27"/>
      <c r="B535" s="5"/>
      <c r="C535" s="29"/>
      <c r="D535" s="65"/>
      <c r="E535" s="24"/>
      <c r="F535" s="25"/>
      <c r="G535" s="30"/>
      <c r="H535" s="31"/>
      <c r="I535" s="5"/>
      <c r="J535" s="5"/>
      <c r="K535" s="5"/>
      <c r="L535" s="5"/>
      <c r="M535" s="31"/>
      <c r="N535" s="29"/>
    </row>
    <row r="536" spans="1:14" s="33" customFormat="1" x14ac:dyDescent="0.25">
      <c r="A536" s="27"/>
      <c r="B536" s="5"/>
      <c r="C536" s="29"/>
      <c r="D536" s="65"/>
      <c r="E536" s="24"/>
      <c r="F536" s="25"/>
      <c r="G536" s="30"/>
      <c r="H536" s="31"/>
      <c r="I536" s="5"/>
      <c r="J536" s="5"/>
      <c r="K536" s="5"/>
      <c r="L536" s="5"/>
      <c r="M536" s="31"/>
      <c r="N536" s="29"/>
    </row>
    <row r="537" spans="1:14" s="33" customFormat="1" x14ac:dyDescent="0.25">
      <c r="A537" s="27"/>
      <c r="B537" s="5"/>
      <c r="C537" s="29"/>
      <c r="D537" s="65"/>
      <c r="E537" s="24"/>
      <c r="F537" s="25"/>
      <c r="G537" s="30"/>
      <c r="H537" s="31"/>
      <c r="I537" s="5"/>
      <c r="J537" s="5"/>
      <c r="K537" s="5"/>
      <c r="L537" s="5"/>
      <c r="M537" s="31"/>
      <c r="N537" s="29"/>
    </row>
    <row r="538" spans="1:14" s="33" customFormat="1" x14ac:dyDescent="0.25">
      <c r="A538" s="27"/>
      <c r="B538" s="5"/>
      <c r="C538" s="29"/>
      <c r="D538" s="65"/>
      <c r="E538" s="24"/>
      <c r="F538" s="25"/>
      <c r="G538" s="30"/>
      <c r="H538" s="31"/>
      <c r="I538" s="5"/>
      <c r="J538" s="5"/>
      <c r="K538" s="5"/>
      <c r="L538" s="5"/>
      <c r="M538" s="31"/>
      <c r="N538" s="29"/>
    </row>
    <row r="539" spans="1:14" s="33" customFormat="1" x14ac:dyDescent="0.25">
      <c r="A539" s="27"/>
      <c r="B539" s="5"/>
      <c r="C539" s="29"/>
      <c r="D539" s="65"/>
      <c r="E539" s="24"/>
      <c r="F539" s="25"/>
      <c r="G539" s="30"/>
      <c r="H539" s="31"/>
      <c r="I539" s="5"/>
      <c r="J539" s="5"/>
      <c r="K539" s="5"/>
      <c r="L539" s="5"/>
      <c r="M539" s="31"/>
      <c r="N539" s="29"/>
    </row>
    <row r="540" spans="1:14" s="33" customFormat="1" x14ac:dyDescent="0.25">
      <c r="A540" s="27"/>
      <c r="B540" s="5"/>
      <c r="C540" s="29"/>
      <c r="D540" s="65"/>
      <c r="E540" s="24"/>
      <c r="F540" s="25"/>
      <c r="G540" s="30"/>
      <c r="H540" s="31"/>
      <c r="I540" s="5"/>
      <c r="J540" s="5"/>
      <c r="K540" s="5"/>
      <c r="L540" s="5"/>
      <c r="M540" s="31"/>
      <c r="N540" s="29"/>
    </row>
    <row r="541" spans="1:14" s="33" customFormat="1" x14ac:dyDescent="0.25">
      <c r="A541" s="27"/>
      <c r="B541" s="5"/>
      <c r="C541" s="29"/>
      <c r="D541" s="65"/>
      <c r="E541" s="24"/>
      <c r="F541" s="25"/>
      <c r="G541" s="30"/>
      <c r="H541" s="31"/>
      <c r="I541" s="5"/>
      <c r="J541" s="5"/>
      <c r="K541" s="5"/>
      <c r="L541" s="5"/>
      <c r="M541" s="31"/>
      <c r="N541" s="29"/>
    </row>
    <row r="542" spans="1:14" s="33" customFormat="1" x14ac:dyDescent="0.25">
      <c r="A542" s="27"/>
      <c r="B542" s="5"/>
      <c r="C542" s="29"/>
      <c r="D542" s="65"/>
      <c r="E542" s="24"/>
      <c r="F542" s="25"/>
      <c r="G542" s="30"/>
      <c r="H542" s="31"/>
      <c r="I542" s="5"/>
      <c r="J542" s="5"/>
      <c r="K542" s="5"/>
      <c r="L542" s="5"/>
      <c r="M542" s="31"/>
      <c r="N542" s="29"/>
    </row>
    <row r="543" spans="1:14" s="33" customFormat="1" x14ac:dyDescent="0.25">
      <c r="A543" s="27"/>
      <c r="B543" s="5"/>
      <c r="C543" s="29"/>
      <c r="D543" s="65"/>
      <c r="E543" s="24"/>
      <c r="F543" s="25"/>
      <c r="G543" s="30"/>
      <c r="H543" s="31"/>
      <c r="I543" s="5"/>
      <c r="J543" s="5"/>
      <c r="K543" s="5"/>
      <c r="L543" s="5"/>
      <c r="M543" s="31"/>
      <c r="N543" s="29"/>
    </row>
    <row r="544" spans="1:14" s="33" customFormat="1" x14ac:dyDescent="0.25">
      <c r="A544" s="27"/>
      <c r="B544" s="5"/>
      <c r="C544" s="29"/>
      <c r="D544" s="65"/>
      <c r="E544" s="24"/>
      <c r="F544" s="25"/>
      <c r="G544" s="30"/>
      <c r="H544" s="31"/>
      <c r="I544" s="5"/>
      <c r="J544" s="5"/>
      <c r="K544" s="5"/>
      <c r="L544" s="5"/>
      <c r="M544" s="31"/>
      <c r="N544" s="29"/>
    </row>
    <row r="545" spans="1:14" s="33" customFormat="1" x14ac:dyDescent="0.25">
      <c r="A545" s="27"/>
      <c r="B545" s="5"/>
      <c r="C545" s="29"/>
      <c r="D545" s="65"/>
      <c r="E545" s="24"/>
      <c r="F545" s="25"/>
      <c r="G545" s="30"/>
      <c r="H545" s="31"/>
      <c r="I545" s="5"/>
      <c r="J545" s="5"/>
      <c r="K545" s="5"/>
      <c r="L545" s="5"/>
      <c r="M545" s="31"/>
      <c r="N545" s="29"/>
    </row>
    <row r="546" spans="1:14" s="33" customFormat="1" x14ac:dyDescent="0.25">
      <c r="A546" s="27"/>
      <c r="B546" s="5"/>
      <c r="C546" s="29"/>
      <c r="D546" s="65"/>
      <c r="E546" s="24"/>
      <c r="F546" s="25"/>
      <c r="G546" s="30"/>
      <c r="H546" s="31"/>
      <c r="I546" s="5"/>
      <c r="J546" s="5"/>
      <c r="K546" s="5"/>
      <c r="L546" s="5"/>
      <c r="M546" s="31"/>
      <c r="N546" s="29"/>
    </row>
    <row r="547" spans="1:14" s="33" customFormat="1" x14ac:dyDescent="0.25">
      <c r="A547" s="27"/>
      <c r="B547" s="5"/>
      <c r="C547" s="29"/>
      <c r="D547" s="65"/>
      <c r="E547" s="24"/>
      <c r="F547" s="25"/>
      <c r="G547" s="30"/>
      <c r="H547" s="31"/>
      <c r="I547" s="5"/>
      <c r="J547" s="5"/>
      <c r="K547" s="5"/>
      <c r="L547" s="5"/>
      <c r="M547" s="31"/>
      <c r="N547" s="29"/>
    </row>
    <row r="548" spans="1:14" s="33" customFormat="1" x14ac:dyDescent="0.25">
      <c r="A548" s="27"/>
      <c r="B548" s="5"/>
      <c r="C548" s="29"/>
      <c r="D548" s="65"/>
      <c r="E548" s="24"/>
      <c r="F548" s="25"/>
      <c r="G548" s="30"/>
      <c r="H548" s="31"/>
      <c r="I548" s="5"/>
      <c r="J548" s="5"/>
      <c r="K548" s="5"/>
      <c r="L548" s="5"/>
      <c r="M548" s="31"/>
      <c r="N548" s="29"/>
    </row>
    <row r="549" spans="1:14" s="33" customFormat="1" x14ac:dyDescent="0.25">
      <c r="A549" s="27"/>
      <c r="B549" s="5"/>
      <c r="C549" s="29"/>
      <c r="D549" s="65"/>
      <c r="E549" s="24"/>
      <c r="F549" s="25"/>
      <c r="G549" s="30"/>
      <c r="H549" s="31"/>
      <c r="I549" s="5"/>
      <c r="J549" s="5"/>
      <c r="K549" s="5"/>
      <c r="L549" s="5"/>
      <c r="M549" s="31"/>
      <c r="N549" s="29"/>
    </row>
    <row r="550" spans="1:14" s="33" customFormat="1" x14ac:dyDescent="0.25">
      <c r="A550" s="27"/>
      <c r="B550" s="5"/>
      <c r="C550" s="29"/>
      <c r="D550" s="65"/>
      <c r="E550" s="24"/>
      <c r="F550" s="25"/>
      <c r="G550" s="30"/>
      <c r="H550" s="31"/>
      <c r="I550" s="5"/>
      <c r="J550" s="5"/>
      <c r="K550" s="5"/>
      <c r="L550" s="5"/>
      <c r="M550" s="31"/>
      <c r="N550" s="29"/>
    </row>
    <row r="551" spans="1:14" s="33" customFormat="1" x14ac:dyDescent="0.25">
      <c r="A551" s="27"/>
      <c r="B551" s="5"/>
      <c r="C551" s="29"/>
      <c r="D551" s="65"/>
      <c r="E551" s="24"/>
      <c r="F551" s="25"/>
      <c r="G551" s="30"/>
      <c r="H551" s="31"/>
      <c r="I551" s="5"/>
      <c r="J551" s="5"/>
      <c r="K551" s="5"/>
      <c r="L551" s="5"/>
      <c r="M551" s="31"/>
      <c r="N551" s="29"/>
    </row>
    <row r="552" spans="1:14" s="33" customFormat="1" x14ac:dyDescent="0.25">
      <c r="A552" s="27"/>
      <c r="B552" s="5"/>
      <c r="C552" s="29"/>
      <c r="D552" s="65"/>
      <c r="E552" s="24"/>
      <c r="F552" s="25"/>
      <c r="G552" s="30"/>
      <c r="H552" s="31"/>
      <c r="I552" s="5"/>
      <c r="J552" s="5"/>
      <c r="K552" s="5"/>
      <c r="L552" s="5"/>
      <c r="M552" s="31"/>
      <c r="N552" s="29"/>
    </row>
    <row r="553" spans="1:14" s="33" customFormat="1" x14ac:dyDescent="0.25">
      <c r="A553" s="27"/>
      <c r="B553" s="5"/>
      <c r="C553" s="29"/>
      <c r="D553" s="65"/>
      <c r="E553" s="24"/>
      <c r="F553" s="25"/>
      <c r="G553" s="30"/>
      <c r="H553" s="31"/>
      <c r="I553" s="5"/>
      <c r="J553" s="5"/>
      <c r="K553" s="5"/>
      <c r="L553" s="5"/>
      <c r="M553" s="31"/>
      <c r="N553" s="29"/>
    </row>
    <row r="554" spans="1:14" s="33" customFormat="1" x14ac:dyDescent="0.25">
      <c r="A554" s="27"/>
      <c r="B554" s="5"/>
      <c r="C554" s="29"/>
      <c r="D554" s="65"/>
      <c r="E554" s="24"/>
      <c r="F554" s="25"/>
      <c r="G554" s="30"/>
      <c r="H554" s="31"/>
      <c r="I554" s="5"/>
      <c r="J554" s="5"/>
      <c r="K554" s="5"/>
      <c r="L554" s="5"/>
      <c r="M554" s="31"/>
      <c r="N554" s="29"/>
    </row>
    <row r="555" spans="1:14" s="33" customFormat="1" x14ac:dyDescent="0.25">
      <c r="A555" s="27"/>
      <c r="B555" s="5"/>
      <c r="C555" s="29"/>
      <c r="D555" s="65"/>
      <c r="E555" s="24"/>
      <c r="F555" s="25"/>
      <c r="G555" s="30"/>
      <c r="H555" s="31"/>
      <c r="I555" s="5"/>
      <c r="J555" s="5"/>
      <c r="K555" s="5"/>
      <c r="L555" s="5"/>
      <c r="M555" s="31"/>
      <c r="N555" s="29"/>
    </row>
    <row r="556" spans="1:14" s="33" customFormat="1" x14ac:dyDescent="0.25">
      <c r="A556" s="27"/>
      <c r="B556" s="5"/>
      <c r="C556" s="29"/>
      <c r="D556" s="65"/>
      <c r="E556" s="24"/>
      <c r="F556" s="25"/>
      <c r="G556" s="30"/>
      <c r="H556" s="31"/>
      <c r="I556" s="5"/>
      <c r="J556" s="5"/>
      <c r="K556" s="5"/>
      <c r="L556" s="5"/>
      <c r="M556" s="31"/>
      <c r="N556" s="29"/>
    </row>
    <row r="557" spans="1:14" s="33" customFormat="1" x14ac:dyDescent="0.25">
      <c r="A557" s="27"/>
      <c r="B557" s="5"/>
      <c r="C557" s="29"/>
      <c r="D557" s="65"/>
      <c r="E557" s="24"/>
      <c r="F557" s="25"/>
      <c r="G557" s="30"/>
      <c r="H557" s="31"/>
      <c r="I557" s="5"/>
      <c r="J557" s="5"/>
      <c r="K557" s="5"/>
      <c r="L557" s="5"/>
      <c r="M557" s="31"/>
      <c r="N557" s="29"/>
    </row>
    <row r="558" spans="1:14" s="33" customFormat="1" x14ac:dyDescent="0.25">
      <c r="A558" s="27"/>
      <c r="B558" s="5"/>
      <c r="C558" s="29"/>
      <c r="D558" s="65"/>
      <c r="E558" s="24"/>
      <c r="F558" s="25"/>
      <c r="G558" s="30"/>
      <c r="H558" s="31"/>
      <c r="I558" s="5"/>
      <c r="J558" s="5"/>
      <c r="K558" s="5"/>
      <c r="L558" s="5"/>
      <c r="M558" s="31"/>
      <c r="N558" s="29"/>
    </row>
    <row r="559" spans="1:14" s="33" customFormat="1" x14ac:dyDescent="0.25">
      <c r="A559" s="27"/>
      <c r="B559" s="5"/>
      <c r="C559" s="29"/>
      <c r="D559" s="65"/>
      <c r="E559" s="24"/>
      <c r="F559" s="25"/>
      <c r="G559" s="30"/>
      <c r="H559" s="31"/>
      <c r="I559" s="5"/>
      <c r="J559" s="5"/>
      <c r="K559" s="5"/>
      <c r="L559" s="5"/>
      <c r="M559" s="31"/>
      <c r="N559" s="29"/>
    </row>
    <row r="560" spans="1:14" s="33" customFormat="1" x14ac:dyDescent="0.25">
      <c r="A560" s="27"/>
      <c r="B560" s="5"/>
      <c r="C560" s="29"/>
      <c r="D560" s="65"/>
      <c r="E560" s="24"/>
      <c r="F560" s="25"/>
      <c r="G560" s="30"/>
      <c r="H560" s="31"/>
      <c r="I560" s="5"/>
      <c r="J560" s="5"/>
      <c r="K560" s="5"/>
      <c r="L560" s="5"/>
      <c r="M560" s="31"/>
      <c r="N560" s="29"/>
    </row>
    <row r="561" spans="1:14" s="33" customFormat="1" x14ac:dyDescent="0.25">
      <c r="A561" s="27"/>
      <c r="B561" s="5"/>
      <c r="C561" s="29"/>
      <c r="D561" s="65"/>
      <c r="E561" s="24"/>
      <c r="F561" s="25"/>
      <c r="G561" s="30"/>
      <c r="H561" s="31"/>
      <c r="I561" s="5"/>
      <c r="J561" s="5"/>
      <c r="K561" s="5"/>
      <c r="L561" s="5"/>
      <c r="M561" s="31"/>
      <c r="N561" s="29"/>
    </row>
    <row r="562" spans="1:14" s="33" customFormat="1" x14ac:dyDescent="0.25">
      <c r="A562" s="27"/>
      <c r="B562" s="5"/>
      <c r="C562" s="29"/>
      <c r="D562" s="65"/>
      <c r="E562" s="24"/>
      <c r="F562" s="25"/>
      <c r="G562" s="30"/>
      <c r="H562" s="31"/>
      <c r="I562" s="5"/>
      <c r="J562" s="5"/>
      <c r="K562" s="5"/>
      <c r="L562" s="5"/>
      <c r="M562" s="31"/>
      <c r="N562" s="29"/>
    </row>
    <row r="563" spans="1:14" s="33" customFormat="1" x14ac:dyDescent="0.25">
      <c r="A563" s="27"/>
      <c r="B563" s="5"/>
      <c r="C563" s="29"/>
      <c r="D563" s="65"/>
      <c r="E563" s="24"/>
      <c r="F563" s="25"/>
      <c r="G563" s="30"/>
      <c r="H563" s="31"/>
      <c r="I563" s="5"/>
      <c r="J563" s="5"/>
      <c r="K563" s="5"/>
      <c r="L563" s="5"/>
      <c r="M563" s="31"/>
      <c r="N563" s="29"/>
    </row>
    <row r="564" spans="1:14" s="33" customFormat="1" x14ac:dyDescent="0.25">
      <c r="A564" s="27"/>
      <c r="B564" s="5"/>
      <c r="C564" s="29"/>
      <c r="D564" s="65"/>
      <c r="E564" s="24"/>
      <c r="F564" s="25"/>
      <c r="G564" s="30"/>
      <c r="H564" s="31"/>
      <c r="I564" s="5"/>
      <c r="J564" s="5"/>
      <c r="K564" s="5"/>
      <c r="L564" s="5"/>
      <c r="M564" s="31"/>
      <c r="N564" s="29"/>
    </row>
    <row r="565" spans="1:14" s="33" customFormat="1" x14ac:dyDescent="0.25">
      <c r="A565" s="27"/>
      <c r="B565" s="5"/>
      <c r="C565" s="29"/>
      <c r="D565" s="65"/>
      <c r="E565" s="24"/>
      <c r="F565" s="25"/>
      <c r="G565" s="30"/>
      <c r="H565" s="31"/>
      <c r="I565" s="5"/>
      <c r="J565" s="5"/>
      <c r="K565" s="5"/>
      <c r="L565" s="5"/>
      <c r="M565" s="31"/>
      <c r="N565" s="29"/>
    </row>
    <row r="566" spans="1:14" s="33" customFormat="1" x14ac:dyDescent="0.25">
      <c r="A566" s="27"/>
      <c r="B566" s="5"/>
      <c r="C566" s="29"/>
      <c r="D566" s="65"/>
      <c r="E566" s="24"/>
      <c r="F566" s="25"/>
      <c r="G566" s="30"/>
      <c r="H566" s="31"/>
      <c r="I566" s="5"/>
      <c r="J566" s="5"/>
      <c r="K566" s="5"/>
      <c r="L566" s="5"/>
      <c r="M566" s="31"/>
      <c r="N566" s="29"/>
    </row>
    <row r="567" spans="1:14" s="33" customFormat="1" x14ac:dyDescent="0.25">
      <c r="A567" s="27"/>
      <c r="B567" s="5"/>
      <c r="C567" s="29"/>
      <c r="D567" s="65"/>
      <c r="E567" s="24"/>
      <c r="F567" s="25"/>
      <c r="G567" s="30"/>
      <c r="H567" s="31"/>
      <c r="I567" s="5"/>
      <c r="J567" s="5"/>
      <c r="K567" s="5"/>
      <c r="L567" s="5"/>
      <c r="M567" s="31"/>
      <c r="N567" s="29"/>
    </row>
    <row r="568" spans="1:14" s="33" customFormat="1" x14ac:dyDescent="0.25">
      <c r="A568" s="27"/>
      <c r="B568" s="5"/>
      <c r="C568" s="29"/>
      <c r="D568" s="65"/>
      <c r="E568" s="24"/>
      <c r="F568" s="25"/>
      <c r="G568" s="30"/>
      <c r="H568" s="31"/>
      <c r="I568" s="5"/>
      <c r="J568" s="5"/>
      <c r="K568" s="5"/>
      <c r="L568" s="5"/>
      <c r="M568" s="31"/>
      <c r="N568" s="29"/>
    </row>
    <row r="569" spans="1:14" s="33" customFormat="1" x14ac:dyDescent="0.25">
      <c r="A569" s="27"/>
      <c r="B569" s="5"/>
      <c r="C569" s="29"/>
      <c r="D569" s="65"/>
      <c r="E569" s="24"/>
      <c r="F569" s="25"/>
      <c r="G569" s="30"/>
      <c r="H569" s="31"/>
      <c r="I569" s="5"/>
      <c r="J569" s="5"/>
      <c r="K569" s="5"/>
      <c r="L569" s="5"/>
      <c r="M569" s="31"/>
      <c r="N569" s="29"/>
    </row>
    <row r="570" spans="1:14" s="33" customFormat="1" x14ac:dyDescent="0.25">
      <c r="A570" s="27"/>
      <c r="B570" s="5"/>
      <c r="C570" s="29"/>
      <c r="D570" s="65"/>
      <c r="E570" s="24"/>
      <c r="F570" s="25"/>
      <c r="G570" s="30"/>
      <c r="H570" s="31"/>
      <c r="I570" s="5"/>
      <c r="J570" s="5"/>
      <c r="K570" s="5"/>
      <c r="L570" s="5"/>
      <c r="M570" s="31"/>
      <c r="N570" s="29"/>
    </row>
    <row r="571" spans="1:14" s="33" customFormat="1" x14ac:dyDescent="0.25">
      <c r="A571" s="27"/>
      <c r="B571" s="5"/>
      <c r="C571" s="29"/>
      <c r="D571" s="65"/>
      <c r="E571" s="24"/>
      <c r="F571" s="25"/>
      <c r="G571" s="30"/>
      <c r="H571" s="31"/>
      <c r="I571" s="5"/>
      <c r="J571" s="5"/>
      <c r="K571" s="5"/>
      <c r="L571" s="5"/>
      <c r="M571" s="31"/>
      <c r="N571" s="29"/>
    </row>
    <row r="572" spans="1:14" s="33" customFormat="1" x14ac:dyDescent="0.25">
      <c r="A572" s="27"/>
      <c r="B572" s="5"/>
      <c r="C572" s="29"/>
      <c r="D572" s="65"/>
      <c r="E572" s="24"/>
      <c r="F572" s="25"/>
      <c r="G572" s="30"/>
      <c r="H572" s="31"/>
      <c r="I572" s="5"/>
      <c r="J572" s="5"/>
      <c r="K572" s="5"/>
      <c r="L572" s="5"/>
      <c r="M572" s="31"/>
      <c r="N572" s="29"/>
    </row>
    <row r="573" spans="1:14" s="33" customFormat="1" x14ac:dyDescent="0.25">
      <c r="A573" s="27"/>
      <c r="B573" s="5"/>
      <c r="C573" s="29"/>
      <c r="D573" s="65"/>
      <c r="E573" s="24"/>
      <c r="F573" s="25"/>
      <c r="G573" s="30"/>
      <c r="H573" s="31"/>
      <c r="I573" s="5"/>
      <c r="J573" s="5"/>
      <c r="K573" s="5"/>
      <c r="L573" s="5"/>
      <c r="M573" s="31"/>
      <c r="N573" s="29"/>
    </row>
    <row r="574" spans="1:14" s="33" customFormat="1" x14ac:dyDescent="0.25">
      <c r="A574" s="27"/>
      <c r="B574" s="5"/>
      <c r="C574" s="29"/>
      <c r="D574" s="65"/>
      <c r="E574" s="24"/>
      <c r="F574" s="25"/>
      <c r="G574" s="30"/>
      <c r="H574" s="31"/>
      <c r="I574" s="5"/>
      <c r="J574" s="5"/>
      <c r="K574" s="5"/>
      <c r="L574" s="5"/>
      <c r="M574" s="31"/>
      <c r="N574" s="29"/>
    </row>
    <row r="575" spans="1:14" s="33" customFormat="1" x14ac:dyDescent="0.25">
      <c r="A575" s="27"/>
      <c r="B575" s="5"/>
      <c r="C575" s="29"/>
      <c r="D575" s="65"/>
      <c r="E575" s="24"/>
      <c r="F575" s="25"/>
      <c r="G575" s="30"/>
      <c r="H575" s="31"/>
      <c r="I575" s="5"/>
      <c r="J575" s="5"/>
      <c r="K575" s="5"/>
      <c r="L575" s="5"/>
      <c r="M575" s="31"/>
      <c r="N575" s="29"/>
    </row>
    <row r="576" spans="1:14" s="33" customFormat="1" x14ac:dyDescent="0.25">
      <c r="A576" s="27"/>
      <c r="B576" s="5"/>
      <c r="C576" s="29"/>
      <c r="D576" s="65"/>
      <c r="E576" s="24"/>
      <c r="F576" s="25"/>
      <c r="G576" s="30"/>
      <c r="H576" s="31"/>
      <c r="I576" s="5"/>
      <c r="J576" s="5"/>
      <c r="K576" s="5"/>
      <c r="L576" s="5"/>
      <c r="M576" s="31"/>
      <c r="N576" s="29"/>
    </row>
    <row r="577" spans="1:14" s="33" customFormat="1" x14ac:dyDescent="0.25">
      <c r="A577" s="27"/>
      <c r="B577" s="5"/>
      <c r="C577" s="29"/>
      <c r="D577" s="65"/>
      <c r="E577" s="24"/>
      <c r="F577" s="25"/>
      <c r="G577" s="30"/>
      <c r="H577" s="31"/>
      <c r="I577" s="5"/>
      <c r="J577" s="5"/>
      <c r="K577" s="5"/>
      <c r="L577" s="5"/>
      <c r="M577" s="31"/>
      <c r="N577" s="29"/>
    </row>
    <row r="578" spans="1:14" s="33" customFormat="1" x14ac:dyDescent="0.25">
      <c r="A578" s="27"/>
      <c r="B578" s="5"/>
      <c r="C578" s="29"/>
      <c r="D578" s="65"/>
      <c r="E578" s="24"/>
      <c r="F578" s="25"/>
      <c r="G578" s="30"/>
      <c r="H578" s="31"/>
      <c r="I578" s="5"/>
      <c r="J578" s="5"/>
      <c r="K578" s="5"/>
      <c r="L578" s="5"/>
      <c r="M578" s="31"/>
      <c r="N578" s="29"/>
    </row>
    <row r="579" spans="1:14" s="33" customFormat="1" x14ac:dyDescent="0.25">
      <c r="A579" s="27"/>
      <c r="B579" s="5"/>
      <c r="C579" s="29"/>
      <c r="D579" s="65"/>
      <c r="E579" s="24"/>
      <c r="F579" s="25"/>
      <c r="G579" s="30"/>
      <c r="H579" s="31"/>
      <c r="I579" s="5"/>
      <c r="J579" s="5"/>
      <c r="K579" s="5"/>
      <c r="L579" s="5"/>
      <c r="M579" s="31"/>
      <c r="N579" s="29"/>
    </row>
    <row r="580" spans="1:14" s="33" customFormat="1" x14ac:dyDescent="0.25">
      <c r="A580" s="27"/>
      <c r="B580" s="5"/>
      <c r="C580" s="29"/>
      <c r="D580" s="65"/>
      <c r="E580" s="24"/>
      <c r="F580" s="25"/>
      <c r="G580" s="30"/>
      <c r="H580" s="31"/>
      <c r="I580" s="5"/>
      <c r="J580" s="5"/>
      <c r="K580" s="5"/>
      <c r="L580" s="5"/>
      <c r="M580" s="31"/>
      <c r="N580" s="29"/>
    </row>
    <row r="581" spans="1:14" s="33" customFormat="1" x14ac:dyDescent="0.25">
      <c r="A581" s="27"/>
      <c r="B581" s="5"/>
      <c r="C581" s="29"/>
      <c r="D581" s="65"/>
      <c r="E581" s="24"/>
      <c r="F581" s="25"/>
      <c r="G581" s="30"/>
      <c r="H581" s="31"/>
      <c r="I581" s="5"/>
      <c r="J581" s="5"/>
      <c r="K581" s="5"/>
      <c r="L581" s="5"/>
      <c r="M581" s="31"/>
      <c r="N581" s="29"/>
    </row>
    <row r="582" spans="1:14" s="33" customFormat="1" x14ac:dyDescent="0.25">
      <c r="A582" s="27"/>
      <c r="B582" s="5"/>
      <c r="C582" s="29"/>
      <c r="D582" s="65"/>
      <c r="E582" s="24"/>
      <c r="F582" s="25"/>
      <c r="G582" s="30"/>
      <c r="H582" s="31"/>
      <c r="I582" s="5"/>
      <c r="J582" s="5"/>
      <c r="K582" s="5"/>
      <c r="L582" s="5"/>
      <c r="M582" s="31"/>
      <c r="N582" s="29"/>
    </row>
    <row r="583" spans="1:14" s="33" customFormat="1" x14ac:dyDescent="0.25">
      <c r="A583" s="27"/>
      <c r="B583" s="5"/>
      <c r="C583" s="29"/>
      <c r="D583" s="65"/>
      <c r="E583" s="24"/>
      <c r="F583" s="25"/>
      <c r="G583" s="30"/>
      <c r="H583" s="31"/>
      <c r="I583" s="5"/>
      <c r="J583" s="5"/>
      <c r="K583" s="5"/>
      <c r="L583" s="5"/>
      <c r="M583" s="31"/>
      <c r="N583" s="29"/>
    </row>
    <row r="584" spans="1:14" s="33" customFormat="1" x14ac:dyDescent="0.25">
      <c r="A584" s="27"/>
      <c r="B584" s="5"/>
      <c r="C584" s="29"/>
      <c r="D584" s="65"/>
      <c r="E584" s="24"/>
      <c r="F584" s="25"/>
      <c r="G584" s="30"/>
      <c r="H584" s="31"/>
      <c r="I584" s="5"/>
      <c r="J584" s="5"/>
      <c r="K584" s="5"/>
      <c r="L584" s="5"/>
      <c r="M584" s="31"/>
      <c r="N584" s="29"/>
    </row>
    <row r="585" spans="1:14" s="33" customFormat="1" x14ac:dyDescent="0.25">
      <c r="A585" s="27"/>
      <c r="B585" s="5"/>
      <c r="C585" s="29"/>
      <c r="D585" s="65"/>
      <c r="E585" s="24"/>
      <c r="F585" s="25"/>
      <c r="G585" s="30"/>
      <c r="H585" s="31"/>
      <c r="I585" s="5"/>
      <c r="J585" s="5"/>
      <c r="K585" s="5"/>
      <c r="L585" s="5"/>
      <c r="M585" s="31"/>
      <c r="N585" s="29"/>
    </row>
    <row r="586" spans="1:14" s="33" customFormat="1" x14ac:dyDescent="0.25">
      <c r="A586" s="27"/>
      <c r="B586" s="5"/>
      <c r="C586" s="29"/>
      <c r="D586" s="65"/>
      <c r="E586" s="24"/>
      <c r="F586" s="25"/>
      <c r="G586" s="30"/>
      <c r="H586" s="31"/>
      <c r="I586" s="5"/>
      <c r="J586" s="5"/>
      <c r="K586" s="5"/>
      <c r="L586" s="5"/>
      <c r="M586" s="31"/>
      <c r="N586" s="29"/>
    </row>
    <row r="587" spans="1:14" s="33" customFormat="1" x14ac:dyDescent="0.25">
      <c r="A587" s="27"/>
      <c r="B587" s="5"/>
      <c r="C587" s="29"/>
      <c r="D587" s="65"/>
      <c r="E587" s="24"/>
      <c r="F587" s="25"/>
      <c r="G587" s="30"/>
      <c r="H587" s="31"/>
      <c r="I587" s="5"/>
      <c r="J587" s="5"/>
      <c r="K587" s="5"/>
      <c r="L587" s="5"/>
      <c r="M587" s="31"/>
      <c r="N587" s="29"/>
    </row>
    <row r="588" spans="1:14" s="33" customFormat="1" x14ac:dyDescent="0.25">
      <c r="A588" s="27"/>
      <c r="B588" s="5"/>
      <c r="C588" s="29"/>
      <c r="D588" s="65"/>
      <c r="E588" s="24"/>
      <c r="F588" s="25"/>
      <c r="G588" s="30"/>
      <c r="H588" s="31"/>
      <c r="I588" s="5"/>
      <c r="J588" s="5"/>
      <c r="K588" s="5"/>
      <c r="L588" s="5"/>
      <c r="M588" s="31"/>
      <c r="N588" s="29"/>
    </row>
    <row r="589" spans="1:14" s="33" customFormat="1" x14ac:dyDescent="0.25">
      <c r="A589" s="27"/>
      <c r="B589" s="5"/>
      <c r="C589" s="29"/>
      <c r="D589" s="65"/>
      <c r="E589" s="24"/>
      <c r="F589" s="25"/>
      <c r="G589" s="30"/>
      <c r="H589" s="31"/>
      <c r="I589" s="5"/>
      <c r="J589" s="5"/>
      <c r="K589" s="5"/>
      <c r="L589" s="5"/>
      <c r="M589" s="31"/>
      <c r="N589" s="29"/>
    </row>
    <row r="590" spans="1:14" s="33" customFormat="1" x14ac:dyDescent="0.25">
      <c r="A590" s="27"/>
      <c r="B590" s="5"/>
      <c r="C590" s="29"/>
      <c r="D590" s="65"/>
      <c r="E590" s="24"/>
      <c r="F590" s="25"/>
      <c r="G590" s="30"/>
      <c r="H590" s="31"/>
      <c r="I590" s="5"/>
      <c r="J590" s="5"/>
      <c r="K590" s="5"/>
      <c r="L590" s="5"/>
      <c r="M590" s="31"/>
      <c r="N590" s="29"/>
    </row>
    <row r="591" spans="1:14" s="33" customFormat="1" x14ac:dyDescent="0.25">
      <c r="A591" s="27"/>
      <c r="B591" s="5"/>
      <c r="C591" s="29"/>
      <c r="D591" s="65"/>
      <c r="E591" s="24"/>
      <c r="F591" s="25"/>
      <c r="G591" s="30"/>
      <c r="H591" s="31"/>
      <c r="I591" s="5"/>
      <c r="J591" s="5"/>
      <c r="K591" s="5"/>
      <c r="L591" s="5"/>
      <c r="M591" s="31"/>
      <c r="N591" s="29"/>
    </row>
    <row r="592" spans="1:14" s="33" customFormat="1" x14ac:dyDescent="0.25">
      <c r="A592" s="27"/>
      <c r="B592" s="5"/>
      <c r="C592" s="29"/>
      <c r="D592" s="65"/>
      <c r="E592" s="24"/>
      <c r="F592" s="25"/>
      <c r="G592" s="30"/>
      <c r="H592" s="31"/>
      <c r="I592" s="5"/>
      <c r="J592" s="5"/>
      <c r="K592" s="5"/>
      <c r="L592" s="5"/>
      <c r="M592" s="31"/>
      <c r="N592" s="29"/>
    </row>
    <row r="593" spans="1:14" s="33" customFormat="1" x14ac:dyDescent="0.25">
      <c r="A593" s="27"/>
      <c r="B593" s="5"/>
      <c r="C593" s="29"/>
      <c r="D593" s="65"/>
      <c r="E593" s="24"/>
      <c r="F593" s="25"/>
      <c r="G593" s="30"/>
      <c r="H593" s="31"/>
      <c r="I593" s="5"/>
      <c r="J593" s="5"/>
      <c r="K593" s="5"/>
      <c r="L593" s="5"/>
      <c r="M593" s="31"/>
      <c r="N593" s="29"/>
    </row>
    <row r="594" spans="1:14" s="33" customFormat="1" x14ac:dyDescent="0.25">
      <c r="A594" s="27"/>
      <c r="B594" s="5"/>
      <c r="C594" s="29"/>
      <c r="D594" s="65"/>
      <c r="E594" s="24"/>
      <c r="F594" s="25"/>
      <c r="G594" s="30"/>
      <c r="H594" s="31"/>
      <c r="I594" s="5"/>
      <c r="J594" s="5"/>
      <c r="K594" s="5"/>
      <c r="L594" s="5"/>
      <c r="M594" s="31"/>
      <c r="N594" s="29"/>
    </row>
    <row r="595" spans="1:14" s="33" customFormat="1" x14ac:dyDescent="0.25">
      <c r="A595" s="27"/>
      <c r="B595" s="5"/>
      <c r="C595" s="29"/>
      <c r="D595" s="65"/>
      <c r="E595" s="24"/>
      <c r="F595" s="25"/>
      <c r="G595" s="30"/>
      <c r="H595" s="31"/>
      <c r="I595" s="5"/>
      <c r="J595" s="5"/>
      <c r="K595" s="5"/>
      <c r="L595" s="5"/>
      <c r="M595" s="31"/>
      <c r="N595" s="29"/>
    </row>
    <row r="596" spans="1:14" s="33" customFormat="1" x14ac:dyDescent="0.25">
      <c r="A596" s="27"/>
      <c r="B596" s="5"/>
      <c r="C596" s="29"/>
      <c r="D596" s="65"/>
      <c r="E596" s="24"/>
      <c r="F596" s="25"/>
      <c r="G596" s="30"/>
      <c r="H596" s="31"/>
      <c r="I596" s="5"/>
      <c r="J596" s="5"/>
      <c r="K596" s="5"/>
      <c r="L596" s="5"/>
      <c r="M596" s="31"/>
      <c r="N596" s="29"/>
    </row>
    <row r="597" spans="1:14" s="33" customFormat="1" x14ac:dyDescent="0.25">
      <c r="A597" s="27"/>
      <c r="B597" s="5"/>
      <c r="C597" s="29"/>
      <c r="D597" s="65"/>
      <c r="E597" s="24"/>
      <c r="F597" s="25"/>
      <c r="G597" s="30"/>
      <c r="H597" s="31"/>
      <c r="I597" s="5"/>
      <c r="J597" s="5"/>
      <c r="K597" s="5"/>
      <c r="L597" s="5"/>
      <c r="M597" s="31"/>
      <c r="N597" s="29"/>
    </row>
    <row r="598" spans="1:14" s="33" customFormat="1" x14ac:dyDescent="0.25">
      <c r="A598" s="27"/>
      <c r="B598" s="5"/>
      <c r="C598" s="29"/>
      <c r="D598" s="65"/>
      <c r="E598" s="24"/>
      <c r="F598" s="25"/>
      <c r="G598" s="30"/>
      <c r="H598" s="31"/>
      <c r="I598" s="5"/>
      <c r="J598" s="5"/>
      <c r="K598" s="5"/>
      <c r="L598" s="5"/>
      <c r="M598" s="31"/>
      <c r="N598" s="29"/>
    </row>
    <row r="599" spans="1:14" s="33" customFormat="1" x14ac:dyDescent="0.25">
      <c r="A599" s="27"/>
      <c r="B599" s="5"/>
      <c r="C599" s="29"/>
      <c r="D599" s="65"/>
      <c r="E599" s="24"/>
      <c r="F599" s="25"/>
      <c r="G599" s="30"/>
      <c r="H599" s="31"/>
      <c r="I599" s="5"/>
      <c r="J599" s="5"/>
      <c r="K599" s="5"/>
      <c r="L599" s="5"/>
      <c r="M599" s="31"/>
      <c r="N599" s="29"/>
    </row>
    <row r="600" spans="1:14" s="33" customFormat="1" x14ac:dyDescent="0.25">
      <c r="A600" s="27"/>
      <c r="B600" s="5"/>
      <c r="C600" s="29"/>
      <c r="D600" s="65"/>
      <c r="E600" s="24"/>
      <c r="F600" s="25"/>
      <c r="G600" s="30"/>
      <c r="H600" s="31"/>
      <c r="I600" s="5"/>
      <c r="J600" s="5"/>
      <c r="K600" s="5"/>
      <c r="L600" s="5"/>
      <c r="M600" s="31"/>
      <c r="N600" s="29"/>
    </row>
    <row r="601" spans="1:14" s="33" customFormat="1" x14ac:dyDescent="0.25">
      <c r="A601" s="27"/>
      <c r="B601" s="5"/>
      <c r="C601" s="29"/>
      <c r="D601" s="65"/>
      <c r="E601" s="24"/>
      <c r="F601" s="25"/>
      <c r="G601" s="30"/>
      <c r="H601" s="31"/>
      <c r="I601" s="5"/>
      <c r="J601" s="5"/>
      <c r="K601" s="5"/>
      <c r="L601" s="5"/>
      <c r="M601" s="31"/>
      <c r="N601" s="29"/>
    </row>
    <row r="602" spans="1:14" s="33" customFormat="1" x14ac:dyDescent="0.25">
      <c r="A602" s="27"/>
      <c r="B602" s="5"/>
      <c r="C602" s="29"/>
      <c r="D602" s="65"/>
      <c r="E602" s="24"/>
      <c r="F602" s="25"/>
      <c r="G602" s="30"/>
      <c r="H602" s="31"/>
      <c r="I602" s="5"/>
      <c r="J602" s="5"/>
      <c r="K602" s="5"/>
      <c r="L602" s="5"/>
      <c r="M602" s="31"/>
      <c r="N602" s="29"/>
    </row>
    <row r="603" spans="1:14" s="33" customFormat="1" x14ac:dyDescent="0.25">
      <c r="A603" s="27"/>
      <c r="B603" s="5"/>
      <c r="C603" s="29"/>
      <c r="D603" s="65"/>
      <c r="E603" s="24"/>
      <c r="F603" s="25"/>
      <c r="G603" s="30"/>
      <c r="H603" s="31"/>
      <c r="I603" s="5"/>
      <c r="J603" s="5"/>
      <c r="K603" s="5"/>
      <c r="L603" s="5"/>
      <c r="M603" s="31"/>
      <c r="N603" s="29"/>
    </row>
    <row r="604" spans="1:14" s="33" customFormat="1" x14ac:dyDescent="0.25">
      <c r="A604" s="27"/>
      <c r="B604" s="5"/>
      <c r="C604" s="29"/>
      <c r="D604" s="65"/>
      <c r="E604" s="24"/>
      <c r="F604" s="25"/>
      <c r="G604" s="30"/>
      <c r="H604" s="31"/>
      <c r="I604" s="5"/>
      <c r="J604" s="5"/>
      <c r="K604" s="5"/>
      <c r="L604" s="5"/>
      <c r="M604" s="31"/>
      <c r="N604" s="29"/>
    </row>
    <row r="605" spans="1:14" s="33" customFormat="1" x14ac:dyDescent="0.25">
      <c r="A605" s="27"/>
      <c r="B605" s="5"/>
      <c r="C605" s="29"/>
      <c r="D605" s="65"/>
      <c r="E605" s="24"/>
      <c r="F605" s="25"/>
      <c r="G605" s="30"/>
      <c r="H605" s="31"/>
      <c r="I605" s="5"/>
      <c r="J605" s="5"/>
      <c r="K605" s="5"/>
      <c r="L605" s="5"/>
      <c r="M605" s="31"/>
      <c r="N605" s="29"/>
    </row>
    <row r="606" spans="1:14" s="33" customFormat="1" x14ac:dyDescent="0.25">
      <c r="A606" s="27"/>
      <c r="B606" s="5"/>
      <c r="C606" s="29"/>
      <c r="D606" s="65"/>
      <c r="E606" s="24"/>
      <c r="F606" s="25"/>
      <c r="G606" s="30"/>
      <c r="H606" s="31"/>
      <c r="I606" s="5"/>
      <c r="J606" s="5"/>
      <c r="K606" s="5"/>
      <c r="L606" s="5"/>
      <c r="M606" s="31"/>
      <c r="N606" s="29"/>
    </row>
    <row r="607" spans="1:14" s="33" customFormat="1" x14ac:dyDescent="0.25">
      <c r="A607" s="27"/>
      <c r="B607" s="5"/>
      <c r="C607" s="29"/>
      <c r="D607" s="65"/>
      <c r="E607" s="24"/>
      <c r="F607" s="25"/>
      <c r="G607" s="30"/>
      <c r="H607" s="31"/>
      <c r="I607" s="5"/>
      <c r="J607" s="5"/>
      <c r="K607" s="5"/>
      <c r="L607" s="5"/>
      <c r="M607" s="31"/>
      <c r="N607" s="29"/>
    </row>
    <row r="608" spans="1:14" s="33" customFormat="1" x14ac:dyDescent="0.25">
      <c r="A608" s="27"/>
      <c r="B608" s="5"/>
      <c r="C608" s="29"/>
      <c r="D608" s="65"/>
      <c r="E608" s="24"/>
      <c r="F608" s="25"/>
      <c r="G608" s="30"/>
      <c r="H608" s="31"/>
      <c r="I608" s="5"/>
      <c r="J608" s="5"/>
      <c r="K608" s="5"/>
      <c r="L608" s="5"/>
      <c r="M608" s="31"/>
      <c r="N608" s="29"/>
    </row>
    <row r="609" spans="1:14" s="33" customFormat="1" x14ac:dyDescent="0.25">
      <c r="A609" s="27"/>
      <c r="B609" s="5"/>
      <c r="C609" s="29"/>
      <c r="D609" s="65"/>
      <c r="E609" s="24"/>
      <c r="F609" s="25"/>
      <c r="G609" s="30"/>
      <c r="H609" s="31"/>
      <c r="I609" s="5"/>
      <c r="J609" s="5"/>
      <c r="K609" s="5"/>
      <c r="L609" s="5"/>
      <c r="M609" s="31"/>
      <c r="N609" s="29"/>
    </row>
    <row r="610" spans="1:14" s="33" customFormat="1" x14ac:dyDescent="0.25">
      <c r="A610" s="27"/>
      <c r="B610" s="5"/>
      <c r="C610" s="29"/>
      <c r="D610" s="65"/>
      <c r="E610" s="24"/>
      <c r="F610" s="25"/>
      <c r="G610" s="30"/>
      <c r="H610" s="31"/>
      <c r="I610" s="5"/>
      <c r="J610" s="5"/>
      <c r="K610" s="5"/>
      <c r="L610" s="5"/>
      <c r="M610" s="31"/>
      <c r="N610" s="29"/>
    </row>
    <row r="611" spans="1:14" s="33" customFormat="1" x14ac:dyDescent="0.25">
      <c r="A611" s="27"/>
      <c r="B611" s="5"/>
      <c r="C611" s="29"/>
      <c r="D611" s="65"/>
      <c r="E611" s="24"/>
      <c r="F611" s="25"/>
      <c r="G611" s="30"/>
      <c r="H611" s="31"/>
      <c r="I611" s="5"/>
      <c r="J611" s="5"/>
      <c r="K611" s="5"/>
      <c r="L611" s="5"/>
      <c r="M611" s="31"/>
      <c r="N611" s="29"/>
    </row>
    <row r="612" spans="1:14" s="33" customFormat="1" x14ac:dyDescent="0.25">
      <c r="A612" s="27"/>
      <c r="B612" s="5"/>
      <c r="C612" s="29"/>
      <c r="D612" s="65"/>
      <c r="E612" s="24"/>
      <c r="F612" s="25"/>
      <c r="G612" s="30"/>
      <c r="H612" s="31"/>
      <c r="I612" s="5"/>
      <c r="J612" s="5"/>
      <c r="K612" s="5"/>
      <c r="L612" s="5"/>
      <c r="M612" s="31"/>
      <c r="N612" s="29"/>
    </row>
    <row r="613" spans="1:14" s="33" customFormat="1" x14ac:dyDescent="0.25">
      <c r="A613" s="27"/>
      <c r="B613" s="5"/>
      <c r="C613" s="29"/>
      <c r="D613" s="65"/>
      <c r="E613" s="24"/>
      <c r="F613" s="25"/>
      <c r="G613" s="30"/>
      <c r="H613" s="31"/>
      <c r="I613" s="5"/>
      <c r="J613" s="5"/>
      <c r="K613" s="5"/>
      <c r="L613" s="5"/>
      <c r="M613" s="31"/>
      <c r="N613" s="29"/>
    </row>
    <row r="614" spans="1:14" s="33" customFormat="1" x14ac:dyDescent="0.25">
      <c r="A614" s="27"/>
      <c r="B614" s="5"/>
      <c r="C614" s="29"/>
      <c r="D614" s="65"/>
      <c r="E614" s="24"/>
      <c r="F614" s="25"/>
      <c r="G614" s="30"/>
      <c r="H614" s="31"/>
      <c r="I614" s="5"/>
      <c r="J614" s="5"/>
      <c r="K614" s="5"/>
      <c r="L614" s="5"/>
      <c r="M614" s="31"/>
      <c r="N614" s="29"/>
    </row>
    <row r="615" spans="1:14" s="33" customFormat="1" x14ac:dyDescent="0.25">
      <c r="A615" s="27"/>
      <c r="B615" s="5"/>
      <c r="C615" s="29"/>
      <c r="D615" s="65"/>
      <c r="E615" s="24"/>
      <c r="F615" s="25"/>
      <c r="G615" s="30"/>
      <c r="H615" s="31"/>
      <c r="I615" s="5"/>
      <c r="J615" s="5"/>
      <c r="K615" s="5"/>
      <c r="L615" s="5"/>
      <c r="M615" s="31"/>
      <c r="N615" s="29"/>
    </row>
    <row r="616" spans="1:14" s="33" customFormat="1" x14ac:dyDescent="0.25">
      <c r="A616" s="27"/>
      <c r="B616" s="5"/>
      <c r="C616" s="29"/>
      <c r="D616" s="65"/>
      <c r="E616" s="24"/>
      <c r="F616" s="25"/>
      <c r="G616" s="30"/>
      <c r="H616" s="31"/>
      <c r="I616" s="5"/>
      <c r="J616" s="5"/>
      <c r="K616" s="5"/>
      <c r="L616" s="5"/>
      <c r="M616" s="31"/>
      <c r="N616" s="29"/>
    </row>
    <row r="617" spans="1:14" s="33" customFormat="1" x14ac:dyDescent="0.25">
      <c r="A617" s="27"/>
      <c r="B617" s="5"/>
      <c r="C617" s="29"/>
      <c r="D617" s="65"/>
      <c r="E617" s="24"/>
      <c r="F617" s="25"/>
      <c r="G617" s="30"/>
      <c r="H617" s="31"/>
      <c r="I617" s="5"/>
      <c r="J617" s="5"/>
      <c r="K617" s="5"/>
      <c r="L617" s="5"/>
      <c r="M617" s="31"/>
      <c r="N617" s="29"/>
    </row>
    <row r="618" spans="1:14" s="33" customFormat="1" x14ac:dyDescent="0.25">
      <c r="A618" s="27"/>
      <c r="B618" s="5"/>
      <c r="C618" s="29"/>
      <c r="D618" s="65"/>
      <c r="E618" s="24"/>
      <c r="F618" s="25"/>
      <c r="G618" s="30"/>
      <c r="H618" s="31"/>
      <c r="I618" s="5"/>
      <c r="J618" s="5"/>
      <c r="K618" s="5"/>
      <c r="L618" s="5"/>
      <c r="M618" s="31"/>
      <c r="N618" s="29"/>
    </row>
    <row r="619" spans="1:14" s="33" customFormat="1" x14ac:dyDescent="0.25">
      <c r="A619" s="27"/>
      <c r="B619" s="5"/>
      <c r="C619" s="29"/>
      <c r="D619" s="65"/>
      <c r="E619" s="24"/>
      <c r="F619" s="25"/>
      <c r="G619" s="30"/>
      <c r="H619" s="31"/>
      <c r="I619" s="5"/>
      <c r="J619" s="5"/>
      <c r="K619" s="5"/>
      <c r="L619" s="5"/>
      <c r="M619" s="31"/>
      <c r="N619" s="29"/>
    </row>
    <row r="620" spans="1:14" s="33" customFormat="1" x14ac:dyDescent="0.25">
      <c r="A620" s="27"/>
      <c r="B620" s="5"/>
      <c r="C620" s="29"/>
      <c r="D620" s="65"/>
      <c r="E620" s="24"/>
      <c r="F620" s="25"/>
      <c r="G620" s="30"/>
      <c r="H620" s="31"/>
      <c r="I620" s="5"/>
      <c r="J620" s="5"/>
      <c r="K620" s="5"/>
      <c r="L620" s="5"/>
      <c r="M620" s="31"/>
      <c r="N620" s="29"/>
    </row>
    <row r="621" spans="1:14" s="33" customFormat="1" x14ac:dyDescent="0.25">
      <c r="A621" s="27"/>
      <c r="B621" s="5"/>
      <c r="C621" s="29"/>
      <c r="D621" s="65"/>
      <c r="E621" s="24"/>
      <c r="F621" s="25"/>
      <c r="G621" s="30"/>
      <c r="H621" s="31"/>
      <c r="I621" s="5"/>
      <c r="J621" s="5"/>
      <c r="K621" s="5"/>
      <c r="L621" s="5"/>
      <c r="M621" s="31"/>
      <c r="N621" s="29"/>
    </row>
    <row r="622" spans="1:14" s="33" customFormat="1" x14ac:dyDescent="0.25">
      <c r="A622" s="27"/>
      <c r="B622" s="5"/>
      <c r="C622" s="29"/>
      <c r="D622" s="65"/>
      <c r="E622" s="24"/>
      <c r="F622" s="25"/>
      <c r="G622" s="30"/>
      <c r="H622" s="31"/>
      <c r="I622" s="5"/>
      <c r="J622" s="5"/>
      <c r="K622" s="5"/>
      <c r="L622" s="5"/>
      <c r="M622" s="31"/>
      <c r="N622" s="29"/>
    </row>
    <row r="623" spans="1:14" s="33" customFormat="1" x14ac:dyDescent="0.25">
      <c r="A623" s="27"/>
      <c r="B623" s="5"/>
      <c r="C623" s="29"/>
      <c r="D623" s="65"/>
      <c r="E623" s="24"/>
      <c r="F623" s="25"/>
      <c r="G623" s="30"/>
      <c r="H623" s="31"/>
      <c r="I623" s="5"/>
      <c r="J623" s="5"/>
      <c r="K623" s="5"/>
      <c r="L623" s="5"/>
      <c r="M623" s="31"/>
      <c r="N623" s="29"/>
    </row>
    <row r="624" spans="1:14" s="33" customFormat="1" x14ac:dyDescent="0.25">
      <c r="A624" s="27"/>
      <c r="B624" s="5"/>
      <c r="C624" s="29"/>
      <c r="D624" s="65"/>
      <c r="E624" s="24"/>
      <c r="F624" s="25"/>
      <c r="G624" s="30"/>
      <c r="H624" s="31"/>
      <c r="I624" s="5"/>
      <c r="J624" s="5"/>
      <c r="K624" s="5"/>
      <c r="L624" s="5"/>
      <c r="M624" s="31"/>
      <c r="N624" s="29"/>
    </row>
    <row r="625" spans="1:14" s="33" customFormat="1" x14ac:dyDescent="0.25">
      <c r="A625" s="27"/>
      <c r="B625" s="5"/>
      <c r="C625" s="29"/>
      <c r="D625" s="65"/>
      <c r="E625" s="24"/>
      <c r="F625" s="25"/>
      <c r="G625" s="30"/>
      <c r="H625" s="31"/>
      <c r="I625" s="5"/>
      <c r="J625" s="5"/>
      <c r="K625" s="5"/>
      <c r="L625" s="5"/>
      <c r="M625" s="31"/>
      <c r="N625" s="29"/>
    </row>
    <row r="626" spans="1:14" s="33" customFormat="1" x14ac:dyDescent="0.25">
      <c r="A626" s="27"/>
      <c r="B626" s="5"/>
      <c r="C626" s="29"/>
      <c r="D626" s="65"/>
      <c r="E626" s="24"/>
      <c r="F626" s="25"/>
      <c r="G626" s="30"/>
      <c r="H626" s="31"/>
      <c r="I626" s="5"/>
      <c r="J626" s="5"/>
      <c r="K626" s="5"/>
      <c r="L626" s="5"/>
      <c r="M626" s="31"/>
      <c r="N626" s="29"/>
    </row>
    <row r="627" spans="1:14" s="33" customFormat="1" x14ac:dyDescent="0.25">
      <c r="A627" s="27"/>
      <c r="B627" s="5"/>
      <c r="C627" s="29"/>
      <c r="D627" s="65"/>
      <c r="E627" s="24"/>
      <c r="F627" s="25"/>
      <c r="G627" s="30"/>
      <c r="H627" s="31"/>
      <c r="I627" s="5"/>
      <c r="J627" s="5"/>
      <c r="K627" s="5"/>
      <c r="L627" s="5"/>
      <c r="M627" s="31"/>
      <c r="N627" s="29"/>
    </row>
    <row r="628" spans="1:14" s="33" customFormat="1" x14ac:dyDescent="0.25">
      <c r="A628" s="27"/>
      <c r="B628" s="5"/>
      <c r="C628" s="29"/>
      <c r="D628" s="65"/>
      <c r="E628" s="24"/>
      <c r="F628" s="25"/>
      <c r="G628" s="30"/>
      <c r="H628" s="31"/>
      <c r="I628" s="5"/>
      <c r="J628" s="5"/>
      <c r="K628" s="5"/>
      <c r="L628" s="5"/>
      <c r="M628" s="31"/>
      <c r="N628" s="29"/>
    </row>
    <row r="629" spans="1:14" s="33" customFormat="1" x14ac:dyDescent="0.25">
      <c r="A629" s="27"/>
      <c r="B629" s="5"/>
      <c r="C629" s="29"/>
      <c r="D629" s="65"/>
      <c r="E629" s="24"/>
      <c r="F629" s="25"/>
      <c r="G629" s="30"/>
      <c r="H629" s="31"/>
      <c r="I629" s="5"/>
      <c r="J629" s="5"/>
      <c r="K629" s="5"/>
      <c r="L629" s="5"/>
      <c r="M629" s="31"/>
      <c r="N629" s="29"/>
    </row>
    <row r="630" spans="1:14" s="33" customFormat="1" x14ac:dyDescent="0.25">
      <c r="A630" s="27"/>
      <c r="B630" s="5"/>
      <c r="C630" s="29"/>
      <c r="D630" s="65"/>
      <c r="E630" s="24"/>
      <c r="F630" s="25"/>
      <c r="G630" s="30"/>
      <c r="H630" s="31"/>
      <c r="I630" s="5"/>
      <c r="J630" s="5"/>
      <c r="K630" s="5"/>
      <c r="L630" s="5"/>
      <c r="M630" s="31"/>
      <c r="N630" s="29"/>
    </row>
    <row r="631" spans="1:14" s="33" customFormat="1" x14ac:dyDescent="0.25">
      <c r="A631" s="27"/>
      <c r="B631" s="5"/>
      <c r="C631" s="29"/>
      <c r="D631" s="65"/>
      <c r="E631" s="24"/>
      <c r="F631" s="25"/>
      <c r="G631" s="30"/>
      <c r="H631" s="31"/>
      <c r="I631" s="5"/>
      <c r="J631" s="5"/>
      <c r="K631" s="5"/>
      <c r="L631" s="5"/>
      <c r="M631" s="31"/>
      <c r="N631" s="29"/>
    </row>
    <row r="632" spans="1:14" s="33" customFormat="1" x14ac:dyDescent="0.25">
      <c r="A632" s="27"/>
      <c r="B632" s="5"/>
      <c r="C632" s="29"/>
      <c r="D632" s="65"/>
      <c r="E632" s="24"/>
      <c r="F632" s="25"/>
      <c r="G632" s="30"/>
      <c r="H632" s="31"/>
      <c r="I632" s="5"/>
      <c r="J632" s="5"/>
      <c r="K632" s="5"/>
      <c r="L632" s="5"/>
      <c r="M632" s="31"/>
      <c r="N632" s="29"/>
    </row>
    <row r="633" spans="1:14" s="33" customFormat="1" x14ac:dyDescent="0.25">
      <c r="A633" s="27"/>
      <c r="B633" s="5"/>
      <c r="C633" s="29"/>
      <c r="D633" s="65"/>
      <c r="E633" s="24"/>
      <c r="F633" s="25"/>
      <c r="G633" s="30"/>
      <c r="H633" s="31"/>
      <c r="I633" s="5"/>
      <c r="J633" s="5"/>
      <c r="K633" s="5"/>
      <c r="L633" s="5"/>
      <c r="M633" s="31"/>
      <c r="N633" s="29"/>
    </row>
    <row r="634" spans="1:14" s="33" customFormat="1" x14ac:dyDescent="0.25">
      <c r="A634" s="27"/>
      <c r="B634" s="5"/>
      <c r="C634" s="29"/>
      <c r="D634" s="65"/>
      <c r="E634" s="24"/>
      <c r="F634" s="25"/>
      <c r="G634" s="30"/>
      <c r="H634" s="31"/>
      <c r="I634" s="5"/>
      <c r="J634" s="5"/>
      <c r="K634" s="5"/>
      <c r="L634" s="5"/>
      <c r="M634" s="31"/>
      <c r="N634" s="29"/>
    </row>
    <row r="635" spans="1:14" s="33" customFormat="1" x14ac:dyDescent="0.25">
      <c r="A635" s="27"/>
      <c r="B635" s="5"/>
      <c r="C635" s="29"/>
      <c r="D635" s="65"/>
      <c r="E635" s="24"/>
      <c r="F635" s="25"/>
      <c r="G635" s="30"/>
      <c r="H635" s="31"/>
      <c r="I635" s="5"/>
      <c r="J635" s="5"/>
      <c r="K635" s="5"/>
      <c r="L635" s="5"/>
      <c r="M635" s="31"/>
      <c r="N635" s="29"/>
    </row>
    <row r="636" spans="1:14" s="33" customFormat="1" x14ac:dyDescent="0.25">
      <c r="A636" s="27"/>
      <c r="B636" s="5"/>
      <c r="C636" s="29"/>
      <c r="D636" s="65"/>
      <c r="E636" s="24"/>
      <c r="F636" s="25"/>
      <c r="G636" s="30"/>
      <c r="H636" s="31"/>
      <c r="I636" s="5"/>
      <c r="J636" s="5"/>
      <c r="K636" s="5"/>
      <c r="L636" s="5"/>
      <c r="M636" s="31"/>
      <c r="N636" s="29"/>
    </row>
    <row r="637" spans="1:14" s="33" customFormat="1" x14ac:dyDescent="0.25">
      <c r="A637" s="27"/>
      <c r="B637" s="5"/>
      <c r="C637" s="29"/>
      <c r="D637" s="65"/>
      <c r="E637" s="24"/>
      <c r="F637" s="25"/>
      <c r="G637" s="30"/>
      <c r="H637" s="31"/>
      <c r="I637" s="5"/>
      <c r="J637" s="5"/>
      <c r="K637" s="5"/>
      <c r="L637" s="5"/>
      <c r="M637" s="31"/>
      <c r="N637" s="29"/>
    </row>
    <row r="638" spans="1:14" s="33" customFormat="1" x14ac:dyDescent="0.25">
      <c r="A638" s="27"/>
      <c r="B638" s="5"/>
      <c r="C638" s="29"/>
      <c r="D638" s="65"/>
      <c r="E638" s="24"/>
      <c r="F638" s="25"/>
      <c r="G638" s="30"/>
      <c r="H638" s="31"/>
      <c r="I638" s="5"/>
      <c r="J638" s="5"/>
      <c r="K638" s="5"/>
      <c r="L638" s="5"/>
      <c r="M638" s="31"/>
      <c r="N638" s="29"/>
    </row>
    <row r="639" spans="1:14" s="33" customFormat="1" x14ac:dyDescent="0.25">
      <c r="A639" s="27"/>
      <c r="B639" s="5"/>
      <c r="C639" s="29"/>
      <c r="D639" s="65"/>
      <c r="E639" s="24"/>
      <c r="F639" s="25"/>
      <c r="G639" s="30"/>
      <c r="H639" s="31"/>
      <c r="I639" s="5"/>
      <c r="J639" s="5"/>
      <c r="K639" s="5"/>
      <c r="L639" s="5"/>
      <c r="M639" s="31"/>
      <c r="N639" s="29"/>
    </row>
    <row r="640" spans="1:14" s="33" customFormat="1" x14ac:dyDescent="0.25">
      <c r="A640" s="27"/>
      <c r="B640" s="5"/>
      <c r="C640" s="29"/>
      <c r="D640" s="65"/>
      <c r="E640" s="24"/>
      <c r="F640" s="25"/>
      <c r="G640" s="30"/>
      <c r="H640" s="31"/>
      <c r="I640" s="5"/>
      <c r="J640" s="5"/>
      <c r="K640" s="5"/>
      <c r="L640" s="5"/>
      <c r="M640" s="31"/>
      <c r="N640" s="29"/>
    </row>
    <row r="641" spans="1:14" s="33" customFormat="1" x14ac:dyDescent="0.25">
      <c r="A641" s="27"/>
      <c r="B641" s="5"/>
      <c r="C641" s="29"/>
      <c r="D641" s="65"/>
      <c r="E641" s="24"/>
      <c r="F641" s="25"/>
      <c r="G641" s="30"/>
      <c r="H641" s="31"/>
      <c r="I641" s="5"/>
      <c r="J641" s="5"/>
      <c r="K641" s="5"/>
      <c r="L641" s="5"/>
      <c r="M641" s="31"/>
      <c r="N641" s="29"/>
    </row>
    <row r="642" spans="1:14" s="33" customFormat="1" x14ac:dyDescent="0.25">
      <c r="A642" s="27"/>
      <c r="B642" s="5"/>
      <c r="C642" s="29"/>
      <c r="D642" s="65"/>
      <c r="E642" s="24"/>
      <c r="F642" s="25"/>
      <c r="G642" s="30"/>
      <c r="H642" s="31"/>
      <c r="I642" s="5"/>
      <c r="J642" s="5"/>
      <c r="K642" s="5"/>
      <c r="L642" s="5"/>
      <c r="M642" s="31"/>
      <c r="N642" s="29"/>
    </row>
    <row r="643" spans="1:14" s="33" customFormat="1" x14ac:dyDescent="0.25">
      <c r="A643" s="27"/>
      <c r="B643" s="5"/>
      <c r="C643" s="29"/>
      <c r="D643" s="65"/>
      <c r="E643" s="24"/>
      <c r="F643" s="25"/>
      <c r="G643" s="30"/>
      <c r="H643" s="31"/>
      <c r="I643" s="5"/>
      <c r="J643" s="5"/>
      <c r="K643" s="5"/>
      <c r="L643" s="5"/>
      <c r="M643" s="31"/>
      <c r="N643" s="29"/>
    </row>
    <row r="644" spans="1:14" s="33" customFormat="1" x14ac:dyDescent="0.25">
      <c r="A644" s="27"/>
      <c r="B644" s="5"/>
      <c r="C644" s="29"/>
      <c r="D644" s="65"/>
      <c r="E644" s="24"/>
      <c r="F644" s="25"/>
      <c r="G644" s="30"/>
      <c r="H644" s="31"/>
      <c r="I644" s="5"/>
      <c r="J644" s="5"/>
      <c r="K644" s="5"/>
      <c r="L644" s="5"/>
      <c r="M644" s="31"/>
      <c r="N644" s="29"/>
    </row>
    <row r="645" spans="1:14" s="33" customFormat="1" x14ac:dyDescent="0.25">
      <c r="A645" s="27"/>
      <c r="B645" s="5"/>
      <c r="C645" s="29"/>
      <c r="D645" s="65"/>
      <c r="E645" s="24"/>
      <c r="F645" s="25"/>
      <c r="G645" s="30"/>
      <c r="H645" s="31"/>
      <c r="I645" s="5"/>
      <c r="J645" s="5"/>
      <c r="K645" s="5"/>
      <c r="L645" s="5"/>
      <c r="M645" s="31"/>
      <c r="N645" s="29"/>
    </row>
    <row r="646" spans="1:14" s="33" customFormat="1" x14ac:dyDescent="0.25">
      <c r="A646" s="27"/>
      <c r="B646" s="5"/>
      <c r="C646" s="29"/>
      <c r="D646" s="65"/>
      <c r="E646" s="24"/>
      <c r="F646" s="25"/>
      <c r="G646" s="30"/>
      <c r="H646" s="31"/>
      <c r="I646" s="5"/>
      <c r="J646" s="5"/>
      <c r="K646" s="5"/>
      <c r="L646" s="5"/>
      <c r="M646" s="31"/>
      <c r="N646" s="29"/>
    </row>
    <row r="647" spans="1:14" s="33" customFormat="1" x14ac:dyDescent="0.25">
      <c r="A647" s="27"/>
      <c r="B647" s="5"/>
      <c r="C647" s="29"/>
      <c r="D647" s="65"/>
      <c r="E647" s="24"/>
      <c r="F647" s="25"/>
      <c r="G647" s="30"/>
      <c r="H647" s="31"/>
      <c r="I647" s="5"/>
      <c r="J647" s="5"/>
      <c r="K647" s="5"/>
      <c r="L647" s="5"/>
      <c r="M647" s="31"/>
      <c r="N647" s="29"/>
    </row>
    <row r="648" spans="1:14" s="33" customFormat="1" x14ac:dyDescent="0.25">
      <c r="A648" s="27"/>
      <c r="B648" s="5"/>
      <c r="C648" s="29"/>
      <c r="D648" s="65"/>
      <c r="E648" s="24"/>
      <c r="F648" s="25"/>
      <c r="G648" s="30"/>
      <c r="H648" s="31"/>
      <c r="I648" s="5"/>
      <c r="J648" s="5"/>
      <c r="K648" s="5"/>
      <c r="L648" s="5"/>
      <c r="M648" s="31"/>
      <c r="N648" s="29"/>
    </row>
    <row r="649" spans="1:14" s="33" customFormat="1" x14ac:dyDescent="0.25">
      <c r="A649" s="27"/>
      <c r="B649" s="5"/>
      <c r="C649" s="29"/>
      <c r="D649" s="65"/>
      <c r="E649" s="24"/>
      <c r="F649" s="25"/>
      <c r="G649" s="30"/>
      <c r="H649" s="31"/>
      <c r="I649" s="5"/>
      <c r="J649" s="5"/>
      <c r="K649" s="5"/>
      <c r="L649" s="5"/>
      <c r="M649" s="31"/>
      <c r="N649" s="29"/>
    </row>
    <row r="650" spans="1:14" s="33" customFormat="1" x14ac:dyDescent="0.25">
      <c r="A650" s="27"/>
      <c r="B650" s="5"/>
      <c r="C650" s="29"/>
      <c r="D650" s="65"/>
      <c r="E650" s="24"/>
      <c r="F650" s="25"/>
      <c r="G650" s="30"/>
      <c r="H650" s="31"/>
      <c r="I650" s="5"/>
      <c r="J650" s="5"/>
      <c r="K650" s="5"/>
      <c r="L650" s="5"/>
      <c r="M650" s="31"/>
      <c r="N650" s="29"/>
    </row>
    <row r="651" spans="1:14" s="33" customFormat="1" x14ac:dyDescent="0.25">
      <c r="A651" s="27"/>
      <c r="B651" s="5"/>
      <c r="C651" s="29"/>
      <c r="D651" s="65"/>
      <c r="E651" s="24"/>
      <c r="F651" s="25"/>
      <c r="G651" s="30"/>
      <c r="H651" s="31"/>
      <c r="I651" s="5"/>
      <c r="J651" s="5"/>
      <c r="K651" s="5"/>
      <c r="L651" s="5"/>
      <c r="M651" s="31"/>
      <c r="N651" s="29"/>
    </row>
    <row r="652" spans="1:14" s="33" customFormat="1" x14ac:dyDescent="0.25">
      <c r="A652" s="27"/>
      <c r="B652" s="5"/>
      <c r="C652" s="29"/>
      <c r="D652" s="65"/>
      <c r="E652" s="24"/>
      <c r="F652" s="25"/>
      <c r="G652" s="30"/>
      <c r="H652" s="31"/>
      <c r="I652" s="5"/>
      <c r="J652" s="5"/>
      <c r="K652" s="5"/>
      <c r="L652" s="5"/>
      <c r="M652" s="31"/>
      <c r="N652" s="29"/>
    </row>
    <row r="653" spans="1:14" s="33" customFormat="1" x14ac:dyDescent="0.25">
      <c r="A653" s="27"/>
      <c r="B653" s="5"/>
      <c r="C653" s="29"/>
      <c r="D653" s="65"/>
      <c r="E653" s="24"/>
      <c r="F653" s="25"/>
      <c r="G653" s="30"/>
      <c r="H653" s="31"/>
      <c r="I653" s="5"/>
      <c r="J653" s="5"/>
      <c r="K653" s="5"/>
      <c r="L653" s="5"/>
      <c r="M653" s="31"/>
      <c r="N653" s="29"/>
    </row>
    <row r="654" spans="1:14" s="33" customFormat="1" x14ac:dyDescent="0.25">
      <c r="A654" s="27"/>
      <c r="B654" s="5"/>
      <c r="C654" s="29"/>
      <c r="D654" s="65"/>
      <c r="E654" s="24"/>
      <c r="F654" s="25"/>
      <c r="G654" s="30"/>
      <c r="H654" s="31"/>
      <c r="I654" s="5"/>
      <c r="J654" s="5"/>
      <c r="K654" s="5"/>
      <c r="L654" s="5"/>
      <c r="M654" s="31"/>
      <c r="N654" s="29"/>
    </row>
    <row r="655" spans="1:14" s="33" customFormat="1" x14ac:dyDescent="0.25">
      <c r="A655" s="27"/>
      <c r="B655" s="5"/>
      <c r="C655" s="29"/>
      <c r="D655" s="65"/>
      <c r="E655" s="24"/>
      <c r="F655" s="25"/>
      <c r="G655" s="30"/>
      <c r="H655" s="31"/>
      <c r="I655" s="5"/>
      <c r="J655" s="5"/>
      <c r="K655" s="5"/>
      <c r="L655" s="5"/>
      <c r="M655" s="31"/>
      <c r="N655" s="29"/>
    </row>
    <row r="656" spans="1:14" s="33" customFormat="1" x14ac:dyDescent="0.25">
      <c r="A656" s="27"/>
      <c r="B656" s="5"/>
      <c r="C656" s="29"/>
      <c r="D656" s="65"/>
      <c r="E656" s="24"/>
      <c r="F656" s="25"/>
      <c r="G656" s="30"/>
      <c r="H656" s="31"/>
      <c r="I656" s="5"/>
      <c r="J656" s="5"/>
      <c r="K656" s="5"/>
      <c r="L656" s="5"/>
      <c r="M656" s="31"/>
      <c r="N656" s="29"/>
    </row>
    <row r="657" spans="1:14" s="33" customFormat="1" x14ac:dyDescent="0.25">
      <c r="A657" s="27"/>
      <c r="B657" s="5"/>
      <c r="C657" s="29"/>
      <c r="D657" s="65"/>
      <c r="E657" s="24"/>
      <c r="F657" s="25"/>
      <c r="G657" s="30"/>
      <c r="H657" s="31"/>
      <c r="I657" s="5"/>
      <c r="J657" s="5"/>
      <c r="K657" s="5"/>
      <c r="L657" s="5"/>
      <c r="M657" s="31"/>
      <c r="N657" s="29"/>
    </row>
    <row r="658" spans="1:14" s="33" customFormat="1" x14ac:dyDescent="0.25">
      <c r="A658" s="27"/>
      <c r="B658" s="5"/>
      <c r="C658" s="29"/>
      <c r="D658" s="65"/>
      <c r="E658" s="24"/>
      <c r="F658" s="25"/>
      <c r="G658" s="30"/>
      <c r="H658" s="31"/>
      <c r="I658" s="5"/>
      <c r="J658" s="5"/>
      <c r="K658" s="5"/>
      <c r="L658" s="5"/>
      <c r="M658" s="31"/>
      <c r="N658" s="29"/>
    </row>
    <row r="659" spans="1:14" s="33" customFormat="1" x14ac:dyDescent="0.25">
      <c r="A659" s="27"/>
      <c r="B659" s="5"/>
      <c r="C659" s="29"/>
      <c r="D659" s="65"/>
      <c r="E659" s="24"/>
      <c r="F659" s="25"/>
      <c r="G659" s="30"/>
      <c r="H659" s="31"/>
      <c r="I659" s="5"/>
      <c r="J659" s="5"/>
      <c r="K659" s="5"/>
      <c r="L659" s="5"/>
      <c r="M659" s="31"/>
      <c r="N659" s="29"/>
    </row>
    <row r="660" spans="1:14" s="33" customFormat="1" x14ac:dyDescent="0.25">
      <c r="A660" s="27"/>
      <c r="B660" s="5"/>
      <c r="C660" s="29"/>
      <c r="D660" s="65"/>
      <c r="E660" s="24"/>
      <c r="F660" s="25"/>
      <c r="G660" s="30"/>
      <c r="H660" s="31"/>
      <c r="I660" s="5"/>
      <c r="J660" s="5"/>
      <c r="K660" s="5"/>
      <c r="L660" s="5"/>
      <c r="M660" s="31"/>
      <c r="N660" s="29"/>
    </row>
    <row r="661" spans="1:14" s="33" customFormat="1" x14ac:dyDescent="0.25">
      <c r="A661" s="27"/>
      <c r="B661" s="5"/>
      <c r="C661" s="29"/>
      <c r="D661" s="65"/>
      <c r="E661" s="24"/>
      <c r="F661" s="25"/>
      <c r="G661" s="30"/>
      <c r="H661" s="31"/>
      <c r="I661" s="5"/>
      <c r="J661" s="5"/>
      <c r="K661" s="5"/>
      <c r="L661" s="5"/>
      <c r="M661" s="31"/>
      <c r="N661" s="29"/>
    </row>
    <row r="662" spans="1:14" s="33" customFormat="1" x14ac:dyDescent="0.25">
      <c r="A662" s="27"/>
      <c r="B662" s="5"/>
      <c r="C662" s="29"/>
      <c r="D662" s="65"/>
      <c r="E662" s="24"/>
      <c r="F662" s="25"/>
      <c r="G662" s="30"/>
      <c r="H662" s="31"/>
      <c r="I662" s="5"/>
      <c r="J662" s="5"/>
      <c r="K662" s="5"/>
      <c r="L662" s="5"/>
      <c r="M662" s="31"/>
      <c r="N662" s="29"/>
    </row>
    <row r="663" spans="1:14" s="33" customFormat="1" x14ac:dyDescent="0.25">
      <c r="A663" s="27"/>
      <c r="B663" s="5"/>
      <c r="C663" s="29"/>
      <c r="D663" s="65"/>
      <c r="E663" s="24"/>
      <c r="F663" s="25"/>
      <c r="G663" s="30"/>
      <c r="H663" s="31"/>
      <c r="I663" s="5"/>
      <c r="J663" s="5"/>
      <c r="K663" s="5"/>
      <c r="L663" s="5"/>
      <c r="M663" s="31"/>
      <c r="N663" s="29"/>
    </row>
    <row r="664" spans="1:14" s="33" customFormat="1" x14ac:dyDescent="0.25">
      <c r="A664" s="27"/>
      <c r="B664" s="5"/>
      <c r="C664" s="29"/>
      <c r="D664" s="65"/>
      <c r="E664" s="24"/>
      <c r="F664" s="25"/>
      <c r="G664" s="30"/>
      <c r="H664" s="31"/>
      <c r="I664" s="5"/>
      <c r="J664" s="5"/>
      <c r="K664" s="5"/>
      <c r="L664" s="5"/>
      <c r="M664" s="31"/>
      <c r="N664" s="29"/>
    </row>
    <row r="665" spans="1:14" s="33" customFormat="1" x14ac:dyDescent="0.25">
      <c r="A665" s="27"/>
      <c r="B665" s="5"/>
      <c r="C665" s="29"/>
      <c r="D665" s="65"/>
      <c r="E665" s="24"/>
      <c r="F665" s="25"/>
      <c r="G665" s="30"/>
      <c r="H665" s="31"/>
      <c r="I665" s="5"/>
      <c r="J665" s="5"/>
      <c r="K665" s="5"/>
      <c r="L665" s="5"/>
      <c r="M665" s="31"/>
      <c r="N665" s="29"/>
    </row>
    <row r="666" spans="1:14" s="33" customFormat="1" x14ac:dyDescent="0.25">
      <c r="A666" s="27"/>
      <c r="B666" s="5"/>
      <c r="C666" s="29"/>
      <c r="D666" s="65"/>
      <c r="E666" s="24"/>
      <c r="F666" s="25"/>
      <c r="G666" s="30"/>
      <c r="H666" s="31"/>
      <c r="I666" s="5"/>
      <c r="J666" s="5"/>
      <c r="K666" s="5"/>
      <c r="L666" s="5"/>
      <c r="M666" s="31"/>
      <c r="N666" s="29"/>
    </row>
    <row r="667" spans="1:14" s="33" customFormat="1" x14ac:dyDescent="0.25">
      <c r="A667" s="27"/>
      <c r="B667" s="5"/>
      <c r="C667" s="29"/>
      <c r="D667" s="65"/>
      <c r="E667" s="24"/>
      <c r="F667" s="25"/>
      <c r="G667" s="30"/>
      <c r="H667" s="31"/>
      <c r="I667" s="5"/>
      <c r="J667" s="5"/>
      <c r="K667" s="5"/>
      <c r="L667" s="5"/>
      <c r="M667" s="31"/>
      <c r="N667" s="29"/>
    </row>
    <row r="668" spans="1:14" s="33" customFormat="1" x14ac:dyDescent="0.25">
      <c r="A668" s="27"/>
      <c r="B668" s="5"/>
      <c r="C668" s="29"/>
      <c r="D668" s="65"/>
      <c r="E668" s="24"/>
      <c r="F668" s="25"/>
      <c r="G668" s="30"/>
      <c r="H668" s="31"/>
      <c r="I668" s="5"/>
      <c r="J668" s="5"/>
      <c r="K668" s="5"/>
      <c r="L668" s="5"/>
      <c r="M668" s="31"/>
      <c r="N668" s="29"/>
    </row>
    <row r="669" spans="1:14" s="33" customFormat="1" x14ac:dyDescent="0.25">
      <c r="A669" s="27"/>
      <c r="B669" s="5"/>
      <c r="C669" s="29"/>
      <c r="D669" s="65"/>
      <c r="E669" s="24"/>
      <c r="F669" s="25"/>
      <c r="G669" s="30"/>
      <c r="H669" s="31"/>
      <c r="I669" s="5"/>
      <c r="J669" s="5"/>
      <c r="K669" s="5"/>
      <c r="L669" s="5"/>
      <c r="M669" s="31"/>
      <c r="N669" s="29"/>
    </row>
    <row r="670" spans="1:14" s="33" customFormat="1" x14ac:dyDescent="0.25">
      <c r="A670" s="27"/>
      <c r="B670" s="5"/>
      <c r="C670" s="29"/>
      <c r="D670" s="65"/>
      <c r="E670" s="24"/>
      <c r="F670" s="25"/>
      <c r="G670" s="30"/>
      <c r="H670" s="31"/>
      <c r="I670" s="5"/>
      <c r="J670" s="5"/>
      <c r="K670" s="5"/>
      <c r="L670" s="5"/>
      <c r="M670" s="31"/>
      <c r="N670" s="29"/>
    </row>
    <row r="671" spans="1:14" s="33" customFormat="1" x14ac:dyDescent="0.25">
      <c r="A671" s="27"/>
      <c r="B671" s="5"/>
      <c r="C671" s="29"/>
      <c r="D671" s="65"/>
      <c r="E671" s="24"/>
      <c r="F671" s="25"/>
      <c r="G671" s="30"/>
      <c r="H671" s="31"/>
      <c r="I671" s="5"/>
      <c r="J671" s="5"/>
      <c r="K671" s="5"/>
      <c r="L671" s="5"/>
      <c r="M671" s="31"/>
      <c r="N671" s="29"/>
    </row>
    <row r="672" spans="1:14" s="33" customFormat="1" x14ac:dyDescent="0.25">
      <c r="A672" s="27"/>
      <c r="B672" s="5"/>
      <c r="C672" s="29"/>
      <c r="D672" s="65"/>
      <c r="E672" s="24"/>
      <c r="F672" s="25"/>
      <c r="G672" s="30"/>
      <c r="H672" s="31"/>
      <c r="I672" s="5"/>
      <c r="J672" s="5"/>
      <c r="K672" s="5"/>
      <c r="L672" s="5"/>
      <c r="M672" s="31"/>
      <c r="N672" s="29"/>
    </row>
    <row r="673" spans="1:14" s="33" customFormat="1" x14ac:dyDescent="0.25">
      <c r="A673" s="27"/>
      <c r="B673" s="5"/>
      <c r="C673" s="29"/>
      <c r="D673" s="65"/>
      <c r="E673" s="24"/>
      <c r="F673" s="25"/>
      <c r="G673" s="30"/>
      <c r="H673" s="31"/>
      <c r="I673" s="5"/>
      <c r="J673" s="5"/>
      <c r="K673" s="5"/>
      <c r="L673" s="5"/>
      <c r="M673" s="31"/>
      <c r="N673" s="29"/>
    </row>
    <row r="674" spans="1:14" s="33" customFormat="1" x14ac:dyDescent="0.25">
      <c r="A674" s="27"/>
      <c r="B674" s="5"/>
      <c r="C674" s="29"/>
      <c r="D674" s="65"/>
      <c r="E674" s="24"/>
      <c r="F674" s="25"/>
      <c r="G674" s="30"/>
      <c r="H674" s="31"/>
      <c r="I674" s="5"/>
      <c r="J674" s="5"/>
      <c r="K674" s="5"/>
      <c r="L674" s="5"/>
      <c r="M674" s="31"/>
      <c r="N674" s="29"/>
    </row>
    <row r="675" spans="1:14" s="33" customFormat="1" x14ac:dyDescent="0.25">
      <c r="A675" s="27"/>
      <c r="B675" s="5"/>
      <c r="C675" s="29"/>
      <c r="D675" s="65"/>
      <c r="E675" s="24"/>
      <c r="F675" s="25"/>
      <c r="G675" s="30"/>
      <c r="H675" s="31"/>
      <c r="I675" s="5"/>
      <c r="J675" s="5"/>
      <c r="K675" s="5"/>
      <c r="L675" s="5"/>
      <c r="M675" s="31"/>
      <c r="N675" s="29"/>
    </row>
    <row r="676" spans="1:14" s="33" customFormat="1" x14ac:dyDescent="0.25">
      <c r="A676" s="27"/>
      <c r="B676" s="5"/>
      <c r="C676" s="29"/>
      <c r="D676" s="65"/>
      <c r="E676" s="24"/>
      <c r="F676" s="25"/>
      <c r="G676" s="30"/>
      <c r="H676" s="31"/>
      <c r="I676" s="5"/>
      <c r="J676" s="5"/>
      <c r="K676" s="5"/>
      <c r="L676" s="5"/>
      <c r="M676" s="31"/>
      <c r="N676" s="29"/>
    </row>
    <row r="677" spans="1:14" s="33" customFormat="1" x14ac:dyDescent="0.25">
      <c r="A677" s="27"/>
      <c r="B677" s="5"/>
      <c r="C677" s="29"/>
      <c r="D677" s="65"/>
      <c r="E677" s="24"/>
      <c r="F677" s="25"/>
      <c r="G677" s="30"/>
      <c r="H677" s="31"/>
      <c r="I677" s="5"/>
      <c r="J677" s="5"/>
      <c r="K677" s="5"/>
      <c r="L677" s="5"/>
      <c r="M677" s="31"/>
      <c r="N677" s="29"/>
    </row>
    <row r="678" spans="1:14" s="33" customFormat="1" x14ac:dyDescent="0.25">
      <c r="A678" s="27"/>
      <c r="B678" s="5"/>
      <c r="C678" s="29"/>
      <c r="D678" s="65"/>
      <c r="E678" s="24"/>
      <c r="F678" s="25"/>
      <c r="G678" s="30"/>
      <c r="H678" s="31"/>
      <c r="I678" s="5"/>
      <c r="J678" s="5"/>
      <c r="K678" s="5"/>
      <c r="L678" s="5"/>
      <c r="M678" s="31"/>
      <c r="N678" s="29"/>
    </row>
    <row r="679" spans="1:14" s="33" customFormat="1" x14ac:dyDescent="0.25">
      <c r="A679" s="27"/>
      <c r="B679" s="5"/>
      <c r="C679" s="29"/>
      <c r="D679" s="65"/>
      <c r="E679" s="24"/>
      <c r="F679" s="25"/>
      <c r="G679" s="30"/>
      <c r="H679" s="31"/>
      <c r="I679" s="5"/>
      <c r="J679" s="5"/>
      <c r="K679" s="5"/>
      <c r="L679" s="5"/>
      <c r="M679" s="31"/>
      <c r="N679" s="29"/>
    </row>
    <row r="680" spans="1:14" s="33" customFormat="1" x14ac:dyDescent="0.25">
      <c r="A680" s="27"/>
      <c r="B680" s="5"/>
      <c r="C680" s="29"/>
      <c r="D680" s="65"/>
      <c r="E680" s="24"/>
      <c r="F680" s="25"/>
      <c r="G680" s="30"/>
      <c r="H680" s="31"/>
      <c r="I680" s="5"/>
      <c r="J680" s="5"/>
      <c r="K680" s="5"/>
      <c r="L680" s="5"/>
      <c r="M680" s="31"/>
      <c r="N680" s="29"/>
    </row>
    <row r="681" spans="1:14" s="33" customFormat="1" x14ac:dyDescent="0.25">
      <c r="A681" s="27"/>
      <c r="B681" s="5"/>
      <c r="C681" s="29"/>
      <c r="D681" s="65"/>
      <c r="E681" s="24"/>
      <c r="F681" s="25"/>
      <c r="G681" s="30"/>
      <c r="H681" s="31"/>
      <c r="I681" s="5"/>
      <c r="J681" s="5"/>
      <c r="K681" s="5"/>
      <c r="L681" s="5"/>
      <c r="M681" s="31"/>
      <c r="N681" s="29"/>
    </row>
    <row r="682" spans="1:14" s="33" customFormat="1" x14ac:dyDescent="0.25">
      <c r="A682" s="27"/>
      <c r="B682" s="5"/>
      <c r="C682" s="29"/>
      <c r="D682" s="65"/>
      <c r="E682" s="24"/>
      <c r="F682" s="25"/>
      <c r="G682" s="30"/>
      <c r="H682" s="31"/>
      <c r="I682" s="5"/>
      <c r="J682" s="5"/>
      <c r="K682" s="5"/>
      <c r="L682" s="5"/>
      <c r="M682" s="31"/>
      <c r="N682" s="29"/>
    </row>
    <row r="683" spans="1:14" s="33" customFormat="1" x14ac:dyDescent="0.25">
      <c r="A683" s="27"/>
      <c r="B683" s="5"/>
      <c r="C683" s="29"/>
      <c r="D683" s="65"/>
      <c r="E683" s="24"/>
      <c r="F683" s="25"/>
      <c r="G683" s="30"/>
      <c r="H683" s="31"/>
      <c r="I683" s="5"/>
      <c r="J683" s="5"/>
      <c r="K683" s="5"/>
      <c r="L683" s="5"/>
      <c r="M683" s="31"/>
      <c r="N683" s="29"/>
    </row>
    <row r="684" spans="1:14" s="33" customFormat="1" x14ac:dyDescent="0.25">
      <c r="A684" s="27"/>
      <c r="B684" s="5"/>
      <c r="C684" s="29"/>
      <c r="D684" s="65"/>
      <c r="E684" s="24"/>
      <c r="F684" s="25"/>
      <c r="G684" s="30"/>
      <c r="H684" s="31"/>
      <c r="I684" s="5"/>
      <c r="J684" s="5"/>
      <c r="K684" s="5"/>
      <c r="L684" s="5"/>
      <c r="M684" s="31"/>
      <c r="N684" s="29"/>
    </row>
    <row r="685" spans="1:14" s="33" customFormat="1" x14ac:dyDescent="0.25">
      <c r="A685" s="27"/>
      <c r="B685" s="5"/>
      <c r="C685" s="29"/>
      <c r="D685" s="65"/>
      <c r="E685" s="24"/>
      <c r="F685" s="25"/>
      <c r="G685" s="30"/>
      <c r="H685" s="31"/>
      <c r="I685" s="5"/>
      <c r="J685" s="5"/>
      <c r="K685" s="5"/>
      <c r="L685" s="5"/>
      <c r="M685" s="31"/>
      <c r="N685" s="29"/>
    </row>
    <row r="686" spans="1:14" s="33" customFormat="1" x14ac:dyDescent="0.25">
      <c r="A686" s="27"/>
      <c r="B686" s="5"/>
      <c r="C686" s="29"/>
      <c r="D686" s="65"/>
      <c r="E686" s="24"/>
      <c r="F686" s="25"/>
      <c r="G686" s="30"/>
      <c r="H686" s="31"/>
      <c r="I686" s="5"/>
      <c r="J686" s="5"/>
      <c r="K686" s="5"/>
      <c r="L686" s="5"/>
      <c r="M686" s="31"/>
      <c r="N686" s="29"/>
    </row>
    <row r="687" spans="1:14" s="33" customFormat="1" x14ac:dyDescent="0.25">
      <c r="A687" s="27"/>
      <c r="B687" s="5"/>
      <c r="C687" s="29"/>
      <c r="D687" s="65"/>
      <c r="E687" s="24"/>
      <c r="F687" s="25"/>
      <c r="G687" s="30"/>
      <c r="H687" s="31"/>
      <c r="I687" s="5"/>
      <c r="J687" s="5"/>
      <c r="K687" s="5"/>
      <c r="L687" s="5"/>
      <c r="M687" s="31"/>
      <c r="N687" s="29"/>
    </row>
    <row r="688" spans="1:14" s="33" customFormat="1" x14ac:dyDescent="0.25">
      <c r="A688" s="27"/>
      <c r="B688" s="5"/>
      <c r="C688" s="29"/>
      <c r="D688" s="65"/>
      <c r="E688" s="24"/>
      <c r="F688" s="25"/>
      <c r="G688" s="30"/>
      <c r="H688" s="31"/>
      <c r="I688" s="5"/>
      <c r="J688" s="5"/>
      <c r="K688" s="5"/>
      <c r="L688" s="5"/>
      <c r="M688" s="31"/>
      <c r="N688" s="29"/>
    </row>
    <row r="689" spans="1:14" s="33" customFormat="1" x14ac:dyDescent="0.25">
      <c r="A689" s="27"/>
      <c r="B689" s="5"/>
      <c r="C689" s="29"/>
      <c r="D689" s="65"/>
      <c r="E689" s="24"/>
      <c r="F689" s="25"/>
      <c r="G689" s="30"/>
      <c r="H689" s="31"/>
      <c r="I689" s="5"/>
      <c r="J689" s="5"/>
      <c r="K689" s="5"/>
      <c r="L689" s="5"/>
      <c r="M689" s="31"/>
      <c r="N689" s="29"/>
    </row>
    <row r="690" spans="1:14" s="33" customFormat="1" x14ac:dyDescent="0.25">
      <c r="A690" s="27"/>
      <c r="B690" s="5"/>
      <c r="C690" s="29"/>
      <c r="D690" s="65"/>
      <c r="E690" s="24"/>
      <c r="F690" s="25"/>
      <c r="G690" s="30"/>
      <c r="H690" s="31"/>
      <c r="I690" s="5"/>
      <c r="J690" s="5"/>
      <c r="K690" s="5"/>
      <c r="L690" s="5"/>
      <c r="M690" s="31"/>
      <c r="N690" s="29"/>
    </row>
    <row r="691" spans="1:14" s="33" customFormat="1" x14ac:dyDescent="0.25">
      <c r="A691" s="27"/>
      <c r="B691" s="5"/>
      <c r="C691" s="29"/>
      <c r="D691" s="65"/>
      <c r="E691" s="24"/>
      <c r="F691" s="25"/>
      <c r="G691" s="30"/>
      <c r="H691" s="31"/>
      <c r="I691" s="5"/>
      <c r="J691" s="5"/>
      <c r="K691" s="5"/>
      <c r="L691" s="5"/>
      <c r="M691" s="31"/>
      <c r="N691" s="29"/>
    </row>
    <row r="692" spans="1:14" s="33" customFormat="1" x14ac:dyDescent="0.25">
      <c r="A692" s="27"/>
      <c r="B692" s="5"/>
      <c r="C692" s="29"/>
      <c r="D692" s="65"/>
      <c r="E692" s="24"/>
      <c r="F692" s="25"/>
      <c r="G692" s="30"/>
      <c r="H692" s="31"/>
      <c r="I692" s="5"/>
      <c r="J692" s="5"/>
      <c r="K692" s="5"/>
      <c r="L692" s="5"/>
      <c r="M692" s="31"/>
      <c r="N692" s="29"/>
    </row>
    <row r="693" spans="1:14" s="33" customFormat="1" x14ac:dyDescent="0.25">
      <c r="A693" s="27"/>
      <c r="B693" s="5"/>
      <c r="C693" s="29"/>
      <c r="D693" s="65"/>
      <c r="E693" s="24"/>
      <c r="F693" s="25"/>
      <c r="G693" s="30"/>
      <c r="H693" s="31"/>
      <c r="I693" s="5"/>
      <c r="J693" s="5"/>
      <c r="K693" s="5"/>
      <c r="L693" s="5"/>
      <c r="M693" s="31"/>
      <c r="N693" s="29"/>
    </row>
    <row r="694" spans="1:14" s="33" customFormat="1" x14ac:dyDescent="0.25">
      <c r="A694" s="27"/>
      <c r="B694" s="5"/>
      <c r="C694" s="29"/>
      <c r="D694" s="65"/>
      <c r="E694" s="24"/>
      <c r="F694" s="25"/>
      <c r="G694" s="30"/>
      <c r="H694" s="31"/>
      <c r="I694" s="5"/>
      <c r="J694" s="5"/>
      <c r="K694" s="5"/>
      <c r="L694" s="5"/>
      <c r="M694" s="31"/>
      <c r="N694" s="29"/>
    </row>
    <row r="695" spans="1:14" s="33" customFormat="1" x14ac:dyDescent="0.25">
      <c r="A695" s="27"/>
      <c r="B695" s="5"/>
      <c r="C695" s="29"/>
      <c r="D695" s="65"/>
      <c r="E695" s="24"/>
      <c r="F695" s="25"/>
      <c r="G695" s="30"/>
      <c r="H695" s="31"/>
      <c r="I695" s="5"/>
      <c r="J695" s="5"/>
      <c r="K695" s="5"/>
      <c r="L695" s="5"/>
      <c r="M695" s="31"/>
      <c r="N695" s="29"/>
    </row>
    <row r="696" spans="1:14" s="33" customFormat="1" x14ac:dyDescent="0.25">
      <c r="A696" s="27"/>
      <c r="B696" s="5"/>
      <c r="C696" s="29"/>
      <c r="D696" s="65"/>
      <c r="E696" s="24"/>
      <c r="F696" s="25"/>
      <c r="G696" s="30"/>
      <c r="H696" s="31"/>
      <c r="I696" s="5"/>
      <c r="J696" s="5"/>
      <c r="K696" s="5"/>
      <c r="L696" s="5"/>
      <c r="M696" s="31"/>
      <c r="N696" s="29"/>
    </row>
    <row r="697" spans="1:14" s="33" customFormat="1" x14ac:dyDescent="0.25">
      <c r="A697" s="27"/>
      <c r="B697" s="5"/>
      <c r="C697" s="29"/>
      <c r="D697" s="65"/>
      <c r="E697" s="24"/>
      <c r="F697" s="25"/>
      <c r="G697" s="30"/>
      <c r="H697" s="31"/>
      <c r="I697" s="5"/>
      <c r="J697" s="5"/>
      <c r="K697" s="5"/>
      <c r="L697" s="5"/>
      <c r="M697" s="31"/>
      <c r="N697" s="29"/>
    </row>
    <row r="698" spans="1:14" s="33" customFormat="1" x14ac:dyDescent="0.25">
      <c r="A698" s="27"/>
      <c r="B698" s="5"/>
      <c r="C698" s="29"/>
      <c r="D698" s="65"/>
      <c r="E698" s="24"/>
      <c r="F698" s="25"/>
      <c r="G698" s="30"/>
      <c r="H698" s="31"/>
      <c r="I698" s="5"/>
      <c r="J698" s="5"/>
      <c r="K698" s="5"/>
      <c r="L698" s="5"/>
      <c r="M698" s="31"/>
      <c r="N698" s="29"/>
    </row>
    <row r="699" spans="1:14" s="33" customFormat="1" x14ac:dyDescent="0.25">
      <c r="A699" s="27"/>
      <c r="B699" s="5"/>
      <c r="C699" s="29"/>
      <c r="D699" s="65"/>
      <c r="E699" s="24"/>
      <c r="F699" s="25"/>
      <c r="G699" s="30"/>
      <c r="H699" s="31"/>
      <c r="I699" s="5"/>
      <c r="J699" s="5"/>
      <c r="K699" s="5"/>
      <c r="L699" s="5"/>
      <c r="M699" s="31"/>
      <c r="N699" s="29"/>
    </row>
    <row r="700" spans="1:14" s="33" customFormat="1" x14ac:dyDescent="0.25">
      <c r="A700" s="27"/>
      <c r="B700" s="5"/>
      <c r="C700" s="29"/>
      <c r="D700" s="65"/>
      <c r="E700" s="24"/>
      <c r="F700" s="25"/>
      <c r="G700" s="30"/>
      <c r="H700" s="31"/>
      <c r="I700" s="5"/>
      <c r="J700" s="5"/>
      <c r="K700" s="5"/>
      <c r="L700" s="5"/>
      <c r="M700" s="31"/>
      <c r="N700" s="29"/>
    </row>
    <row r="701" spans="1:14" s="33" customFormat="1" x14ac:dyDescent="0.25">
      <c r="A701" s="27"/>
      <c r="B701" s="5"/>
      <c r="C701" s="29"/>
      <c r="D701" s="65"/>
      <c r="E701" s="24"/>
      <c r="F701" s="25"/>
      <c r="G701" s="30"/>
      <c r="H701" s="31"/>
      <c r="I701" s="5"/>
      <c r="J701" s="5"/>
      <c r="K701" s="5"/>
      <c r="L701" s="5"/>
      <c r="M701" s="31"/>
      <c r="N701" s="29"/>
    </row>
    <row r="702" spans="1:14" s="33" customFormat="1" x14ac:dyDescent="0.25">
      <c r="A702" s="27"/>
      <c r="B702" s="5"/>
      <c r="C702" s="29"/>
      <c r="D702" s="65"/>
      <c r="E702" s="24"/>
      <c r="F702" s="25"/>
      <c r="G702" s="30"/>
      <c r="H702" s="31"/>
      <c r="I702" s="5"/>
      <c r="J702" s="5"/>
      <c r="K702" s="5"/>
      <c r="L702" s="5"/>
      <c r="M702" s="31"/>
      <c r="N702" s="29"/>
    </row>
    <row r="703" spans="1:14" s="33" customFormat="1" x14ac:dyDescent="0.25">
      <c r="A703" s="27"/>
      <c r="B703" s="5"/>
      <c r="C703" s="29"/>
      <c r="D703" s="65"/>
      <c r="E703" s="24"/>
      <c r="F703" s="25"/>
      <c r="G703" s="30"/>
      <c r="H703" s="31"/>
      <c r="I703" s="5"/>
      <c r="J703" s="5"/>
      <c r="K703" s="5"/>
      <c r="L703" s="5"/>
      <c r="M703" s="31"/>
      <c r="N703" s="29"/>
    </row>
    <row r="704" spans="1:14" s="33" customFormat="1" x14ac:dyDescent="0.25">
      <c r="A704" s="27"/>
      <c r="B704" s="5"/>
      <c r="C704" s="29"/>
      <c r="D704" s="65"/>
      <c r="E704" s="24"/>
      <c r="F704" s="25"/>
      <c r="G704" s="30"/>
      <c r="H704" s="31"/>
      <c r="I704" s="5"/>
      <c r="J704" s="5"/>
      <c r="K704" s="5"/>
      <c r="L704" s="5"/>
      <c r="M704" s="31"/>
      <c r="N704" s="29"/>
    </row>
    <row r="705" spans="1:14" s="33" customFormat="1" x14ac:dyDescent="0.25">
      <c r="A705" s="27"/>
      <c r="B705" s="5"/>
      <c r="C705" s="29"/>
      <c r="D705" s="65"/>
      <c r="E705" s="24"/>
      <c r="F705" s="25"/>
      <c r="G705" s="30"/>
      <c r="H705" s="31"/>
      <c r="I705" s="5"/>
      <c r="J705" s="5"/>
      <c r="K705" s="5"/>
      <c r="L705" s="5"/>
      <c r="M705" s="31"/>
      <c r="N705" s="29"/>
    </row>
    <row r="706" spans="1:14" s="33" customFormat="1" x14ac:dyDescent="0.25">
      <c r="A706" s="27"/>
      <c r="B706" s="5"/>
      <c r="C706" s="29"/>
      <c r="D706" s="65"/>
      <c r="E706" s="24"/>
      <c r="F706" s="25"/>
      <c r="G706" s="30"/>
      <c r="H706" s="31"/>
      <c r="I706" s="5"/>
      <c r="J706" s="5"/>
      <c r="K706" s="5"/>
      <c r="L706" s="5"/>
      <c r="M706" s="31"/>
      <c r="N706" s="29"/>
    </row>
    <row r="707" spans="1:14" s="33" customFormat="1" x14ac:dyDescent="0.25">
      <c r="A707" s="27"/>
      <c r="B707" s="5"/>
      <c r="C707" s="29"/>
      <c r="D707" s="65"/>
      <c r="E707" s="24"/>
      <c r="F707" s="25"/>
      <c r="G707" s="30"/>
      <c r="H707" s="31"/>
      <c r="I707" s="5"/>
      <c r="J707" s="5"/>
      <c r="K707" s="5"/>
      <c r="L707" s="5"/>
      <c r="M707" s="31"/>
      <c r="N707" s="29"/>
    </row>
    <row r="708" spans="1:14" s="33" customFormat="1" x14ac:dyDescent="0.25">
      <c r="A708" s="27"/>
      <c r="B708" s="5"/>
      <c r="C708" s="29"/>
      <c r="D708" s="65"/>
      <c r="E708" s="24"/>
      <c r="F708" s="25"/>
      <c r="G708" s="30"/>
      <c r="H708" s="31"/>
      <c r="I708" s="5"/>
      <c r="J708" s="5"/>
      <c r="K708" s="5"/>
      <c r="L708" s="5"/>
      <c r="M708" s="31"/>
      <c r="N708" s="29"/>
    </row>
    <row r="709" spans="1:14" s="33" customFormat="1" x14ac:dyDescent="0.25">
      <c r="A709" s="27"/>
      <c r="B709" s="5"/>
      <c r="C709" s="29"/>
      <c r="D709" s="65"/>
      <c r="E709" s="24"/>
      <c r="F709" s="25"/>
      <c r="G709" s="30"/>
      <c r="H709" s="31"/>
      <c r="I709" s="5"/>
      <c r="J709" s="5"/>
      <c r="K709" s="5"/>
      <c r="L709" s="5"/>
      <c r="M709" s="31"/>
      <c r="N709" s="29"/>
    </row>
    <row r="710" spans="1:14" s="33" customFormat="1" x14ac:dyDescent="0.25">
      <c r="A710" s="27"/>
      <c r="B710" s="5"/>
      <c r="C710" s="29"/>
      <c r="D710" s="65"/>
      <c r="E710" s="24"/>
      <c r="F710" s="25"/>
      <c r="G710" s="30"/>
      <c r="H710" s="31"/>
      <c r="I710" s="5"/>
      <c r="J710" s="5"/>
      <c r="K710" s="5"/>
      <c r="L710" s="5"/>
      <c r="M710" s="31"/>
      <c r="N710" s="29"/>
    </row>
    <row r="711" spans="1:14" s="33" customFormat="1" x14ac:dyDescent="0.25">
      <c r="A711" s="27"/>
      <c r="B711" s="5"/>
      <c r="C711" s="29"/>
      <c r="D711" s="65"/>
      <c r="E711" s="24"/>
      <c r="F711" s="25"/>
      <c r="G711" s="30"/>
      <c r="H711" s="31"/>
      <c r="I711" s="5"/>
      <c r="J711" s="5"/>
      <c r="K711" s="5"/>
      <c r="L711" s="5"/>
      <c r="M711" s="31"/>
      <c r="N711" s="29"/>
    </row>
    <row r="712" spans="1:14" s="33" customFormat="1" x14ac:dyDescent="0.25">
      <c r="A712" s="27"/>
      <c r="B712" s="5"/>
      <c r="C712" s="29"/>
      <c r="D712" s="65"/>
      <c r="E712" s="24"/>
      <c r="F712" s="25"/>
      <c r="G712" s="30"/>
      <c r="H712" s="31"/>
      <c r="I712" s="5"/>
      <c r="J712" s="5"/>
      <c r="K712" s="5"/>
      <c r="L712" s="5"/>
      <c r="M712" s="31"/>
      <c r="N712" s="29"/>
    </row>
    <row r="713" spans="1:14" s="33" customFormat="1" x14ac:dyDescent="0.25">
      <c r="A713" s="27"/>
      <c r="B713" s="5"/>
      <c r="C713" s="29"/>
      <c r="D713" s="65"/>
      <c r="E713" s="24"/>
      <c r="F713" s="25"/>
      <c r="G713" s="30"/>
      <c r="H713" s="31"/>
      <c r="I713" s="5"/>
      <c r="J713" s="5"/>
      <c r="K713" s="5"/>
      <c r="L713" s="5"/>
      <c r="M713" s="31"/>
      <c r="N713" s="29"/>
    </row>
    <row r="714" spans="1:14" s="33" customFormat="1" x14ac:dyDescent="0.25">
      <c r="A714" s="27"/>
      <c r="B714" s="5"/>
      <c r="C714" s="29"/>
      <c r="D714" s="65"/>
      <c r="E714" s="24"/>
      <c r="F714" s="25"/>
      <c r="G714" s="30"/>
      <c r="H714" s="31"/>
      <c r="I714" s="5"/>
      <c r="J714" s="5"/>
      <c r="K714" s="5"/>
      <c r="L714" s="5"/>
      <c r="M714" s="31"/>
      <c r="N714" s="29"/>
    </row>
    <row r="715" spans="1:14" s="33" customFormat="1" x14ac:dyDescent="0.25">
      <c r="A715" s="27"/>
      <c r="B715" s="5"/>
      <c r="C715" s="29"/>
      <c r="D715" s="65"/>
      <c r="E715" s="24"/>
      <c r="F715" s="25"/>
      <c r="G715" s="30"/>
      <c r="H715" s="31"/>
      <c r="I715" s="5"/>
      <c r="J715" s="5"/>
      <c r="K715" s="5"/>
      <c r="L715" s="5"/>
      <c r="M715" s="31"/>
      <c r="N715" s="29"/>
    </row>
    <row r="716" spans="1:14" s="33" customFormat="1" x14ac:dyDescent="0.25">
      <c r="A716" s="27"/>
      <c r="B716" s="5"/>
      <c r="C716" s="29"/>
      <c r="D716" s="65"/>
      <c r="E716" s="24"/>
      <c r="F716" s="25"/>
      <c r="G716" s="30"/>
      <c r="H716" s="31"/>
      <c r="I716" s="5"/>
      <c r="J716" s="5"/>
      <c r="K716" s="5"/>
      <c r="L716" s="5"/>
      <c r="M716" s="31"/>
      <c r="N716" s="29"/>
    </row>
    <row r="717" spans="1:14" s="33" customFormat="1" x14ac:dyDescent="0.25">
      <c r="A717" s="27"/>
      <c r="B717" s="5"/>
      <c r="C717" s="29"/>
      <c r="D717" s="65"/>
      <c r="E717" s="24"/>
      <c r="F717" s="25"/>
      <c r="G717" s="30"/>
      <c r="H717" s="31"/>
      <c r="I717" s="5"/>
      <c r="J717" s="5"/>
      <c r="K717" s="5"/>
      <c r="L717" s="5"/>
      <c r="M717" s="31"/>
      <c r="N717" s="29"/>
    </row>
    <row r="718" spans="1:14" s="33" customFormat="1" x14ac:dyDescent="0.25">
      <c r="A718" s="27"/>
      <c r="B718" s="5"/>
      <c r="C718" s="29"/>
      <c r="D718" s="65"/>
      <c r="E718" s="24"/>
      <c r="F718" s="25"/>
      <c r="G718" s="30"/>
      <c r="H718" s="31"/>
      <c r="I718" s="5"/>
      <c r="J718" s="5"/>
      <c r="K718" s="5"/>
      <c r="L718" s="5"/>
      <c r="M718" s="31"/>
      <c r="N718" s="29"/>
    </row>
    <row r="719" spans="1:14" s="33" customFormat="1" x14ac:dyDescent="0.25">
      <c r="A719" s="27"/>
      <c r="B719" s="5"/>
      <c r="C719" s="29"/>
      <c r="D719" s="65"/>
      <c r="E719" s="24"/>
      <c r="F719" s="25"/>
      <c r="G719" s="30"/>
      <c r="H719" s="31"/>
      <c r="I719" s="5"/>
      <c r="J719" s="5"/>
      <c r="K719" s="5"/>
      <c r="L719" s="5"/>
      <c r="M719" s="31"/>
      <c r="N719" s="29"/>
    </row>
    <row r="720" spans="1:14" s="33" customFormat="1" x14ac:dyDescent="0.25">
      <c r="A720" s="27"/>
      <c r="B720" s="5"/>
      <c r="C720" s="29"/>
      <c r="D720" s="65"/>
      <c r="E720" s="24"/>
      <c r="F720" s="25"/>
      <c r="G720" s="30"/>
      <c r="H720" s="31"/>
      <c r="I720" s="5"/>
      <c r="J720" s="5"/>
      <c r="K720" s="5"/>
      <c r="L720" s="5"/>
      <c r="M720" s="31"/>
      <c r="N720" s="29"/>
    </row>
    <row r="721" spans="1:14" s="33" customFormat="1" x14ac:dyDescent="0.25">
      <c r="A721" s="27"/>
      <c r="B721" s="5"/>
      <c r="C721" s="29"/>
      <c r="D721" s="65"/>
      <c r="E721" s="24"/>
      <c r="F721" s="25"/>
      <c r="G721" s="30"/>
      <c r="H721" s="31"/>
      <c r="I721" s="5"/>
      <c r="J721" s="5"/>
      <c r="K721" s="5"/>
      <c r="L721" s="5"/>
      <c r="M721" s="31"/>
      <c r="N721" s="29"/>
    </row>
    <row r="722" spans="1:14" s="33" customFormat="1" x14ac:dyDescent="0.25">
      <c r="A722" s="27"/>
      <c r="B722" s="5"/>
      <c r="C722" s="29"/>
      <c r="D722" s="65"/>
      <c r="E722" s="24"/>
      <c r="F722" s="25"/>
      <c r="G722" s="30"/>
      <c r="H722" s="31"/>
      <c r="I722" s="5"/>
      <c r="J722" s="5"/>
      <c r="K722" s="5"/>
      <c r="L722" s="5"/>
      <c r="M722" s="31"/>
      <c r="N722" s="29"/>
    </row>
    <row r="723" spans="1:14" s="33" customFormat="1" x14ac:dyDescent="0.25">
      <c r="A723" s="27"/>
      <c r="B723" s="5"/>
      <c r="C723" s="29"/>
      <c r="D723" s="65"/>
      <c r="E723" s="24"/>
      <c r="F723" s="25"/>
      <c r="G723" s="30"/>
      <c r="H723" s="31"/>
      <c r="I723" s="5"/>
      <c r="J723" s="5"/>
      <c r="K723" s="5"/>
      <c r="L723" s="5"/>
      <c r="M723" s="31"/>
      <c r="N723" s="29"/>
    </row>
    <row r="724" spans="1:14" s="33" customFormat="1" x14ac:dyDescent="0.25">
      <c r="A724" s="27"/>
      <c r="B724" s="5"/>
      <c r="C724" s="29"/>
      <c r="D724" s="65"/>
      <c r="E724" s="24"/>
      <c r="F724" s="25"/>
      <c r="G724" s="30"/>
      <c r="H724" s="31"/>
      <c r="I724" s="5"/>
      <c r="J724" s="5"/>
      <c r="K724" s="5"/>
      <c r="L724" s="5"/>
      <c r="M724" s="31"/>
      <c r="N724" s="29"/>
    </row>
    <row r="725" spans="1:14" s="33" customFormat="1" x14ac:dyDescent="0.25">
      <c r="A725" s="27"/>
      <c r="B725" s="5"/>
      <c r="C725" s="29"/>
      <c r="D725" s="65"/>
      <c r="E725" s="24"/>
      <c r="F725" s="25"/>
      <c r="G725" s="30"/>
      <c r="H725" s="31"/>
      <c r="I725" s="5"/>
      <c r="J725" s="5"/>
      <c r="K725" s="5"/>
      <c r="L725" s="5"/>
      <c r="M725" s="31"/>
      <c r="N725" s="29"/>
    </row>
    <row r="726" spans="1:14" s="33" customFormat="1" x14ac:dyDescent="0.25">
      <c r="A726" s="27"/>
      <c r="B726" s="5"/>
      <c r="C726" s="29"/>
      <c r="D726" s="65"/>
      <c r="E726" s="24"/>
      <c r="F726" s="25"/>
      <c r="G726" s="30"/>
      <c r="H726" s="31"/>
      <c r="I726" s="5"/>
      <c r="J726" s="5"/>
      <c r="K726" s="5"/>
      <c r="L726" s="5"/>
      <c r="M726" s="31"/>
      <c r="N726" s="29"/>
    </row>
    <row r="727" spans="1:14" s="33" customFormat="1" x14ac:dyDescent="0.25">
      <c r="A727" s="27"/>
      <c r="B727" s="5"/>
      <c r="C727" s="29"/>
      <c r="D727" s="65"/>
      <c r="E727" s="24"/>
      <c r="F727" s="25"/>
      <c r="G727" s="30"/>
      <c r="H727" s="31"/>
      <c r="I727" s="5"/>
      <c r="J727" s="5"/>
      <c r="K727" s="5"/>
      <c r="L727" s="5"/>
      <c r="M727" s="31"/>
      <c r="N727" s="29"/>
    </row>
    <row r="728" spans="1:14" s="33" customFormat="1" x14ac:dyDescent="0.25">
      <c r="A728" s="27"/>
      <c r="B728" s="5"/>
      <c r="C728" s="29"/>
      <c r="D728" s="65"/>
      <c r="E728" s="24"/>
      <c r="F728" s="25"/>
      <c r="G728" s="30"/>
      <c r="H728" s="31"/>
      <c r="I728" s="5"/>
      <c r="J728" s="5"/>
      <c r="K728" s="5"/>
      <c r="L728" s="5"/>
      <c r="M728" s="31"/>
      <c r="N728" s="29"/>
    </row>
    <row r="729" spans="1:14" s="33" customFormat="1" x14ac:dyDescent="0.25">
      <c r="A729" s="27"/>
      <c r="B729" s="5"/>
      <c r="C729" s="29"/>
      <c r="D729" s="65"/>
      <c r="E729" s="24"/>
      <c r="F729" s="25"/>
      <c r="G729" s="30"/>
      <c r="H729" s="31"/>
      <c r="I729" s="5"/>
      <c r="J729" s="5"/>
      <c r="K729" s="5"/>
      <c r="L729" s="5"/>
      <c r="M729" s="31"/>
      <c r="N729" s="29"/>
    </row>
    <row r="730" spans="1:14" s="33" customFormat="1" x14ac:dyDescent="0.25">
      <c r="A730" s="27"/>
      <c r="B730" s="5"/>
      <c r="C730" s="29"/>
      <c r="D730" s="65"/>
      <c r="E730" s="24"/>
      <c r="F730" s="25"/>
      <c r="G730" s="30"/>
      <c r="H730" s="31"/>
      <c r="I730" s="5"/>
      <c r="J730" s="5"/>
      <c r="K730" s="5"/>
      <c r="L730" s="5"/>
      <c r="M730" s="31"/>
      <c r="N730" s="29"/>
    </row>
    <row r="731" spans="1:14" s="33" customFormat="1" x14ac:dyDescent="0.25">
      <c r="A731" s="27"/>
      <c r="B731" s="5"/>
      <c r="C731" s="29"/>
      <c r="D731" s="65"/>
      <c r="E731" s="24"/>
      <c r="F731" s="25"/>
      <c r="G731" s="30"/>
      <c r="H731" s="31"/>
      <c r="I731" s="5"/>
      <c r="J731" s="5"/>
      <c r="K731" s="5"/>
      <c r="L731" s="5"/>
      <c r="M731" s="31"/>
      <c r="N731" s="29"/>
    </row>
    <row r="732" spans="1:14" s="33" customFormat="1" x14ac:dyDescent="0.25">
      <c r="A732" s="27"/>
      <c r="B732" s="5"/>
      <c r="C732" s="29"/>
      <c r="D732" s="65"/>
      <c r="E732" s="24"/>
      <c r="F732" s="25"/>
      <c r="G732" s="30"/>
      <c r="H732" s="31"/>
      <c r="I732" s="5"/>
      <c r="J732" s="5"/>
      <c r="K732" s="5"/>
      <c r="L732" s="5"/>
      <c r="M732" s="31"/>
      <c r="N732" s="29"/>
    </row>
    <row r="733" spans="1:14" s="33" customFormat="1" x14ac:dyDescent="0.25">
      <c r="A733" s="27"/>
      <c r="B733" s="5"/>
      <c r="C733" s="29"/>
      <c r="D733" s="65"/>
      <c r="E733" s="24"/>
      <c r="F733" s="25"/>
      <c r="G733" s="30"/>
      <c r="H733" s="31"/>
      <c r="I733" s="5"/>
      <c r="J733" s="5"/>
      <c r="K733" s="5"/>
      <c r="L733" s="5"/>
      <c r="M733" s="31"/>
      <c r="N733" s="29"/>
    </row>
    <row r="734" spans="1:14" s="33" customFormat="1" x14ac:dyDescent="0.25">
      <c r="A734" s="27"/>
      <c r="B734" s="5"/>
      <c r="C734" s="29"/>
      <c r="D734" s="65"/>
      <c r="E734" s="24"/>
      <c r="F734" s="25"/>
      <c r="G734" s="30"/>
      <c r="H734" s="31"/>
      <c r="I734" s="5"/>
      <c r="J734" s="5"/>
      <c r="K734" s="5"/>
      <c r="L734" s="5"/>
      <c r="M734" s="31"/>
      <c r="N734" s="29"/>
    </row>
    <row r="735" spans="1:14" s="33" customFormat="1" x14ac:dyDescent="0.25">
      <c r="A735" s="27"/>
      <c r="B735" s="5"/>
      <c r="C735" s="29"/>
      <c r="D735" s="65"/>
      <c r="E735" s="24"/>
      <c r="F735" s="25"/>
      <c r="G735" s="30"/>
      <c r="H735" s="31"/>
      <c r="I735" s="5"/>
      <c r="J735" s="5"/>
      <c r="K735" s="5"/>
      <c r="L735" s="5"/>
      <c r="M735" s="31"/>
      <c r="N735" s="29"/>
    </row>
    <row r="736" spans="1:14" s="33" customFormat="1" x14ac:dyDescent="0.25">
      <c r="A736" s="27"/>
      <c r="B736" s="5"/>
      <c r="C736" s="29"/>
      <c r="D736" s="65"/>
      <c r="E736" s="24"/>
      <c r="F736" s="25"/>
      <c r="G736" s="30"/>
      <c r="H736" s="31"/>
      <c r="I736" s="5"/>
      <c r="J736" s="5"/>
      <c r="K736" s="5"/>
      <c r="L736" s="5"/>
      <c r="M736" s="31"/>
      <c r="N736" s="29"/>
    </row>
    <row r="737" spans="1:14" s="33" customFormat="1" x14ac:dyDescent="0.25">
      <c r="A737" s="27"/>
      <c r="B737" s="5"/>
      <c r="C737" s="29"/>
      <c r="D737" s="65"/>
      <c r="E737" s="24"/>
      <c r="F737" s="25"/>
      <c r="G737" s="30"/>
      <c r="H737" s="31"/>
      <c r="I737" s="5"/>
      <c r="J737" s="5"/>
      <c r="K737" s="5"/>
      <c r="L737" s="5"/>
      <c r="M737" s="31"/>
      <c r="N737" s="29"/>
    </row>
    <row r="738" spans="1:14" s="33" customFormat="1" x14ac:dyDescent="0.25">
      <c r="A738" s="27"/>
      <c r="B738" s="5"/>
      <c r="C738" s="29"/>
      <c r="D738" s="65"/>
      <c r="E738" s="24"/>
      <c r="F738" s="25"/>
      <c r="G738" s="30"/>
      <c r="H738" s="31"/>
      <c r="I738" s="5"/>
      <c r="J738" s="5"/>
      <c r="K738" s="5"/>
      <c r="L738" s="5"/>
      <c r="M738" s="31"/>
      <c r="N738" s="29"/>
    </row>
    <row r="739" spans="1:14" s="33" customFormat="1" x14ac:dyDescent="0.25">
      <c r="A739" s="27"/>
      <c r="B739" s="5"/>
      <c r="C739" s="29"/>
      <c r="D739" s="65"/>
      <c r="E739" s="24"/>
      <c r="F739" s="25"/>
      <c r="G739" s="30"/>
      <c r="H739" s="31"/>
      <c r="I739" s="5"/>
      <c r="J739" s="5"/>
      <c r="K739" s="5"/>
      <c r="L739" s="5"/>
      <c r="M739" s="31"/>
      <c r="N739" s="29"/>
    </row>
    <row r="740" spans="1:14" s="33" customFormat="1" x14ac:dyDescent="0.25">
      <c r="A740" s="27"/>
      <c r="B740" s="5"/>
      <c r="C740" s="29"/>
      <c r="D740" s="65"/>
      <c r="E740" s="24"/>
      <c r="F740" s="25"/>
      <c r="G740" s="30"/>
      <c r="H740" s="31"/>
      <c r="I740" s="5"/>
      <c r="J740" s="5"/>
      <c r="K740" s="5"/>
      <c r="L740" s="5"/>
      <c r="M740" s="31"/>
      <c r="N740" s="29"/>
    </row>
    <row r="741" spans="1:14" s="33" customFormat="1" x14ac:dyDescent="0.25">
      <c r="A741" s="27"/>
      <c r="B741" s="5"/>
      <c r="C741" s="29"/>
      <c r="D741" s="65"/>
      <c r="E741" s="24"/>
      <c r="F741" s="25"/>
      <c r="G741" s="30"/>
      <c r="H741" s="31"/>
      <c r="I741" s="5"/>
      <c r="J741" s="5"/>
      <c r="K741" s="5"/>
      <c r="L741" s="5"/>
      <c r="M741" s="31"/>
      <c r="N741" s="29"/>
    </row>
    <row r="742" spans="1:14" s="33" customFormat="1" x14ac:dyDescent="0.25">
      <c r="A742" s="27"/>
      <c r="B742" s="5"/>
      <c r="C742" s="29"/>
      <c r="D742" s="65"/>
      <c r="E742" s="24"/>
      <c r="F742" s="25"/>
      <c r="G742" s="30"/>
      <c r="H742" s="31"/>
      <c r="I742" s="5"/>
      <c r="J742" s="5"/>
      <c r="K742" s="5"/>
      <c r="L742" s="5"/>
      <c r="M742" s="31"/>
      <c r="N742" s="29"/>
    </row>
    <row r="743" spans="1:14" s="33" customFormat="1" x14ac:dyDescent="0.25">
      <c r="A743" s="27"/>
      <c r="B743" s="5"/>
      <c r="C743" s="29"/>
      <c r="D743" s="65"/>
      <c r="E743" s="24"/>
      <c r="F743" s="25"/>
      <c r="G743" s="30"/>
      <c r="H743" s="31"/>
      <c r="I743" s="5"/>
      <c r="J743" s="5"/>
      <c r="K743" s="5"/>
      <c r="L743" s="5"/>
      <c r="M743" s="31"/>
      <c r="N743" s="29"/>
    </row>
    <row r="744" spans="1:14" s="33" customFormat="1" x14ac:dyDescent="0.25">
      <c r="A744" s="27"/>
      <c r="B744" s="5"/>
      <c r="C744" s="29"/>
      <c r="D744" s="65"/>
      <c r="E744" s="24"/>
      <c r="F744" s="25"/>
      <c r="G744" s="30"/>
      <c r="H744" s="31"/>
      <c r="I744" s="5"/>
      <c r="J744" s="5"/>
      <c r="K744" s="5"/>
      <c r="L744" s="5"/>
      <c r="M744" s="31"/>
      <c r="N744" s="29"/>
    </row>
    <row r="745" spans="1:14" s="33" customFormat="1" x14ac:dyDescent="0.25">
      <c r="A745" s="27"/>
      <c r="B745" s="5"/>
      <c r="C745" s="29"/>
      <c r="D745" s="65"/>
      <c r="E745" s="24"/>
      <c r="F745" s="25"/>
      <c r="G745" s="30"/>
      <c r="H745" s="31"/>
      <c r="I745" s="5"/>
      <c r="J745" s="5"/>
      <c r="K745" s="5"/>
      <c r="L745" s="5"/>
      <c r="M745" s="31"/>
      <c r="N745" s="29"/>
    </row>
    <row r="746" spans="1:14" s="33" customFormat="1" x14ac:dyDescent="0.25">
      <c r="A746" s="27"/>
      <c r="B746" s="5"/>
      <c r="C746" s="29"/>
      <c r="D746" s="65"/>
      <c r="E746" s="24"/>
      <c r="F746" s="25"/>
      <c r="G746" s="30"/>
      <c r="H746" s="31"/>
      <c r="I746" s="5"/>
      <c r="J746" s="5"/>
      <c r="K746" s="5"/>
      <c r="L746" s="5"/>
      <c r="M746" s="31"/>
      <c r="N746" s="29"/>
    </row>
    <row r="747" spans="1:14" s="33" customFormat="1" x14ac:dyDescent="0.25">
      <c r="A747" s="27"/>
      <c r="B747" s="5"/>
      <c r="C747" s="29"/>
      <c r="D747" s="65"/>
      <c r="E747" s="24"/>
      <c r="F747" s="25"/>
      <c r="G747" s="30"/>
      <c r="H747" s="31"/>
      <c r="I747" s="5"/>
      <c r="J747" s="5"/>
      <c r="K747" s="5"/>
      <c r="L747" s="5"/>
      <c r="M747" s="31"/>
      <c r="N747" s="29"/>
    </row>
    <row r="748" spans="1:14" s="33" customFormat="1" x14ac:dyDescent="0.25">
      <c r="A748" s="27"/>
      <c r="B748" s="5"/>
      <c r="C748" s="29"/>
      <c r="D748" s="65"/>
      <c r="E748" s="24"/>
      <c r="F748" s="25"/>
      <c r="G748" s="30"/>
      <c r="H748" s="31"/>
      <c r="I748" s="5"/>
      <c r="J748" s="5"/>
      <c r="K748" s="5"/>
      <c r="L748" s="5"/>
      <c r="M748" s="31"/>
      <c r="N748" s="29"/>
    </row>
    <row r="749" spans="1:14" s="33" customFormat="1" x14ac:dyDescent="0.25">
      <c r="A749" s="27"/>
      <c r="B749" s="5"/>
      <c r="C749" s="29"/>
      <c r="D749" s="65"/>
      <c r="E749" s="24"/>
      <c r="F749" s="25"/>
      <c r="G749" s="30"/>
      <c r="H749" s="31"/>
      <c r="I749" s="5"/>
      <c r="J749" s="5"/>
      <c r="K749" s="5"/>
      <c r="L749" s="5"/>
      <c r="M749" s="31"/>
      <c r="N749" s="29"/>
    </row>
    <row r="750" spans="1:14" s="33" customFormat="1" x14ac:dyDescent="0.25">
      <c r="A750" s="27"/>
      <c r="B750" s="5"/>
      <c r="C750" s="29"/>
      <c r="D750" s="65"/>
      <c r="E750" s="24"/>
      <c r="F750" s="25"/>
      <c r="G750" s="30"/>
      <c r="H750" s="31"/>
      <c r="I750" s="5"/>
      <c r="J750" s="5"/>
      <c r="K750" s="5"/>
      <c r="L750" s="5"/>
      <c r="M750" s="31"/>
      <c r="N750" s="29"/>
    </row>
    <row r="751" spans="1:14" s="33" customFormat="1" x14ac:dyDescent="0.25">
      <c r="A751" s="27"/>
      <c r="B751" s="5"/>
      <c r="C751" s="29"/>
      <c r="D751" s="65"/>
      <c r="E751" s="24"/>
      <c r="F751" s="25"/>
      <c r="G751" s="30"/>
      <c r="H751" s="31"/>
      <c r="I751" s="5"/>
      <c r="J751" s="5"/>
      <c r="K751" s="5"/>
      <c r="L751" s="5"/>
      <c r="M751" s="31"/>
      <c r="N751" s="29"/>
    </row>
    <row r="752" spans="1:14" s="33" customFormat="1" x14ac:dyDescent="0.25">
      <c r="A752" s="27"/>
      <c r="B752" s="5"/>
      <c r="C752" s="29"/>
      <c r="D752" s="65"/>
      <c r="E752" s="24"/>
      <c r="F752" s="25"/>
      <c r="G752" s="30"/>
      <c r="H752" s="31"/>
      <c r="I752" s="5"/>
      <c r="J752" s="5"/>
      <c r="K752" s="5"/>
      <c r="L752" s="5"/>
      <c r="M752" s="31"/>
      <c r="N752" s="29"/>
    </row>
    <row r="753" spans="1:14" s="33" customFormat="1" x14ac:dyDescent="0.25">
      <c r="A753" s="27"/>
      <c r="B753" s="5"/>
      <c r="C753" s="29"/>
      <c r="D753" s="65"/>
      <c r="E753" s="24"/>
      <c r="F753" s="25"/>
      <c r="G753" s="30"/>
      <c r="H753" s="31"/>
      <c r="I753" s="5"/>
      <c r="J753" s="5"/>
      <c r="K753" s="5"/>
      <c r="L753" s="5"/>
      <c r="M753" s="31"/>
      <c r="N753" s="29"/>
    </row>
    <row r="754" spans="1:14" s="33" customFormat="1" x14ac:dyDescent="0.25">
      <c r="A754" s="27"/>
      <c r="B754" s="5"/>
      <c r="C754" s="29"/>
      <c r="D754" s="65"/>
      <c r="E754" s="24"/>
      <c r="F754" s="25"/>
      <c r="G754" s="30"/>
      <c r="H754" s="31"/>
      <c r="I754" s="5"/>
      <c r="J754" s="5"/>
      <c r="K754" s="5"/>
      <c r="L754" s="5"/>
      <c r="M754" s="31"/>
      <c r="N754" s="29"/>
    </row>
    <row r="755" spans="1:14" s="33" customFormat="1" x14ac:dyDescent="0.25">
      <c r="A755" s="27"/>
      <c r="B755" s="5"/>
      <c r="C755" s="29"/>
      <c r="D755" s="65"/>
      <c r="E755" s="24"/>
      <c r="F755" s="25"/>
      <c r="G755" s="30"/>
      <c r="H755" s="31"/>
      <c r="I755" s="5"/>
      <c r="J755" s="5"/>
      <c r="K755" s="5"/>
      <c r="L755" s="5"/>
      <c r="M755" s="31"/>
      <c r="N755" s="29"/>
    </row>
    <row r="756" spans="1:14" s="33" customFormat="1" x14ac:dyDescent="0.25">
      <c r="A756" s="27"/>
      <c r="B756" s="5"/>
      <c r="C756" s="29"/>
      <c r="D756" s="65"/>
      <c r="E756" s="24"/>
      <c r="F756" s="25"/>
      <c r="G756" s="30"/>
      <c r="H756" s="31"/>
      <c r="I756" s="5"/>
      <c r="J756" s="5"/>
      <c r="K756" s="5"/>
      <c r="L756" s="5"/>
      <c r="M756" s="31"/>
      <c r="N756" s="29"/>
    </row>
    <row r="757" spans="1:14" s="33" customFormat="1" x14ac:dyDescent="0.25">
      <c r="A757" s="27"/>
      <c r="B757" s="5"/>
      <c r="C757" s="29"/>
      <c r="D757" s="65"/>
      <c r="E757" s="24"/>
      <c r="F757" s="25"/>
      <c r="G757" s="30"/>
      <c r="H757" s="31"/>
      <c r="I757" s="5"/>
      <c r="J757" s="5"/>
      <c r="K757" s="5"/>
      <c r="L757" s="5"/>
      <c r="M757" s="31"/>
      <c r="N757" s="29"/>
    </row>
    <row r="758" spans="1:14" s="33" customFormat="1" x14ac:dyDescent="0.25">
      <c r="A758" s="27"/>
      <c r="B758" s="5"/>
      <c r="C758" s="29"/>
      <c r="D758" s="65"/>
      <c r="E758" s="24"/>
      <c r="F758" s="25"/>
      <c r="G758" s="30"/>
      <c r="H758" s="31"/>
      <c r="I758" s="5"/>
      <c r="J758" s="5"/>
      <c r="K758" s="5"/>
      <c r="L758" s="5"/>
      <c r="M758" s="31"/>
      <c r="N758" s="29"/>
    </row>
    <row r="759" spans="1:14" s="33" customFormat="1" x14ac:dyDescent="0.25">
      <c r="A759" s="27"/>
      <c r="B759" s="5"/>
      <c r="C759" s="29"/>
      <c r="D759" s="65"/>
      <c r="E759" s="24"/>
      <c r="F759" s="25"/>
      <c r="G759" s="30"/>
      <c r="H759" s="31"/>
      <c r="I759" s="5"/>
      <c r="J759" s="5"/>
      <c r="K759" s="5"/>
      <c r="L759" s="5"/>
      <c r="M759" s="31"/>
      <c r="N759" s="29"/>
    </row>
    <row r="760" spans="1:14" s="33" customFormat="1" x14ac:dyDescent="0.25">
      <c r="A760" s="27"/>
      <c r="B760" s="5"/>
      <c r="C760" s="29"/>
      <c r="D760" s="65"/>
      <c r="E760" s="24"/>
      <c r="F760" s="25"/>
      <c r="G760" s="30"/>
      <c r="H760" s="31"/>
      <c r="I760" s="5"/>
      <c r="J760" s="5"/>
      <c r="K760" s="5"/>
      <c r="L760" s="5"/>
      <c r="M760" s="31"/>
      <c r="N760" s="29"/>
    </row>
    <row r="761" spans="1:14" s="33" customFormat="1" x14ac:dyDescent="0.25">
      <c r="A761" s="27"/>
      <c r="B761" s="5"/>
      <c r="C761" s="29"/>
      <c r="D761" s="65"/>
      <c r="E761" s="24"/>
      <c r="F761" s="25"/>
      <c r="G761" s="30"/>
      <c r="H761" s="31"/>
      <c r="I761" s="5"/>
      <c r="J761" s="5"/>
      <c r="K761" s="5"/>
      <c r="L761" s="5"/>
      <c r="M761" s="31"/>
      <c r="N761" s="29"/>
    </row>
    <row r="762" spans="1:14" s="33" customFormat="1" x14ac:dyDescent="0.25">
      <c r="A762" s="27"/>
      <c r="B762" s="5"/>
      <c r="C762" s="29"/>
      <c r="D762" s="65"/>
      <c r="E762" s="24"/>
      <c r="F762" s="25"/>
      <c r="G762" s="30"/>
      <c r="H762" s="31"/>
      <c r="I762" s="5"/>
      <c r="J762" s="5"/>
      <c r="K762" s="5"/>
      <c r="L762" s="5"/>
      <c r="M762" s="31"/>
      <c r="N762" s="29"/>
    </row>
    <row r="763" spans="1:14" s="33" customFormat="1" x14ac:dyDescent="0.25">
      <c r="A763" s="27"/>
      <c r="B763" s="5"/>
      <c r="C763" s="29"/>
      <c r="D763" s="65"/>
      <c r="E763" s="24"/>
      <c r="F763" s="25"/>
      <c r="G763" s="30"/>
      <c r="H763" s="31"/>
      <c r="I763" s="5"/>
      <c r="J763" s="5"/>
      <c r="K763" s="5"/>
      <c r="L763" s="5"/>
      <c r="M763" s="31"/>
      <c r="N763" s="29"/>
    </row>
    <row r="764" spans="1:14" s="33" customFormat="1" x14ac:dyDescent="0.25">
      <c r="A764" s="27"/>
      <c r="B764" s="5"/>
      <c r="C764" s="29"/>
      <c r="D764" s="65"/>
      <c r="E764" s="24"/>
      <c r="F764" s="25"/>
      <c r="G764" s="30"/>
      <c r="H764" s="31"/>
      <c r="I764" s="5"/>
      <c r="J764" s="5"/>
      <c r="K764" s="5"/>
      <c r="L764" s="5"/>
      <c r="M764" s="31"/>
      <c r="N764" s="29"/>
    </row>
    <row r="765" spans="1:14" s="33" customFormat="1" x14ac:dyDescent="0.25">
      <c r="A765" s="27"/>
      <c r="B765" s="5"/>
      <c r="C765" s="29"/>
      <c r="D765" s="65"/>
      <c r="E765" s="24"/>
      <c r="F765" s="25"/>
      <c r="G765" s="30"/>
      <c r="H765" s="31"/>
      <c r="I765" s="5"/>
      <c r="J765" s="5"/>
      <c r="K765" s="5"/>
      <c r="L765" s="5"/>
      <c r="M765" s="31"/>
      <c r="N765" s="29"/>
    </row>
    <row r="766" spans="1:14" s="33" customFormat="1" x14ac:dyDescent="0.25">
      <c r="A766" s="27"/>
      <c r="B766" s="5"/>
      <c r="C766" s="29"/>
      <c r="D766" s="65"/>
      <c r="E766" s="24"/>
      <c r="F766" s="25"/>
      <c r="G766" s="30"/>
      <c r="H766" s="31"/>
      <c r="I766" s="5"/>
      <c r="J766" s="5"/>
      <c r="K766" s="5"/>
      <c r="L766" s="5"/>
      <c r="M766" s="31"/>
      <c r="N766" s="29"/>
    </row>
    <row r="767" spans="1:14" s="33" customFormat="1" x14ac:dyDescent="0.25">
      <c r="A767" s="27"/>
      <c r="B767" s="5"/>
      <c r="C767" s="29"/>
      <c r="D767" s="65"/>
      <c r="E767" s="24"/>
      <c r="F767" s="25"/>
      <c r="G767" s="30"/>
      <c r="H767" s="31"/>
      <c r="I767" s="5"/>
      <c r="J767" s="5"/>
      <c r="K767" s="5"/>
      <c r="L767" s="5"/>
      <c r="M767" s="31"/>
      <c r="N767" s="29"/>
    </row>
    <row r="768" spans="1:14" s="33" customFormat="1" x14ac:dyDescent="0.25">
      <c r="A768" s="27"/>
      <c r="B768" s="5"/>
      <c r="C768" s="29"/>
      <c r="D768" s="65"/>
      <c r="E768" s="24"/>
      <c r="F768" s="25"/>
      <c r="G768" s="30"/>
      <c r="H768" s="31"/>
      <c r="I768" s="5"/>
      <c r="J768" s="5"/>
      <c r="K768" s="5"/>
      <c r="L768" s="5"/>
      <c r="M768" s="31"/>
      <c r="N768" s="29"/>
    </row>
    <row r="769" spans="1:14" s="33" customFormat="1" x14ac:dyDescent="0.25">
      <c r="A769" s="27"/>
      <c r="B769" s="5"/>
      <c r="C769" s="29"/>
      <c r="D769" s="65"/>
      <c r="E769" s="24"/>
      <c r="F769" s="25"/>
      <c r="G769" s="30"/>
      <c r="H769" s="31"/>
      <c r="I769" s="5"/>
      <c r="J769" s="5"/>
      <c r="K769" s="5"/>
      <c r="L769" s="5"/>
      <c r="M769" s="31"/>
      <c r="N769" s="29"/>
    </row>
    <row r="770" spans="1:14" s="33" customFormat="1" x14ac:dyDescent="0.25">
      <c r="A770" s="27"/>
      <c r="B770" s="5"/>
      <c r="C770" s="29"/>
      <c r="D770" s="65"/>
      <c r="E770" s="24"/>
      <c r="F770" s="25"/>
      <c r="G770" s="30"/>
      <c r="H770" s="31"/>
      <c r="I770" s="5"/>
      <c r="J770" s="5"/>
      <c r="K770" s="5"/>
      <c r="L770" s="5"/>
      <c r="M770" s="31"/>
      <c r="N770" s="29"/>
    </row>
    <row r="771" spans="1:14" s="33" customFormat="1" x14ac:dyDescent="0.25">
      <c r="A771" s="27"/>
      <c r="B771" s="5"/>
      <c r="C771" s="29"/>
      <c r="D771" s="65"/>
      <c r="E771" s="24"/>
      <c r="F771" s="25"/>
      <c r="G771" s="30"/>
      <c r="H771" s="31"/>
      <c r="I771" s="5"/>
      <c r="J771" s="5"/>
      <c r="K771" s="5"/>
      <c r="L771" s="5"/>
      <c r="M771" s="31"/>
      <c r="N771" s="29"/>
    </row>
    <row r="772" spans="1:14" s="33" customFormat="1" x14ac:dyDescent="0.25">
      <c r="A772" s="27"/>
      <c r="B772" s="5"/>
      <c r="C772" s="29"/>
      <c r="D772" s="65"/>
      <c r="E772" s="24"/>
      <c r="F772" s="25"/>
      <c r="G772" s="30"/>
      <c r="H772" s="31"/>
      <c r="I772" s="5"/>
      <c r="J772" s="5"/>
      <c r="K772" s="5"/>
      <c r="L772" s="5"/>
      <c r="M772" s="31"/>
      <c r="N772" s="29"/>
    </row>
    <row r="773" spans="1:14" s="33" customFormat="1" x14ac:dyDescent="0.25">
      <c r="A773" s="27"/>
      <c r="B773" s="5"/>
      <c r="C773" s="29"/>
      <c r="D773" s="65"/>
      <c r="E773" s="24"/>
      <c r="F773" s="25"/>
      <c r="G773" s="30"/>
      <c r="H773" s="31"/>
      <c r="I773" s="5"/>
      <c r="J773" s="5"/>
      <c r="K773" s="5"/>
      <c r="L773" s="5"/>
      <c r="M773" s="31"/>
      <c r="N773" s="29"/>
    </row>
    <row r="774" spans="1:14" s="33" customFormat="1" x14ac:dyDescent="0.25">
      <c r="A774" s="27"/>
      <c r="B774" s="5"/>
      <c r="C774" s="29"/>
      <c r="D774" s="65"/>
      <c r="E774" s="24"/>
      <c r="F774" s="25"/>
      <c r="G774" s="30"/>
      <c r="H774" s="31"/>
      <c r="I774" s="5"/>
      <c r="J774" s="5"/>
      <c r="K774" s="5"/>
      <c r="L774" s="5"/>
      <c r="M774" s="31"/>
      <c r="N774" s="29"/>
    </row>
    <row r="775" spans="1:14" s="33" customFormat="1" x14ac:dyDescent="0.25">
      <c r="A775" s="27"/>
      <c r="B775" s="5"/>
      <c r="C775" s="29"/>
      <c r="D775" s="65"/>
      <c r="E775" s="24"/>
      <c r="F775" s="25"/>
      <c r="G775" s="30"/>
      <c r="H775" s="31"/>
      <c r="I775" s="5"/>
      <c r="J775" s="5"/>
      <c r="K775" s="5"/>
      <c r="L775" s="5"/>
      <c r="M775" s="31"/>
      <c r="N775" s="29"/>
    </row>
    <row r="776" spans="1:14" s="33" customFormat="1" x14ac:dyDescent="0.25">
      <c r="A776" s="27"/>
      <c r="B776" s="5"/>
      <c r="C776" s="29"/>
      <c r="D776" s="65"/>
      <c r="E776" s="24"/>
      <c r="F776" s="25"/>
      <c r="G776" s="30"/>
      <c r="H776" s="31"/>
      <c r="I776" s="5"/>
      <c r="J776" s="5"/>
      <c r="K776" s="5"/>
      <c r="L776" s="5"/>
      <c r="M776" s="31"/>
      <c r="N776" s="29"/>
    </row>
    <row r="777" spans="1:14" s="33" customFormat="1" x14ac:dyDescent="0.25">
      <c r="A777" s="27"/>
      <c r="B777" s="5"/>
      <c r="C777" s="29"/>
      <c r="D777" s="65"/>
      <c r="E777" s="24"/>
      <c r="F777" s="25"/>
      <c r="G777" s="30"/>
      <c r="H777" s="31"/>
      <c r="I777" s="5"/>
      <c r="J777" s="5"/>
      <c r="K777" s="5"/>
      <c r="L777" s="5"/>
      <c r="M777" s="31"/>
      <c r="N777" s="29"/>
    </row>
    <row r="778" spans="1:14" s="33" customFormat="1" x14ac:dyDescent="0.25">
      <c r="A778" s="27"/>
      <c r="B778" s="5"/>
      <c r="C778" s="29"/>
      <c r="D778" s="65"/>
      <c r="E778" s="24"/>
      <c r="F778" s="25"/>
      <c r="G778" s="30"/>
      <c r="H778" s="31"/>
      <c r="I778" s="5"/>
      <c r="J778" s="5"/>
      <c r="K778" s="5"/>
      <c r="L778" s="5"/>
      <c r="M778" s="31"/>
      <c r="N778" s="29"/>
    </row>
    <row r="779" spans="1:14" s="33" customFormat="1" x14ac:dyDescent="0.25">
      <c r="A779" s="27"/>
      <c r="B779" s="5"/>
      <c r="C779" s="29"/>
      <c r="D779" s="65"/>
      <c r="E779" s="24"/>
      <c r="F779" s="25"/>
      <c r="G779" s="30"/>
      <c r="H779" s="31"/>
      <c r="I779" s="5"/>
      <c r="J779" s="5"/>
      <c r="K779" s="5"/>
      <c r="L779" s="5"/>
      <c r="M779" s="31"/>
      <c r="N779" s="29"/>
    </row>
    <row r="780" spans="1:14" s="33" customFormat="1" x14ac:dyDescent="0.25">
      <c r="A780" s="27"/>
      <c r="B780" s="5"/>
      <c r="C780" s="29"/>
      <c r="D780" s="65"/>
      <c r="E780" s="24"/>
      <c r="F780" s="25"/>
      <c r="G780" s="30"/>
      <c r="H780" s="31"/>
      <c r="I780" s="5"/>
      <c r="J780" s="5"/>
      <c r="K780" s="5"/>
      <c r="L780" s="5"/>
      <c r="M780" s="31"/>
      <c r="N780" s="29"/>
    </row>
    <row r="781" spans="1:14" s="33" customFormat="1" x14ac:dyDescent="0.25">
      <c r="A781" s="27"/>
      <c r="B781" s="5"/>
      <c r="C781" s="29"/>
      <c r="D781" s="65"/>
      <c r="E781" s="24"/>
      <c r="F781" s="25"/>
      <c r="G781" s="30"/>
      <c r="H781" s="31"/>
      <c r="I781" s="5"/>
      <c r="J781" s="5"/>
      <c r="K781" s="5"/>
      <c r="L781" s="5"/>
      <c r="M781" s="31"/>
      <c r="N781" s="29"/>
    </row>
    <row r="782" spans="1:14" s="33" customFormat="1" x14ac:dyDescent="0.25">
      <c r="A782" s="27"/>
      <c r="B782" s="5"/>
      <c r="C782" s="29"/>
      <c r="D782" s="65"/>
      <c r="E782" s="24"/>
      <c r="F782" s="25"/>
      <c r="G782" s="30"/>
      <c r="H782" s="31"/>
      <c r="I782" s="5"/>
      <c r="J782" s="5"/>
      <c r="K782" s="5"/>
      <c r="L782" s="5"/>
      <c r="M782" s="31"/>
      <c r="N782" s="29"/>
    </row>
    <row r="783" spans="1:14" s="33" customFormat="1" x14ac:dyDescent="0.25">
      <c r="A783" s="27"/>
      <c r="B783" s="5"/>
      <c r="C783" s="29"/>
      <c r="D783" s="65"/>
      <c r="E783" s="24"/>
      <c r="F783" s="25"/>
      <c r="G783" s="30"/>
      <c r="H783" s="31"/>
      <c r="I783" s="5"/>
      <c r="J783" s="5"/>
      <c r="K783" s="5"/>
      <c r="L783" s="5"/>
      <c r="M783" s="31"/>
      <c r="N783" s="29"/>
    </row>
    <row r="784" spans="1:14" s="33" customFormat="1" x14ac:dyDescent="0.25">
      <c r="A784" s="27"/>
      <c r="B784" s="5"/>
      <c r="C784" s="29"/>
      <c r="D784" s="65"/>
      <c r="E784" s="24"/>
      <c r="F784" s="25"/>
      <c r="G784" s="30"/>
      <c r="H784" s="31"/>
      <c r="I784" s="5"/>
      <c r="J784" s="5"/>
      <c r="K784" s="5"/>
      <c r="L784" s="5"/>
      <c r="M784" s="31"/>
      <c r="N784" s="29"/>
    </row>
    <row r="785" spans="1:14" s="33" customFormat="1" x14ac:dyDescent="0.25">
      <c r="A785" s="27"/>
      <c r="B785" s="5"/>
      <c r="C785" s="29"/>
      <c r="D785" s="65"/>
      <c r="E785" s="24"/>
      <c r="F785" s="25"/>
      <c r="G785" s="30"/>
      <c r="H785" s="31"/>
      <c r="I785" s="5"/>
      <c r="J785" s="5"/>
      <c r="K785" s="5"/>
      <c r="L785" s="5"/>
      <c r="M785" s="31"/>
      <c r="N785" s="29"/>
    </row>
    <row r="786" spans="1:14" s="33" customFormat="1" x14ac:dyDescent="0.25">
      <c r="A786" s="27"/>
      <c r="B786" s="5"/>
      <c r="C786" s="29"/>
      <c r="D786" s="65"/>
      <c r="E786" s="24"/>
      <c r="F786" s="25"/>
      <c r="G786" s="30"/>
      <c r="H786" s="31"/>
      <c r="I786" s="5"/>
      <c r="J786" s="5"/>
      <c r="K786" s="5"/>
      <c r="L786" s="5"/>
      <c r="M786" s="31"/>
      <c r="N786" s="29"/>
    </row>
    <row r="787" spans="1:14" s="33" customFormat="1" x14ac:dyDescent="0.25">
      <c r="A787" s="27"/>
      <c r="B787" s="5"/>
      <c r="C787" s="29"/>
      <c r="D787" s="65"/>
      <c r="E787" s="24"/>
      <c r="F787" s="25"/>
      <c r="G787" s="30"/>
      <c r="H787" s="31"/>
      <c r="I787" s="5"/>
      <c r="J787" s="5"/>
      <c r="K787" s="5"/>
      <c r="L787" s="5"/>
      <c r="M787" s="31"/>
      <c r="N787" s="29"/>
    </row>
    <row r="788" spans="1:14" s="33" customFormat="1" x14ac:dyDescent="0.25">
      <c r="A788" s="27"/>
      <c r="B788" s="5"/>
      <c r="C788" s="29"/>
      <c r="D788" s="65"/>
      <c r="E788" s="24"/>
      <c r="F788" s="25"/>
      <c r="G788" s="30"/>
      <c r="H788" s="31"/>
      <c r="I788" s="5"/>
      <c r="J788" s="5"/>
      <c r="K788" s="5"/>
      <c r="L788" s="5"/>
      <c r="M788" s="31"/>
      <c r="N788" s="29"/>
    </row>
    <row r="789" spans="1:14" s="33" customFormat="1" x14ac:dyDescent="0.25">
      <c r="A789" s="27"/>
      <c r="B789" s="5"/>
      <c r="C789" s="29"/>
      <c r="D789" s="65"/>
      <c r="E789" s="24"/>
      <c r="F789" s="25"/>
      <c r="G789" s="30"/>
      <c r="H789" s="31"/>
      <c r="I789" s="5"/>
      <c r="J789" s="5"/>
      <c r="K789" s="5"/>
      <c r="L789" s="5"/>
      <c r="M789" s="31"/>
      <c r="N789" s="29"/>
    </row>
    <row r="790" spans="1:14" s="33" customFormat="1" x14ac:dyDescent="0.25">
      <c r="A790" s="27"/>
      <c r="B790" s="5"/>
      <c r="C790" s="29"/>
      <c r="D790" s="65"/>
      <c r="E790" s="24"/>
      <c r="F790" s="25"/>
      <c r="G790" s="30"/>
      <c r="H790" s="31"/>
      <c r="I790" s="5"/>
      <c r="J790" s="5"/>
      <c r="K790" s="5"/>
      <c r="L790" s="5"/>
      <c r="M790" s="31"/>
      <c r="N790" s="29"/>
    </row>
    <row r="791" spans="1:14" s="33" customFormat="1" x14ac:dyDescent="0.25">
      <c r="A791" s="27"/>
      <c r="B791" s="5"/>
      <c r="C791" s="29"/>
      <c r="D791" s="65"/>
      <c r="E791" s="24"/>
      <c r="F791" s="25"/>
      <c r="G791" s="30"/>
      <c r="H791" s="31"/>
      <c r="I791" s="5"/>
      <c r="J791" s="5"/>
      <c r="K791" s="5"/>
      <c r="L791" s="5"/>
      <c r="M791" s="31"/>
      <c r="N791" s="29"/>
    </row>
    <row r="792" spans="1:14" s="33" customFormat="1" x14ac:dyDescent="0.25">
      <c r="A792" s="27"/>
      <c r="B792" s="5"/>
      <c r="C792" s="29"/>
      <c r="D792" s="65"/>
      <c r="E792" s="24"/>
      <c r="F792" s="25"/>
      <c r="G792" s="30"/>
      <c r="H792" s="31"/>
      <c r="I792" s="5"/>
      <c r="J792" s="5"/>
      <c r="K792" s="5"/>
      <c r="L792" s="5"/>
      <c r="M792" s="31"/>
      <c r="N792" s="29"/>
    </row>
    <row r="793" spans="1:14" s="33" customFormat="1" x14ac:dyDescent="0.25">
      <c r="A793" s="27"/>
      <c r="B793" s="5"/>
      <c r="C793" s="29"/>
      <c r="D793" s="65"/>
      <c r="E793" s="24"/>
      <c r="F793" s="25"/>
      <c r="G793" s="30"/>
      <c r="H793" s="31"/>
      <c r="I793" s="5"/>
      <c r="J793" s="5"/>
      <c r="K793" s="5"/>
      <c r="L793" s="5"/>
      <c r="M793" s="31"/>
      <c r="N793" s="29"/>
    </row>
    <row r="794" spans="1:14" s="33" customFormat="1" x14ac:dyDescent="0.25">
      <c r="A794" s="27"/>
      <c r="B794" s="5"/>
      <c r="C794" s="29"/>
      <c r="D794" s="65"/>
      <c r="E794" s="24"/>
      <c r="F794" s="25"/>
      <c r="G794" s="30"/>
      <c r="H794" s="31"/>
      <c r="I794" s="5"/>
      <c r="J794" s="5"/>
      <c r="K794" s="5"/>
      <c r="L794" s="5"/>
      <c r="M794" s="31"/>
      <c r="N794" s="29"/>
    </row>
    <row r="795" spans="1:14" s="33" customFormat="1" x14ac:dyDescent="0.25">
      <c r="A795" s="27"/>
      <c r="B795" s="5"/>
      <c r="C795" s="29"/>
      <c r="D795" s="65"/>
      <c r="E795" s="24"/>
      <c r="F795" s="25"/>
      <c r="G795" s="30"/>
      <c r="H795" s="31"/>
      <c r="I795" s="5"/>
      <c r="J795" s="5"/>
      <c r="K795" s="5"/>
      <c r="L795" s="5"/>
      <c r="M795" s="31"/>
      <c r="N795" s="29"/>
    </row>
    <row r="796" spans="1:14" s="33" customFormat="1" x14ac:dyDescent="0.25">
      <c r="A796" s="27"/>
      <c r="B796" s="5"/>
      <c r="C796" s="29"/>
      <c r="D796" s="65"/>
      <c r="E796" s="24"/>
      <c r="F796" s="25"/>
      <c r="G796" s="30"/>
      <c r="H796" s="31"/>
      <c r="I796" s="5"/>
      <c r="J796" s="5"/>
      <c r="K796" s="5"/>
      <c r="L796" s="5"/>
      <c r="M796" s="31"/>
      <c r="N796" s="29"/>
    </row>
    <row r="797" spans="1:14" s="33" customFormat="1" x14ac:dyDescent="0.25">
      <c r="A797" s="27"/>
      <c r="B797" s="5"/>
      <c r="C797" s="29"/>
      <c r="D797" s="65"/>
      <c r="E797" s="24"/>
      <c r="F797" s="25"/>
      <c r="G797" s="30"/>
      <c r="H797" s="31"/>
      <c r="I797" s="5"/>
      <c r="J797" s="5"/>
      <c r="K797" s="5"/>
      <c r="L797" s="5"/>
      <c r="M797" s="31"/>
      <c r="N797" s="29"/>
    </row>
    <row r="798" spans="1:14" s="33" customFormat="1" x14ac:dyDescent="0.25">
      <c r="A798" s="27"/>
      <c r="B798" s="5"/>
      <c r="C798" s="29"/>
      <c r="D798" s="65"/>
      <c r="E798" s="24"/>
      <c r="F798" s="25"/>
      <c r="G798" s="30"/>
      <c r="H798" s="31"/>
      <c r="I798" s="5"/>
      <c r="J798" s="5"/>
      <c r="K798" s="5"/>
      <c r="L798" s="5"/>
      <c r="M798" s="31"/>
      <c r="N798" s="29"/>
    </row>
    <row r="799" spans="1:14" s="33" customFormat="1" x14ac:dyDescent="0.25">
      <c r="A799" s="27"/>
      <c r="B799" s="5"/>
      <c r="C799" s="29"/>
      <c r="D799" s="65"/>
      <c r="E799" s="24"/>
      <c r="F799" s="25"/>
      <c r="G799" s="30"/>
      <c r="H799" s="31"/>
      <c r="I799" s="5"/>
      <c r="J799" s="5"/>
      <c r="K799" s="5"/>
      <c r="L799" s="5"/>
      <c r="M799" s="31"/>
      <c r="N799" s="29"/>
    </row>
    <row r="800" spans="1:14" s="33" customFormat="1" x14ac:dyDescent="0.25">
      <c r="A800" s="27"/>
      <c r="B800" s="5"/>
      <c r="C800" s="29"/>
      <c r="D800" s="65"/>
      <c r="E800" s="24"/>
      <c r="F800" s="25"/>
      <c r="G800" s="30"/>
      <c r="H800" s="31"/>
      <c r="I800" s="5"/>
      <c r="J800" s="5"/>
      <c r="K800" s="5"/>
      <c r="L800" s="5"/>
      <c r="M800" s="31"/>
      <c r="N800" s="29"/>
    </row>
    <row r="801" spans="1:14" s="33" customFormat="1" x14ac:dyDescent="0.25">
      <c r="A801" s="27"/>
      <c r="B801" s="5"/>
      <c r="C801" s="29"/>
      <c r="D801" s="65"/>
      <c r="E801" s="24"/>
      <c r="F801" s="25"/>
      <c r="G801" s="30"/>
      <c r="H801" s="31"/>
      <c r="I801" s="5"/>
      <c r="J801" s="5"/>
      <c r="K801" s="5"/>
      <c r="L801" s="5"/>
      <c r="M801" s="31"/>
      <c r="N801" s="29"/>
    </row>
    <row r="802" spans="1:14" s="33" customFormat="1" x14ac:dyDescent="0.25">
      <c r="A802" s="27"/>
      <c r="B802" s="5"/>
      <c r="C802" s="29"/>
      <c r="D802" s="65"/>
      <c r="E802" s="24"/>
      <c r="F802" s="25"/>
      <c r="G802" s="30"/>
      <c r="H802" s="31"/>
      <c r="I802" s="5"/>
      <c r="J802" s="5"/>
      <c r="K802" s="5"/>
      <c r="L802" s="5"/>
      <c r="M802" s="31"/>
      <c r="N802" s="29"/>
    </row>
    <row r="803" spans="1:14" s="33" customFormat="1" x14ac:dyDescent="0.25">
      <c r="A803" s="27"/>
      <c r="B803" s="5"/>
      <c r="C803" s="29"/>
      <c r="D803" s="65"/>
      <c r="E803" s="24"/>
      <c r="F803" s="25"/>
      <c r="G803" s="30"/>
      <c r="H803" s="31"/>
      <c r="I803" s="5"/>
      <c r="J803" s="5"/>
      <c r="K803" s="5"/>
      <c r="L803" s="5"/>
      <c r="M803" s="31"/>
      <c r="N803" s="29"/>
    </row>
    <row r="804" spans="1:14" s="33" customFormat="1" x14ac:dyDescent="0.25">
      <c r="A804" s="27"/>
      <c r="B804" s="5"/>
      <c r="C804" s="29"/>
      <c r="D804" s="65"/>
      <c r="E804" s="24"/>
      <c r="F804" s="25"/>
      <c r="G804" s="30"/>
      <c r="H804" s="31"/>
      <c r="I804" s="5"/>
      <c r="J804" s="5"/>
      <c r="K804" s="5"/>
      <c r="L804" s="5"/>
      <c r="M804" s="31"/>
      <c r="N804" s="29"/>
    </row>
    <row r="805" spans="1:14" s="33" customFormat="1" x14ac:dyDescent="0.25">
      <c r="A805" s="27"/>
      <c r="B805" s="5"/>
      <c r="C805" s="29"/>
      <c r="D805" s="65"/>
      <c r="E805" s="24"/>
      <c r="F805" s="25"/>
      <c r="G805" s="30"/>
      <c r="H805" s="31"/>
      <c r="I805" s="5"/>
      <c r="J805" s="5"/>
      <c r="K805" s="5"/>
      <c r="L805" s="5"/>
      <c r="M805" s="31"/>
      <c r="N805" s="29"/>
    </row>
    <row r="806" spans="1:14" s="33" customFormat="1" x14ac:dyDescent="0.25">
      <c r="A806" s="27"/>
      <c r="B806" s="5"/>
      <c r="C806" s="29"/>
      <c r="D806" s="65"/>
      <c r="E806" s="24"/>
      <c r="F806" s="25"/>
      <c r="G806" s="30"/>
      <c r="H806" s="31"/>
      <c r="I806" s="5"/>
      <c r="J806" s="5"/>
      <c r="K806" s="5"/>
      <c r="L806" s="5"/>
      <c r="M806" s="31"/>
      <c r="N806" s="29"/>
    </row>
    <row r="807" spans="1:14" s="33" customFormat="1" x14ac:dyDescent="0.25">
      <c r="A807" s="27"/>
      <c r="B807" s="5"/>
      <c r="C807" s="29"/>
      <c r="D807" s="65"/>
      <c r="E807" s="24"/>
      <c r="F807" s="25"/>
      <c r="G807" s="30"/>
      <c r="H807" s="31"/>
      <c r="I807" s="5"/>
      <c r="J807" s="5"/>
      <c r="K807" s="5"/>
      <c r="L807" s="5"/>
      <c r="M807" s="31"/>
      <c r="N807" s="29"/>
    </row>
    <row r="808" spans="1:14" s="33" customFormat="1" x14ac:dyDescent="0.25">
      <c r="A808" s="27"/>
      <c r="B808" s="5"/>
      <c r="C808" s="29"/>
      <c r="D808" s="65"/>
      <c r="E808" s="24"/>
      <c r="F808" s="25"/>
      <c r="G808" s="30"/>
      <c r="H808" s="31"/>
      <c r="I808" s="5"/>
      <c r="J808" s="5"/>
      <c r="K808" s="5"/>
      <c r="L808" s="5"/>
      <c r="M808" s="31"/>
      <c r="N808" s="29"/>
    </row>
    <row r="809" spans="1:14" s="33" customFormat="1" x14ac:dyDescent="0.25">
      <c r="A809" s="27"/>
      <c r="B809" s="5"/>
      <c r="C809" s="29"/>
      <c r="D809" s="65"/>
      <c r="E809" s="24"/>
      <c r="F809" s="25"/>
      <c r="G809" s="30"/>
      <c r="H809" s="31"/>
      <c r="I809" s="5"/>
      <c r="J809" s="5"/>
      <c r="K809" s="5"/>
      <c r="L809" s="5"/>
      <c r="M809" s="31"/>
      <c r="N809" s="29"/>
    </row>
    <row r="810" spans="1:14" s="33" customFormat="1" x14ac:dyDescent="0.25">
      <c r="A810" s="27"/>
      <c r="B810" s="5"/>
      <c r="C810" s="29"/>
      <c r="D810" s="65"/>
      <c r="E810" s="24"/>
      <c r="F810" s="25"/>
      <c r="G810" s="30"/>
      <c r="H810" s="31"/>
      <c r="I810" s="5"/>
      <c r="J810" s="5"/>
      <c r="K810" s="5"/>
      <c r="L810" s="5"/>
      <c r="M810" s="31"/>
      <c r="N810" s="29"/>
    </row>
    <row r="811" spans="1:14" s="33" customFormat="1" x14ac:dyDescent="0.25">
      <c r="A811" s="27"/>
      <c r="B811" s="5"/>
      <c r="C811" s="29"/>
      <c r="D811" s="65"/>
      <c r="E811" s="24"/>
      <c r="F811" s="25"/>
      <c r="G811" s="30"/>
      <c r="H811" s="31"/>
      <c r="I811" s="5"/>
      <c r="J811" s="5"/>
      <c r="K811" s="5"/>
      <c r="L811" s="5"/>
      <c r="M811" s="31"/>
      <c r="N811" s="29"/>
    </row>
    <row r="812" spans="1:14" s="33" customFormat="1" x14ac:dyDescent="0.25">
      <c r="A812" s="27"/>
      <c r="B812" s="5"/>
      <c r="C812" s="29"/>
      <c r="D812" s="65"/>
      <c r="E812" s="24"/>
      <c r="F812" s="25"/>
      <c r="G812" s="30"/>
      <c r="H812" s="31"/>
      <c r="I812" s="5"/>
      <c r="J812" s="5"/>
      <c r="K812" s="5"/>
      <c r="L812" s="5"/>
      <c r="M812" s="31"/>
      <c r="N812" s="29"/>
    </row>
    <row r="813" spans="1:14" s="33" customFormat="1" x14ac:dyDescent="0.25">
      <c r="A813" s="27"/>
      <c r="B813" s="5"/>
      <c r="C813" s="29"/>
      <c r="D813" s="65"/>
      <c r="E813" s="24"/>
      <c r="F813" s="25"/>
      <c r="G813" s="30"/>
      <c r="H813" s="31"/>
      <c r="I813" s="5"/>
      <c r="J813" s="5"/>
      <c r="K813" s="5"/>
      <c r="L813" s="5"/>
      <c r="M813" s="31"/>
      <c r="N813" s="29"/>
    </row>
    <row r="814" spans="1:14" s="33" customFormat="1" x14ac:dyDescent="0.25">
      <c r="A814" s="27"/>
      <c r="B814" s="5"/>
      <c r="C814" s="29"/>
      <c r="D814" s="65"/>
      <c r="E814" s="24"/>
      <c r="F814" s="25"/>
      <c r="G814" s="30"/>
      <c r="H814" s="31"/>
      <c r="I814" s="5"/>
      <c r="J814" s="5"/>
      <c r="K814" s="5"/>
      <c r="L814" s="5"/>
      <c r="M814" s="31"/>
      <c r="N814" s="29"/>
    </row>
    <row r="815" spans="1:14" s="33" customFormat="1" x14ac:dyDescent="0.25">
      <c r="A815" s="27"/>
      <c r="B815" s="5"/>
      <c r="C815" s="29"/>
      <c r="D815" s="65"/>
      <c r="E815" s="24"/>
      <c r="F815" s="25"/>
      <c r="G815" s="30"/>
      <c r="H815" s="31"/>
      <c r="I815" s="5"/>
      <c r="J815" s="5"/>
      <c r="K815" s="5"/>
      <c r="L815" s="5"/>
      <c r="M815" s="31"/>
      <c r="N815" s="29"/>
    </row>
    <row r="816" spans="1:14" s="33" customFormat="1" x14ac:dyDescent="0.25">
      <c r="A816" s="27"/>
      <c r="B816" s="5"/>
      <c r="C816" s="29"/>
      <c r="D816" s="65"/>
      <c r="E816" s="24"/>
      <c r="F816" s="25"/>
      <c r="G816" s="30"/>
      <c r="H816" s="31"/>
      <c r="I816" s="5"/>
      <c r="J816" s="5"/>
      <c r="K816" s="5"/>
      <c r="L816" s="5"/>
      <c r="M816" s="31"/>
      <c r="N816" s="29"/>
    </row>
    <row r="817" spans="1:14" s="33" customFormat="1" x14ac:dyDescent="0.25">
      <c r="A817" s="27"/>
      <c r="B817" s="5"/>
      <c r="C817" s="29"/>
      <c r="D817" s="65"/>
      <c r="E817" s="24"/>
      <c r="F817" s="25"/>
      <c r="G817" s="30"/>
      <c r="H817" s="31"/>
      <c r="I817" s="5"/>
      <c r="J817" s="5"/>
      <c r="K817" s="5"/>
      <c r="L817" s="5"/>
      <c r="M817" s="31"/>
      <c r="N817" s="29"/>
    </row>
    <row r="818" spans="1:14" s="33" customFormat="1" x14ac:dyDescent="0.25">
      <c r="A818" s="27"/>
      <c r="B818" s="5"/>
      <c r="C818" s="29"/>
      <c r="D818" s="65"/>
      <c r="E818" s="24"/>
      <c r="F818" s="25"/>
      <c r="G818" s="30"/>
      <c r="H818" s="31"/>
      <c r="I818" s="5"/>
      <c r="J818" s="5"/>
      <c r="K818" s="5"/>
      <c r="L818" s="5"/>
      <c r="M818" s="31"/>
      <c r="N818" s="29"/>
    </row>
    <row r="819" spans="1:14" s="33" customFormat="1" x14ac:dyDescent="0.25">
      <c r="A819" s="27"/>
      <c r="B819" s="5"/>
      <c r="C819" s="29"/>
      <c r="D819" s="65"/>
      <c r="E819" s="24"/>
      <c r="F819" s="25"/>
      <c r="G819" s="30"/>
      <c r="H819" s="31"/>
      <c r="I819" s="5"/>
      <c r="J819" s="5"/>
      <c r="K819" s="5"/>
      <c r="L819" s="5"/>
      <c r="M819" s="31"/>
      <c r="N819" s="29"/>
    </row>
    <row r="820" spans="1:14" s="33" customFormat="1" x14ac:dyDescent="0.25">
      <c r="A820" s="27"/>
      <c r="B820" s="5"/>
      <c r="C820" s="29"/>
      <c r="D820" s="65"/>
      <c r="E820" s="24"/>
      <c r="F820" s="25"/>
      <c r="G820" s="30"/>
      <c r="H820" s="31"/>
      <c r="I820" s="5"/>
      <c r="J820" s="5"/>
      <c r="K820" s="5"/>
      <c r="L820" s="5"/>
      <c r="M820" s="31"/>
      <c r="N820" s="29"/>
    </row>
    <row r="821" spans="1:14" s="33" customFormat="1" x14ac:dyDescent="0.25">
      <c r="A821" s="27"/>
      <c r="B821" s="5"/>
      <c r="C821" s="29"/>
      <c r="D821" s="65"/>
      <c r="E821" s="24"/>
      <c r="F821" s="25"/>
      <c r="G821" s="30"/>
      <c r="H821" s="31"/>
      <c r="I821" s="5"/>
      <c r="J821" s="5"/>
      <c r="K821" s="5"/>
      <c r="L821" s="5"/>
      <c r="M821" s="31"/>
      <c r="N821" s="29"/>
    </row>
    <row r="822" spans="1:14" s="33" customFormat="1" x14ac:dyDescent="0.25">
      <c r="A822" s="27"/>
      <c r="B822" s="5"/>
      <c r="C822" s="29"/>
      <c r="D822" s="65"/>
      <c r="E822" s="24"/>
      <c r="F822" s="25"/>
      <c r="G822" s="30"/>
      <c r="H822" s="31"/>
      <c r="I822" s="5"/>
      <c r="J822" s="5"/>
      <c r="K822" s="5"/>
      <c r="L822" s="5"/>
      <c r="M822" s="31"/>
      <c r="N822" s="29"/>
    </row>
    <row r="823" spans="1:14" s="33" customFormat="1" x14ac:dyDescent="0.25">
      <c r="A823" s="27"/>
      <c r="B823" s="5"/>
      <c r="C823" s="29"/>
      <c r="D823" s="65"/>
      <c r="E823" s="24"/>
      <c r="F823" s="25"/>
      <c r="G823" s="30"/>
      <c r="H823" s="31"/>
      <c r="I823" s="5"/>
      <c r="J823" s="5"/>
      <c r="K823" s="5"/>
      <c r="L823" s="5"/>
      <c r="M823" s="31"/>
      <c r="N823" s="29"/>
    </row>
    <row r="824" spans="1:14" s="33" customFormat="1" x14ac:dyDescent="0.25">
      <c r="A824" s="27"/>
      <c r="B824" s="5"/>
      <c r="C824" s="29"/>
      <c r="D824" s="65"/>
      <c r="E824" s="24"/>
      <c r="F824" s="25"/>
      <c r="G824" s="30"/>
      <c r="H824" s="31"/>
      <c r="I824" s="5"/>
      <c r="J824" s="5"/>
      <c r="K824" s="5"/>
      <c r="L824" s="5"/>
      <c r="M824" s="31"/>
      <c r="N824" s="29"/>
    </row>
    <row r="825" spans="1:14" s="33" customFormat="1" x14ac:dyDescent="0.25">
      <c r="A825" s="27"/>
      <c r="B825" s="5"/>
      <c r="C825" s="29"/>
      <c r="D825" s="65"/>
      <c r="E825" s="24"/>
      <c r="F825" s="25"/>
      <c r="G825" s="30"/>
      <c r="H825" s="31"/>
      <c r="I825" s="5"/>
      <c r="J825" s="5"/>
      <c r="K825" s="5"/>
      <c r="L825" s="5"/>
      <c r="M825" s="31"/>
      <c r="N825" s="29"/>
    </row>
    <row r="826" spans="1:14" s="33" customFormat="1" x14ac:dyDescent="0.25">
      <c r="A826" s="27"/>
      <c r="B826" s="5"/>
      <c r="C826" s="29"/>
      <c r="D826" s="65"/>
      <c r="E826" s="24"/>
      <c r="F826" s="25"/>
      <c r="G826" s="30"/>
      <c r="H826" s="31"/>
      <c r="I826" s="5"/>
      <c r="J826" s="5"/>
      <c r="K826" s="5"/>
      <c r="L826" s="5"/>
      <c r="M826" s="31"/>
      <c r="N826" s="29"/>
    </row>
    <row r="827" spans="1:14" s="33" customFormat="1" x14ac:dyDescent="0.25">
      <c r="A827" s="27"/>
      <c r="B827" s="5"/>
      <c r="C827" s="29"/>
      <c r="D827" s="65"/>
      <c r="E827" s="24"/>
      <c r="F827" s="25"/>
      <c r="G827" s="30"/>
      <c r="H827" s="31"/>
      <c r="I827" s="5"/>
      <c r="J827" s="5"/>
      <c r="K827" s="5"/>
      <c r="L827" s="5"/>
      <c r="M827" s="31"/>
      <c r="N827" s="29"/>
    </row>
    <row r="828" spans="1:14" s="33" customFormat="1" x14ac:dyDescent="0.25">
      <c r="A828" s="27"/>
      <c r="B828" s="5"/>
      <c r="C828" s="29"/>
      <c r="D828" s="65"/>
      <c r="E828" s="24"/>
      <c r="F828" s="25"/>
      <c r="G828" s="30"/>
      <c r="H828" s="31"/>
      <c r="I828" s="5"/>
      <c r="J828" s="5"/>
      <c r="K828" s="5"/>
      <c r="L828" s="5"/>
      <c r="M828" s="31"/>
      <c r="N828" s="29"/>
    </row>
    <row r="829" spans="1:14" s="33" customFormat="1" x14ac:dyDescent="0.25">
      <c r="A829" s="27"/>
      <c r="B829" s="5"/>
      <c r="C829" s="29"/>
      <c r="D829" s="65"/>
      <c r="E829" s="24"/>
      <c r="F829" s="25"/>
      <c r="G829" s="30"/>
      <c r="H829" s="31"/>
      <c r="I829" s="5"/>
      <c r="J829" s="5"/>
      <c r="K829" s="5"/>
      <c r="L829" s="5"/>
      <c r="M829" s="31"/>
      <c r="N829" s="29"/>
    </row>
    <row r="830" spans="1:14" s="33" customFormat="1" x14ac:dyDescent="0.25">
      <c r="A830" s="27"/>
      <c r="B830" s="5"/>
      <c r="C830" s="29"/>
      <c r="D830" s="65"/>
      <c r="E830" s="24"/>
      <c r="F830" s="25"/>
      <c r="G830" s="30"/>
      <c r="H830" s="31"/>
      <c r="I830" s="5"/>
      <c r="J830" s="5"/>
      <c r="K830" s="5"/>
      <c r="L830" s="5"/>
      <c r="M830" s="31"/>
      <c r="N830" s="29"/>
    </row>
    <row r="831" spans="1:14" s="33" customFormat="1" x14ac:dyDescent="0.25">
      <c r="A831" s="27"/>
      <c r="B831" s="5"/>
      <c r="C831" s="29"/>
      <c r="D831" s="65"/>
      <c r="E831" s="24"/>
      <c r="F831" s="25"/>
      <c r="G831" s="30"/>
      <c r="H831" s="31"/>
      <c r="I831" s="5"/>
      <c r="J831" s="5"/>
      <c r="K831" s="5"/>
      <c r="L831" s="5"/>
      <c r="M831" s="31"/>
      <c r="N831" s="29"/>
    </row>
    <row r="832" spans="1:14" s="33" customFormat="1" x14ac:dyDescent="0.25">
      <c r="A832" s="27"/>
      <c r="B832" s="5"/>
      <c r="C832" s="29"/>
      <c r="D832" s="65"/>
      <c r="E832" s="24"/>
      <c r="F832" s="25"/>
      <c r="G832" s="30"/>
      <c r="H832" s="31"/>
      <c r="I832" s="5"/>
      <c r="J832" s="5"/>
      <c r="K832" s="5"/>
      <c r="L832" s="5"/>
      <c r="M832" s="31"/>
      <c r="N832" s="29"/>
    </row>
    <row r="833" spans="1:14" s="33" customFormat="1" x14ac:dyDescent="0.25">
      <c r="A833" s="27"/>
      <c r="B833" s="5"/>
      <c r="C833" s="29"/>
      <c r="D833" s="65"/>
      <c r="E833" s="24"/>
      <c r="F833" s="25"/>
      <c r="G833" s="30"/>
      <c r="H833" s="31"/>
      <c r="I833" s="5"/>
      <c r="J833" s="5"/>
      <c r="K833" s="5"/>
      <c r="L833" s="5"/>
      <c r="M833" s="31"/>
      <c r="N833" s="29"/>
    </row>
    <row r="834" spans="1:14" s="33" customFormat="1" x14ac:dyDescent="0.25">
      <c r="A834" s="27"/>
      <c r="B834" s="5"/>
      <c r="C834" s="29"/>
      <c r="D834" s="65"/>
      <c r="E834" s="24"/>
      <c r="F834" s="25"/>
      <c r="G834" s="30"/>
      <c r="H834" s="31"/>
      <c r="I834" s="5"/>
      <c r="J834" s="5"/>
      <c r="K834" s="5"/>
      <c r="L834" s="5"/>
      <c r="M834" s="31"/>
      <c r="N834" s="29"/>
    </row>
    <row r="835" spans="1:14" s="33" customFormat="1" x14ac:dyDescent="0.25">
      <c r="A835" s="27"/>
      <c r="B835" s="5"/>
      <c r="C835" s="29"/>
      <c r="D835" s="65"/>
      <c r="E835" s="24"/>
      <c r="F835" s="25"/>
      <c r="G835" s="30"/>
      <c r="H835" s="31"/>
      <c r="I835" s="5"/>
      <c r="J835" s="5"/>
      <c r="K835" s="5"/>
      <c r="L835" s="5"/>
      <c r="M835" s="31"/>
      <c r="N835" s="29"/>
    </row>
    <row r="836" spans="1:14" s="33" customFormat="1" x14ac:dyDescent="0.25">
      <c r="A836" s="27"/>
      <c r="B836" s="5"/>
      <c r="C836" s="29"/>
      <c r="D836" s="65"/>
      <c r="E836" s="24"/>
      <c r="F836" s="25"/>
      <c r="G836" s="30"/>
      <c r="H836" s="31"/>
      <c r="I836" s="5"/>
      <c r="J836" s="5"/>
      <c r="K836" s="5"/>
      <c r="L836" s="5"/>
      <c r="M836" s="31"/>
      <c r="N836" s="29"/>
    </row>
    <row r="837" spans="1:14" s="33" customFormat="1" x14ac:dyDescent="0.25">
      <c r="A837" s="27"/>
      <c r="B837" s="5"/>
      <c r="C837" s="29"/>
      <c r="D837" s="65"/>
      <c r="E837" s="24"/>
      <c r="F837" s="25"/>
      <c r="G837" s="30"/>
      <c r="H837" s="31"/>
      <c r="I837" s="5"/>
      <c r="J837" s="5"/>
      <c r="K837" s="5"/>
      <c r="L837" s="5"/>
      <c r="M837" s="31"/>
      <c r="N837" s="29"/>
    </row>
    <row r="838" spans="1:14" s="33" customFormat="1" x14ac:dyDescent="0.25">
      <c r="A838" s="27"/>
      <c r="B838" s="5"/>
      <c r="C838" s="29"/>
      <c r="D838" s="65"/>
      <c r="E838" s="24"/>
      <c r="F838" s="25"/>
      <c r="G838" s="30"/>
      <c r="H838" s="31"/>
      <c r="I838" s="5"/>
      <c r="J838" s="5"/>
      <c r="K838" s="5"/>
      <c r="L838" s="5"/>
      <c r="M838" s="31"/>
      <c r="N838" s="29"/>
    </row>
    <row r="839" spans="1:14" s="33" customFormat="1" x14ac:dyDescent="0.25">
      <c r="A839" s="27"/>
      <c r="B839" s="5"/>
      <c r="C839" s="29"/>
      <c r="D839" s="65"/>
      <c r="E839" s="24"/>
      <c r="F839" s="25"/>
      <c r="G839" s="30"/>
      <c r="H839" s="31"/>
      <c r="I839" s="5"/>
      <c r="J839" s="5"/>
      <c r="K839" s="5"/>
      <c r="L839" s="5"/>
      <c r="M839" s="31"/>
      <c r="N839" s="29"/>
    </row>
    <row r="840" spans="1:14" s="33" customFormat="1" x14ac:dyDescent="0.25">
      <c r="A840" s="27"/>
      <c r="B840" s="5"/>
      <c r="C840" s="29"/>
      <c r="D840" s="65"/>
      <c r="E840" s="24"/>
      <c r="F840" s="25"/>
      <c r="G840" s="30"/>
      <c r="H840" s="31"/>
      <c r="I840" s="5"/>
      <c r="J840" s="5"/>
      <c r="K840" s="5"/>
      <c r="L840" s="5"/>
      <c r="M840" s="31"/>
      <c r="N840" s="29"/>
    </row>
    <row r="841" spans="1:14" s="33" customFormat="1" x14ac:dyDescent="0.25">
      <c r="A841" s="27"/>
      <c r="B841" s="5"/>
      <c r="C841" s="29"/>
      <c r="D841" s="65"/>
      <c r="E841" s="24"/>
      <c r="F841" s="25"/>
      <c r="G841" s="30"/>
      <c r="H841" s="31"/>
      <c r="I841" s="5"/>
      <c r="J841" s="5"/>
      <c r="K841" s="5"/>
      <c r="L841" s="5"/>
      <c r="M841" s="31"/>
      <c r="N841" s="29"/>
    </row>
    <row r="842" spans="1:14" s="33" customFormat="1" x14ac:dyDescent="0.25">
      <c r="A842" s="27"/>
      <c r="B842" s="5"/>
      <c r="C842" s="29"/>
      <c r="D842" s="65"/>
      <c r="E842" s="24"/>
      <c r="F842" s="25"/>
      <c r="G842" s="30"/>
      <c r="H842" s="31"/>
      <c r="I842" s="5"/>
      <c r="J842" s="5"/>
      <c r="K842" s="5"/>
      <c r="L842" s="5"/>
      <c r="M842" s="31"/>
      <c r="N842" s="29"/>
    </row>
    <row r="843" spans="1:14" s="33" customFormat="1" x14ac:dyDescent="0.25">
      <c r="A843" s="27"/>
      <c r="B843" s="5"/>
      <c r="C843" s="29"/>
      <c r="D843" s="65"/>
      <c r="E843" s="24"/>
      <c r="F843" s="25"/>
      <c r="G843" s="30"/>
      <c r="H843" s="31"/>
      <c r="I843" s="5"/>
      <c r="J843" s="5"/>
      <c r="K843" s="5"/>
      <c r="L843" s="5"/>
      <c r="M843" s="31"/>
      <c r="N843" s="29"/>
    </row>
    <row r="844" spans="1:14" s="33" customFormat="1" x14ac:dyDescent="0.25">
      <c r="A844" s="27"/>
      <c r="B844" s="5"/>
      <c r="C844" s="29"/>
      <c r="D844" s="65"/>
      <c r="E844" s="24"/>
      <c r="F844" s="25"/>
      <c r="G844" s="30"/>
      <c r="H844" s="31"/>
      <c r="I844" s="5"/>
      <c r="J844" s="5"/>
      <c r="K844" s="5"/>
      <c r="L844" s="5"/>
      <c r="M844" s="31"/>
      <c r="N844" s="29"/>
    </row>
    <row r="845" spans="1:14" s="33" customFormat="1" x14ac:dyDescent="0.25">
      <c r="A845" s="27"/>
      <c r="B845" s="5"/>
      <c r="C845" s="29"/>
      <c r="D845" s="65"/>
      <c r="E845" s="24"/>
      <c r="F845" s="25"/>
      <c r="G845" s="30"/>
      <c r="H845" s="31"/>
      <c r="I845" s="5"/>
      <c r="J845" s="5"/>
      <c r="K845" s="5"/>
      <c r="L845" s="5"/>
      <c r="M845" s="31"/>
      <c r="N845" s="29"/>
    </row>
    <row r="846" spans="1:14" s="33" customFormat="1" x14ac:dyDescent="0.25">
      <c r="A846" s="27"/>
      <c r="B846" s="5"/>
      <c r="C846" s="29"/>
      <c r="D846" s="65"/>
      <c r="E846" s="24"/>
      <c r="F846" s="25"/>
      <c r="G846" s="30"/>
      <c r="H846" s="31"/>
      <c r="I846" s="5"/>
      <c r="J846" s="5"/>
      <c r="K846" s="5"/>
      <c r="L846" s="5"/>
      <c r="M846" s="31"/>
      <c r="N846" s="29"/>
    </row>
    <row r="847" spans="1:14" s="33" customFormat="1" x14ac:dyDescent="0.25">
      <c r="A847" s="27"/>
      <c r="B847" s="5"/>
      <c r="C847" s="29"/>
      <c r="D847" s="65"/>
      <c r="E847" s="24"/>
      <c r="F847" s="25"/>
      <c r="G847" s="30"/>
      <c r="H847" s="31"/>
      <c r="I847" s="5"/>
      <c r="J847" s="5"/>
      <c r="K847" s="5"/>
      <c r="L847" s="5"/>
      <c r="M847" s="31"/>
      <c r="N847" s="29"/>
    </row>
    <row r="848" spans="1:14" s="33" customFormat="1" x14ac:dyDescent="0.25">
      <c r="A848" s="27"/>
      <c r="B848" s="5"/>
      <c r="C848" s="29"/>
      <c r="D848" s="65"/>
      <c r="E848" s="24"/>
      <c r="F848" s="25"/>
      <c r="G848" s="30"/>
      <c r="H848" s="31"/>
      <c r="I848" s="5"/>
      <c r="J848" s="5"/>
      <c r="K848" s="5"/>
      <c r="L848" s="5"/>
      <c r="M848" s="31"/>
      <c r="N848" s="29"/>
    </row>
    <row r="849" spans="1:14" s="33" customFormat="1" x14ac:dyDescent="0.25">
      <c r="A849" s="27"/>
      <c r="B849" s="5"/>
      <c r="C849" s="29"/>
      <c r="D849" s="65"/>
      <c r="E849" s="24"/>
      <c r="F849" s="25"/>
      <c r="G849" s="30"/>
      <c r="H849" s="31"/>
      <c r="I849" s="5"/>
      <c r="J849" s="5"/>
      <c r="K849" s="5"/>
      <c r="L849" s="5"/>
      <c r="M849" s="31"/>
      <c r="N849" s="29"/>
    </row>
    <row r="850" spans="1:14" s="33" customFormat="1" x14ac:dyDescent="0.25">
      <c r="A850" s="27"/>
      <c r="B850" s="5"/>
      <c r="C850" s="29"/>
      <c r="D850" s="65"/>
      <c r="E850" s="24"/>
      <c r="F850" s="25"/>
      <c r="G850" s="30"/>
      <c r="H850" s="31"/>
      <c r="I850" s="5"/>
      <c r="J850" s="5"/>
      <c r="K850" s="5"/>
      <c r="L850" s="5"/>
      <c r="M850" s="31"/>
      <c r="N850" s="29"/>
    </row>
    <row r="851" spans="1:14" s="33" customFormat="1" x14ac:dyDescent="0.25">
      <c r="A851" s="27"/>
      <c r="B851" s="5"/>
      <c r="C851" s="29"/>
      <c r="D851" s="65"/>
      <c r="E851" s="24"/>
      <c r="F851" s="25"/>
      <c r="G851" s="30"/>
      <c r="H851" s="31"/>
      <c r="I851" s="5"/>
      <c r="J851" s="5"/>
      <c r="K851" s="5"/>
      <c r="L851" s="5"/>
      <c r="M851" s="31"/>
      <c r="N851" s="29"/>
    </row>
    <row r="852" spans="1:14" s="33" customFormat="1" x14ac:dyDescent="0.25">
      <c r="A852" s="27"/>
      <c r="B852" s="5"/>
      <c r="C852" s="29"/>
      <c r="D852" s="65"/>
      <c r="E852" s="24"/>
      <c r="F852" s="25"/>
      <c r="G852" s="30"/>
      <c r="H852" s="31"/>
      <c r="I852" s="5"/>
      <c r="J852" s="5"/>
      <c r="K852" s="5"/>
      <c r="L852" s="5"/>
      <c r="M852" s="31"/>
      <c r="N852" s="29"/>
    </row>
    <row r="853" spans="1:14" s="33" customFormat="1" x14ac:dyDescent="0.25">
      <c r="A853" s="27"/>
      <c r="B853" s="5"/>
      <c r="C853" s="29"/>
      <c r="D853" s="65"/>
      <c r="E853" s="24"/>
      <c r="F853" s="25"/>
      <c r="G853" s="30"/>
      <c r="H853" s="31"/>
      <c r="I853" s="5"/>
      <c r="J853" s="5"/>
      <c r="K853" s="5"/>
      <c r="L853" s="5"/>
      <c r="M853" s="31"/>
      <c r="N853" s="29"/>
    </row>
    <row r="854" spans="1:14" s="33" customFormat="1" x14ac:dyDescent="0.25">
      <c r="A854" s="27"/>
      <c r="B854" s="5"/>
      <c r="C854" s="29"/>
      <c r="D854" s="65"/>
      <c r="E854" s="24"/>
      <c r="F854" s="25"/>
      <c r="G854" s="30"/>
      <c r="H854" s="31"/>
      <c r="I854" s="5"/>
      <c r="J854" s="5"/>
      <c r="K854" s="5"/>
      <c r="L854" s="5"/>
      <c r="M854" s="31"/>
      <c r="N854" s="29"/>
    </row>
    <row r="855" spans="1:14" s="33" customFormat="1" x14ac:dyDescent="0.25">
      <c r="A855" s="27"/>
      <c r="B855" s="5"/>
      <c r="C855" s="29"/>
      <c r="D855" s="65"/>
      <c r="E855" s="24"/>
      <c r="F855" s="25"/>
      <c r="G855" s="30"/>
      <c r="H855" s="31"/>
      <c r="I855" s="5"/>
      <c r="J855" s="5"/>
      <c r="K855" s="5"/>
      <c r="L855" s="5"/>
      <c r="M855" s="31"/>
      <c r="N855" s="29"/>
    </row>
    <row r="856" spans="1:14" s="33" customFormat="1" x14ac:dyDescent="0.25">
      <c r="A856" s="27"/>
      <c r="B856" s="5"/>
      <c r="C856" s="29"/>
      <c r="D856" s="65"/>
      <c r="E856" s="24"/>
      <c r="F856" s="25"/>
      <c r="G856" s="30"/>
      <c r="H856" s="31"/>
      <c r="I856" s="5"/>
      <c r="J856" s="5"/>
      <c r="K856" s="5"/>
      <c r="L856" s="5"/>
      <c r="M856" s="31"/>
      <c r="N856" s="29"/>
    </row>
    <row r="857" spans="1:14" s="33" customFormat="1" x14ac:dyDescent="0.25">
      <c r="A857" s="27"/>
      <c r="B857" s="5"/>
      <c r="C857" s="29"/>
      <c r="D857" s="65"/>
      <c r="E857" s="24"/>
      <c r="F857" s="25"/>
      <c r="G857" s="30"/>
      <c r="H857" s="31"/>
      <c r="I857" s="5"/>
      <c r="J857" s="5"/>
      <c r="K857" s="5"/>
      <c r="L857" s="5"/>
      <c r="M857" s="31"/>
      <c r="N857" s="29"/>
    </row>
    <row r="858" spans="1:14" s="33" customFormat="1" x14ac:dyDescent="0.25">
      <c r="A858" s="27"/>
      <c r="B858" s="5"/>
      <c r="C858" s="29"/>
      <c r="D858" s="65"/>
      <c r="E858" s="24"/>
      <c r="F858" s="25"/>
      <c r="G858" s="30"/>
      <c r="H858" s="31"/>
      <c r="I858" s="5"/>
      <c r="J858" s="5"/>
      <c r="K858" s="5"/>
      <c r="L858" s="5"/>
      <c r="M858" s="31"/>
      <c r="N858" s="29"/>
    </row>
    <row r="859" spans="1:14" s="33" customFormat="1" x14ac:dyDescent="0.25">
      <c r="A859" s="27"/>
      <c r="B859" s="5"/>
      <c r="C859" s="29"/>
      <c r="D859" s="65"/>
      <c r="E859" s="24"/>
      <c r="F859" s="25"/>
      <c r="G859" s="30"/>
      <c r="H859" s="31"/>
      <c r="I859" s="5"/>
      <c r="J859" s="5"/>
      <c r="K859" s="5"/>
      <c r="L859" s="5"/>
      <c r="M859" s="31"/>
      <c r="N859" s="29"/>
    </row>
    <row r="860" spans="1:14" s="33" customFormat="1" x14ac:dyDescent="0.25">
      <c r="A860" s="27"/>
      <c r="B860" s="5"/>
      <c r="C860" s="29"/>
      <c r="D860" s="65"/>
      <c r="E860" s="24"/>
      <c r="F860" s="25"/>
      <c r="G860" s="30"/>
      <c r="H860" s="31"/>
      <c r="I860" s="5"/>
      <c r="J860" s="5"/>
      <c r="K860" s="5"/>
      <c r="L860" s="5"/>
      <c r="M860" s="31"/>
      <c r="N860" s="29"/>
    </row>
    <row r="861" spans="1:14" s="33" customFormat="1" x14ac:dyDescent="0.25">
      <c r="A861" s="27"/>
      <c r="B861" s="5"/>
      <c r="C861" s="29"/>
      <c r="D861" s="65"/>
      <c r="E861" s="24"/>
      <c r="F861" s="25"/>
      <c r="G861" s="30"/>
      <c r="H861" s="31"/>
      <c r="I861" s="5"/>
      <c r="J861" s="5"/>
      <c r="K861" s="5"/>
      <c r="L861" s="5"/>
      <c r="M861" s="31"/>
      <c r="N861" s="29"/>
    </row>
    <row r="862" spans="1:14" s="33" customFormat="1" x14ac:dyDescent="0.25">
      <c r="A862" s="27"/>
      <c r="B862" s="5"/>
      <c r="C862" s="29"/>
      <c r="D862" s="65"/>
      <c r="E862" s="24"/>
      <c r="F862" s="25"/>
      <c r="G862" s="30"/>
      <c r="H862" s="31"/>
      <c r="I862" s="5"/>
      <c r="J862" s="5"/>
      <c r="K862" s="5"/>
      <c r="L862" s="5"/>
      <c r="M862" s="31"/>
      <c r="N862" s="29"/>
    </row>
    <row r="863" spans="1:14" s="33" customFormat="1" x14ac:dyDescent="0.25">
      <c r="A863" s="27"/>
      <c r="B863" s="5"/>
      <c r="C863" s="29"/>
      <c r="D863" s="65"/>
      <c r="E863" s="24"/>
      <c r="F863" s="25"/>
      <c r="G863" s="30"/>
      <c r="H863" s="31"/>
      <c r="I863" s="5"/>
      <c r="J863" s="5"/>
      <c r="K863" s="5"/>
      <c r="L863" s="5"/>
      <c r="M863" s="31"/>
      <c r="N863" s="29"/>
    </row>
    <row r="864" spans="1:14" s="33" customFormat="1" x14ac:dyDescent="0.25">
      <c r="A864" s="27"/>
      <c r="B864" s="5"/>
      <c r="C864" s="29"/>
      <c r="D864" s="65"/>
      <c r="E864" s="24"/>
      <c r="F864" s="25"/>
      <c r="G864" s="30"/>
      <c r="H864" s="31"/>
      <c r="I864" s="5"/>
      <c r="J864" s="5"/>
      <c r="K864" s="5"/>
      <c r="L864" s="5"/>
      <c r="M864" s="31"/>
      <c r="N864" s="29"/>
    </row>
    <row r="865" spans="1:14" s="33" customFormat="1" x14ac:dyDescent="0.25">
      <c r="A865" s="27"/>
      <c r="B865" s="5"/>
      <c r="C865" s="29"/>
      <c r="D865" s="65"/>
      <c r="E865" s="24"/>
      <c r="F865" s="25"/>
      <c r="G865" s="30"/>
      <c r="H865" s="31"/>
      <c r="I865" s="5"/>
      <c r="J865" s="5"/>
      <c r="K865" s="5"/>
      <c r="L865" s="5"/>
      <c r="M865" s="31"/>
      <c r="N865" s="29"/>
    </row>
    <row r="866" spans="1:14" s="33" customFormat="1" x14ac:dyDescent="0.25">
      <c r="A866" s="27"/>
      <c r="B866" s="5"/>
      <c r="C866" s="29"/>
      <c r="D866" s="65"/>
      <c r="E866" s="24"/>
      <c r="F866" s="25"/>
      <c r="G866" s="30"/>
      <c r="H866" s="31"/>
      <c r="I866" s="5"/>
      <c r="J866" s="5"/>
      <c r="K866" s="5"/>
      <c r="L866" s="5"/>
      <c r="M866" s="31"/>
      <c r="N866" s="29"/>
    </row>
    <row r="867" spans="1:14" s="33" customFormat="1" x14ac:dyDescent="0.25">
      <c r="A867" s="27"/>
      <c r="B867" s="5"/>
      <c r="C867" s="29"/>
      <c r="D867" s="65"/>
      <c r="E867" s="24"/>
      <c r="F867" s="25"/>
      <c r="G867" s="30"/>
      <c r="H867" s="31"/>
      <c r="I867" s="5"/>
      <c r="J867" s="5"/>
      <c r="K867" s="5"/>
      <c r="L867" s="5"/>
      <c r="M867" s="31"/>
      <c r="N867" s="29"/>
    </row>
    <row r="868" spans="1:14" s="33" customFormat="1" x14ac:dyDescent="0.25">
      <c r="A868" s="27"/>
      <c r="B868" s="5"/>
      <c r="C868" s="29"/>
      <c r="D868" s="65"/>
      <c r="E868" s="24"/>
      <c r="F868" s="25"/>
      <c r="G868" s="30"/>
      <c r="H868" s="31"/>
      <c r="I868" s="5"/>
      <c r="J868" s="5"/>
      <c r="K868" s="5"/>
      <c r="L868" s="5"/>
      <c r="M868" s="31"/>
      <c r="N868" s="29"/>
    </row>
    <row r="869" spans="1:14" s="33" customFormat="1" x14ac:dyDescent="0.25">
      <c r="A869" s="27"/>
      <c r="B869" s="5"/>
      <c r="C869" s="29"/>
      <c r="D869" s="65"/>
      <c r="E869" s="24"/>
      <c r="F869" s="25"/>
      <c r="G869" s="30"/>
      <c r="H869" s="31"/>
      <c r="I869" s="5"/>
      <c r="J869" s="5"/>
      <c r="K869" s="5"/>
      <c r="L869" s="5"/>
      <c r="M869" s="31"/>
      <c r="N869" s="29"/>
    </row>
    <row r="870" spans="1:14" s="33" customFormat="1" x14ac:dyDescent="0.25">
      <c r="A870" s="27"/>
      <c r="B870" s="5"/>
      <c r="C870" s="29"/>
      <c r="D870" s="65"/>
      <c r="E870" s="24"/>
      <c r="F870" s="25"/>
      <c r="G870" s="30"/>
      <c r="H870" s="31"/>
      <c r="I870" s="5"/>
      <c r="J870" s="5"/>
      <c r="K870" s="5"/>
      <c r="L870" s="5"/>
      <c r="M870" s="31"/>
      <c r="N870" s="29"/>
    </row>
    <row r="871" spans="1:14" s="33" customFormat="1" x14ac:dyDescent="0.25">
      <c r="A871" s="27"/>
      <c r="B871" s="5"/>
      <c r="C871" s="29"/>
      <c r="D871" s="65"/>
      <c r="E871" s="24"/>
      <c r="F871" s="25"/>
      <c r="G871" s="30"/>
      <c r="H871" s="31"/>
      <c r="I871" s="5"/>
      <c r="J871" s="5"/>
      <c r="K871" s="5"/>
      <c r="L871" s="5"/>
      <c r="M871" s="31"/>
      <c r="N871" s="29"/>
    </row>
    <row r="872" spans="1:14" s="33" customFormat="1" x14ac:dyDescent="0.25">
      <c r="A872" s="27"/>
      <c r="B872" s="5"/>
      <c r="C872" s="29"/>
      <c r="D872" s="65"/>
      <c r="E872" s="24"/>
      <c r="F872" s="25"/>
      <c r="G872" s="30"/>
      <c r="H872" s="31"/>
      <c r="I872" s="5"/>
      <c r="J872" s="5"/>
      <c r="K872" s="5"/>
      <c r="L872" s="5"/>
      <c r="M872" s="31"/>
      <c r="N872" s="29"/>
    </row>
    <row r="873" spans="1:14" s="33" customFormat="1" x14ac:dyDescent="0.25">
      <c r="A873" s="27"/>
      <c r="B873" s="5"/>
      <c r="C873" s="29"/>
      <c r="D873" s="65"/>
      <c r="E873" s="24"/>
      <c r="F873" s="25"/>
      <c r="G873" s="30"/>
      <c r="H873" s="31"/>
      <c r="I873" s="5"/>
      <c r="J873" s="5"/>
      <c r="K873" s="5"/>
      <c r="L873" s="5"/>
      <c r="M873" s="31"/>
      <c r="N873" s="29"/>
    </row>
    <row r="874" spans="1:14" s="33" customFormat="1" x14ac:dyDescent="0.25">
      <c r="A874" s="27"/>
      <c r="B874" s="5"/>
      <c r="C874" s="29"/>
      <c r="D874" s="65"/>
      <c r="E874" s="24"/>
      <c r="F874" s="25"/>
      <c r="G874" s="30"/>
      <c r="H874" s="31"/>
      <c r="I874" s="5"/>
      <c r="J874" s="5"/>
      <c r="K874" s="5"/>
      <c r="L874" s="5"/>
      <c r="M874" s="31"/>
      <c r="N874" s="29"/>
    </row>
    <row r="875" spans="1:14" s="33" customFormat="1" x14ac:dyDescent="0.25">
      <c r="A875" s="27"/>
      <c r="B875" s="5"/>
      <c r="C875" s="29"/>
      <c r="D875" s="65"/>
      <c r="E875" s="24"/>
      <c r="F875" s="25"/>
      <c r="G875" s="30"/>
      <c r="H875" s="31"/>
      <c r="I875" s="5"/>
      <c r="J875" s="5"/>
      <c r="K875" s="5"/>
      <c r="L875" s="5"/>
      <c r="M875" s="31"/>
      <c r="N875" s="29"/>
    </row>
    <row r="876" spans="1:14" s="33" customFormat="1" x14ac:dyDescent="0.25">
      <c r="A876" s="27"/>
      <c r="B876" s="5"/>
      <c r="C876" s="29"/>
      <c r="D876" s="65"/>
      <c r="E876" s="24"/>
      <c r="F876" s="25"/>
      <c r="G876" s="30"/>
      <c r="H876" s="31"/>
      <c r="I876" s="5"/>
      <c r="J876" s="5"/>
      <c r="K876" s="5"/>
      <c r="L876" s="5"/>
      <c r="M876" s="31"/>
      <c r="N876" s="29"/>
    </row>
    <row r="877" spans="1:14" s="33" customFormat="1" x14ac:dyDescent="0.25">
      <c r="A877" s="27"/>
      <c r="B877" s="5"/>
      <c r="C877" s="29"/>
      <c r="D877" s="65"/>
      <c r="E877" s="24"/>
      <c r="F877" s="25"/>
      <c r="G877" s="30"/>
      <c r="H877" s="31"/>
      <c r="I877" s="5"/>
      <c r="J877" s="5"/>
      <c r="K877" s="5"/>
      <c r="L877" s="5"/>
      <c r="M877" s="31"/>
      <c r="N877" s="29"/>
    </row>
    <row r="878" spans="1:14" s="33" customFormat="1" x14ac:dyDescent="0.25">
      <c r="A878" s="27"/>
      <c r="B878" s="5"/>
      <c r="C878" s="29"/>
      <c r="D878" s="65"/>
      <c r="E878" s="24"/>
      <c r="F878" s="25"/>
      <c r="G878" s="30"/>
      <c r="H878" s="31"/>
      <c r="I878" s="5"/>
      <c r="J878" s="5"/>
      <c r="K878" s="5"/>
      <c r="L878" s="5"/>
      <c r="M878" s="31"/>
      <c r="N878" s="29"/>
    </row>
    <row r="879" spans="1:14" s="33" customFormat="1" x14ac:dyDescent="0.25">
      <c r="A879" s="27"/>
      <c r="B879" s="5"/>
      <c r="C879" s="29"/>
      <c r="D879" s="65"/>
      <c r="E879" s="24"/>
      <c r="F879" s="25"/>
      <c r="G879" s="30"/>
      <c r="H879" s="31"/>
      <c r="I879" s="5"/>
      <c r="J879" s="5"/>
      <c r="K879" s="5"/>
      <c r="L879" s="5"/>
      <c r="M879" s="31"/>
      <c r="N879" s="29"/>
    </row>
    <row r="880" spans="1:14" s="33" customFormat="1" x14ac:dyDescent="0.25">
      <c r="A880" s="27"/>
      <c r="B880" s="5"/>
      <c r="C880" s="29"/>
      <c r="D880" s="65"/>
      <c r="E880" s="24"/>
      <c r="F880" s="25"/>
      <c r="G880" s="30"/>
      <c r="H880" s="31"/>
      <c r="I880" s="5"/>
      <c r="J880" s="5"/>
      <c r="K880" s="5"/>
      <c r="L880" s="5"/>
      <c r="M880" s="31"/>
      <c r="N880" s="29"/>
    </row>
    <row r="881" spans="1:14" s="33" customFormat="1" x14ac:dyDescent="0.25">
      <c r="A881" s="27"/>
      <c r="B881" s="5"/>
      <c r="C881" s="29"/>
      <c r="D881" s="65"/>
      <c r="E881" s="24"/>
      <c r="F881" s="25"/>
      <c r="G881" s="30"/>
      <c r="H881" s="31"/>
      <c r="I881" s="5"/>
      <c r="J881" s="5"/>
      <c r="K881" s="5"/>
      <c r="L881" s="5"/>
      <c r="M881" s="31"/>
      <c r="N881" s="29"/>
    </row>
    <row r="882" spans="1:14" s="33" customFormat="1" x14ac:dyDescent="0.25">
      <c r="A882" s="27"/>
      <c r="B882" s="5"/>
      <c r="C882" s="29"/>
      <c r="D882" s="65"/>
      <c r="E882" s="24"/>
      <c r="F882" s="25"/>
      <c r="G882" s="30"/>
      <c r="H882" s="31"/>
      <c r="I882" s="5"/>
      <c r="J882" s="5"/>
      <c r="K882" s="5"/>
      <c r="L882" s="5"/>
      <c r="M882" s="31"/>
      <c r="N882" s="29"/>
    </row>
    <row r="883" spans="1:14" s="33" customFormat="1" x14ac:dyDescent="0.25">
      <c r="A883" s="27"/>
      <c r="B883" s="5"/>
      <c r="C883" s="29"/>
      <c r="D883" s="65"/>
      <c r="E883" s="24"/>
      <c r="F883" s="25"/>
      <c r="G883" s="30"/>
      <c r="H883" s="31"/>
      <c r="I883" s="5"/>
      <c r="J883" s="5"/>
      <c r="K883" s="5"/>
      <c r="L883" s="5"/>
      <c r="M883" s="31"/>
      <c r="N883" s="29"/>
    </row>
    <row r="884" spans="1:14" s="33" customFormat="1" x14ac:dyDescent="0.25">
      <c r="A884" s="27"/>
      <c r="B884" s="5"/>
      <c r="C884" s="29"/>
      <c r="D884" s="65"/>
      <c r="E884" s="24"/>
      <c r="F884" s="25"/>
      <c r="G884" s="30"/>
      <c r="H884" s="31"/>
      <c r="I884" s="5"/>
      <c r="J884" s="5"/>
      <c r="K884" s="5"/>
      <c r="L884" s="5"/>
      <c r="M884" s="31"/>
      <c r="N884" s="29"/>
    </row>
    <row r="885" spans="1:14" s="33" customFormat="1" x14ac:dyDescent="0.25">
      <c r="A885" s="27"/>
      <c r="B885" s="5"/>
      <c r="C885" s="29"/>
      <c r="D885" s="65"/>
      <c r="E885" s="24"/>
      <c r="F885" s="25"/>
      <c r="G885" s="30"/>
      <c r="H885" s="31"/>
      <c r="I885" s="5"/>
      <c r="J885" s="5"/>
      <c r="K885" s="5"/>
      <c r="L885" s="5"/>
      <c r="M885" s="31"/>
      <c r="N885" s="29"/>
    </row>
    <row r="886" spans="1:14" s="33" customFormat="1" x14ac:dyDescent="0.25">
      <c r="A886" s="27"/>
      <c r="B886" s="5"/>
      <c r="C886" s="29"/>
      <c r="D886" s="65"/>
      <c r="E886" s="24"/>
      <c r="F886" s="25"/>
      <c r="G886" s="30"/>
      <c r="H886" s="31"/>
      <c r="I886" s="5"/>
      <c r="J886" s="5"/>
      <c r="K886" s="5"/>
      <c r="L886" s="5"/>
      <c r="M886" s="31"/>
      <c r="N886" s="29"/>
    </row>
    <row r="887" spans="1:14" s="33" customFormat="1" x14ac:dyDescent="0.25">
      <c r="A887" s="27"/>
      <c r="B887" s="5"/>
      <c r="C887" s="29"/>
      <c r="D887" s="65"/>
      <c r="E887" s="24"/>
      <c r="F887" s="25"/>
      <c r="G887" s="30"/>
      <c r="H887" s="31"/>
      <c r="I887" s="5"/>
      <c r="J887" s="5"/>
      <c r="K887" s="5"/>
      <c r="L887" s="5"/>
      <c r="M887" s="31"/>
      <c r="N887" s="29"/>
    </row>
    <row r="888" spans="1:14" s="33" customFormat="1" x14ac:dyDescent="0.25">
      <c r="A888" s="27"/>
      <c r="B888" s="5"/>
      <c r="C888" s="29"/>
      <c r="D888" s="65"/>
      <c r="E888" s="24"/>
      <c r="F888" s="25"/>
      <c r="G888" s="30"/>
      <c r="H888" s="31"/>
      <c r="I888" s="5"/>
      <c r="J888" s="5"/>
      <c r="K888" s="5"/>
      <c r="L888" s="5"/>
      <c r="M888" s="31"/>
      <c r="N888" s="29"/>
    </row>
    <row r="889" spans="1:14" s="33" customFormat="1" x14ac:dyDescent="0.25">
      <c r="A889" s="27"/>
      <c r="B889" s="5"/>
      <c r="C889" s="29"/>
      <c r="D889" s="65"/>
      <c r="E889" s="24"/>
      <c r="F889" s="25"/>
      <c r="G889" s="30"/>
      <c r="H889" s="31"/>
      <c r="I889" s="5"/>
      <c r="J889" s="5"/>
      <c r="K889" s="5"/>
      <c r="L889" s="5"/>
      <c r="M889" s="31"/>
      <c r="N889" s="29"/>
    </row>
    <row r="890" spans="1:14" s="33" customFormat="1" x14ac:dyDescent="0.25">
      <c r="A890" s="27"/>
      <c r="B890" s="5"/>
      <c r="C890" s="29"/>
      <c r="D890" s="65"/>
      <c r="E890" s="24"/>
      <c r="F890" s="25"/>
      <c r="G890" s="30"/>
      <c r="H890" s="31"/>
      <c r="I890" s="5"/>
      <c r="J890" s="5"/>
      <c r="K890" s="5"/>
      <c r="L890" s="5"/>
      <c r="M890" s="31"/>
      <c r="N890" s="29"/>
    </row>
    <row r="891" spans="1:14" s="33" customFormat="1" x14ac:dyDescent="0.25">
      <c r="A891" s="27"/>
      <c r="B891" s="5"/>
      <c r="C891" s="29"/>
      <c r="D891" s="65"/>
      <c r="E891" s="24"/>
      <c r="F891" s="25"/>
      <c r="G891" s="30"/>
      <c r="H891" s="31"/>
      <c r="I891" s="5"/>
      <c r="J891" s="5"/>
      <c r="K891" s="5"/>
      <c r="L891" s="5"/>
      <c r="M891" s="31"/>
      <c r="N891" s="29"/>
    </row>
    <row r="892" spans="1:14" s="33" customFormat="1" x14ac:dyDescent="0.25">
      <c r="A892" s="27"/>
      <c r="B892" s="5"/>
      <c r="C892" s="29"/>
      <c r="D892" s="65"/>
      <c r="E892" s="24"/>
      <c r="F892" s="25"/>
      <c r="G892" s="30"/>
      <c r="H892" s="31"/>
      <c r="I892" s="5"/>
      <c r="J892" s="5"/>
      <c r="K892" s="5"/>
      <c r="L892" s="5"/>
      <c r="M892" s="31"/>
      <c r="N892" s="29"/>
    </row>
    <row r="893" spans="1:14" s="33" customFormat="1" x14ac:dyDescent="0.25">
      <c r="A893" s="27"/>
      <c r="B893" s="5"/>
      <c r="C893" s="29"/>
      <c r="D893" s="65"/>
      <c r="E893" s="24"/>
      <c r="F893" s="25"/>
      <c r="G893" s="30"/>
      <c r="H893" s="31"/>
      <c r="I893" s="5"/>
      <c r="J893" s="5"/>
      <c r="K893" s="5"/>
      <c r="L893" s="5"/>
      <c r="M893" s="31"/>
      <c r="N893" s="29"/>
    </row>
    <row r="894" spans="1:14" s="33" customFormat="1" x14ac:dyDescent="0.25">
      <c r="A894" s="27"/>
      <c r="B894" s="5"/>
      <c r="C894" s="29"/>
      <c r="D894" s="65"/>
      <c r="E894" s="24"/>
      <c r="F894" s="25"/>
      <c r="G894" s="30"/>
      <c r="H894" s="31"/>
      <c r="I894" s="5"/>
      <c r="J894" s="5"/>
      <c r="K894" s="5"/>
      <c r="L894" s="5"/>
      <c r="M894" s="31"/>
      <c r="N894" s="29"/>
    </row>
    <row r="895" spans="1:14" s="33" customFormat="1" x14ac:dyDescent="0.25">
      <c r="A895" s="27"/>
      <c r="B895" s="5"/>
      <c r="C895" s="29"/>
      <c r="D895" s="65"/>
      <c r="E895" s="24"/>
      <c r="F895" s="25"/>
      <c r="G895" s="30"/>
      <c r="H895" s="31"/>
      <c r="I895" s="5"/>
      <c r="J895" s="5"/>
      <c r="K895" s="5"/>
      <c r="L895" s="5"/>
      <c r="M895" s="31"/>
      <c r="N895" s="29"/>
    </row>
    <row r="896" spans="1:14" s="33" customFormat="1" x14ac:dyDescent="0.25">
      <c r="A896" s="27"/>
      <c r="B896" s="5"/>
      <c r="C896" s="29"/>
      <c r="D896" s="65"/>
      <c r="E896" s="24"/>
      <c r="F896" s="25"/>
      <c r="G896" s="30"/>
      <c r="H896" s="31"/>
      <c r="I896" s="5"/>
      <c r="J896" s="5"/>
      <c r="K896" s="5"/>
      <c r="L896" s="5"/>
      <c r="M896" s="31"/>
      <c r="N896" s="29"/>
    </row>
    <row r="897" spans="1:14" s="33" customFormat="1" x14ac:dyDescent="0.25">
      <c r="A897" s="27"/>
      <c r="B897" s="5"/>
      <c r="C897" s="29"/>
      <c r="D897" s="65"/>
      <c r="E897" s="24"/>
      <c r="F897" s="25"/>
      <c r="G897" s="30"/>
      <c r="H897" s="31"/>
      <c r="I897" s="5"/>
      <c r="J897" s="5"/>
      <c r="K897" s="5"/>
      <c r="L897" s="5"/>
      <c r="M897" s="31"/>
      <c r="N897" s="29"/>
    </row>
    <row r="898" spans="1:14" s="33" customFormat="1" x14ac:dyDescent="0.25">
      <c r="A898" s="27"/>
      <c r="B898" s="5"/>
      <c r="C898" s="29"/>
      <c r="D898" s="65"/>
      <c r="E898" s="24"/>
      <c r="F898" s="25"/>
      <c r="G898" s="30"/>
      <c r="H898" s="31"/>
      <c r="I898" s="5"/>
      <c r="J898" s="5"/>
      <c r="K898" s="5"/>
      <c r="L898" s="5"/>
      <c r="M898" s="31"/>
      <c r="N898" s="29"/>
    </row>
    <row r="899" spans="1:14" s="33" customFormat="1" x14ac:dyDescent="0.25">
      <c r="A899" s="27"/>
      <c r="B899" s="5"/>
      <c r="C899" s="29"/>
      <c r="D899" s="65"/>
      <c r="E899" s="24"/>
      <c r="F899" s="25"/>
      <c r="G899" s="30"/>
      <c r="H899" s="31"/>
      <c r="I899" s="5"/>
      <c r="J899" s="5"/>
      <c r="K899" s="5"/>
      <c r="L899" s="5"/>
      <c r="M899" s="31"/>
      <c r="N899" s="29"/>
    </row>
    <row r="900" spans="1:14" s="33" customFormat="1" x14ac:dyDescent="0.25">
      <c r="A900" s="27"/>
      <c r="B900" s="5"/>
      <c r="C900" s="29"/>
      <c r="D900" s="65"/>
      <c r="E900" s="24"/>
      <c r="F900" s="25"/>
      <c r="G900" s="30"/>
      <c r="H900" s="31"/>
      <c r="I900" s="5"/>
      <c r="J900" s="5"/>
      <c r="K900" s="5"/>
      <c r="L900" s="5"/>
      <c r="M900" s="31"/>
      <c r="N900" s="29"/>
    </row>
    <row r="901" spans="1:14" s="33" customFormat="1" x14ac:dyDescent="0.25">
      <c r="A901" s="27"/>
      <c r="B901" s="5"/>
      <c r="C901" s="29"/>
      <c r="D901" s="65"/>
      <c r="E901" s="24"/>
      <c r="F901" s="25"/>
      <c r="G901" s="30"/>
      <c r="H901" s="31"/>
      <c r="I901" s="5"/>
      <c r="J901" s="5"/>
      <c r="K901" s="5"/>
      <c r="L901" s="5"/>
      <c r="M901" s="31"/>
      <c r="N901" s="29"/>
    </row>
    <row r="902" spans="1:14" s="33" customFormat="1" x14ac:dyDescent="0.25">
      <c r="A902" s="27"/>
      <c r="B902" s="5"/>
      <c r="C902" s="29"/>
      <c r="D902" s="65"/>
      <c r="E902" s="24"/>
      <c r="F902" s="25"/>
      <c r="G902" s="30"/>
      <c r="H902" s="31"/>
      <c r="I902" s="5"/>
      <c r="J902" s="5"/>
      <c r="K902" s="5"/>
      <c r="L902" s="5"/>
      <c r="M902" s="31"/>
      <c r="N902" s="29"/>
    </row>
    <row r="903" spans="1:14" s="33" customFormat="1" x14ac:dyDescent="0.25">
      <c r="A903" s="27"/>
      <c r="B903" s="5"/>
      <c r="C903" s="29"/>
      <c r="D903" s="65"/>
      <c r="E903" s="24"/>
      <c r="F903" s="25"/>
      <c r="G903" s="30"/>
      <c r="H903" s="31"/>
      <c r="I903" s="5"/>
      <c r="J903" s="5"/>
      <c r="K903" s="5"/>
      <c r="L903" s="5"/>
      <c r="M903" s="31"/>
      <c r="N903" s="29"/>
    </row>
    <row r="904" spans="1:14" s="33" customFormat="1" x14ac:dyDescent="0.25">
      <c r="A904" s="27"/>
      <c r="B904" s="5"/>
      <c r="C904" s="29"/>
      <c r="D904" s="65"/>
      <c r="E904" s="24"/>
      <c r="F904" s="25"/>
      <c r="G904" s="30"/>
      <c r="H904" s="31"/>
      <c r="I904" s="5"/>
      <c r="J904" s="5"/>
      <c r="K904" s="5"/>
      <c r="L904" s="5"/>
      <c r="M904" s="31"/>
      <c r="N904" s="29"/>
    </row>
    <row r="905" spans="1:14" s="33" customFormat="1" x14ac:dyDescent="0.25">
      <c r="A905" s="27"/>
      <c r="B905" s="5"/>
      <c r="C905" s="29"/>
      <c r="D905" s="65"/>
      <c r="E905" s="24"/>
      <c r="F905" s="25"/>
      <c r="G905" s="30"/>
      <c r="H905" s="31"/>
      <c r="I905" s="5"/>
      <c r="J905" s="5"/>
      <c r="K905" s="5"/>
      <c r="L905" s="5"/>
      <c r="M905" s="31"/>
      <c r="N905" s="29"/>
    </row>
    <row r="906" spans="1:14" s="33" customFormat="1" x14ac:dyDescent="0.25">
      <c r="A906" s="27"/>
      <c r="B906" s="5"/>
      <c r="C906" s="29"/>
      <c r="D906" s="65"/>
      <c r="E906" s="24"/>
      <c r="F906" s="25"/>
      <c r="G906" s="30"/>
      <c r="H906" s="31"/>
      <c r="I906" s="5"/>
      <c r="J906" s="5"/>
      <c r="K906" s="5"/>
      <c r="L906" s="5"/>
      <c r="M906" s="31"/>
      <c r="N906" s="29"/>
    </row>
    <row r="907" spans="1:14" s="33" customFormat="1" x14ac:dyDescent="0.25">
      <c r="A907" s="27"/>
      <c r="B907" s="5"/>
      <c r="C907" s="29"/>
      <c r="D907" s="65"/>
      <c r="E907" s="24"/>
      <c r="F907" s="25"/>
      <c r="G907" s="30"/>
      <c r="H907" s="31"/>
      <c r="I907" s="5"/>
      <c r="J907" s="5"/>
      <c r="K907" s="5"/>
      <c r="L907" s="5"/>
      <c r="M907" s="31"/>
      <c r="N907" s="29"/>
    </row>
    <row r="908" spans="1:14" s="33" customFormat="1" x14ac:dyDescent="0.25">
      <c r="A908" s="27"/>
      <c r="B908" s="5"/>
      <c r="C908" s="29"/>
      <c r="D908" s="65"/>
      <c r="E908" s="24"/>
      <c r="F908" s="25"/>
      <c r="G908" s="30"/>
      <c r="H908" s="31"/>
      <c r="I908" s="5"/>
      <c r="J908" s="5"/>
      <c r="K908" s="5"/>
      <c r="L908" s="5"/>
      <c r="M908" s="31"/>
      <c r="N908" s="29"/>
    </row>
    <row r="909" spans="1:14" s="33" customFormat="1" x14ac:dyDescent="0.25">
      <c r="A909" s="27"/>
      <c r="B909" s="5"/>
      <c r="C909" s="29"/>
      <c r="D909" s="65"/>
      <c r="E909" s="24"/>
      <c r="F909" s="25"/>
      <c r="G909" s="30"/>
      <c r="H909" s="31"/>
      <c r="I909" s="5"/>
      <c r="J909" s="5"/>
      <c r="K909" s="5"/>
      <c r="L909" s="5"/>
      <c r="M909" s="31"/>
      <c r="N909" s="29"/>
    </row>
    <row r="910" spans="1:14" s="33" customFormat="1" x14ac:dyDescent="0.25">
      <c r="A910" s="27"/>
      <c r="B910" s="5"/>
      <c r="C910" s="29"/>
      <c r="D910" s="65"/>
      <c r="E910" s="24"/>
      <c r="F910" s="25"/>
      <c r="G910" s="30"/>
      <c r="H910" s="31"/>
      <c r="I910" s="5"/>
      <c r="J910" s="5"/>
      <c r="K910" s="5"/>
      <c r="L910" s="5"/>
      <c r="M910" s="31"/>
      <c r="N910" s="29"/>
    </row>
    <row r="911" spans="1:14" s="33" customFormat="1" x14ac:dyDescent="0.25">
      <c r="A911" s="27"/>
      <c r="B911" s="5"/>
      <c r="C911" s="29"/>
      <c r="D911" s="65"/>
      <c r="E911" s="24"/>
      <c r="F911" s="25"/>
      <c r="G911" s="30"/>
      <c r="H911" s="31"/>
      <c r="I911" s="5"/>
      <c r="J911" s="5"/>
      <c r="K911" s="5"/>
      <c r="L911" s="5"/>
      <c r="M911" s="31"/>
      <c r="N911" s="29"/>
    </row>
    <row r="912" spans="1:14" s="33" customFormat="1" x14ac:dyDescent="0.25">
      <c r="A912" s="27"/>
      <c r="B912" s="5"/>
      <c r="C912" s="29"/>
      <c r="D912" s="65"/>
      <c r="E912" s="24"/>
      <c r="F912" s="25"/>
      <c r="G912" s="30"/>
      <c r="H912" s="31"/>
      <c r="I912" s="5"/>
      <c r="J912" s="5"/>
      <c r="K912" s="5"/>
      <c r="L912" s="5"/>
      <c r="M912" s="31"/>
      <c r="N912" s="29"/>
    </row>
    <row r="913" spans="1:14" s="33" customFormat="1" x14ac:dyDescent="0.25">
      <c r="A913" s="27"/>
      <c r="B913" s="5"/>
      <c r="C913" s="29"/>
      <c r="D913" s="65"/>
      <c r="E913" s="24"/>
      <c r="F913" s="25"/>
      <c r="G913" s="30"/>
      <c r="H913" s="31"/>
      <c r="I913" s="5"/>
      <c r="J913" s="5"/>
      <c r="K913" s="5"/>
      <c r="L913" s="5"/>
      <c r="M913" s="31"/>
      <c r="N913" s="29"/>
    </row>
    <row r="914" spans="1:14" s="33" customFormat="1" x14ac:dyDescent="0.25">
      <c r="A914" s="27"/>
      <c r="B914" s="5"/>
      <c r="C914" s="29"/>
      <c r="D914" s="65"/>
      <c r="E914" s="24"/>
      <c r="F914" s="25"/>
      <c r="G914" s="30"/>
      <c r="H914" s="31"/>
      <c r="I914" s="5"/>
      <c r="J914" s="5"/>
      <c r="K914" s="5"/>
      <c r="L914" s="5"/>
      <c r="M914" s="31"/>
      <c r="N914" s="29"/>
    </row>
    <row r="915" spans="1:14" s="33" customFormat="1" x14ac:dyDescent="0.25">
      <c r="A915" s="27"/>
      <c r="B915" s="5"/>
      <c r="C915" s="29"/>
      <c r="D915" s="65"/>
      <c r="E915" s="24"/>
      <c r="F915" s="25"/>
      <c r="G915" s="30"/>
      <c r="H915" s="31"/>
      <c r="I915" s="5"/>
      <c r="J915" s="5"/>
      <c r="K915" s="5"/>
      <c r="L915" s="5"/>
      <c r="M915" s="31"/>
      <c r="N915" s="29"/>
    </row>
    <row r="916" spans="1:14" s="33" customFormat="1" x14ac:dyDescent="0.25">
      <c r="A916" s="27"/>
      <c r="B916" s="5"/>
      <c r="C916" s="29"/>
      <c r="D916" s="65"/>
      <c r="E916" s="24"/>
      <c r="F916" s="25"/>
      <c r="G916" s="30"/>
      <c r="H916" s="31"/>
      <c r="I916" s="5"/>
      <c r="J916" s="5"/>
      <c r="K916" s="5"/>
      <c r="L916" s="5"/>
      <c r="M916" s="31"/>
      <c r="N916" s="29"/>
    </row>
    <row r="917" spans="1:14" s="33" customFormat="1" x14ac:dyDescent="0.25">
      <c r="A917" s="27"/>
      <c r="B917" s="5"/>
      <c r="C917" s="29"/>
      <c r="D917" s="65"/>
      <c r="E917" s="24"/>
      <c r="F917" s="25"/>
      <c r="G917" s="30"/>
      <c r="H917" s="31"/>
      <c r="I917" s="5"/>
      <c r="J917" s="5"/>
      <c r="K917" s="5"/>
      <c r="L917" s="5"/>
      <c r="M917" s="31"/>
      <c r="N917" s="29"/>
    </row>
    <row r="918" spans="1:14" s="33" customFormat="1" x14ac:dyDescent="0.25">
      <c r="A918" s="27"/>
      <c r="B918" s="5"/>
      <c r="C918" s="29"/>
      <c r="D918" s="65"/>
      <c r="E918" s="24"/>
      <c r="F918" s="25"/>
      <c r="G918" s="30"/>
      <c r="H918" s="31"/>
      <c r="I918" s="5"/>
      <c r="J918" s="5"/>
      <c r="K918" s="5"/>
      <c r="L918" s="5"/>
      <c r="M918" s="31"/>
      <c r="N918" s="29"/>
    </row>
    <row r="919" spans="1:14" s="33" customFormat="1" x14ac:dyDescent="0.25">
      <c r="A919" s="27"/>
      <c r="B919" s="5"/>
      <c r="C919" s="29"/>
      <c r="D919" s="65"/>
      <c r="E919" s="24"/>
      <c r="F919" s="25"/>
      <c r="G919" s="30"/>
      <c r="H919" s="31"/>
      <c r="I919" s="5"/>
      <c r="J919" s="5"/>
      <c r="K919" s="5"/>
      <c r="L919" s="5"/>
      <c r="M919" s="31"/>
      <c r="N919" s="29"/>
    </row>
    <row r="920" spans="1:14" s="33" customFormat="1" x14ac:dyDescent="0.25">
      <c r="A920" s="27"/>
      <c r="B920" s="5"/>
      <c r="C920" s="29"/>
      <c r="D920" s="65"/>
      <c r="E920" s="24"/>
      <c r="F920" s="25"/>
      <c r="G920" s="30"/>
      <c r="H920" s="31"/>
      <c r="I920" s="5"/>
      <c r="J920" s="5"/>
      <c r="K920" s="5"/>
      <c r="L920" s="5"/>
      <c r="M920" s="31"/>
      <c r="N920" s="29"/>
    </row>
    <row r="921" spans="1:14" s="33" customFormat="1" x14ac:dyDescent="0.25">
      <c r="A921" s="27"/>
      <c r="B921" s="5"/>
      <c r="C921" s="29"/>
      <c r="D921" s="65"/>
      <c r="E921" s="24"/>
      <c r="F921" s="25"/>
      <c r="G921" s="30"/>
      <c r="H921" s="31"/>
      <c r="I921" s="5"/>
      <c r="J921" s="5"/>
      <c r="K921" s="5"/>
      <c r="L921" s="5"/>
      <c r="M921" s="31"/>
      <c r="N921" s="29"/>
    </row>
    <row r="922" spans="1:14" s="33" customFormat="1" x14ac:dyDescent="0.25">
      <c r="A922" s="27"/>
      <c r="B922" s="5"/>
      <c r="C922" s="29"/>
      <c r="D922" s="65"/>
      <c r="E922" s="24"/>
      <c r="F922" s="25"/>
      <c r="G922" s="30"/>
      <c r="H922" s="31"/>
      <c r="I922" s="5"/>
      <c r="J922" s="5"/>
      <c r="K922" s="5"/>
      <c r="L922" s="5"/>
      <c r="M922" s="31"/>
      <c r="N922" s="29"/>
    </row>
    <row r="923" spans="1:14" s="33" customFormat="1" x14ac:dyDescent="0.25">
      <c r="A923" s="27"/>
      <c r="B923" s="5"/>
      <c r="C923" s="29"/>
      <c r="D923" s="65"/>
      <c r="E923" s="24"/>
      <c r="F923" s="25"/>
      <c r="G923" s="30"/>
      <c r="H923" s="31"/>
      <c r="I923" s="5"/>
      <c r="J923" s="5"/>
      <c r="K923" s="5"/>
      <c r="L923" s="5"/>
      <c r="M923" s="31"/>
      <c r="N923" s="29"/>
    </row>
    <row r="924" spans="1:14" s="33" customFormat="1" x14ac:dyDescent="0.25">
      <c r="A924" s="27"/>
      <c r="B924" s="5"/>
      <c r="C924" s="29"/>
      <c r="D924" s="65"/>
      <c r="E924" s="24"/>
      <c r="F924" s="25"/>
      <c r="G924" s="30"/>
      <c r="H924" s="31"/>
      <c r="I924" s="5"/>
      <c r="J924" s="5"/>
      <c r="K924" s="5"/>
      <c r="L924" s="5"/>
      <c r="M924" s="31"/>
      <c r="N924" s="29"/>
    </row>
    <row r="925" spans="1:14" s="33" customFormat="1" x14ac:dyDescent="0.25">
      <c r="A925" s="27"/>
      <c r="B925" s="5"/>
      <c r="C925" s="29"/>
      <c r="D925" s="65"/>
      <c r="E925" s="24"/>
      <c r="F925" s="25"/>
      <c r="G925" s="30"/>
      <c r="H925" s="31"/>
      <c r="I925" s="5"/>
      <c r="J925" s="5"/>
      <c r="K925" s="5"/>
      <c r="L925" s="5"/>
      <c r="M925" s="31"/>
      <c r="N925" s="29"/>
    </row>
    <row r="926" spans="1:14" s="33" customFormat="1" x14ac:dyDescent="0.25">
      <c r="A926" s="27"/>
      <c r="B926" s="5"/>
      <c r="C926" s="29"/>
      <c r="D926" s="65"/>
      <c r="E926" s="24"/>
      <c r="F926" s="25"/>
      <c r="G926" s="30"/>
      <c r="H926" s="31"/>
      <c r="I926" s="5"/>
      <c r="J926" s="5"/>
      <c r="K926" s="5"/>
      <c r="L926" s="5"/>
      <c r="M926" s="31"/>
      <c r="N926" s="29"/>
    </row>
    <row r="927" spans="1:14" s="33" customFormat="1" x14ac:dyDescent="0.25">
      <c r="A927" s="27"/>
      <c r="B927" s="5"/>
      <c r="C927" s="29"/>
      <c r="D927" s="65"/>
      <c r="E927" s="24"/>
      <c r="F927" s="25"/>
      <c r="G927" s="30"/>
      <c r="H927" s="31"/>
      <c r="I927" s="5"/>
      <c r="J927" s="5"/>
      <c r="K927" s="5"/>
      <c r="L927" s="5"/>
      <c r="M927" s="31"/>
      <c r="N927" s="29"/>
    </row>
    <row r="928" spans="1:14" s="33" customFormat="1" x14ac:dyDescent="0.25">
      <c r="A928" s="27"/>
      <c r="B928" s="5"/>
      <c r="C928" s="29"/>
      <c r="D928" s="65"/>
      <c r="E928" s="24"/>
      <c r="F928" s="25"/>
      <c r="G928" s="30"/>
      <c r="H928" s="31"/>
      <c r="I928" s="5"/>
      <c r="J928" s="5"/>
      <c r="K928" s="5"/>
      <c r="L928" s="5"/>
      <c r="M928" s="31"/>
      <c r="N928" s="29"/>
    </row>
    <row r="929" spans="1:14" s="33" customFormat="1" x14ac:dyDescent="0.25">
      <c r="A929" s="27"/>
      <c r="B929" s="5"/>
      <c r="C929" s="29"/>
      <c r="D929" s="65"/>
      <c r="E929" s="24"/>
      <c r="F929" s="25"/>
      <c r="G929" s="30"/>
      <c r="H929" s="31"/>
      <c r="I929" s="5"/>
      <c r="J929" s="5"/>
      <c r="K929" s="5"/>
      <c r="L929" s="5"/>
      <c r="M929" s="31"/>
      <c r="N929" s="29"/>
    </row>
    <row r="930" spans="1:14" s="33" customFormat="1" x14ac:dyDescent="0.25">
      <c r="A930" s="27"/>
      <c r="B930" s="5"/>
      <c r="C930" s="29"/>
      <c r="D930" s="65"/>
      <c r="E930" s="24"/>
      <c r="F930" s="25"/>
      <c r="G930" s="30"/>
      <c r="H930" s="31"/>
      <c r="I930" s="5"/>
      <c r="J930" s="5"/>
      <c r="K930" s="5"/>
      <c r="L930" s="5"/>
      <c r="M930" s="31"/>
      <c r="N930" s="29"/>
    </row>
    <row r="931" spans="1:14" s="33" customFormat="1" x14ac:dyDescent="0.25">
      <c r="A931" s="27"/>
      <c r="B931" s="5"/>
      <c r="C931" s="29"/>
      <c r="D931" s="65"/>
      <c r="E931" s="24"/>
      <c r="F931" s="25"/>
      <c r="G931" s="30"/>
      <c r="H931" s="31"/>
      <c r="I931" s="5"/>
      <c r="J931" s="5"/>
      <c r="K931" s="5"/>
      <c r="L931" s="5"/>
      <c r="M931" s="31"/>
      <c r="N931" s="29"/>
    </row>
    <row r="932" spans="1:14" s="33" customFormat="1" x14ac:dyDescent="0.25">
      <c r="A932" s="27"/>
      <c r="B932" s="5"/>
      <c r="C932" s="29"/>
      <c r="D932" s="65"/>
      <c r="E932" s="24"/>
      <c r="F932" s="25"/>
      <c r="G932" s="30"/>
      <c r="H932" s="31"/>
      <c r="I932" s="5"/>
      <c r="J932" s="5"/>
      <c r="K932" s="5"/>
      <c r="L932" s="5"/>
      <c r="M932" s="31"/>
      <c r="N932" s="29"/>
    </row>
    <row r="933" spans="1:14" s="33" customFormat="1" x14ac:dyDescent="0.25">
      <c r="A933" s="27"/>
      <c r="B933" s="5"/>
      <c r="C933" s="29"/>
      <c r="D933" s="65"/>
      <c r="E933" s="24"/>
      <c r="F933" s="25"/>
      <c r="G933" s="30"/>
      <c r="H933" s="31"/>
      <c r="I933" s="5"/>
      <c r="J933" s="5"/>
      <c r="K933" s="5"/>
      <c r="L933" s="5"/>
      <c r="M933" s="31"/>
      <c r="N933" s="29"/>
    </row>
    <row r="934" spans="1:14" s="33" customFormat="1" x14ac:dyDescent="0.25">
      <c r="A934" s="27"/>
      <c r="B934" s="5"/>
      <c r="C934" s="29"/>
      <c r="D934" s="65"/>
      <c r="E934" s="24"/>
      <c r="F934" s="25"/>
      <c r="G934" s="30"/>
      <c r="H934" s="31"/>
      <c r="I934" s="5"/>
      <c r="J934" s="5"/>
      <c r="K934" s="5"/>
      <c r="L934" s="5"/>
      <c r="M934" s="31"/>
      <c r="N934" s="29"/>
    </row>
    <row r="935" spans="1:14" s="33" customFormat="1" x14ac:dyDescent="0.25">
      <c r="A935" s="27"/>
      <c r="B935" s="5"/>
      <c r="C935" s="29"/>
      <c r="D935" s="65"/>
      <c r="E935" s="24"/>
      <c r="F935" s="25"/>
      <c r="G935" s="30"/>
      <c r="H935" s="31"/>
      <c r="I935" s="5"/>
      <c r="J935" s="5"/>
      <c r="K935" s="5"/>
      <c r="L935" s="5"/>
      <c r="M935" s="31"/>
      <c r="N935" s="29"/>
    </row>
    <row r="936" spans="1:14" s="33" customFormat="1" x14ac:dyDescent="0.25">
      <c r="A936" s="27"/>
      <c r="B936" s="5"/>
      <c r="C936" s="29"/>
      <c r="D936" s="65"/>
      <c r="E936" s="24"/>
      <c r="F936" s="25"/>
      <c r="G936" s="30"/>
      <c r="H936" s="31"/>
      <c r="I936" s="5"/>
      <c r="J936" s="5"/>
      <c r="K936" s="5"/>
      <c r="L936" s="5"/>
      <c r="M936" s="31"/>
      <c r="N936" s="29"/>
    </row>
    <row r="937" spans="1:14" s="33" customFormat="1" x14ac:dyDescent="0.25">
      <c r="A937" s="27"/>
      <c r="B937" s="5"/>
      <c r="C937" s="29"/>
      <c r="D937" s="65"/>
      <c r="E937" s="24"/>
      <c r="F937" s="25"/>
      <c r="G937" s="30"/>
      <c r="H937" s="31"/>
      <c r="I937" s="5"/>
      <c r="J937" s="5"/>
      <c r="K937" s="5"/>
      <c r="L937" s="5"/>
      <c r="M937" s="31"/>
      <c r="N937" s="29"/>
    </row>
    <row r="938" spans="1:14" s="33" customFormat="1" x14ac:dyDescent="0.25">
      <c r="A938" s="27"/>
      <c r="B938" s="5"/>
      <c r="C938" s="29"/>
      <c r="D938" s="65"/>
      <c r="E938" s="24"/>
      <c r="F938" s="25"/>
      <c r="G938" s="30"/>
      <c r="H938" s="31"/>
      <c r="I938" s="5"/>
      <c r="J938" s="5"/>
      <c r="K938" s="5"/>
      <c r="L938" s="5"/>
      <c r="M938" s="31"/>
      <c r="N938" s="29"/>
    </row>
    <row r="939" spans="1:14" s="33" customFormat="1" x14ac:dyDescent="0.25">
      <c r="A939" s="27"/>
      <c r="B939" s="5"/>
      <c r="C939" s="29"/>
      <c r="D939" s="65"/>
      <c r="E939" s="24"/>
      <c r="F939" s="25"/>
      <c r="G939" s="30"/>
      <c r="H939" s="31"/>
      <c r="I939" s="5"/>
      <c r="J939" s="5"/>
      <c r="K939" s="5"/>
      <c r="L939" s="5"/>
      <c r="M939" s="31"/>
      <c r="N939" s="29"/>
    </row>
    <row r="940" spans="1:14" s="33" customFormat="1" x14ac:dyDescent="0.25">
      <c r="A940" s="27"/>
      <c r="B940" s="5"/>
      <c r="C940" s="29"/>
      <c r="D940" s="65"/>
      <c r="E940" s="24"/>
      <c r="F940" s="25"/>
      <c r="G940" s="30"/>
      <c r="H940" s="31"/>
      <c r="I940" s="5"/>
      <c r="J940" s="5"/>
      <c r="K940" s="5"/>
      <c r="L940" s="5"/>
      <c r="M940" s="31"/>
      <c r="N940" s="29"/>
    </row>
    <row r="941" spans="1:14" s="33" customFormat="1" x14ac:dyDescent="0.25">
      <c r="A941" s="27"/>
      <c r="B941" s="5"/>
      <c r="C941" s="29"/>
      <c r="D941" s="65"/>
      <c r="E941" s="24"/>
      <c r="F941" s="25"/>
      <c r="G941" s="30"/>
      <c r="H941" s="31"/>
      <c r="I941" s="5"/>
      <c r="J941" s="5"/>
      <c r="K941" s="5"/>
      <c r="L941" s="5"/>
      <c r="M941" s="31"/>
      <c r="N941" s="29"/>
    </row>
    <row r="942" spans="1:14" s="33" customFormat="1" x14ac:dyDescent="0.25">
      <c r="A942" s="27"/>
      <c r="B942" s="5"/>
      <c r="C942" s="29"/>
      <c r="D942" s="65"/>
      <c r="E942" s="24"/>
      <c r="F942" s="25"/>
      <c r="G942" s="30"/>
      <c r="H942" s="31"/>
      <c r="I942" s="5"/>
      <c r="J942" s="5"/>
      <c r="K942" s="5"/>
      <c r="L942" s="5"/>
      <c r="M942" s="31"/>
      <c r="N942" s="29"/>
    </row>
    <row r="943" spans="1:14" s="33" customFormat="1" x14ac:dyDescent="0.25">
      <c r="A943" s="27"/>
      <c r="B943" s="5"/>
      <c r="C943" s="29"/>
      <c r="D943" s="65"/>
      <c r="E943" s="24"/>
      <c r="F943" s="25"/>
      <c r="G943" s="30"/>
      <c r="H943" s="31"/>
      <c r="I943" s="5"/>
      <c r="J943" s="5"/>
      <c r="K943" s="5"/>
      <c r="L943" s="5"/>
      <c r="M943" s="31"/>
      <c r="N943" s="29"/>
    </row>
    <row r="944" spans="1:14" s="33" customFormat="1" x14ac:dyDescent="0.25">
      <c r="A944" s="27"/>
      <c r="B944" s="5"/>
      <c r="C944" s="29"/>
      <c r="D944" s="65"/>
      <c r="E944" s="24"/>
      <c r="F944" s="25"/>
      <c r="G944" s="30"/>
      <c r="H944" s="31"/>
      <c r="I944" s="5"/>
      <c r="J944" s="5"/>
      <c r="K944" s="5"/>
      <c r="L944" s="5"/>
      <c r="M944" s="31"/>
      <c r="N944" s="29"/>
    </row>
    <row r="945" spans="1:14" s="33" customFormat="1" x14ac:dyDescent="0.25">
      <c r="A945" s="27"/>
      <c r="B945" s="5"/>
      <c r="C945" s="29"/>
      <c r="D945" s="65"/>
      <c r="E945" s="24"/>
      <c r="F945" s="25"/>
      <c r="G945" s="30"/>
      <c r="H945" s="31"/>
      <c r="I945" s="5"/>
      <c r="J945" s="5"/>
      <c r="K945" s="5"/>
      <c r="L945" s="5"/>
      <c r="M945" s="31"/>
      <c r="N945" s="29"/>
    </row>
    <row r="946" spans="1:14" s="33" customFormat="1" x14ac:dyDescent="0.25">
      <c r="A946" s="27"/>
      <c r="B946" s="5"/>
      <c r="C946" s="29"/>
      <c r="D946" s="65"/>
      <c r="E946" s="24"/>
      <c r="F946" s="25"/>
      <c r="G946" s="30"/>
      <c r="H946" s="31"/>
      <c r="I946" s="5"/>
      <c r="J946" s="5"/>
      <c r="K946" s="5"/>
      <c r="L946" s="5"/>
      <c r="M946" s="31"/>
      <c r="N946" s="29"/>
    </row>
    <row r="947" spans="1:14" s="33" customFormat="1" x14ac:dyDescent="0.25">
      <c r="A947" s="27"/>
      <c r="B947" s="5"/>
      <c r="C947" s="29"/>
      <c r="D947" s="65"/>
      <c r="E947" s="24"/>
      <c r="F947" s="25"/>
      <c r="G947" s="30"/>
      <c r="H947" s="31"/>
      <c r="I947" s="5"/>
      <c r="J947" s="5"/>
      <c r="K947" s="5"/>
      <c r="L947" s="5"/>
      <c r="M947" s="31"/>
      <c r="N947" s="29"/>
    </row>
    <row r="948" spans="1:14" s="33" customFormat="1" x14ac:dyDescent="0.25">
      <c r="A948" s="27"/>
      <c r="B948" s="5"/>
      <c r="C948" s="29"/>
      <c r="D948" s="65"/>
      <c r="E948" s="24"/>
      <c r="F948" s="25"/>
      <c r="G948" s="30"/>
      <c r="H948" s="31"/>
      <c r="I948" s="5"/>
      <c r="J948" s="5"/>
      <c r="K948" s="5"/>
      <c r="L948" s="5"/>
      <c r="M948" s="31"/>
      <c r="N948" s="29"/>
    </row>
    <row r="949" spans="1:14" s="33" customFormat="1" x14ac:dyDescent="0.25">
      <c r="A949" s="27"/>
      <c r="B949" s="5"/>
      <c r="C949" s="29"/>
      <c r="D949" s="65"/>
      <c r="E949" s="24"/>
      <c r="F949" s="25"/>
      <c r="G949" s="30"/>
      <c r="H949" s="31"/>
      <c r="I949" s="5"/>
      <c r="J949" s="5"/>
      <c r="K949" s="5"/>
      <c r="L949" s="5"/>
      <c r="M949" s="31"/>
      <c r="N949" s="29"/>
    </row>
    <row r="950" spans="1:14" s="33" customFormat="1" x14ac:dyDescent="0.25">
      <c r="A950" s="27"/>
      <c r="B950" s="5"/>
      <c r="C950" s="29"/>
      <c r="D950" s="65"/>
      <c r="E950" s="24"/>
      <c r="F950" s="25"/>
      <c r="G950" s="30"/>
      <c r="H950" s="31"/>
      <c r="I950" s="5"/>
      <c r="J950" s="5"/>
      <c r="K950" s="5"/>
      <c r="L950" s="5"/>
      <c r="M950" s="31"/>
      <c r="N950" s="29"/>
    </row>
    <row r="951" spans="1:14" s="33" customFormat="1" x14ac:dyDescent="0.25">
      <c r="A951" s="27"/>
      <c r="B951" s="5"/>
      <c r="C951" s="29"/>
      <c r="D951" s="65"/>
      <c r="E951" s="24"/>
      <c r="F951" s="25"/>
      <c r="G951" s="30"/>
      <c r="H951" s="31"/>
      <c r="I951" s="5"/>
      <c r="J951" s="5"/>
      <c r="K951" s="5"/>
      <c r="L951" s="5"/>
      <c r="M951" s="31"/>
      <c r="N951" s="29"/>
    </row>
    <row r="952" spans="1:14" s="33" customFormat="1" x14ac:dyDescent="0.25">
      <c r="A952" s="27"/>
      <c r="B952" s="5"/>
      <c r="C952" s="29"/>
      <c r="D952" s="65"/>
      <c r="E952" s="24"/>
      <c r="F952" s="25"/>
      <c r="G952" s="30"/>
      <c r="H952" s="31"/>
      <c r="I952" s="5"/>
      <c r="J952" s="5"/>
      <c r="K952" s="5"/>
      <c r="L952" s="5"/>
      <c r="M952" s="31"/>
      <c r="N952" s="29"/>
    </row>
    <row r="953" spans="1:14" s="33" customFormat="1" x14ac:dyDescent="0.25">
      <c r="A953" s="27"/>
      <c r="B953" s="5"/>
      <c r="C953" s="29"/>
      <c r="D953" s="65"/>
      <c r="E953" s="24"/>
      <c r="F953" s="25"/>
      <c r="G953" s="30"/>
      <c r="H953" s="31"/>
      <c r="I953" s="5"/>
      <c r="J953" s="5"/>
      <c r="K953" s="5"/>
      <c r="L953" s="5"/>
      <c r="M953" s="31"/>
      <c r="N953" s="29"/>
    </row>
    <row r="954" spans="1:14" s="33" customFormat="1" x14ac:dyDescent="0.25">
      <c r="A954" s="27"/>
      <c r="B954" s="5"/>
      <c r="C954" s="29"/>
      <c r="D954" s="65"/>
      <c r="E954" s="24"/>
      <c r="F954" s="25"/>
      <c r="G954" s="30"/>
      <c r="H954" s="31"/>
      <c r="I954" s="5"/>
      <c r="J954" s="5"/>
      <c r="K954" s="5"/>
      <c r="L954" s="5"/>
      <c r="M954" s="31"/>
      <c r="N954" s="29"/>
    </row>
    <row r="955" spans="1:14" s="33" customFormat="1" x14ac:dyDescent="0.25">
      <c r="A955" s="27"/>
      <c r="B955" s="5"/>
      <c r="C955" s="29"/>
      <c r="D955" s="65"/>
      <c r="E955" s="24"/>
      <c r="F955" s="25"/>
      <c r="G955" s="30"/>
      <c r="H955" s="31"/>
      <c r="I955" s="5"/>
      <c r="J955" s="5"/>
      <c r="K955" s="5"/>
      <c r="L955" s="5"/>
      <c r="M955" s="31"/>
      <c r="N955" s="29"/>
    </row>
    <row r="956" spans="1:14" s="33" customFormat="1" x14ac:dyDescent="0.25">
      <c r="A956" s="27"/>
      <c r="B956" s="5"/>
      <c r="C956" s="29"/>
      <c r="D956" s="65"/>
      <c r="E956" s="24"/>
      <c r="F956" s="25"/>
      <c r="G956" s="30"/>
      <c r="H956" s="31"/>
      <c r="I956" s="5"/>
      <c r="J956" s="5"/>
      <c r="K956" s="5"/>
      <c r="L956" s="5"/>
      <c r="M956" s="31"/>
      <c r="N956" s="29"/>
    </row>
    <row r="957" spans="1:14" s="33" customFormat="1" x14ac:dyDescent="0.25">
      <c r="A957" s="27"/>
      <c r="B957" s="5"/>
      <c r="C957" s="29"/>
      <c r="D957" s="65"/>
      <c r="E957" s="24"/>
      <c r="F957" s="25"/>
      <c r="G957" s="30"/>
      <c r="H957" s="31"/>
      <c r="I957" s="5"/>
      <c r="J957" s="5"/>
      <c r="K957" s="5"/>
      <c r="L957" s="5"/>
      <c r="M957" s="31"/>
      <c r="N957" s="29"/>
    </row>
    <row r="958" spans="1:14" s="33" customFormat="1" x14ac:dyDescent="0.25">
      <c r="A958" s="27"/>
      <c r="B958" s="5"/>
      <c r="C958" s="29"/>
      <c r="D958" s="65"/>
      <c r="E958" s="24"/>
      <c r="F958" s="25"/>
      <c r="G958" s="30"/>
      <c r="H958" s="31"/>
      <c r="I958" s="5"/>
      <c r="J958" s="5"/>
      <c r="K958" s="5"/>
      <c r="L958" s="5"/>
      <c r="M958" s="31"/>
      <c r="N958" s="29"/>
    </row>
    <row r="959" spans="1:14" s="33" customFormat="1" x14ac:dyDescent="0.25">
      <c r="A959" s="27"/>
      <c r="B959" s="5"/>
      <c r="C959" s="29"/>
      <c r="D959" s="65"/>
      <c r="E959" s="24"/>
      <c r="F959" s="25"/>
      <c r="G959" s="30"/>
      <c r="H959" s="31"/>
      <c r="I959" s="5"/>
      <c r="J959" s="5"/>
      <c r="K959" s="5"/>
      <c r="L959" s="5"/>
      <c r="M959" s="31"/>
      <c r="N959" s="29"/>
    </row>
    <row r="960" spans="1:14" s="33" customFormat="1" x14ac:dyDescent="0.25">
      <c r="A960" s="27"/>
      <c r="B960" s="5"/>
      <c r="C960" s="29"/>
      <c r="D960" s="65"/>
      <c r="E960" s="24"/>
      <c r="F960" s="25"/>
      <c r="G960" s="30"/>
      <c r="H960" s="31"/>
      <c r="I960" s="5"/>
      <c r="J960" s="5"/>
      <c r="K960" s="5"/>
      <c r="L960" s="5"/>
      <c r="M960" s="31"/>
      <c r="N960" s="29"/>
    </row>
    <row r="961" spans="1:14" s="33" customFormat="1" x14ac:dyDescent="0.25">
      <c r="A961" s="27"/>
      <c r="B961" s="5"/>
      <c r="C961" s="29"/>
      <c r="D961" s="65"/>
      <c r="E961" s="24"/>
      <c r="F961" s="25"/>
      <c r="G961" s="30"/>
      <c r="H961" s="31"/>
      <c r="I961" s="5"/>
      <c r="J961" s="5"/>
      <c r="K961" s="5"/>
      <c r="L961" s="5"/>
      <c r="M961" s="31"/>
      <c r="N961" s="29"/>
    </row>
    <row r="962" spans="1:14" s="33" customFormat="1" x14ac:dyDescent="0.25">
      <c r="A962" s="27"/>
      <c r="B962" s="5"/>
      <c r="C962" s="29"/>
      <c r="D962" s="65"/>
      <c r="E962" s="24"/>
      <c r="F962" s="25"/>
      <c r="G962" s="30"/>
      <c r="H962" s="31"/>
      <c r="I962" s="5"/>
      <c r="J962" s="5"/>
      <c r="K962" s="5"/>
      <c r="L962" s="5"/>
      <c r="M962" s="31"/>
      <c r="N962" s="29"/>
    </row>
    <row r="963" spans="1:14" s="33" customFormat="1" x14ac:dyDescent="0.25">
      <c r="A963" s="27"/>
      <c r="B963" s="5"/>
      <c r="C963" s="29"/>
      <c r="D963" s="65"/>
      <c r="E963" s="24"/>
      <c r="F963" s="25"/>
      <c r="G963" s="30"/>
      <c r="H963" s="31"/>
      <c r="I963" s="5"/>
      <c r="J963" s="5"/>
      <c r="K963" s="5"/>
      <c r="L963" s="5"/>
      <c r="M963" s="31"/>
      <c r="N963" s="29"/>
    </row>
    <row r="964" spans="1:14" s="33" customFormat="1" x14ac:dyDescent="0.25">
      <c r="A964" s="27"/>
      <c r="B964" s="5"/>
      <c r="C964" s="29"/>
      <c r="D964" s="65"/>
      <c r="E964" s="24"/>
      <c r="F964" s="25"/>
      <c r="G964" s="30"/>
      <c r="H964" s="31"/>
      <c r="I964" s="5"/>
      <c r="J964" s="5"/>
      <c r="K964" s="5"/>
      <c r="L964" s="5"/>
      <c r="M964" s="31"/>
      <c r="N964" s="29"/>
    </row>
    <row r="965" spans="1:14" s="33" customFormat="1" x14ac:dyDescent="0.25">
      <c r="A965" s="27"/>
      <c r="B965" s="5"/>
      <c r="C965" s="29"/>
      <c r="D965" s="65"/>
      <c r="E965" s="24"/>
      <c r="F965" s="25"/>
      <c r="G965" s="30"/>
      <c r="H965" s="31"/>
      <c r="I965" s="5"/>
      <c r="J965" s="5"/>
      <c r="K965" s="5"/>
      <c r="L965" s="5"/>
      <c r="M965" s="31"/>
      <c r="N965" s="29"/>
    </row>
    <row r="966" spans="1:14" s="33" customFormat="1" x14ac:dyDescent="0.25">
      <c r="A966" s="27"/>
      <c r="B966" s="5"/>
      <c r="C966" s="29"/>
      <c r="D966" s="65"/>
      <c r="E966" s="24"/>
      <c r="F966" s="25"/>
      <c r="G966" s="30"/>
      <c r="H966" s="31"/>
      <c r="I966" s="5"/>
      <c r="J966" s="5"/>
      <c r="K966" s="5"/>
      <c r="L966" s="5"/>
      <c r="M966" s="31"/>
      <c r="N966" s="29"/>
    </row>
    <row r="967" spans="1:14" s="33" customFormat="1" x14ac:dyDescent="0.25">
      <c r="A967" s="27"/>
      <c r="B967" s="5"/>
      <c r="C967" s="29"/>
      <c r="D967" s="65"/>
      <c r="E967" s="24"/>
      <c r="F967" s="25"/>
      <c r="G967" s="30"/>
      <c r="H967" s="31"/>
      <c r="I967" s="5"/>
      <c r="J967" s="5"/>
      <c r="K967" s="5"/>
      <c r="L967" s="5"/>
      <c r="M967" s="31"/>
      <c r="N967" s="29"/>
    </row>
    <row r="968" spans="1:14" s="33" customFormat="1" x14ac:dyDescent="0.25">
      <c r="A968" s="27"/>
      <c r="B968" s="5"/>
      <c r="C968" s="29"/>
      <c r="D968" s="65"/>
      <c r="E968" s="24"/>
      <c r="F968" s="25"/>
      <c r="G968" s="30"/>
      <c r="H968" s="31"/>
      <c r="I968" s="5"/>
      <c r="J968" s="5"/>
      <c r="K968" s="5"/>
      <c r="L968" s="5"/>
      <c r="M968" s="31"/>
      <c r="N968" s="29"/>
    </row>
    <row r="969" spans="1:14" s="33" customFormat="1" x14ac:dyDescent="0.25">
      <c r="A969" s="27"/>
      <c r="B969" s="5"/>
      <c r="C969" s="29"/>
      <c r="D969" s="65"/>
      <c r="E969" s="24"/>
      <c r="F969" s="25"/>
      <c r="G969" s="30"/>
      <c r="H969" s="31"/>
      <c r="I969" s="5"/>
      <c r="J969" s="5"/>
      <c r="K969" s="5"/>
      <c r="L969" s="5"/>
      <c r="M969" s="31"/>
      <c r="N969" s="29"/>
    </row>
    <row r="970" spans="1:14" s="33" customFormat="1" x14ac:dyDescent="0.25">
      <c r="A970" s="27"/>
      <c r="B970" s="5"/>
      <c r="C970" s="29"/>
      <c r="D970" s="65"/>
      <c r="E970" s="24"/>
      <c r="F970" s="25"/>
      <c r="G970" s="30"/>
      <c r="H970" s="31"/>
      <c r="I970" s="5"/>
      <c r="J970" s="5"/>
      <c r="K970" s="5"/>
      <c r="L970" s="5"/>
      <c r="M970" s="31"/>
      <c r="N970" s="29"/>
    </row>
    <row r="971" spans="1:14" s="33" customFormat="1" x14ac:dyDescent="0.25">
      <c r="A971" s="27"/>
      <c r="B971" s="5"/>
      <c r="C971" s="29"/>
      <c r="D971" s="65"/>
      <c r="E971" s="24"/>
      <c r="F971" s="25"/>
      <c r="G971" s="30"/>
      <c r="H971" s="31"/>
      <c r="I971" s="5"/>
      <c r="J971" s="5"/>
      <c r="K971" s="5"/>
      <c r="L971" s="5"/>
      <c r="M971" s="31"/>
      <c r="N971" s="29"/>
    </row>
    <row r="972" spans="1:14" s="33" customFormat="1" x14ac:dyDescent="0.25">
      <c r="A972" s="27"/>
      <c r="B972" s="5"/>
      <c r="C972" s="29"/>
      <c r="D972" s="65"/>
      <c r="E972" s="24"/>
      <c r="F972" s="25"/>
      <c r="G972" s="30"/>
      <c r="H972" s="31"/>
      <c r="I972" s="5"/>
      <c r="J972" s="5"/>
      <c r="K972" s="5"/>
      <c r="L972" s="5"/>
      <c r="M972" s="31"/>
      <c r="N972" s="29"/>
    </row>
    <row r="973" spans="1:14" s="33" customFormat="1" x14ac:dyDescent="0.25">
      <c r="A973" s="27"/>
      <c r="B973" s="5"/>
      <c r="C973" s="29"/>
      <c r="D973" s="65"/>
      <c r="E973" s="24"/>
      <c r="F973" s="25"/>
      <c r="G973" s="30"/>
      <c r="H973" s="31"/>
      <c r="I973" s="5"/>
      <c r="J973" s="5"/>
      <c r="K973" s="5"/>
      <c r="L973" s="5"/>
      <c r="M973" s="31"/>
      <c r="N973" s="29"/>
    </row>
    <row r="974" spans="1:14" s="33" customFormat="1" x14ac:dyDescent="0.25">
      <c r="A974" s="27"/>
      <c r="B974" s="5"/>
      <c r="C974" s="29"/>
      <c r="D974" s="65"/>
      <c r="E974" s="24"/>
      <c r="F974" s="25"/>
      <c r="G974" s="30"/>
      <c r="H974" s="31"/>
      <c r="I974" s="5"/>
      <c r="J974" s="5"/>
      <c r="K974" s="5"/>
      <c r="L974" s="5"/>
      <c r="M974" s="31"/>
      <c r="N974" s="29"/>
    </row>
    <row r="975" spans="1:14" s="33" customFormat="1" x14ac:dyDescent="0.25">
      <c r="A975" s="27"/>
      <c r="B975" s="5"/>
      <c r="C975" s="29"/>
      <c r="D975" s="65"/>
      <c r="E975" s="24"/>
      <c r="F975" s="25"/>
      <c r="G975" s="30"/>
      <c r="H975" s="31"/>
      <c r="I975" s="5"/>
      <c r="J975" s="5"/>
      <c r="K975" s="5"/>
      <c r="L975" s="5"/>
      <c r="M975" s="31"/>
      <c r="N975" s="29"/>
    </row>
    <row r="976" spans="1:14" s="33" customFormat="1" x14ac:dyDescent="0.25">
      <c r="A976" s="27"/>
      <c r="B976" s="5"/>
      <c r="C976" s="29"/>
      <c r="D976" s="65"/>
      <c r="E976" s="24"/>
      <c r="F976" s="25"/>
      <c r="G976" s="30"/>
      <c r="H976" s="31"/>
      <c r="I976" s="5"/>
      <c r="J976" s="5"/>
      <c r="K976" s="5"/>
      <c r="L976" s="5"/>
      <c r="M976" s="31"/>
      <c r="N976" s="29"/>
    </row>
    <row r="977" spans="1:14" s="33" customFormat="1" x14ac:dyDescent="0.25">
      <c r="A977" s="27"/>
      <c r="B977" s="5"/>
      <c r="C977" s="29"/>
      <c r="D977" s="65"/>
      <c r="E977" s="24"/>
      <c r="F977" s="25"/>
      <c r="G977" s="30"/>
      <c r="H977" s="31"/>
      <c r="I977" s="5"/>
      <c r="J977" s="5"/>
      <c r="K977" s="5"/>
      <c r="L977" s="5"/>
      <c r="M977" s="31"/>
      <c r="N977" s="29"/>
    </row>
    <row r="978" spans="1:14" s="33" customFormat="1" x14ac:dyDescent="0.25">
      <c r="A978" s="27"/>
      <c r="B978" s="5"/>
      <c r="C978" s="29"/>
      <c r="D978" s="65"/>
      <c r="E978" s="24"/>
      <c r="F978" s="25"/>
      <c r="G978" s="30"/>
      <c r="H978" s="31"/>
      <c r="I978" s="5"/>
      <c r="J978" s="5"/>
      <c r="K978" s="5"/>
      <c r="L978" s="5"/>
      <c r="M978" s="31"/>
      <c r="N978" s="29"/>
    </row>
    <row r="979" spans="1:14" s="33" customFormat="1" x14ac:dyDescent="0.25">
      <c r="A979" s="27"/>
      <c r="B979" s="5"/>
      <c r="C979" s="29"/>
      <c r="D979" s="65"/>
      <c r="E979" s="24"/>
      <c r="F979" s="25"/>
      <c r="G979" s="30"/>
      <c r="H979" s="31"/>
      <c r="I979" s="5"/>
      <c r="J979" s="5"/>
      <c r="K979" s="5"/>
      <c r="L979" s="5"/>
      <c r="M979" s="31"/>
      <c r="N979" s="29"/>
    </row>
    <row r="980" spans="1:14" s="33" customFormat="1" x14ac:dyDescent="0.25">
      <c r="A980" s="27"/>
      <c r="B980" s="5"/>
      <c r="C980" s="29"/>
      <c r="D980" s="65"/>
      <c r="E980" s="24"/>
      <c r="F980" s="25"/>
      <c r="G980" s="30"/>
      <c r="H980" s="31"/>
      <c r="I980" s="5"/>
      <c r="J980" s="5"/>
      <c r="K980" s="5"/>
      <c r="L980" s="5"/>
      <c r="M980" s="31"/>
      <c r="N980" s="29"/>
    </row>
    <row r="981" spans="1:14" s="33" customFormat="1" x14ac:dyDescent="0.25">
      <c r="A981" s="27"/>
      <c r="B981" s="5"/>
      <c r="C981" s="29"/>
      <c r="D981" s="65"/>
      <c r="E981" s="24"/>
      <c r="F981" s="25"/>
      <c r="G981" s="30"/>
      <c r="H981" s="31"/>
      <c r="I981" s="5"/>
      <c r="J981" s="5"/>
      <c r="K981" s="5"/>
      <c r="L981" s="5"/>
      <c r="M981" s="31"/>
      <c r="N981" s="29"/>
    </row>
    <row r="982" spans="1:14" s="33" customFormat="1" x14ac:dyDescent="0.25">
      <c r="A982" s="27"/>
      <c r="B982" s="5"/>
      <c r="C982" s="29"/>
      <c r="D982" s="65"/>
      <c r="E982" s="24"/>
      <c r="F982" s="25"/>
      <c r="G982" s="30"/>
      <c r="H982" s="31"/>
      <c r="I982" s="5"/>
      <c r="J982" s="5"/>
      <c r="K982" s="5"/>
      <c r="L982" s="5"/>
      <c r="M982" s="31"/>
      <c r="N982" s="29"/>
    </row>
    <row r="983" spans="1:14" s="33" customFormat="1" x14ac:dyDescent="0.25">
      <c r="A983" s="27"/>
      <c r="B983" s="5"/>
      <c r="C983" s="29"/>
      <c r="D983" s="65"/>
      <c r="E983" s="24"/>
      <c r="F983" s="25"/>
      <c r="G983" s="30"/>
      <c r="H983" s="31"/>
      <c r="I983" s="5"/>
      <c r="J983" s="5"/>
      <c r="K983" s="5"/>
      <c r="L983" s="5"/>
      <c r="M983" s="31"/>
      <c r="N983" s="29"/>
    </row>
    <row r="984" spans="1:14" s="33" customFormat="1" x14ac:dyDescent="0.25">
      <c r="A984" s="27"/>
      <c r="B984" s="5"/>
      <c r="C984" s="29"/>
      <c r="D984" s="65"/>
      <c r="E984" s="24"/>
      <c r="F984" s="25"/>
      <c r="G984" s="30"/>
      <c r="H984" s="31"/>
      <c r="I984" s="5"/>
      <c r="J984" s="5"/>
      <c r="K984" s="5"/>
      <c r="L984" s="5"/>
      <c r="M984" s="31"/>
      <c r="N984" s="29"/>
    </row>
    <row r="985" spans="1:14" s="33" customFormat="1" x14ac:dyDescent="0.25">
      <c r="A985" s="27"/>
      <c r="B985" s="5"/>
      <c r="C985" s="29"/>
      <c r="D985" s="65"/>
      <c r="E985" s="24"/>
      <c r="F985" s="25"/>
      <c r="G985" s="30"/>
      <c r="H985" s="31"/>
      <c r="I985" s="5"/>
      <c r="J985" s="5"/>
      <c r="K985" s="5"/>
      <c r="L985" s="5"/>
      <c r="M985" s="31"/>
      <c r="N985" s="29"/>
    </row>
    <row r="986" spans="1:14" s="33" customFormat="1" x14ac:dyDescent="0.25">
      <c r="A986" s="27"/>
      <c r="B986" s="5"/>
      <c r="C986" s="29"/>
      <c r="D986" s="65"/>
      <c r="E986" s="24"/>
      <c r="F986" s="25"/>
      <c r="G986" s="30"/>
      <c r="H986" s="31"/>
      <c r="I986" s="5"/>
      <c r="J986" s="5"/>
      <c r="K986" s="5"/>
      <c r="L986" s="5"/>
      <c r="M986" s="31"/>
      <c r="N986" s="29"/>
    </row>
    <row r="987" spans="1:14" s="33" customFormat="1" x14ac:dyDescent="0.25">
      <c r="A987" s="27"/>
      <c r="B987" s="5"/>
      <c r="C987" s="29"/>
      <c r="D987" s="65"/>
      <c r="E987" s="24"/>
      <c r="F987" s="25"/>
      <c r="G987" s="30"/>
      <c r="H987" s="31"/>
      <c r="I987" s="5"/>
      <c r="J987" s="5"/>
      <c r="K987" s="5"/>
      <c r="L987" s="5"/>
      <c r="M987" s="31"/>
      <c r="N987" s="29"/>
    </row>
    <row r="988" spans="1:14" s="33" customFormat="1" x14ac:dyDescent="0.25">
      <c r="A988" s="27"/>
      <c r="B988" s="5"/>
      <c r="C988" s="29"/>
      <c r="D988" s="65"/>
      <c r="E988" s="24"/>
      <c r="F988" s="25"/>
      <c r="G988" s="30"/>
      <c r="H988" s="31"/>
      <c r="I988" s="5"/>
      <c r="J988" s="5"/>
      <c r="K988" s="5"/>
      <c r="L988" s="5"/>
      <c r="M988" s="31"/>
      <c r="N988" s="29"/>
    </row>
    <row r="989" spans="1:14" s="33" customFormat="1" x14ac:dyDescent="0.25">
      <c r="A989" s="27"/>
      <c r="B989" s="5"/>
      <c r="C989" s="29"/>
      <c r="D989" s="65"/>
      <c r="E989" s="24"/>
      <c r="F989" s="25"/>
      <c r="G989" s="30"/>
      <c r="H989" s="31"/>
      <c r="I989" s="5"/>
      <c r="J989" s="5"/>
      <c r="K989" s="5"/>
      <c r="L989" s="5"/>
      <c r="M989" s="31"/>
      <c r="N989" s="29"/>
    </row>
    <row r="990" spans="1:14" s="33" customFormat="1" x14ac:dyDescent="0.25">
      <c r="A990" s="27"/>
      <c r="B990" s="5"/>
      <c r="C990" s="29"/>
      <c r="D990" s="65"/>
      <c r="E990" s="24"/>
      <c r="F990" s="25"/>
      <c r="G990" s="30"/>
      <c r="H990" s="31"/>
      <c r="I990" s="5"/>
      <c r="J990" s="5"/>
      <c r="K990" s="5"/>
      <c r="L990" s="5"/>
      <c r="M990" s="31"/>
      <c r="N990" s="29"/>
    </row>
    <row r="991" spans="1:14" s="33" customFormat="1" x14ac:dyDescent="0.25">
      <c r="A991" s="27"/>
      <c r="B991" s="5"/>
      <c r="C991" s="29"/>
      <c r="D991" s="65"/>
      <c r="E991" s="24"/>
      <c r="F991" s="25"/>
      <c r="G991" s="30"/>
      <c r="H991" s="31"/>
      <c r="I991" s="5"/>
      <c r="J991" s="5"/>
      <c r="K991" s="5"/>
      <c r="L991" s="5"/>
      <c r="M991" s="31"/>
      <c r="N991" s="29"/>
    </row>
    <row r="992" spans="1:14" s="33" customFormat="1" x14ac:dyDescent="0.25">
      <c r="A992" s="27"/>
      <c r="B992" s="5"/>
      <c r="C992" s="29"/>
      <c r="D992" s="65"/>
      <c r="E992" s="24"/>
      <c r="F992" s="25"/>
      <c r="G992" s="30"/>
      <c r="H992" s="31"/>
      <c r="I992" s="5"/>
      <c r="J992" s="5"/>
      <c r="K992" s="5"/>
      <c r="L992" s="5"/>
      <c r="M992" s="31"/>
      <c r="N992" s="29"/>
    </row>
    <row r="993" spans="1:14" s="33" customFormat="1" x14ac:dyDescent="0.25">
      <c r="A993" s="27"/>
      <c r="B993" s="5"/>
      <c r="C993" s="29"/>
      <c r="D993" s="65"/>
      <c r="E993" s="24"/>
      <c r="F993" s="25"/>
      <c r="G993" s="30"/>
      <c r="H993" s="31"/>
      <c r="I993" s="5"/>
      <c r="J993" s="5"/>
      <c r="K993" s="5"/>
      <c r="L993" s="5"/>
      <c r="M993" s="31"/>
      <c r="N993" s="29"/>
    </row>
    <row r="994" spans="1:14" s="33" customFormat="1" x14ac:dyDescent="0.25">
      <c r="A994" s="27"/>
      <c r="B994" s="5"/>
      <c r="C994" s="29"/>
      <c r="D994" s="65"/>
      <c r="E994" s="24"/>
      <c r="F994" s="25"/>
      <c r="G994" s="30"/>
      <c r="H994" s="31"/>
      <c r="I994" s="5"/>
      <c r="J994" s="5"/>
      <c r="K994" s="5"/>
      <c r="L994" s="5"/>
      <c r="M994" s="31"/>
      <c r="N994" s="29"/>
    </row>
    <row r="995" spans="1:14" s="33" customFormat="1" x14ac:dyDescent="0.25">
      <c r="A995" s="27"/>
      <c r="B995" s="5"/>
      <c r="C995" s="29"/>
      <c r="D995" s="65"/>
      <c r="E995" s="24"/>
      <c r="F995" s="25"/>
      <c r="G995" s="30"/>
      <c r="H995" s="31"/>
      <c r="I995" s="5"/>
      <c r="J995" s="5"/>
      <c r="K995" s="5"/>
      <c r="L995" s="5"/>
      <c r="M995" s="31"/>
      <c r="N995" s="29"/>
    </row>
    <row r="996" spans="1:14" s="33" customFormat="1" x14ac:dyDescent="0.25">
      <c r="A996" s="27"/>
      <c r="B996" s="5"/>
      <c r="C996" s="29"/>
      <c r="D996" s="65"/>
      <c r="E996" s="24"/>
      <c r="F996" s="25"/>
      <c r="G996" s="30"/>
      <c r="H996" s="31"/>
      <c r="I996" s="5"/>
      <c r="J996" s="5"/>
      <c r="K996" s="5"/>
      <c r="L996" s="5"/>
      <c r="M996" s="31"/>
      <c r="N996" s="29"/>
    </row>
    <row r="997" spans="1:14" s="33" customFormat="1" x14ac:dyDescent="0.25">
      <c r="A997" s="27"/>
      <c r="B997" s="5"/>
      <c r="C997" s="29"/>
      <c r="D997" s="65"/>
      <c r="E997" s="24"/>
      <c r="F997" s="25"/>
      <c r="G997" s="30"/>
      <c r="H997" s="31"/>
      <c r="I997" s="5"/>
      <c r="J997" s="5"/>
      <c r="K997" s="5"/>
      <c r="L997" s="5"/>
      <c r="M997" s="31"/>
      <c r="N997" s="29"/>
    </row>
    <row r="998" spans="1:14" s="33" customFormat="1" x14ac:dyDescent="0.25">
      <c r="A998" s="27"/>
      <c r="B998" s="5"/>
      <c r="C998" s="29"/>
      <c r="D998" s="65"/>
      <c r="E998" s="24"/>
      <c r="F998" s="25"/>
      <c r="G998" s="30"/>
      <c r="H998" s="31"/>
      <c r="I998" s="5"/>
      <c r="J998" s="5"/>
      <c r="K998" s="5"/>
      <c r="L998" s="5"/>
      <c r="M998" s="31"/>
      <c r="N998" s="29"/>
    </row>
    <row r="999" spans="1:14" s="33" customFormat="1" x14ac:dyDescent="0.25">
      <c r="A999" s="27"/>
      <c r="B999" s="5"/>
      <c r="C999" s="29"/>
      <c r="D999" s="65"/>
      <c r="E999" s="24"/>
      <c r="F999" s="25"/>
      <c r="G999" s="30"/>
      <c r="H999" s="31"/>
      <c r="I999" s="5"/>
      <c r="J999" s="5"/>
      <c r="K999" s="5"/>
      <c r="L999" s="5"/>
      <c r="M999" s="31"/>
      <c r="N999" s="29"/>
    </row>
    <row r="1000" spans="1:14" s="33" customFormat="1" x14ac:dyDescent="0.25">
      <c r="A1000" s="27"/>
      <c r="B1000" s="5"/>
      <c r="C1000" s="29"/>
      <c r="D1000" s="65"/>
      <c r="E1000" s="24"/>
      <c r="F1000" s="25"/>
      <c r="G1000" s="30"/>
      <c r="H1000" s="31"/>
      <c r="I1000" s="5"/>
      <c r="J1000" s="5"/>
      <c r="K1000" s="5"/>
      <c r="L1000" s="5"/>
      <c r="M1000" s="31"/>
      <c r="N1000" s="29"/>
    </row>
    <row r="1001" spans="1:14" s="33" customFormat="1" x14ac:dyDescent="0.25">
      <c r="A1001" s="27"/>
      <c r="B1001" s="5"/>
      <c r="C1001" s="29"/>
      <c r="D1001" s="65"/>
      <c r="E1001" s="24"/>
      <c r="F1001" s="25"/>
      <c r="G1001" s="30"/>
      <c r="H1001" s="31"/>
      <c r="I1001" s="5"/>
      <c r="J1001" s="5"/>
      <c r="K1001" s="5"/>
      <c r="L1001" s="5"/>
      <c r="M1001" s="31"/>
      <c r="N1001" s="29"/>
    </row>
    <row r="1002" spans="1:14" s="33" customFormat="1" x14ac:dyDescent="0.25">
      <c r="A1002" s="27"/>
      <c r="B1002" s="5"/>
      <c r="C1002" s="29"/>
      <c r="D1002" s="65"/>
      <c r="E1002" s="24"/>
      <c r="F1002" s="25"/>
      <c r="G1002" s="30"/>
      <c r="H1002" s="31"/>
      <c r="I1002" s="5"/>
      <c r="J1002" s="5"/>
      <c r="K1002" s="5"/>
      <c r="L1002" s="5"/>
      <c r="M1002" s="31"/>
      <c r="N1002" s="29"/>
    </row>
    <row r="1003" spans="1:14" s="33" customFormat="1" x14ac:dyDescent="0.25">
      <c r="A1003" s="27"/>
      <c r="B1003" s="5"/>
      <c r="C1003" s="29"/>
      <c r="D1003" s="65"/>
      <c r="E1003" s="24"/>
      <c r="F1003" s="25"/>
      <c r="G1003" s="30"/>
      <c r="H1003" s="31"/>
      <c r="I1003" s="5"/>
      <c r="J1003" s="5"/>
      <c r="K1003" s="5"/>
      <c r="L1003" s="5"/>
      <c r="M1003" s="31"/>
      <c r="N1003" s="29"/>
    </row>
    <row r="1004" spans="1:14" s="33" customFormat="1" x14ac:dyDescent="0.25">
      <c r="A1004" s="27"/>
      <c r="B1004" s="5"/>
      <c r="C1004" s="29"/>
      <c r="D1004" s="65"/>
      <c r="E1004" s="24"/>
      <c r="F1004" s="25"/>
      <c r="G1004" s="30"/>
      <c r="H1004" s="31"/>
      <c r="I1004" s="5"/>
      <c r="J1004" s="5"/>
      <c r="K1004" s="5"/>
      <c r="L1004" s="5"/>
      <c r="M1004" s="31"/>
      <c r="N1004" s="29"/>
    </row>
    <row r="1005" spans="1:14" s="33" customFormat="1" x14ac:dyDescent="0.25">
      <c r="A1005" s="27"/>
      <c r="B1005" s="5"/>
      <c r="C1005" s="29"/>
      <c r="D1005" s="65"/>
      <c r="E1005" s="24"/>
      <c r="F1005" s="25"/>
      <c r="G1005" s="30"/>
      <c r="H1005" s="31"/>
      <c r="I1005" s="5"/>
      <c r="J1005" s="5"/>
      <c r="K1005" s="5"/>
      <c r="L1005" s="5"/>
      <c r="M1005" s="31"/>
      <c r="N1005" s="29"/>
    </row>
    <row r="1006" spans="1:14" s="33" customFormat="1" x14ac:dyDescent="0.25">
      <c r="A1006" s="27"/>
      <c r="B1006" s="5"/>
      <c r="C1006" s="29"/>
      <c r="D1006" s="65"/>
      <c r="E1006" s="24"/>
      <c r="F1006" s="25"/>
      <c r="G1006" s="30"/>
      <c r="H1006" s="31"/>
      <c r="I1006" s="5"/>
      <c r="J1006" s="5"/>
      <c r="K1006" s="5"/>
      <c r="L1006" s="5"/>
      <c r="M1006" s="31"/>
      <c r="N1006" s="29"/>
    </row>
    <row r="1007" spans="1:14" s="33" customFormat="1" x14ac:dyDescent="0.25">
      <c r="A1007" s="27"/>
      <c r="B1007" s="5"/>
      <c r="C1007" s="29"/>
      <c r="D1007" s="65"/>
      <c r="E1007" s="24"/>
      <c r="F1007" s="25"/>
      <c r="G1007" s="30"/>
      <c r="H1007" s="31"/>
      <c r="I1007" s="5"/>
      <c r="J1007" s="5"/>
      <c r="K1007" s="5"/>
      <c r="L1007" s="5"/>
      <c r="M1007" s="31"/>
      <c r="N1007" s="29"/>
    </row>
    <row r="1008" spans="1:14" s="33" customFormat="1" x14ac:dyDescent="0.25">
      <c r="A1008" s="27"/>
      <c r="B1008" s="5"/>
      <c r="C1008" s="29"/>
      <c r="D1008" s="65"/>
      <c r="E1008" s="24"/>
      <c r="F1008" s="25"/>
      <c r="G1008" s="30"/>
      <c r="H1008" s="31"/>
      <c r="I1008" s="5"/>
      <c r="J1008" s="5"/>
      <c r="K1008" s="5"/>
      <c r="L1008" s="5"/>
      <c r="M1008" s="31"/>
      <c r="N1008" s="29"/>
    </row>
    <row r="1009" spans="1:14" s="33" customFormat="1" x14ac:dyDescent="0.25">
      <c r="A1009" s="27"/>
      <c r="B1009" s="5"/>
      <c r="C1009" s="29"/>
      <c r="D1009" s="65"/>
      <c r="E1009" s="24"/>
      <c r="F1009" s="25"/>
      <c r="G1009" s="30"/>
      <c r="H1009" s="31"/>
      <c r="I1009" s="5"/>
      <c r="J1009" s="5"/>
      <c r="K1009" s="5"/>
      <c r="L1009" s="5"/>
      <c r="M1009" s="31"/>
      <c r="N1009" s="29"/>
    </row>
    <row r="1010" spans="1:14" s="33" customFormat="1" x14ac:dyDescent="0.25">
      <c r="A1010" s="27"/>
      <c r="B1010" s="5"/>
      <c r="C1010" s="29"/>
      <c r="D1010" s="65"/>
      <c r="E1010" s="24"/>
      <c r="F1010" s="25"/>
      <c r="G1010" s="30"/>
      <c r="H1010" s="31"/>
      <c r="I1010" s="5"/>
      <c r="J1010" s="5"/>
      <c r="K1010" s="5"/>
      <c r="L1010" s="5"/>
      <c r="M1010" s="31"/>
      <c r="N1010" s="29"/>
    </row>
    <row r="1011" spans="1:14" s="33" customFormat="1" x14ac:dyDescent="0.25">
      <c r="A1011" s="27"/>
      <c r="B1011" s="5"/>
      <c r="C1011" s="29"/>
      <c r="D1011" s="65"/>
      <c r="E1011" s="24"/>
      <c r="F1011" s="25"/>
      <c r="G1011" s="30"/>
      <c r="H1011" s="31"/>
      <c r="I1011" s="5"/>
      <c r="J1011" s="5"/>
      <c r="K1011" s="5"/>
      <c r="L1011" s="5"/>
      <c r="M1011" s="31"/>
      <c r="N1011" s="29"/>
    </row>
    <row r="1012" spans="1:14" s="33" customFormat="1" x14ac:dyDescent="0.25">
      <c r="A1012" s="27"/>
      <c r="B1012" s="5"/>
      <c r="C1012" s="29"/>
      <c r="D1012" s="65"/>
      <c r="E1012" s="24"/>
      <c r="F1012" s="25"/>
      <c r="G1012" s="30"/>
      <c r="H1012" s="31"/>
      <c r="I1012" s="5"/>
      <c r="J1012" s="5"/>
      <c r="K1012" s="5"/>
      <c r="L1012" s="5"/>
      <c r="M1012" s="31"/>
      <c r="N1012" s="29"/>
    </row>
    <row r="1013" spans="1:14" s="33" customFormat="1" x14ac:dyDescent="0.25">
      <c r="A1013" s="27"/>
      <c r="B1013" s="5"/>
      <c r="C1013" s="29"/>
      <c r="D1013" s="65"/>
      <c r="E1013" s="24"/>
      <c r="F1013" s="25"/>
      <c r="G1013" s="30"/>
      <c r="H1013" s="31"/>
      <c r="I1013" s="5"/>
      <c r="J1013" s="5"/>
      <c r="K1013" s="5"/>
      <c r="L1013" s="5"/>
      <c r="M1013" s="31"/>
      <c r="N1013" s="29"/>
    </row>
    <row r="1014" spans="1:14" s="33" customFormat="1" x14ac:dyDescent="0.25">
      <c r="A1014" s="27"/>
      <c r="B1014" s="5"/>
      <c r="C1014" s="29"/>
      <c r="D1014" s="65"/>
      <c r="E1014" s="24"/>
      <c r="F1014" s="25"/>
      <c r="G1014" s="30"/>
      <c r="H1014" s="31"/>
      <c r="I1014" s="5"/>
      <c r="J1014" s="5"/>
      <c r="K1014" s="5"/>
      <c r="L1014" s="5"/>
      <c r="M1014" s="31"/>
      <c r="N1014" s="29"/>
    </row>
    <row r="1015" spans="1:14" s="33" customFormat="1" x14ac:dyDescent="0.25">
      <c r="A1015" s="27"/>
      <c r="B1015" s="5"/>
      <c r="C1015" s="29"/>
      <c r="D1015" s="65"/>
      <c r="E1015" s="24"/>
      <c r="F1015" s="25"/>
      <c r="G1015" s="30"/>
      <c r="H1015" s="31"/>
      <c r="I1015" s="5"/>
      <c r="J1015" s="5"/>
      <c r="K1015" s="5"/>
      <c r="L1015" s="5"/>
      <c r="M1015" s="31"/>
      <c r="N1015" s="29"/>
    </row>
    <row r="1016" spans="1:14" s="33" customFormat="1" x14ac:dyDescent="0.25">
      <c r="A1016" s="27"/>
      <c r="B1016" s="5"/>
      <c r="C1016" s="29"/>
      <c r="D1016" s="65"/>
      <c r="E1016" s="24"/>
      <c r="F1016" s="25"/>
      <c r="G1016" s="30"/>
      <c r="H1016" s="31"/>
      <c r="I1016" s="5"/>
      <c r="J1016" s="5"/>
      <c r="K1016" s="5"/>
      <c r="L1016" s="5"/>
      <c r="M1016" s="31"/>
      <c r="N1016" s="29"/>
    </row>
    <row r="1017" spans="1:14" s="33" customFormat="1" x14ac:dyDescent="0.25">
      <c r="A1017" s="27"/>
      <c r="B1017" s="5"/>
      <c r="C1017" s="29"/>
      <c r="D1017" s="65"/>
      <c r="E1017" s="24"/>
      <c r="F1017" s="25"/>
      <c r="G1017" s="30"/>
      <c r="H1017" s="31"/>
      <c r="I1017" s="5"/>
      <c r="J1017" s="5"/>
      <c r="K1017" s="5"/>
      <c r="L1017" s="5"/>
      <c r="M1017" s="31"/>
      <c r="N1017" s="29"/>
    </row>
    <row r="1018" spans="1:14" s="33" customFormat="1" x14ac:dyDescent="0.25">
      <c r="A1018" s="27"/>
      <c r="B1018" s="5"/>
      <c r="C1018" s="29"/>
      <c r="D1018" s="65"/>
      <c r="E1018" s="24"/>
      <c r="F1018" s="25"/>
      <c r="G1018" s="30"/>
      <c r="H1018" s="31"/>
      <c r="I1018" s="5"/>
      <c r="J1018" s="5"/>
      <c r="K1018" s="5"/>
      <c r="L1018" s="5"/>
      <c r="M1018" s="31"/>
      <c r="N1018" s="29"/>
    </row>
    <row r="1019" spans="1:14" s="33" customFormat="1" x14ac:dyDescent="0.25">
      <c r="A1019" s="27"/>
      <c r="B1019" s="5"/>
      <c r="C1019" s="29"/>
      <c r="D1019" s="65"/>
      <c r="E1019" s="24"/>
      <c r="F1019" s="25"/>
      <c r="G1019" s="30"/>
      <c r="H1019" s="31"/>
      <c r="I1019" s="5"/>
      <c r="J1019" s="5"/>
      <c r="K1019" s="5"/>
      <c r="L1019" s="5"/>
      <c r="M1019" s="31"/>
      <c r="N1019" s="29"/>
    </row>
    <row r="1020" spans="1:14" s="33" customFormat="1" x14ac:dyDescent="0.25">
      <c r="A1020" s="27"/>
      <c r="B1020" s="5"/>
      <c r="C1020" s="29"/>
      <c r="D1020" s="65"/>
      <c r="E1020" s="24"/>
      <c r="F1020" s="25"/>
      <c r="G1020" s="30"/>
      <c r="H1020" s="31"/>
      <c r="I1020" s="5"/>
      <c r="J1020" s="5"/>
      <c r="K1020" s="5"/>
      <c r="L1020" s="5"/>
      <c r="M1020" s="31"/>
      <c r="N1020" s="29"/>
    </row>
    <row r="1021" spans="1:14" s="33" customFormat="1" x14ac:dyDescent="0.25">
      <c r="A1021" s="27"/>
      <c r="B1021" s="5"/>
      <c r="C1021" s="29"/>
      <c r="D1021" s="65"/>
      <c r="E1021" s="24"/>
      <c r="F1021" s="25"/>
      <c r="G1021" s="30"/>
      <c r="H1021" s="31"/>
      <c r="I1021" s="5"/>
      <c r="J1021" s="5"/>
      <c r="K1021" s="5"/>
      <c r="L1021" s="5"/>
      <c r="M1021" s="31"/>
      <c r="N1021" s="29"/>
    </row>
    <row r="1022" spans="1:14" s="33" customFormat="1" x14ac:dyDescent="0.25">
      <c r="A1022" s="27"/>
      <c r="B1022" s="5"/>
      <c r="C1022" s="29"/>
      <c r="D1022" s="65"/>
      <c r="E1022" s="24"/>
      <c r="F1022" s="25"/>
      <c r="G1022" s="30"/>
      <c r="H1022" s="31"/>
      <c r="I1022" s="5"/>
      <c r="J1022" s="5"/>
      <c r="K1022" s="5"/>
      <c r="L1022" s="5"/>
      <c r="M1022" s="31"/>
      <c r="N1022" s="29"/>
    </row>
    <row r="1023" spans="1:14" s="33" customFormat="1" x14ac:dyDescent="0.25">
      <c r="A1023" s="27"/>
      <c r="B1023" s="5"/>
      <c r="C1023" s="29"/>
      <c r="D1023" s="65"/>
      <c r="E1023" s="24"/>
      <c r="F1023" s="25"/>
      <c r="G1023" s="30"/>
      <c r="H1023" s="31"/>
      <c r="I1023" s="5"/>
      <c r="J1023" s="5"/>
      <c r="K1023" s="5"/>
      <c r="L1023" s="5"/>
      <c r="M1023" s="31"/>
      <c r="N1023" s="29"/>
    </row>
    <row r="1024" spans="1:14" s="33" customFormat="1" x14ac:dyDescent="0.25">
      <c r="A1024" s="27"/>
      <c r="B1024" s="5"/>
      <c r="C1024" s="29"/>
      <c r="D1024" s="65"/>
      <c r="E1024" s="24"/>
      <c r="F1024" s="25"/>
      <c r="G1024" s="30"/>
      <c r="H1024" s="31"/>
      <c r="I1024" s="5"/>
      <c r="J1024" s="5"/>
      <c r="K1024" s="5"/>
      <c r="L1024" s="5"/>
      <c r="M1024" s="31"/>
      <c r="N1024" s="29"/>
    </row>
    <row r="1025" spans="1:14" s="33" customFormat="1" x14ac:dyDescent="0.25">
      <c r="A1025" s="27"/>
      <c r="B1025" s="5"/>
      <c r="C1025" s="29"/>
      <c r="D1025" s="65"/>
      <c r="E1025" s="24"/>
      <c r="F1025" s="25"/>
      <c r="G1025" s="30"/>
      <c r="H1025" s="31"/>
      <c r="I1025" s="5"/>
      <c r="J1025" s="5"/>
      <c r="K1025" s="5"/>
      <c r="L1025" s="5"/>
      <c r="M1025" s="31"/>
      <c r="N1025" s="29"/>
    </row>
    <row r="1026" spans="1:14" s="33" customFormat="1" x14ac:dyDescent="0.25">
      <c r="A1026" s="27"/>
      <c r="B1026" s="5"/>
      <c r="C1026" s="29"/>
      <c r="D1026" s="65"/>
      <c r="E1026" s="24"/>
      <c r="F1026" s="25"/>
      <c r="G1026" s="30"/>
      <c r="H1026" s="31"/>
      <c r="I1026" s="5"/>
      <c r="J1026" s="5"/>
      <c r="K1026" s="5"/>
      <c r="L1026" s="5"/>
      <c r="M1026" s="31"/>
      <c r="N1026" s="29"/>
    </row>
    <row r="1027" spans="1:14" s="33" customFormat="1" x14ac:dyDescent="0.25">
      <c r="A1027" s="27"/>
      <c r="B1027" s="5"/>
      <c r="C1027" s="29"/>
      <c r="D1027" s="65"/>
      <c r="E1027" s="24"/>
      <c r="F1027" s="25"/>
      <c r="G1027" s="30"/>
      <c r="H1027" s="31"/>
      <c r="I1027" s="5"/>
      <c r="J1027" s="5"/>
      <c r="K1027" s="5"/>
      <c r="L1027" s="5"/>
      <c r="M1027" s="31"/>
      <c r="N1027" s="29"/>
    </row>
    <row r="1028" spans="1:14" s="33" customFormat="1" x14ac:dyDescent="0.25">
      <c r="A1028" s="27"/>
      <c r="B1028" s="5"/>
      <c r="C1028" s="29"/>
      <c r="D1028" s="65"/>
      <c r="E1028" s="24"/>
      <c r="F1028" s="25"/>
      <c r="G1028" s="30"/>
      <c r="H1028" s="31"/>
      <c r="I1028" s="5"/>
      <c r="J1028" s="5"/>
      <c r="K1028" s="5"/>
      <c r="L1028" s="5"/>
      <c r="M1028" s="31"/>
      <c r="N1028" s="29"/>
    </row>
    <row r="1029" spans="1:14" s="33" customFormat="1" x14ac:dyDescent="0.25">
      <c r="A1029" s="27"/>
      <c r="B1029" s="5"/>
      <c r="C1029" s="29"/>
      <c r="D1029" s="65"/>
      <c r="E1029" s="24"/>
      <c r="F1029" s="25"/>
      <c r="G1029" s="30"/>
      <c r="H1029" s="31"/>
      <c r="I1029" s="5"/>
      <c r="J1029" s="5"/>
      <c r="K1029" s="5"/>
      <c r="L1029" s="5"/>
      <c r="M1029" s="31"/>
      <c r="N1029" s="29"/>
    </row>
    <row r="1030" spans="1:14" s="33" customFormat="1" x14ac:dyDescent="0.25">
      <c r="A1030" s="27"/>
      <c r="B1030" s="5"/>
      <c r="C1030" s="29"/>
      <c r="D1030" s="65"/>
      <c r="E1030" s="24"/>
      <c r="F1030" s="25"/>
      <c r="G1030" s="30"/>
      <c r="H1030" s="31"/>
      <c r="I1030" s="5"/>
      <c r="J1030" s="5"/>
      <c r="K1030" s="5"/>
      <c r="L1030" s="5"/>
      <c r="M1030" s="31"/>
      <c r="N1030" s="29"/>
    </row>
    <row r="1031" spans="1:14" s="33" customFormat="1" x14ac:dyDescent="0.25">
      <c r="A1031" s="27"/>
      <c r="B1031" s="5"/>
      <c r="C1031" s="29"/>
      <c r="D1031" s="65"/>
      <c r="E1031" s="24"/>
      <c r="F1031" s="25"/>
      <c r="G1031" s="30"/>
      <c r="H1031" s="31"/>
      <c r="I1031" s="5"/>
      <c r="J1031" s="5"/>
      <c r="K1031" s="5"/>
      <c r="L1031" s="5"/>
      <c r="M1031" s="31"/>
      <c r="N1031" s="29"/>
    </row>
    <row r="1032" spans="1:14" s="33" customFormat="1" x14ac:dyDescent="0.25">
      <c r="A1032" s="27"/>
      <c r="B1032" s="5"/>
      <c r="C1032" s="29"/>
      <c r="D1032" s="65"/>
      <c r="E1032" s="24"/>
      <c r="F1032" s="25"/>
      <c r="G1032" s="30"/>
      <c r="H1032" s="31"/>
      <c r="I1032" s="5"/>
      <c r="J1032" s="5"/>
      <c r="K1032" s="5"/>
      <c r="L1032" s="5"/>
      <c r="M1032" s="31"/>
      <c r="N1032" s="29"/>
    </row>
    <row r="1033" spans="1:14" s="33" customFormat="1" x14ac:dyDescent="0.25">
      <c r="A1033" s="27"/>
      <c r="B1033" s="5"/>
      <c r="C1033" s="29"/>
      <c r="D1033" s="65"/>
      <c r="E1033" s="24"/>
      <c r="F1033" s="25"/>
      <c r="G1033" s="30"/>
      <c r="H1033" s="31"/>
      <c r="I1033" s="5"/>
      <c r="J1033" s="5"/>
      <c r="K1033" s="5"/>
      <c r="L1033" s="5"/>
      <c r="M1033" s="31"/>
      <c r="N1033" s="29"/>
    </row>
    <row r="1034" spans="1:14" s="33" customFormat="1" x14ac:dyDescent="0.25">
      <c r="A1034" s="27"/>
      <c r="B1034" s="5"/>
      <c r="C1034" s="29"/>
      <c r="D1034" s="65"/>
      <c r="E1034" s="24"/>
      <c r="F1034" s="25"/>
      <c r="G1034" s="30"/>
      <c r="H1034" s="31"/>
      <c r="I1034" s="5"/>
      <c r="J1034" s="5"/>
      <c r="K1034" s="5"/>
      <c r="L1034" s="5"/>
      <c r="M1034" s="31"/>
      <c r="N1034" s="29"/>
    </row>
    <row r="1035" spans="1:14" s="33" customFormat="1" x14ac:dyDescent="0.25">
      <c r="A1035" s="27"/>
      <c r="B1035" s="5"/>
      <c r="C1035" s="29"/>
      <c r="D1035" s="65"/>
      <c r="E1035" s="24"/>
      <c r="F1035" s="25"/>
      <c r="G1035" s="30"/>
      <c r="H1035" s="31"/>
      <c r="I1035" s="5"/>
      <c r="J1035" s="5"/>
      <c r="K1035" s="5"/>
      <c r="L1035" s="5"/>
      <c r="M1035" s="31"/>
      <c r="N1035" s="29"/>
    </row>
    <row r="1036" spans="1:14" s="33" customFormat="1" x14ac:dyDescent="0.25">
      <c r="A1036" s="27"/>
      <c r="B1036" s="5"/>
      <c r="C1036" s="29"/>
      <c r="D1036" s="65"/>
      <c r="E1036" s="24"/>
      <c r="F1036" s="25"/>
      <c r="G1036" s="30"/>
      <c r="H1036" s="31"/>
      <c r="I1036" s="5"/>
      <c r="J1036" s="5"/>
      <c r="K1036" s="5"/>
      <c r="L1036" s="5"/>
      <c r="M1036" s="31"/>
      <c r="N1036" s="29"/>
    </row>
    <row r="1037" spans="1:14" s="33" customFormat="1" x14ac:dyDescent="0.25">
      <c r="A1037" s="27"/>
      <c r="B1037" s="5"/>
      <c r="C1037" s="29"/>
      <c r="D1037" s="65"/>
      <c r="E1037" s="24"/>
      <c r="F1037" s="25"/>
      <c r="G1037" s="30"/>
      <c r="H1037" s="31"/>
      <c r="I1037" s="5"/>
      <c r="J1037" s="5"/>
      <c r="K1037" s="5"/>
      <c r="L1037" s="5"/>
      <c r="M1037" s="31"/>
      <c r="N1037" s="29"/>
    </row>
    <row r="1038" spans="1:14" s="33" customFormat="1" x14ac:dyDescent="0.25">
      <c r="A1038" s="27"/>
      <c r="B1038" s="5"/>
      <c r="C1038" s="29"/>
      <c r="D1038" s="65"/>
      <c r="E1038" s="24"/>
      <c r="F1038" s="25"/>
      <c r="G1038" s="30"/>
      <c r="H1038" s="31"/>
      <c r="I1038" s="5"/>
      <c r="J1038" s="5"/>
      <c r="K1038" s="5"/>
      <c r="L1038" s="5"/>
      <c r="M1038" s="31"/>
      <c r="N1038" s="29"/>
    </row>
    <row r="1039" spans="1:14" s="33" customFormat="1" x14ac:dyDescent="0.25">
      <c r="A1039" s="27"/>
      <c r="B1039" s="5"/>
      <c r="C1039" s="29"/>
      <c r="D1039" s="65"/>
      <c r="E1039" s="24"/>
      <c r="F1039" s="25"/>
      <c r="G1039" s="30"/>
      <c r="H1039" s="31"/>
      <c r="I1039" s="5"/>
      <c r="J1039" s="5"/>
      <c r="K1039" s="5"/>
      <c r="L1039" s="5"/>
      <c r="M1039" s="31"/>
      <c r="N1039" s="29"/>
    </row>
    <row r="1040" spans="1:14" s="33" customFormat="1" x14ac:dyDescent="0.25">
      <c r="A1040" s="27"/>
      <c r="B1040" s="5"/>
      <c r="C1040" s="29"/>
      <c r="D1040" s="65"/>
      <c r="E1040" s="24"/>
      <c r="F1040" s="25"/>
      <c r="G1040" s="30"/>
      <c r="H1040" s="31"/>
      <c r="I1040" s="5"/>
      <c r="J1040" s="5"/>
      <c r="K1040" s="5"/>
      <c r="L1040" s="5"/>
      <c r="M1040" s="31"/>
      <c r="N1040" s="29"/>
    </row>
    <row r="1041" spans="1:14" s="33" customFormat="1" x14ac:dyDescent="0.25">
      <c r="A1041" s="27"/>
      <c r="B1041" s="5"/>
      <c r="C1041" s="29"/>
      <c r="D1041" s="65"/>
      <c r="E1041" s="24"/>
      <c r="F1041" s="25"/>
      <c r="G1041" s="30"/>
      <c r="H1041" s="31"/>
      <c r="I1041" s="5"/>
      <c r="J1041" s="5"/>
      <c r="K1041" s="5"/>
      <c r="L1041" s="5"/>
      <c r="M1041" s="31"/>
      <c r="N1041" s="29"/>
    </row>
    <row r="1042" spans="1:14" s="33" customFormat="1" x14ac:dyDescent="0.25">
      <c r="A1042" s="27"/>
      <c r="B1042" s="5"/>
      <c r="C1042" s="29"/>
      <c r="D1042" s="65"/>
      <c r="E1042" s="24"/>
      <c r="F1042" s="25"/>
      <c r="G1042" s="30"/>
      <c r="H1042" s="31"/>
      <c r="I1042" s="5"/>
      <c r="J1042" s="5"/>
      <c r="K1042" s="5"/>
      <c r="L1042" s="5"/>
      <c r="M1042" s="31"/>
      <c r="N1042" s="29"/>
    </row>
    <row r="1043" spans="1:14" s="33" customFormat="1" x14ac:dyDescent="0.25">
      <c r="A1043" s="27"/>
      <c r="B1043" s="5"/>
      <c r="C1043" s="29"/>
      <c r="D1043" s="65"/>
      <c r="E1043" s="24"/>
      <c r="F1043" s="25"/>
      <c r="G1043" s="30"/>
      <c r="H1043" s="31"/>
      <c r="I1043" s="5"/>
      <c r="J1043" s="5"/>
      <c r="K1043" s="5"/>
      <c r="L1043" s="5"/>
      <c r="M1043" s="31"/>
      <c r="N1043" s="29"/>
    </row>
    <row r="1044" spans="1:14" s="33" customFormat="1" x14ac:dyDescent="0.25">
      <c r="A1044" s="27"/>
      <c r="B1044" s="5"/>
      <c r="C1044" s="29"/>
      <c r="D1044" s="65"/>
      <c r="E1044" s="24"/>
      <c r="F1044" s="25"/>
      <c r="G1044" s="30"/>
      <c r="H1044" s="31"/>
      <c r="I1044" s="5"/>
      <c r="J1044" s="5"/>
      <c r="K1044" s="5"/>
      <c r="L1044" s="5"/>
      <c r="M1044" s="31"/>
      <c r="N1044" s="29"/>
    </row>
    <row r="1045" spans="1:14" s="33" customFormat="1" x14ac:dyDescent="0.25">
      <c r="A1045" s="27"/>
      <c r="B1045" s="5"/>
      <c r="C1045" s="29"/>
      <c r="D1045" s="65"/>
      <c r="E1045" s="24"/>
      <c r="F1045" s="25"/>
      <c r="G1045" s="30"/>
      <c r="H1045" s="31"/>
      <c r="I1045" s="5"/>
      <c r="J1045" s="5"/>
      <c r="K1045" s="5"/>
      <c r="L1045" s="5"/>
      <c r="M1045" s="31"/>
      <c r="N1045" s="29"/>
    </row>
    <row r="1046" spans="1:14" s="33" customFormat="1" x14ac:dyDescent="0.25">
      <c r="A1046" s="27"/>
      <c r="B1046" s="5"/>
      <c r="C1046" s="29"/>
      <c r="D1046" s="65"/>
      <c r="E1046" s="24"/>
      <c r="F1046" s="25"/>
      <c r="G1046" s="30"/>
      <c r="H1046" s="31"/>
      <c r="I1046" s="5"/>
      <c r="J1046" s="5"/>
      <c r="K1046" s="5"/>
      <c r="L1046" s="5"/>
      <c r="M1046" s="31"/>
      <c r="N1046" s="29"/>
    </row>
    <row r="1047" spans="1:14" s="33" customFormat="1" x14ac:dyDescent="0.25">
      <c r="A1047" s="27"/>
      <c r="B1047" s="5"/>
      <c r="C1047" s="29"/>
      <c r="D1047" s="65"/>
      <c r="E1047" s="24"/>
      <c r="F1047" s="25"/>
      <c r="G1047" s="30"/>
      <c r="H1047" s="31"/>
      <c r="I1047" s="5"/>
      <c r="J1047" s="5"/>
      <c r="K1047" s="5"/>
      <c r="L1047" s="5"/>
      <c r="M1047" s="31"/>
      <c r="N1047" s="29"/>
    </row>
    <row r="1048" spans="1:14" s="33" customFormat="1" x14ac:dyDescent="0.25">
      <c r="A1048" s="27"/>
      <c r="B1048" s="5"/>
      <c r="C1048" s="29"/>
      <c r="D1048" s="65"/>
      <c r="E1048" s="24"/>
      <c r="F1048" s="25"/>
      <c r="G1048" s="30"/>
      <c r="H1048" s="31"/>
      <c r="I1048" s="5"/>
      <c r="J1048" s="5"/>
      <c r="K1048" s="5"/>
      <c r="L1048" s="5"/>
      <c r="M1048" s="31"/>
      <c r="N1048" s="29"/>
    </row>
    <row r="1049" spans="1:14" s="33" customFormat="1" x14ac:dyDescent="0.25">
      <c r="A1049" s="27"/>
      <c r="B1049" s="5"/>
      <c r="C1049" s="29"/>
      <c r="D1049" s="65"/>
      <c r="E1049" s="24"/>
      <c r="F1049" s="25"/>
      <c r="G1049" s="30"/>
      <c r="H1049" s="31"/>
      <c r="I1049" s="5"/>
      <c r="J1049" s="5"/>
      <c r="K1049" s="5"/>
      <c r="L1049" s="5"/>
      <c r="M1049" s="31"/>
      <c r="N1049" s="29"/>
    </row>
    <row r="1050" spans="1:14" s="33" customFormat="1" x14ac:dyDescent="0.25">
      <c r="A1050" s="27"/>
      <c r="B1050" s="5"/>
      <c r="C1050" s="29"/>
      <c r="D1050" s="65"/>
      <c r="E1050" s="24"/>
      <c r="F1050" s="25"/>
      <c r="G1050" s="30"/>
      <c r="H1050" s="31"/>
      <c r="I1050" s="5"/>
      <c r="J1050" s="5"/>
      <c r="K1050" s="5"/>
      <c r="L1050" s="5"/>
      <c r="M1050" s="31"/>
      <c r="N1050" s="29"/>
    </row>
    <row r="1051" spans="1:14" s="33" customFormat="1" x14ac:dyDescent="0.25">
      <c r="A1051" s="27"/>
      <c r="B1051" s="5"/>
      <c r="C1051" s="29"/>
      <c r="D1051" s="65"/>
      <c r="E1051" s="24"/>
      <c r="F1051" s="25"/>
      <c r="G1051" s="30"/>
      <c r="H1051" s="31"/>
      <c r="I1051" s="5"/>
      <c r="J1051" s="5"/>
      <c r="K1051" s="5"/>
      <c r="L1051" s="5"/>
      <c r="M1051" s="31"/>
      <c r="N1051" s="29"/>
    </row>
    <row r="1052" spans="1:14" s="33" customFormat="1" x14ac:dyDescent="0.25">
      <c r="A1052" s="27"/>
      <c r="B1052" s="5"/>
      <c r="C1052" s="29"/>
      <c r="D1052" s="65"/>
      <c r="E1052" s="24"/>
      <c r="F1052" s="25"/>
      <c r="G1052" s="30"/>
      <c r="H1052" s="31"/>
      <c r="I1052" s="5"/>
      <c r="J1052" s="5"/>
      <c r="K1052" s="5"/>
      <c r="L1052" s="5"/>
      <c r="M1052" s="31"/>
      <c r="N1052" s="29"/>
    </row>
    <row r="1053" spans="1:14" s="33" customFormat="1" x14ac:dyDescent="0.25">
      <c r="A1053" s="27"/>
      <c r="B1053" s="5"/>
      <c r="C1053" s="29"/>
      <c r="D1053" s="65"/>
      <c r="E1053" s="24"/>
      <c r="F1053" s="25"/>
      <c r="G1053" s="30"/>
      <c r="H1053" s="31"/>
      <c r="I1053" s="5"/>
      <c r="J1053" s="5"/>
      <c r="K1053" s="5"/>
      <c r="L1053" s="5"/>
      <c r="M1053" s="31"/>
      <c r="N1053" s="29"/>
    </row>
    <row r="1054" spans="1:14" s="33" customFormat="1" x14ac:dyDescent="0.25">
      <c r="A1054" s="27"/>
      <c r="B1054" s="5"/>
      <c r="C1054" s="29"/>
      <c r="D1054" s="65"/>
      <c r="E1054" s="24"/>
      <c r="F1054" s="25"/>
      <c r="G1054" s="30"/>
      <c r="H1054" s="31"/>
      <c r="I1054" s="5"/>
      <c r="J1054" s="5"/>
      <c r="K1054" s="5"/>
      <c r="L1054" s="5"/>
      <c r="M1054" s="31"/>
      <c r="N1054" s="29"/>
    </row>
    <row r="1055" spans="1:14" s="33" customFormat="1" x14ac:dyDescent="0.25">
      <c r="A1055" s="27"/>
      <c r="B1055" s="5"/>
      <c r="C1055" s="29"/>
      <c r="D1055" s="65"/>
      <c r="E1055" s="24"/>
      <c r="F1055" s="25"/>
      <c r="G1055" s="30"/>
      <c r="H1055" s="31"/>
      <c r="I1055" s="5"/>
      <c r="J1055" s="5"/>
      <c r="K1055" s="5"/>
      <c r="L1055" s="5"/>
      <c r="M1055" s="31"/>
      <c r="N1055" s="29"/>
    </row>
    <row r="1056" spans="1:14" s="33" customFormat="1" x14ac:dyDescent="0.25">
      <c r="A1056" s="27"/>
      <c r="B1056" s="5"/>
      <c r="C1056" s="29"/>
      <c r="D1056" s="65"/>
      <c r="E1056" s="24"/>
      <c r="F1056" s="25"/>
      <c r="G1056" s="30"/>
      <c r="H1056" s="31"/>
      <c r="I1056" s="5"/>
      <c r="J1056" s="5"/>
      <c r="K1056" s="5"/>
      <c r="L1056" s="5"/>
      <c r="M1056" s="31"/>
      <c r="N1056" s="29"/>
    </row>
    <row r="1057" spans="1:14" s="33" customFormat="1" x14ac:dyDescent="0.25">
      <c r="A1057" s="27"/>
      <c r="B1057" s="5"/>
      <c r="C1057" s="29"/>
      <c r="D1057" s="65"/>
      <c r="E1057" s="24"/>
      <c r="F1057" s="25"/>
      <c r="G1057" s="30"/>
      <c r="H1057" s="31"/>
      <c r="I1057" s="5"/>
      <c r="J1057" s="5"/>
      <c r="K1057" s="5"/>
      <c r="L1057" s="5"/>
      <c r="M1057" s="31"/>
      <c r="N1057" s="29"/>
    </row>
    <row r="1058" spans="1:14" s="33" customFormat="1" x14ac:dyDescent="0.25">
      <c r="A1058" s="27"/>
      <c r="B1058" s="5"/>
      <c r="C1058" s="29"/>
      <c r="D1058" s="65"/>
      <c r="E1058" s="24"/>
      <c r="F1058" s="25"/>
      <c r="G1058" s="30"/>
      <c r="H1058" s="31"/>
      <c r="I1058" s="5"/>
      <c r="J1058" s="5"/>
      <c r="K1058" s="5"/>
      <c r="L1058" s="5"/>
      <c r="M1058" s="31"/>
      <c r="N1058" s="29"/>
    </row>
    <row r="1059" spans="1:14" s="33" customFormat="1" x14ac:dyDescent="0.25">
      <c r="A1059" s="27"/>
      <c r="B1059" s="5"/>
      <c r="C1059" s="29"/>
      <c r="D1059" s="65"/>
      <c r="E1059" s="24"/>
      <c r="F1059" s="25"/>
      <c r="G1059" s="30"/>
      <c r="H1059" s="31"/>
      <c r="I1059" s="5"/>
      <c r="J1059" s="5"/>
      <c r="K1059" s="5"/>
      <c r="L1059" s="5"/>
      <c r="M1059" s="31"/>
      <c r="N1059" s="29"/>
    </row>
    <row r="1060" spans="1:14" s="33" customFormat="1" x14ac:dyDescent="0.25">
      <c r="A1060" s="27"/>
      <c r="B1060" s="5"/>
      <c r="C1060" s="29"/>
      <c r="D1060" s="65"/>
      <c r="E1060" s="24"/>
      <c r="F1060" s="25"/>
      <c r="G1060" s="30"/>
      <c r="H1060" s="31"/>
      <c r="I1060" s="5"/>
      <c r="J1060" s="5"/>
      <c r="K1060" s="5"/>
      <c r="L1060" s="5"/>
      <c r="M1060" s="31"/>
      <c r="N1060" s="29"/>
    </row>
    <row r="1061" spans="1:14" s="33" customFormat="1" x14ac:dyDescent="0.25">
      <c r="A1061" s="27"/>
      <c r="B1061" s="5"/>
      <c r="C1061" s="29"/>
      <c r="D1061" s="65"/>
      <c r="E1061" s="24"/>
      <c r="F1061" s="25"/>
      <c r="G1061" s="30"/>
      <c r="H1061" s="31"/>
      <c r="I1061" s="5"/>
      <c r="J1061" s="5"/>
      <c r="K1061" s="5"/>
      <c r="L1061" s="5"/>
      <c r="M1061" s="31"/>
      <c r="N1061" s="29"/>
    </row>
    <row r="1062" spans="1:14" s="33" customFormat="1" x14ac:dyDescent="0.25">
      <c r="A1062" s="27"/>
      <c r="B1062" s="5"/>
      <c r="C1062" s="29"/>
      <c r="D1062" s="65"/>
      <c r="E1062" s="24"/>
      <c r="F1062" s="25"/>
      <c r="G1062" s="30"/>
      <c r="H1062" s="31"/>
      <c r="I1062" s="5"/>
      <c r="J1062" s="5"/>
      <c r="K1062" s="5"/>
      <c r="L1062" s="5"/>
      <c r="M1062" s="31"/>
      <c r="N1062" s="29"/>
    </row>
    <row r="1063" spans="1:14" s="33" customFormat="1" x14ac:dyDescent="0.25">
      <c r="A1063" s="27"/>
      <c r="B1063" s="5"/>
      <c r="C1063" s="29"/>
      <c r="D1063" s="65"/>
      <c r="E1063" s="24"/>
      <c r="F1063" s="25"/>
      <c r="G1063" s="30"/>
      <c r="H1063" s="31"/>
      <c r="I1063" s="5"/>
      <c r="J1063" s="5"/>
      <c r="K1063" s="5"/>
      <c r="L1063" s="5"/>
      <c r="M1063" s="31"/>
      <c r="N1063" s="29"/>
    </row>
    <row r="1064" spans="1:14" s="33" customFormat="1" x14ac:dyDescent="0.25">
      <c r="A1064" s="27"/>
      <c r="B1064" s="5"/>
      <c r="C1064" s="29"/>
      <c r="D1064" s="65"/>
      <c r="E1064" s="24"/>
      <c r="F1064" s="25"/>
      <c r="G1064" s="30"/>
      <c r="H1064" s="31"/>
      <c r="I1064" s="5"/>
      <c r="J1064" s="5"/>
      <c r="K1064" s="5"/>
      <c r="L1064" s="5"/>
      <c r="M1064" s="31"/>
      <c r="N1064" s="29"/>
    </row>
    <row r="1065" spans="1:14" s="33" customFormat="1" x14ac:dyDescent="0.25">
      <c r="A1065" s="27"/>
      <c r="B1065" s="5"/>
      <c r="C1065" s="29"/>
      <c r="D1065" s="65"/>
      <c r="E1065" s="24"/>
      <c r="F1065" s="25"/>
      <c r="G1065" s="30"/>
      <c r="H1065" s="31"/>
      <c r="I1065" s="5"/>
      <c r="J1065" s="5"/>
      <c r="K1065" s="5"/>
      <c r="L1065" s="5"/>
      <c r="M1065" s="31"/>
      <c r="N1065" s="29"/>
    </row>
    <row r="1066" spans="1:14" s="33" customFormat="1" x14ac:dyDescent="0.25">
      <c r="A1066" s="27"/>
      <c r="B1066" s="5"/>
      <c r="C1066" s="29"/>
      <c r="D1066" s="65"/>
      <c r="E1066" s="24"/>
      <c r="F1066" s="25"/>
      <c r="G1066" s="30"/>
      <c r="H1066" s="31"/>
      <c r="I1066" s="5"/>
      <c r="J1066" s="5"/>
      <c r="K1066" s="5"/>
      <c r="L1066" s="5"/>
      <c r="M1066" s="31"/>
      <c r="N1066" s="29"/>
    </row>
    <row r="1067" spans="1:14" s="33" customFormat="1" x14ac:dyDescent="0.25">
      <c r="A1067" s="27"/>
      <c r="B1067" s="5"/>
      <c r="C1067" s="29"/>
      <c r="D1067" s="65"/>
      <c r="E1067" s="24"/>
      <c r="F1067" s="25"/>
      <c r="G1067" s="30"/>
      <c r="H1067" s="31"/>
      <c r="I1067" s="5"/>
      <c r="J1067" s="5"/>
      <c r="K1067" s="5"/>
      <c r="L1067" s="5"/>
      <c r="M1067" s="31"/>
      <c r="N1067" s="29"/>
    </row>
    <row r="1068" spans="1:14" s="33" customFormat="1" x14ac:dyDescent="0.25">
      <c r="A1068" s="27"/>
      <c r="B1068" s="5"/>
      <c r="C1068" s="29"/>
      <c r="D1068" s="65"/>
      <c r="E1068" s="24"/>
      <c r="F1068" s="25"/>
      <c r="G1068" s="30"/>
      <c r="H1068" s="31"/>
      <c r="I1068" s="5"/>
      <c r="J1068" s="5"/>
      <c r="K1068" s="5"/>
      <c r="L1068" s="5"/>
      <c r="M1068" s="31"/>
      <c r="N1068" s="29"/>
    </row>
    <row r="1069" spans="1:14" s="33" customFormat="1" x14ac:dyDescent="0.25">
      <c r="A1069" s="27"/>
      <c r="B1069" s="5"/>
      <c r="C1069" s="29"/>
      <c r="D1069" s="65"/>
      <c r="E1069" s="24"/>
      <c r="F1069" s="25"/>
      <c r="G1069" s="30"/>
      <c r="H1069" s="31"/>
      <c r="I1069" s="5"/>
      <c r="J1069" s="5"/>
      <c r="K1069" s="5"/>
      <c r="L1069" s="5"/>
      <c r="M1069" s="31"/>
      <c r="N1069" s="29"/>
    </row>
    <row r="1070" spans="1:14" s="33" customFormat="1" x14ac:dyDescent="0.25">
      <c r="A1070" s="27"/>
      <c r="B1070" s="5"/>
      <c r="C1070" s="29"/>
      <c r="D1070" s="65"/>
      <c r="E1070" s="24"/>
      <c r="F1070" s="25"/>
      <c r="G1070" s="30"/>
      <c r="H1070" s="31"/>
      <c r="I1070" s="5"/>
      <c r="J1070" s="5"/>
      <c r="K1070" s="5"/>
      <c r="L1070" s="5"/>
      <c r="M1070" s="31"/>
      <c r="N1070" s="29"/>
    </row>
    <row r="1071" spans="1:14" s="33" customFormat="1" x14ac:dyDescent="0.25">
      <c r="A1071" s="27"/>
      <c r="B1071" s="5"/>
      <c r="C1071" s="29"/>
      <c r="D1071" s="65"/>
      <c r="E1071" s="24"/>
      <c r="F1071" s="25"/>
      <c r="G1071" s="30"/>
      <c r="H1071" s="31"/>
      <c r="I1071" s="5"/>
      <c r="J1071" s="5"/>
      <c r="K1071" s="5"/>
      <c r="L1071" s="5"/>
      <c r="M1071" s="31"/>
      <c r="N1071" s="29"/>
    </row>
    <row r="1072" spans="1:14" s="33" customFormat="1" x14ac:dyDescent="0.25">
      <c r="A1072" s="27"/>
      <c r="B1072" s="5"/>
      <c r="C1072" s="29"/>
      <c r="D1072" s="65"/>
      <c r="E1072" s="24"/>
      <c r="F1072" s="25"/>
      <c r="G1072" s="30"/>
      <c r="H1072" s="31"/>
      <c r="I1072" s="5"/>
      <c r="J1072" s="5"/>
      <c r="K1072" s="5"/>
      <c r="L1072" s="5"/>
      <c r="M1072" s="31"/>
      <c r="N1072" s="29"/>
    </row>
    <row r="1073" spans="1:14" s="33" customFormat="1" x14ac:dyDescent="0.25">
      <c r="A1073" s="27"/>
      <c r="B1073" s="5"/>
      <c r="C1073" s="29"/>
      <c r="D1073" s="65"/>
      <c r="E1073" s="24"/>
      <c r="F1073" s="25"/>
      <c r="G1073" s="30"/>
      <c r="H1073" s="31"/>
      <c r="I1073" s="5"/>
      <c r="J1073" s="5"/>
      <c r="K1073" s="5"/>
      <c r="L1073" s="5"/>
      <c r="M1073" s="31"/>
      <c r="N1073" s="29"/>
    </row>
    <row r="1074" spans="1:14" s="33" customFormat="1" x14ac:dyDescent="0.25">
      <c r="A1074" s="27"/>
      <c r="B1074" s="5"/>
      <c r="C1074" s="29"/>
      <c r="D1074" s="65"/>
      <c r="E1074" s="24"/>
      <c r="F1074" s="25"/>
      <c r="G1074" s="30"/>
      <c r="H1074" s="31"/>
      <c r="I1074" s="5"/>
      <c r="J1074" s="5"/>
      <c r="K1074" s="5"/>
      <c r="L1074" s="5"/>
      <c r="M1074" s="31"/>
      <c r="N1074" s="29"/>
    </row>
    <row r="1075" spans="1:14" s="33" customFormat="1" x14ac:dyDescent="0.25">
      <c r="A1075" s="27"/>
      <c r="B1075" s="5"/>
      <c r="C1075" s="29"/>
      <c r="D1075" s="65"/>
      <c r="E1075" s="24"/>
      <c r="F1075" s="25"/>
      <c r="G1075" s="30"/>
      <c r="H1075" s="31"/>
      <c r="I1075" s="5"/>
      <c r="J1075" s="5"/>
      <c r="K1075" s="5"/>
      <c r="L1075" s="5"/>
      <c r="M1075" s="31"/>
      <c r="N1075" s="29"/>
    </row>
    <row r="1076" spans="1:14" s="33" customFormat="1" x14ac:dyDescent="0.25">
      <c r="A1076" s="27"/>
      <c r="B1076" s="5"/>
      <c r="C1076" s="29"/>
      <c r="D1076" s="65"/>
      <c r="E1076" s="24"/>
      <c r="F1076" s="25"/>
      <c r="G1076" s="30"/>
      <c r="H1076" s="31"/>
      <c r="I1076" s="5"/>
      <c r="J1076" s="5"/>
      <c r="K1076" s="5"/>
      <c r="L1076" s="5"/>
      <c r="M1076" s="31"/>
      <c r="N1076" s="29"/>
    </row>
    <row r="1077" spans="1:14" s="33" customFormat="1" x14ac:dyDescent="0.25">
      <c r="A1077" s="27"/>
      <c r="B1077" s="5"/>
      <c r="C1077" s="29"/>
      <c r="D1077" s="65"/>
      <c r="E1077" s="24"/>
      <c r="F1077" s="25"/>
      <c r="G1077" s="30"/>
      <c r="H1077" s="31"/>
      <c r="I1077" s="5"/>
      <c r="J1077" s="5"/>
      <c r="K1077" s="5"/>
      <c r="L1077" s="5"/>
      <c r="M1077" s="31"/>
      <c r="N1077" s="29"/>
    </row>
    <row r="1078" spans="1:14" s="33" customFormat="1" x14ac:dyDescent="0.25">
      <c r="A1078" s="27"/>
      <c r="B1078" s="5"/>
      <c r="C1078" s="29"/>
      <c r="D1078" s="65"/>
      <c r="E1078" s="24"/>
      <c r="F1078" s="25"/>
      <c r="G1078" s="30"/>
      <c r="H1078" s="31"/>
      <c r="I1078" s="5"/>
      <c r="J1078" s="5"/>
      <c r="K1078" s="5"/>
      <c r="L1078" s="5"/>
      <c r="M1078" s="31"/>
      <c r="N1078" s="29"/>
    </row>
    <row r="1079" spans="1:14" s="33" customFormat="1" x14ac:dyDescent="0.25">
      <c r="A1079" s="27"/>
      <c r="B1079" s="5"/>
      <c r="C1079" s="29"/>
      <c r="D1079" s="65"/>
      <c r="E1079" s="24"/>
      <c r="F1079" s="25"/>
      <c r="G1079" s="30"/>
      <c r="H1079" s="31"/>
      <c r="I1079" s="5"/>
      <c r="J1079" s="5"/>
      <c r="K1079" s="5"/>
      <c r="L1079" s="5"/>
      <c r="M1079" s="31"/>
      <c r="N1079" s="29"/>
    </row>
    <row r="1080" spans="1:14" s="33" customFormat="1" x14ac:dyDescent="0.25">
      <c r="A1080" s="27"/>
      <c r="B1080" s="5"/>
      <c r="C1080" s="29"/>
      <c r="D1080" s="65"/>
      <c r="E1080" s="24"/>
      <c r="F1080" s="25"/>
      <c r="G1080" s="30"/>
      <c r="H1080" s="31"/>
      <c r="I1080" s="5"/>
      <c r="J1080" s="5"/>
      <c r="K1080" s="5"/>
      <c r="L1080" s="5"/>
      <c r="M1080" s="31"/>
      <c r="N1080" s="29"/>
    </row>
    <row r="1081" spans="1:14" s="33" customFormat="1" x14ac:dyDescent="0.25">
      <c r="A1081" s="27"/>
      <c r="B1081" s="5"/>
      <c r="C1081" s="29"/>
      <c r="D1081" s="65"/>
      <c r="E1081" s="24"/>
      <c r="F1081" s="25"/>
      <c r="G1081" s="30"/>
      <c r="H1081" s="31"/>
      <c r="I1081" s="5"/>
      <c r="J1081" s="5"/>
      <c r="K1081" s="5"/>
      <c r="L1081" s="5"/>
      <c r="M1081" s="31"/>
      <c r="N1081" s="29"/>
    </row>
    <row r="1082" spans="1:14" s="33" customFormat="1" x14ac:dyDescent="0.25">
      <c r="A1082" s="27"/>
      <c r="B1082" s="5"/>
      <c r="C1082" s="29"/>
      <c r="D1082" s="65"/>
      <c r="E1082" s="24"/>
      <c r="F1082" s="25"/>
      <c r="G1082" s="30"/>
      <c r="H1082" s="31"/>
      <c r="I1082" s="5"/>
      <c r="J1082" s="5"/>
      <c r="K1082" s="5"/>
      <c r="L1082" s="5"/>
      <c r="M1082" s="31"/>
      <c r="N1082" s="29"/>
    </row>
    <row r="1083" spans="1:14" s="33" customFormat="1" x14ac:dyDescent="0.25">
      <c r="A1083" s="27"/>
      <c r="B1083" s="5"/>
      <c r="C1083" s="29"/>
      <c r="D1083" s="65"/>
      <c r="E1083" s="24"/>
      <c r="F1083" s="25"/>
      <c r="G1083" s="30"/>
      <c r="H1083" s="31"/>
      <c r="I1083" s="5"/>
      <c r="J1083" s="5"/>
      <c r="K1083" s="5"/>
      <c r="L1083" s="5"/>
      <c r="M1083" s="31"/>
      <c r="N1083" s="29"/>
    </row>
    <row r="1084" spans="1:14" s="33" customFormat="1" x14ac:dyDescent="0.25">
      <c r="A1084" s="27"/>
      <c r="B1084" s="5"/>
      <c r="C1084" s="29"/>
      <c r="D1084" s="65"/>
      <c r="E1084" s="24"/>
      <c r="F1084" s="25"/>
      <c r="G1084" s="30"/>
      <c r="H1084" s="31"/>
      <c r="I1084" s="5"/>
      <c r="J1084" s="5"/>
      <c r="K1084" s="5"/>
      <c r="L1084" s="5"/>
      <c r="M1084" s="31"/>
      <c r="N1084" s="29"/>
    </row>
    <row r="1085" spans="1:14" s="33" customFormat="1" x14ac:dyDescent="0.25">
      <c r="A1085" s="27"/>
      <c r="B1085" s="5"/>
      <c r="C1085" s="29"/>
      <c r="D1085" s="65"/>
      <c r="E1085" s="24"/>
      <c r="F1085" s="25"/>
      <c r="G1085" s="30"/>
      <c r="H1085" s="31"/>
      <c r="I1085" s="5"/>
      <c r="J1085" s="5"/>
      <c r="K1085" s="5"/>
      <c r="L1085" s="5"/>
      <c r="M1085" s="31"/>
      <c r="N1085" s="29"/>
    </row>
    <row r="1086" spans="1:14" s="33" customFormat="1" x14ac:dyDescent="0.25">
      <c r="A1086" s="27"/>
      <c r="B1086" s="5"/>
      <c r="C1086" s="29"/>
      <c r="D1086" s="65"/>
      <c r="E1086" s="24"/>
      <c r="F1086" s="25"/>
      <c r="G1086" s="30"/>
      <c r="H1086" s="31"/>
      <c r="I1086" s="5"/>
      <c r="J1086" s="5"/>
      <c r="K1086" s="5"/>
      <c r="L1086" s="5"/>
      <c r="M1086" s="31"/>
      <c r="N1086" s="29"/>
    </row>
    <row r="1087" spans="1:14" s="33" customFormat="1" x14ac:dyDescent="0.25">
      <c r="A1087" s="27"/>
      <c r="B1087" s="5"/>
      <c r="C1087" s="29"/>
      <c r="D1087" s="65"/>
      <c r="E1087" s="24"/>
      <c r="F1087" s="25"/>
      <c r="G1087" s="30"/>
      <c r="H1087" s="31"/>
      <c r="I1087" s="5"/>
      <c r="J1087" s="5"/>
      <c r="K1087" s="5"/>
      <c r="L1087" s="5"/>
      <c r="M1087" s="31"/>
      <c r="N1087" s="29"/>
    </row>
    <row r="1088" spans="1:14" s="33" customFormat="1" x14ac:dyDescent="0.25">
      <c r="A1088" s="27"/>
      <c r="B1088" s="5"/>
      <c r="C1088" s="29"/>
      <c r="D1088" s="65"/>
      <c r="E1088" s="24"/>
      <c r="F1088" s="25"/>
      <c r="G1088" s="30"/>
      <c r="H1088" s="31"/>
      <c r="I1088" s="5"/>
      <c r="J1088" s="5"/>
      <c r="K1088" s="5"/>
      <c r="L1088" s="5"/>
      <c r="M1088" s="31"/>
      <c r="N1088" s="29"/>
    </row>
    <row r="1089" spans="1:14" s="33" customFormat="1" x14ac:dyDescent="0.25">
      <c r="A1089" s="27"/>
      <c r="B1089" s="5"/>
      <c r="C1089" s="29"/>
      <c r="D1089" s="65"/>
      <c r="E1089" s="24"/>
      <c r="F1089" s="25"/>
      <c r="G1089" s="30"/>
      <c r="H1089" s="31"/>
      <c r="I1089" s="5"/>
      <c r="J1089" s="5"/>
      <c r="K1089" s="5"/>
      <c r="L1089" s="5"/>
      <c r="M1089" s="31"/>
      <c r="N1089" s="29"/>
    </row>
    <row r="1090" spans="1:14" s="33" customFormat="1" x14ac:dyDescent="0.25">
      <c r="A1090" s="27"/>
      <c r="B1090" s="5"/>
      <c r="C1090" s="29"/>
      <c r="D1090" s="65"/>
      <c r="E1090" s="24"/>
      <c r="F1090" s="25"/>
      <c r="G1090" s="30"/>
      <c r="H1090" s="31"/>
      <c r="I1090" s="5"/>
      <c r="J1090" s="5"/>
      <c r="K1090" s="5"/>
      <c r="L1090" s="5"/>
      <c r="M1090" s="31"/>
      <c r="N1090" s="29"/>
    </row>
    <row r="1091" spans="1:14" s="33" customFormat="1" x14ac:dyDescent="0.25">
      <c r="A1091" s="27"/>
      <c r="B1091" s="5"/>
      <c r="C1091" s="29"/>
      <c r="D1091" s="65"/>
      <c r="E1091" s="24"/>
      <c r="F1091" s="25"/>
      <c r="G1091" s="30"/>
      <c r="H1091" s="31"/>
      <c r="I1091" s="5"/>
      <c r="J1091" s="5"/>
      <c r="K1091" s="5"/>
      <c r="L1091" s="5"/>
      <c r="M1091" s="31"/>
      <c r="N1091" s="29"/>
    </row>
    <row r="1092" spans="1:14" s="33" customFormat="1" x14ac:dyDescent="0.25">
      <c r="A1092" s="27"/>
      <c r="B1092" s="5"/>
      <c r="C1092" s="29"/>
      <c r="D1092" s="65"/>
      <c r="E1092" s="24"/>
      <c r="F1092" s="25"/>
      <c r="G1092" s="30"/>
      <c r="H1092" s="31"/>
      <c r="I1092" s="5"/>
      <c r="J1092" s="5"/>
      <c r="K1092" s="5"/>
      <c r="L1092" s="5"/>
      <c r="M1092" s="31"/>
      <c r="N1092" s="29"/>
    </row>
    <row r="1093" spans="1:14" s="33" customFormat="1" x14ac:dyDescent="0.25">
      <c r="A1093" s="27"/>
      <c r="B1093" s="5"/>
      <c r="C1093" s="29"/>
      <c r="D1093" s="65"/>
      <c r="E1093" s="24"/>
      <c r="F1093" s="25"/>
      <c r="G1093" s="30"/>
      <c r="H1093" s="31"/>
      <c r="I1093" s="5"/>
      <c r="J1093" s="5"/>
      <c r="K1093" s="5"/>
      <c r="L1093" s="5"/>
      <c r="M1093" s="31"/>
      <c r="N1093" s="29"/>
    </row>
    <row r="1094" spans="1:14" s="33" customFormat="1" x14ac:dyDescent="0.25">
      <c r="A1094" s="27"/>
      <c r="B1094" s="5"/>
      <c r="C1094" s="29"/>
      <c r="D1094" s="65"/>
      <c r="E1094" s="24"/>
      <c r="F1094" s="25"/>
      <c r="G1094" s="30"/>
      <c r="H1094" s="31"/>
      <c r="I1094" s="5"/>
      <c r="J1094" s="5"/>
      <c r="K1094" s="5"/>
      <c r="L1094" s="5"/>
      <c r="M1094" s="31"/>
      <c r="N1094" s="29"/>
    </row>
    <row r="1095" spans="1:14" s="33" customFormat="1" x14ac:dyDescent="0.25">
      <c r="A1095" s="27"/>
      <c r="B1095" s="5"/>
      <c r="C1095" s="29"/>
      <c r="D1095" s="65"/>
      <c r="E1095" s="24"/>
      <c r="F1095" s="25"/>
      <c r="G1095" s="30"/>
      <c r="H1095" s="31"/>
      <c r="I1095" s="5"/>
      <c r="J1095" s="5"/>
      <c r="K1095" s="5"/>
      <c r="L1095" s="5"/>
      <c r="M1095" s="31"/>
      <c r="N1095" s="29"/>
    </row>
    <row r="1096" spans="1:14" s="33" customFormat="1" x14ac:dyDescent="0.25">
      <c r="A1096" s="27"/>
      <c r="B1096" s="5"/>
      <c r="C1096" s="29"/>
      <c r="D1096" s="65"/>
      <c r="E1096" s="24"/>
      <c r="F1096" s="25"/>
      <c r="G1096" s="30"/>
      <c r="H1096" s="31"/>
      <c r="I1096" s="5"/>
      <c r="J1096" s="5"/>
      <c r="K1096" s="5"/>
      <c r="L1096" s="5"/>
      <c r="M1096" s="31"/>
      <c r="N1096" s="29"/>
    </row>
    <row r="1097" spans="1:14" s="33" customFormat="1" x14ac:dyDescent="0.25">
      <c r="A1097" s="27"/>
      <c r="B1097" s="5"/>
      <c r="C1097" s="29"/>
      <c r="D1097" s="65"/>
      <c r="E1097" s="24"/>
      <c r="F1097" s="25"/>
      <c r="G1097" s="30"/>
      <c r="H1097" s="31"/>
      <c r="I1097" s="5"/>
      <c r="J1097" s="5"/>
      <c r="K1097" s="5"/>
      <c r="L1097" s="5"/>
      <c r="M1097" s="31"/>
      <c r="N1097" s="29"/>
    </row>
    <row r="1098" spans="1:14" s="33" customFormat="1" x14ac:dyDescent="0.25">
      <c r="A1098" s="27"/>
      <c r="B1098" s="5"/>
      <c r="C1098" s="29"/>
      <c r="D1098" s="65"/>
      <c r="E1098" s="24"/>
      <c r="F1098" s="25"/>
      <c r="G1098" s="30"/>
      <c r="H1098" s="31"/>
      <c r="I1098" s="5"/>
      <c r="J1098" s="5"/>
      <c r="K1098" s="5"/>
      <c r="L1098" s="5"/>
      <c r="M1098" s="31"/>
      <c r="N1098" s="29"/>
    </row>
    <row r="1099" spans="1:14" s="33" customFormat="1" x14ac:dyDescent="0.25">
      <c r="A1099" s="27"/>
      <c r="B1099" s="5"/>
      <c r="C1099" s="29"/>
      <c r="D1099" s="65"/>
      <c r="E1099" s="24"/>
      <c r="F1099" s="25"/>
      <c r="G1099" s="30"/>
      <c r="H1099" s="31"/>
      <c r="I1099" s="5"/>
      <c r="J1099" s="5"/>
      <c r="K1099" s="5"/>
      <c r="L1099" s="5"/>
      <c r="M1099" s="31"/>
      <c r="N1099" s="29"/>
    </row>
    <row r="1100" spans="1:14" s="33" customFormat="1" x14ac:dyDescent="0.25">
      <c r="A1100" s="27"/>
      <c r="B1100" s="5"/>
      <c r="C1100" s="29"/>
      <c r="D1100" s="65"/>
      <c r="E1100" s="24"/>
      <c r="F1100" s="25"/>
      <c r="G1100" s="30"/>
      <c r="H1100" s="31"/>
      <c r="I1100" s="5"/>
      <c r="J1100" s="5"/>
      <c r="K1100" s="5"/>
      <c r="L1100" s="5"/>
      <c r="M1100" s="31"/>
      <c r="N1100" s="29"/>
    </row>
    <row r="1101" spans="1:14" s="33" customFormat="1" x14ac:dyDescent="0.25">
      <c r="A1101" s="27"/>
      <c r="B1101" s="5"/>
      <c r="C1101" s="29"/>
      <c r="D1101" s="65"/>
      <c r="E1101" s="24"/>
      <c r="F1101" s="25"/>
      <c r="G1101" s="30"/>
      <c r="H1101" s="31"/>
      <c r="I1101" s="5"/>
      <c r="J1101" s="5"/>
      <c r="K1101" s="5"/>
      <c r="L1101" s="5"/>
      <c r="M1101" s="31"/>
      <c r="N1101" s="29"/>
    </row>
    <row r="1102" spans="1:14" s="33" customFormat="1" x14ac:dyDescent="0.25">
      <c r="A1102" s="27"/>
      <c r="B1102" s="5"/>
      <c r="C1102" s="29"/>
      <c r="D1102" s="65"/>
      <c r="E1102" s="24"/>
      <c r="F1102" s="25"/>
      <c r="G1102" s="30"/>
      <c r="H1102" s="31"/>
      <c r="I1102" s="5"/>
      <c r="J1102" s="5"/>
      <c r="K1102" s="5"/>
      <c r="L1102" s="5"/>
      <c r="M1102" s="31"/>
      <c r="N1102" s="29"/>
    </row>
    <row r="1103" spans="1:14" s="33" customFormat="1" x14ac:dyDescent="0.25">
      <c r="A1103" s="27"/>
      <c r="B1103" s="5"/>
      <c r="C1103" s="29"/>
      <c r="D1103" s="65"/>
      <c r="E1103" s="24"/>
      <c r="F1103" s="25"/>
      <c r="G1103" s="30"/>
      <c r="H1103" s="31"/>
      <c r="I1103" s="5"/>
      <c r="J1103" s="5"/>
      <c r="K1103" s="5"/>
      <c r="L1103" s="5"/>
      <c r="M1103" s="31"/>
      <c r="N1103" s="29"/>
    </row>
    <row r="1104" spans="1:14" s="33" customFormat="1" x14ac:dyDescent="0.25">
      <c r="A1104" s="27"/>
      <c r="B1104" s="5"/>
      <c r="C1104" s="29"/>
      <c r="D1104" s="65"/>
      <c r="E1104" s="24"/>
      <c r="F1104" s="25"/>
      <c r="G1104" s="30"/>
      <c r="H1104" s="31"/>
      <c r="I1104" s="5"/>
      <c r="J1104" s="5"/>
      <c r="K1104" s="5"/>
      <c r="L1104" s="5"/>
      <c r="M1104" s="31"/>
      <c r="N1104" s="29"/>
    </row>
    <row r="1105" spans="1:14" s="33" customFormat="1" x14ac:dyDescent="0.25">
      <c r="A1105" s="27"/>
      <c r="B1105" s="5"/>
      <c r="C1105" s="29"/>
      <c r="D1105" s="65"/>
      <c r="E1105" s="24"/>
      <c r="F1105" s="25"/>
      <c r="G1105" s="30"/>
      <c r="H1105" s="31"/>
      <c r="I1105" s="5"/>
      <c r="J1105" s="5"/>
      <c r="K1105" s="5"/>
      <c r="L1105" s="5"/>
      <c r="M1105" s="31"/>
      <c r="N1105" s="29"/>
    </row>
    <row r="1106" spans="1:14" s="33" customFormat="1" x14ac:dyDescent="0.25">
      <c r="A1106" s="27"/>
      <c r="B1106" s="5"/>
      <c r="C1106" s="29"/>
      <c r="D1106" s="65"/>
      <c r="E1106" s="24"/>
      <c r="F1106" s="25"/>
      <c r="G1106" s="30"/>
      <c r="H1106" s="31"/>
      <c r="I1106" s="5"/>
      <c r="J1106" s="5"/>
      <c r="K1106" s="5"/>
      <c r="L1106" s="5"/>
      <c r="M1106" s="31"/>
      <c r="N1106" s="29"/>
    </row>
    <row r="1107" spans="1:14" s="33" customFormat="1" x14ac:dyDescent="0.25">
      <c r="A1107" s="27"/>
      <c r="B1107" s="5"/>
      <c r="C1107" s="29"/>
      <c r="D1107" s="65"/>
      <c r="E1107" s="24"/>
      <c r="F1107" s="25"/>
      <c r="G1107" s="30"/>
      <c r="H1107" s="31"/>
      <c r="I1107" s="5"/>
      <c r="J1107" s="5"/>
      <c r="K1107" s="5"/>
      <c r="L1107" s="5"/>
      <c r="M1107" s="31"/>
      <c r="N1107" s="29"/>
    </row>
    <row r="1108" spans="1:14" s="33" customFormat="1" x14ac:dyDescent="0.25">
      <c r="A1108" s="27"/>
      <c r="B1108" s="5"/>
      <c r="C1108" s="29"/>
      <c r="D1108" s="65"/>
      <c r="E1108" s="24"/>
      <c r="F1108" s="25"/>
      <c r="G1108" s="30"/>
      <c r="H1108" s="31"/>
      <c r="I1108" s="5"/>
      <c r="J1108" s="5"/>
      <c r="K1108" s="5"/>
      <c r="L1108" s="5"/>
      <c r="M1108" s="31"/>
      <c r="N1108" s="29"/>
    </row>
    <row r="1109" spans="1:14" s="33" customFormat="1" x14ac:dyDescent="0.25">
      <c r="A1109" s="27"/>
      <c r="B1109" s="5"/>
      <c r="C1109" s="29"/>
      <c r="D1109" s="65"/>
      <c r="E1109" s="24"/>
      <c r="F1109" s="25"/>
      <c r="G1109" s="30"/>
      <c r="H1109" s="31"/>
      <c r="I1109" s="5"/>
      <c r="J1109" s="5"/>
      <c r="K1109" s="5"/>
      <c r="L1109" s="5"/>
      <c r="M1109" s="31"/>
      <c r="N1109" s="29"/>
    </row>
    <row r="1110" spans="1:14" s="33" customFormat="1" x14ac:dyDescent="0.25">
      <c r="A1110" s="27"/>
      <c r="B1110" s="5"/>
      <c r="C1110" s="29"/>
      <c r="D1110" s="65"/>
      <c r="E1110" s="24"/>
      <c r="F1110" s="25"/>
      <c r="G1110" s="30"/>
      <c r="H1110" s="31"/>
      <c r="I1110" s="5"/>
      <c r="J1110" s="5"/>
      <c r="K1110" s="5"/>
      <c r="L1110" s="5"/>
      <c r="M1110" s="31"/>
      <c r="N1110" s="29"/>
    </row>
    <row r="1111" spans="1:14" s="33" customFormat="1" x14ac:dyDescent="0.25">
      <c r="A1111" s="27"/>
      <c r="B1111" s="5"/>
      <c r="C1111" s="29"/>
      <c r="D1111" s="65"/>
      <c r="E1111" s="24"/>
      <c r="F1111" s="25"/>
      <c r="G1111" s="30"/>
      <c r="H1111" s="31"/>
      <c r="I1111" s="5"/>
      <c r="J1111" s="5"/>
      <c r="K1111" s="5"/>
      <c r="L1111" s="5"/>
      <c r="M1111" s="31"/>
      <c r="N1111" s="29"/>
    </row>
    <row r="1112" spans="1:14" s="33" customFormat="1" x14ac:dyDescent="0.25">
      <c r="A1112" s="27"/>
      <c r="B1112" s="5"/>
      <c r="C1112" s="29"/>
      <c r="D1112" s="65"/>
      <c r="E1112" s="24"/>
      <c r="F1112" s="25"/>
      <c r="G1112" s="30"/>
      <c r="H1112" s="31"/>
      <c r="I1112" s="5"/>
      <c r="J1112" s="5"/>
      <c r="K1112" s="5"/>
      <c r="L1112" s="5"/>
      <c r="M1112" s="31"/>
      <c r="N1112" s="29"/>
    </row>
    <row r="1113" spans="1:14" s="33" customFormat="1" x14ac:dyDescent="0.25">
      <c r="A1113" s="27"/>
      <c r="B1113" s="5"/>
      <c r="C1113" s="29"/>
      <c r="D1113" s="65"/>
      <c r="E1113" s="24"/>
      <c r="F1113" s="25"/>
      <c r="G1113" s="30"/>
      <c r="H1113" s="31"/>
      <c r="I1113" s="5"/>
      <c r="J1113" s="5"/>
      <c r="K1113" s="5"/>
      <c r="L1113" s="5"/>
      <c r="M1113" s="31"/>
      <c r="N1113" s="29"/>
    </row>
    <row r="1114" spans="1:14" s="33" customFormat="1" x14ac:dyDescent="0.25">
      <c r="A1114" s="27"/>
      <c r="B1114" s="5"/>
      <c r="C1114" s="29"/>
      <c r="D1114" s="65"/>
      <c r="E1114" s="24"/>
      <c r="F1114" s="25"/>
      <c r="G1114" s="30"/>
      <c r="H1114" s="31"/>
      <c r="I1114" s="5"/>
      <c r="J1114" s="5"/>
      <c r="K1114" s="5"/>
      <c r="L1114" s="5"/>
      <c r="M1114" s="31"/>
      <c r="N1114" s="29"/>
    </row>
    <row r="1115" spans="1:14" s="33" customFormat="1" x14ac:dyDescent="0.25">
      <c r="A1115" s="27"/>
      <c r="B1115" s="5"/>
      <c r="C1115" s="29"/>
      <c r="D1115" s="65"/>
      <c r="E1115" s="24"/>
      <c r="F1115" s="25"/>
      <c r="G1115" s="30"/>
      <c r="H1115" s="31"/>
      <c r="I1115" s="5"/>
      <c r="J1115" s="5"/>
      <c r="K1115" s="5"/>
      <c r="L1115" s="5"/>
      <c r="M1115" s="31"/>
      <c r="N1115" s="29"/>
    </row>
    <row r="1116" spans="1:14" s="33" customFormat="1" x14ac:dyDescent="0.25">
      <c r="A1116" s="27"/>
      <c r="B1116" s="5"/>
      <c r="C1116" s="29"/>
      <c r="D1116" s="65"/>
      <c r="E1116" s="24"/>
      <c r="F1116" s="25"/>
      <c r="G1116" s="30"/>
      <c r="H1116" s="31"/>
      <c r="I1116" s="5"/>
      <c r="J1116" s="5"/>
      <c r="K1116" s="5"/>
      <c r="L1116" s="5"/>
      <c r="M1116" s="31"/>
      <c r="N1116" s="29"/>
    </row>
    <row r="1117" spans="1:14" s="33" customFormat="1" x14ac:dyDescent="0.25">
      <c r="A1117" s="27"/>
      <c r="B1117" s="5"/>
      <c r="C1117" s="29"/>
      <c r="D1117" s="65"/>
      <c r="E1117" s="24"/>
      <c r="F1117" s="25"/>
      <c r="G1117" s="30"/>
      <c r="H1117" s="31"/>
      <c r="I1117" s="5"/>
      <c r="J1117" s="5"/>
      <c r="K1117" s="5"/>
      <c r="L1117" s="5"/>
      <c r="M1117" s="31"/>
      <c r="N1117" s="29"/>
    </row>
    <row r="1118" spans="1:14" s="33" customFormat="1" x14ac:dyDescent="0.25">
      <c r="A1118" s="27"/>
      <c r="B1118" s="5"/>
      <c r="C1118" s="29"/>
      <c r="D1118" s="65"/>
      <c r="E1118" s="24"/>
      <c r="F1118" s="25"/>
      <c r="G1118" s="30"/>
      <c r="H1118" s="31"/>
      <c r="I1118" s="5"/>
      <c r="J1118" s="5"/>
      <c r="K1118" s="5"/>
      <c r="L1118" s="5"/>
      <c r="M1118" s="31"/>
      <c r="N1118" s="29"/>
    </row>
    <row r="1119" spans="1:14" s="33" customFormat="1" x14ac:dyDescent="0.25">
      <c r="A1119" s="27"/>
      <c r="B1119" s="5"/>
      <c r="C1119" s="29"/>
      <c r="D1119" s="65"/>
      <c r="E1119" s="24"/>
      <c r="F1119" s="25"/>
      <c r="G1119" s="30"/>
      <c r="H1119" s="31"/>
      <c r="I1119" s="5"/>
      <c r="J1119" s="5"/>
      <c r="K1119" s="5"/>
      <c r="L1119" s="5"/>
      <c r="M1119" s="31"/>
      <c r="N1119" s="29"/>
    </row>
    <row r="1120" spans="1:14" s="33" customFormat="1" x14ac:dyDescent="0.25">
      <c r="A1120" s="27"/>
      <c r="B1120" s="5"/>
      <c r="C1120" s="29"/>
      <c r="D1120" s="65"/>
      <c r="E1120" s="24"/>
      <c r="F1120" s="25"/>
      <c r="G1120" s="30"/>
      <c r="H1120" s="31"/>
      <c r="I1120" s="5"/>
      <c r="J1120" s="5"/>
      <c r="K1120" s="5"/>
      <c r="L1120" s="5"/>
      <c r="M1120" s="31"/>
      <c r="N1120" s="29"/>
    </row>
    <row r="1121" spans="1:14" s="33" customFormat="1" x14ac:dyDescent="0.25">
      <c r="A1121" s="27"/>
      <c r="B1121" s="5"/>
      <c r="C1121" s="29"/>
      <c r="D1121" s="65"/>
      <c r="E1121" s="24"/>
      <c r="F1121" s="25"/>
      <c r="G1121" s="30"/>
      <c r="H1121" s="31"/>
      <c r="I1121" s="5"/>
      <c r="J1121" s="5"/>
      <c r="K1121" s="5"/>
      <c r="L1121" s="5"/>
      <c r="M1121" s="31"/>
      <c r="N1121" s="29"/>
    </row>
    <row r="1122" spans="1:14" s="33" customFormat="1" x14ac:dyDescent="0.25">
      <c r="A1122" s="27"/>
      <c r="B1122" s="5"/>
      <c r="C1122" s="29"/>
      <c r="D1122" s="65"/>
      <c r="E1122" s="24"/>
      <c r="F1122" s="25"/>
      <c r="G1122" s="30"/>
      <c r="H1122" s="31"/>
      <c r="I1122" s="5"/>
      <c r="J1122" s="5"/>
      <c r="K1122" s="5"/>
      <c r="L1122" s="5"/>
      <c r="M1122" s="31"/>
      <c r="N1122" s="29"/>
    </row>
    <row r="1123" spans="1:14" s="33" customFormat="1" x14ac:dyDescent="0.25">
      <c r="A1123" s="27"/>
      <c r="B1123" s="5"/>
      <c r="C1123" s="29"/>
      <c r="D1123" s="65"/>
      <c r="E1123" s="24"/>
      <c r="F1123" s="25"/>
      <c r="G1123" s="30"/>
      <c r="H1123" s="31"/>
      <c r="I1123" s="5"/>
      <c r="J1123" s="5"/>
      <c r="K1123" s="5"/>
      <c r="L1123" s="5"/>
      <c r="M1123" s="31"/>
      <c r="N1123" s="29"/>
    </row>
    <row r="1124" spans="1:14" s="33" customFormat="1" x14ac:dyDescent="0.25">
      <c r="A1124" s="27"/>
      <c r="B1124" s="5"/>
      <c r="C1124" s="29"/>
      <c r="D1124" s="65"/>
      <c r="E1124" s="24"/>
      <c r="F1124" s="25"/>
      <c r="G1124" s="30"/>
      <c r="H1124" s="31"/>
      <c r="I1124" s="5"/>
      <c r="J1124" s="5"/>
      <c r="K1124" s="5"/>
      <c r="L1124" s="5"/>
      <c r="M1124" s="31"/>
      <c r="N1124" s="29"/>
    </row>
    <row r="1125" spans="1:14" s="33" customFormat="1" x14ac:dyDescent="0.25">
      <c r="A1125" s="27"/>
      <c r="B1125" s="5"/>
      <c r="C1125" s="29"/>
      <c r="D1125" s="65"/>
      <c r="E1125" s="24"/>
      <c r="F1125" s="25"/>
      <c r="G1125" s="30"/>
      <c r="H1125" s="31"/>
      <c r="I1125" s="5"/>
      <c r="J1125" s="5"/>
      <c r="K1125" s="5"/>
      <c r="L1125" s="5"/>
      <c r="M1125" s="31"/>
      <c r="N1125" s="29"/>
    </row>
    <row r="1126" spans="1:14" s="33" customFormat="1" x14ac:dyDescent="0.25">
      <c r="A1126" s="27"/>
      <c r="B1126" s="5"/>
      <c r="C1126" s="29"/>
      <c r="D1126" s="65"/>
      <c r="E1126" s="24"/>
      <c r="F1126" s="25"/>
      <c r="G1126" s="30"/>
      <c r="H1126" s="31"/>
      <c r="I1126" s="5"/>
      <c r="J1126" s="5"/>
      <c r="K1126" s="5"/>
      <c r="L1126" s="5"/>
      <c r="M1126" s="31"/>
      <c r="N1126" s="29"/>
    </row>
    <row r="1127" spans="1:14" s="33" customFormat="1" x14ac:dyDescent="0.25">
      <c r="A1127" s="27"/>
      <c r="B1127" s="5"/>
      <c r="C1127" s="29"/>
      <c r="D1127" s="65"/>
      <c r="E1127" s="24"/>
      <c r="F1127" s="25"/>
      <c r="G1127" s="30"/>
      <c r="H1127" s="31"/>
      <c r="I1127" s="5"/>
      <c r="J1127" s="5"/>
      <c r="K1127" s="5"/>
      <c r="L1127" s="5"/>
      <c r="M1127" s="31"/>
      <c r="N1127" s="29"/>
    </row>
    <row r="1128" spans="1:14" s="33" customFormat="1" x14ac:dyDescent="0.25">
      <c r="A1128" s="27"/>
      <c r="B1128" s="5"/>
      <c r="C1128" s="29"/>
      <c r="D1128" s="65"/>
      <c r="E1128" s="24"/>
      <c r="F1128" s="25"/>
      <c r="G1128" s="30"/>
      <c r="H1128" s="31"/>
      <c r="I1128" s="5"/>
      <c r="J1128" s="5"/>
      <c r="K1128" s="5"/>
      <c r="L1128" s="5"/>
      <c r="M1128" s="31"/>
      <c r="N1128" s="29"/>
    </row>
    <row r="1129" spans="1:14" s="33" customFormat="1" x14ac:dyDescent="0.25">
      <c r="A1129" s="27"/>
      <c r="B1129" s="5"/>
      <c r="C1129" s="29"/>
      <c r="D1129" s="65"/>
      <c r="E1129" s="24"/>
      <c r="F1129" s="25"/>
      <c r="G1129" s="30"/>
      <c r="H1129" s="31"/>
      <c r="I1129" s="5"/>
      <c r="J1129" s="5"/>
      <c r="K1129" s="5"/>
      <c r="L1129" s="5"/>
      <c r="M1129" s="31"/>
      <c r="N1129" s="29"/>
    </row>
    <row r="1130" spans="1:14" s="33" customFormat="1" x14ac:dyDescent="0.25">
      <c r="A1130" s="27"/>
      <c r="B1130" s="5"/>
      <c r="C1130" s="29"/>
      <c r="D1130" s="65"/>
      <c r="E1130" s="24"/>
      <c r="F1130" s="25"/>
      <c r="G1130" s="30"/>
      <c r="H1130" s="31"/>
      <c r="I1130" s="5"/>
      <c r="J1130" s="5"/>
      <c r="K1130" s="5"/>
      <c r="L1130" s="5"/>
      <c r="M1130" s="31"/>
      <c r="N1130" s="29"/>
    </row>
    <row r="1131" spans="1:14" s="33" customFormat="1" x14ac:dyDescent="0.25">
      <c r="A1131" s="27"/>
      <c r="B1131" s="5"/>
      <c r="C1131" s="29"/>
      <c r="D1131" s="65"/>
      <c r="E1131" s="24"/>
      <c r="F1131" s="25"/>
      <c r="G1131" s="30"/>
      <c r="H1131" s="31"/>
      <c r="I1131" s="5"/>
      <c r="J1131" s="5"/>
      <c r="K1131" s="5"/>
      <c r="L1131" s="5"/>
      <c r="M1131" s="31"/>
      <c r="N1131" s="29"/>
    </row>
    <row r="1132" spans="1:14" s="33" customFormat="1" x14ac:dyDescent="0.25">
      <c r="A1132" s="27"/>
      <c r="B1132" s="5"/>
      <c r="C1132" s="29"/>
      <c r="D1132" s="65"/>
      <c r="E1132" s="24"/>
      <c r="F1132" s="25"/>
      <c r="G1132" s="30"/>
      <c r="H1132" s="31"/>
      <c r="I1132" s="5"/>
      <c r="J1132" s="5"/>
      <c r="K1132" s="5"/>
      <c r="L1132" s="5"/>
      <c r="M1132" s="31"/>
      <c r="N1132" s="29"/>
    </row>
    <row r="1133" spans="1:14" s="33" customFormat="1" x14ac:dyDescent="0.25">
      <c r="A1133" s="27"/>
      <c r="B1133" s="5"/>
      <c r="C1133" s="29"/>
      <c r="D1133" s="65"/>
      <c r="E1133" s="24"/>
      <c r="F1133" s="25"/>
      <c r="G1133" s="30"/>
      <c r="H1133" s="31"/>
      <c r="I1133" s="5"/>
      <c r="J1133" s="5"/>
      <c r="K1133" s="5"/>
      <c r="L1133" s="5"/>
      <c r="M1133" s="31"/>
      <c r="N1133" s="29"/>
    </row>
    <row r="1134" spans="1:14" s="33" customFormat="1" x14ac:dyDescent="0.25">
      <c r="A1134" s="27"/>
      <c r="B1134" s="5"/>
      <c r="C1134" s="29"/>
      <c r="D1134" s="65"/>
      <c r="E1134" s="24"/>
      <c r="F1134" s="25"/>
      <c r="G1134" s="30"/>
      <c r="H1134" s="31"/>
      <c r="I1134" s="5"/>
      <c r="J1134" s="5"/>
      <c r="K1134" s="5"/>
      <c r="L1134" s="5"/>
      <c r="M1134" s="31"/>
      <c r="N1134" s="29"/>
    </row>
    <row r="1135" spans="1:14" s="33" customFormat="1" x14ac:dyDescent="0.25">
      <c r="A1135" s="27"/>
      <c r="B1135" s="5"/>
      <c r="C1135" s="29"/>
      <c r="D1135" s="65"/>
      <c r="E1135" s="24"/>
      <c r="F1135" s="25"/>
      <c r="G1135" s="30"/>
      <c r="H1135" s="31"/>
      <c r="I1135" s="5"/>
      <c r="J1135" s="5"/>
      <c r="K1135" s="5"/>
      <c r="L1135" s="5"/>
      <c r="M1135" s="31"/>
      <c r="N1135" s="29"/>
    </row>
    <row r="1136" spans="1:14" s="33" customFormat="1" x14ac:dyDescent="0.25">
      <c r="A1136" s="27"/>
      <c r="B1136" s="5"/>
      <c r="C1136" s="29"/>
      <c r="D1136" s="65"/>
      <c r="E1136" s="24"/>
      <c r="F1136" s="25"/>
      <c r="G1136" s="30"/>
      <c r="H1136" s="31"/>
      <c r="I1136" s="5"/>
      <c r="J1136" s="5"/>
      <c r="K1136" s="5"/>
      <c r="L1136" s="5"/>
      <c r="M1136" s="31"/>
      <c r="N1136" s="29"/>
    </row>
    <row r="1137" spans="1:14" s="33" customFormat="1" x14ac:dyDescent="0.25">
      <c r="A1137" s="27"/>
      <c r="B1137" s="5"/>
      <c r="C1137" s="29"/>
      <c r="D1137" s="65"/>
      <c r="E1137" s="24"/>
      <c r="F1137" s="25"/>
      <c r="G1137" s="30"/>
      <c r="H1137" s="31"/>
      <c r="I1137" s="5"/>
      <c r="J1137" s="5"/>
      <c r="K1137" s="5"/>
      <c r="L1137" s="5"/>
      <c r="M1137" s="31"/>
      <c r="N1137" s="29"/>
    </row>
    <row r="1138" spans="1:14" s="33" customFormat="1" x14ac:dyDescent="0.25">
      <c r="A1138" s="27"/>
      <c r="B1138" s="5"/>
      <c r="C1138" s="29"/>
      <c r="D1138" s="65"/>
      <c r="E1138" s="24"/>
      <c r="F1138" s="25"/>
      <c r="G1138" s="30"/>
      <c r="H1138" s="31"/>
      <c r="I1138" s="5"/>
      <c r="J1138" s="5"/>
      <c r="K1138" s="5"/>
      <c r="L1138" s="5"/>
      <c r="M1138" s="31"/>
      <c r="N1138" s="29"/>
    </row>
    <row r="1139" spans="1:14" s="33" customFormat="1" x14ac:dyDescent="0.25">
      <c r="A1139" s="27"/>
      <c r="B1139" s="5"/>
      <c r="C1139" s="29"/>
      <c r="D1139" s="65"/>
      <c r="E1139" s="24"/>
      <c r="F1139" s="25"/>
      <c r="G1139" s="30"/>
      <c r="H1139" s="31"/>
      <c r="I1139" s="5"/>
      <c r="J1139" s="5"/>
      <c r="K1139" s="5"/>
      <c r="L1139" s="5"/>
      <c r="M1139" s="31"/>
      <c r="N1139" s="29"/>
    </row>
    <row r="1140" spans="1:14" s="33" customFormat="1" x14ac:dyDescent="0.25">
      <c r="A1140" s="27"/>
      <c r="B1140" s="5"/>
      <c r="C1140" s="29"/>
      <c r="D1140" s="65"/>
      <c r="E1140" s="24"/>
      <c r="F1140" s="25"/>
      <c r="G1140" s="30"/>
      <c r="H1140" s="31"/>
      <c r="I1140" s="5"/>
      <c r="J1140" s="5"/>
      <c r="K1140" s="5"/>
      <c r="L1140" s="5"/>
      <c r="M1140" s="31"/>
      <c r="N1140" s="29"/>
    </row>
    <row r="1141" spans="1:14" s="33" customFormat="1" x14ac:dyDescent="0.25">
      <c r="A1141" s="27"/>
      <c r="B1141" s="5"/>
      <c r="C1141" s="29"/>
      <c r="D1141" s="65"/>
      <c r="E1141" s="24"/>
      <c r="F1141" s="25"/>
      <c r="G1141" s="30"/>
      <c r="H1141" s="31"/>
      <c r="I1141" s="5"/>
      <c r="J1141" s="5"/>
      <c r="K1141" s="5"/>
      <c r="L1141" s="5"/>
      <c r="M1141" s="31"/>
      <c r="N1141" s="29"/>
    </row>
    <row r="1142" spans="1:14" s="33" customFormat="1" x14ac:dyDescent="0.25">
      <c r="A1142" s="27"/>
      <c r="B1142" s="5"/>
      <c r="C1142" s="29"/>
      <c r="D1142" s="65"/>
      <c r="E1142" s="24"/>
      <c r="F1142" s="25"/>
      <c r="G1142" s="30"/>
      <c r="H1142" s="31"/>
      <c r="I1142" s="5"/>
      <c r="J1142" s="5"/>
      <c r="K1142" s="5"/>
      <c r="L1142" s="5"/>
      <c r="M1142" s="31"/>
      <c r="N1142" s="29"/>
    </row>
    <row r="1143" spans="1:14" s="33" customFormat="1" x14ac:dyDescent="0.25">
      <c r="A1143" s="27"/>
      <c r="B1143" s="5"/>
      <c r="C1143" s="29"/>
      <c r="D1143" s="65"/>
      <c r="E1143" s="24"/>
      <c r="F1143" s="25"/>
      <c r="G1143" s="30"/>
      <c r="H1143" s="31"/>
      <c r="I1143" s="5"/>
      <c r="J1143" s="5"/>
      <c r="K1143" s="5"/>
      <c r="L1143" s="5"/>
      <c r="M1143" s="31"/>
      <c r="N1143" s="29"/>
    </row>
    <row r="1144" spans="1:14" s="33" customFormat="1" x14ac:dyDescent="0.25">
      <c r="A1144" s="27"/>
      <c r="B1144" s="5"/>
      <c r="C1144" s="29"/>
      <c r="D1144" s="65"/>
      <c r="E1144" s="24"/>
      <c r="F1144" s="25"/>
      <c r="G1144" s="30"/>
      <c r="H1144" s="31"/>
      <c r="I1144" s="5"/>
      <c r="J1144" s="5"/>
      <c r="K1144" s="5"/>
      <c r="L1144" s="5"/>
      <c r="M1144" s="31"/>
      <c r="N1144" s="29"/>
    </row>
    <row r="1145" spans="1:14" s="33" customFormat="1" x14ac:dyDescent="0.25">
      <c r="A1145" s="27"/>
      <c r="B1145" s="5"/>
      <c r="C1145" s="29"/>
      <c r="D1145" s="65"/>
      <c r="E1145" s="24"/>
      <c r="F1145" s="25"/>
      <c r="G1145" s="30"/>
      <c r="H1145" s="31"/>
      <c r="I1145" s="5"/>
      <c r="J1145" s="5"/>
      <c r="K1145" s="5"/>
      <c r="L1145" s="5"/>
      <c r="M1145" s="31"/>
      <c r="N1145" s="29"/>
    </row>
    <row r="1146" spans="1:14" s="33" customFormat="1" x14ac:dyDescent="0.25">
      <c r="A1146" s="27"/>
      <c r="B1146" s="5"/>
      <c r="C1146" s="29"/>
      <c r="D1146" s="65"/>
      <c r="E1146" s="24"/>
      <c r="F1146" s="25"/>
      <c r="G1146" s="30"/>
      <c r="H1146" s="31"/>
      <c r="I1146" s="5"/>
      <c r="J1146" s="5"/>
      <c r="K1146" s="5"/>
      <c r="L1146" s="5"/>
      <c r="M1146" s="31"/>
      <c r="N1146" s="29"/>
    </row>
    <row r="1147" spans="1:14" s="33" customFormat="1" x14ac:dyDescent="0.25">
      <c r="A1147" s="27"/>
      <c r="B1147" s="5"/>
      <c r="C1147" s="29"/>
      <c r="D1147" s="65"/>
      <c r="E1147" s="24"/>
      <c r="F1147" s="25"/>
      <c r="G1147" s="30"/>
      <c r="H1147" s="31"/>
      <c r="I1147" s="5"/>
      <c r="J1147" s="5"/>
      <c r="K1147" s="5"/>
      <c r="L1147" s="5"/>
      <c r="M1147" s="31"/>
      <c r="N1147" s="29"/>
    </row>
    <row r="1148" spans="1:14" s="33" customFormat="1" x14ac:dyDescent="0.25">
      <c r="A1148" s="27"/>
      <c r="B1148" s="5"/>
      <c r="C1148" s="29"/>
      <c r="D1148" s="65"/>
      <c r="E1148" s="24"/>
      <c r="F1148" s="25"/>
      <c r="G1148" s="30"/>
      <c r="H1148" s="31"/>
      <c r="I1148" s="5"/>
      <c r="J1148" s="5"/>
      <c r="K1148" s="5"/>
      <c r="L1148" s="5"/>
      <c r="M1148" s="31"/>
      <c r="N1148" s="29"/>
    </row>
    <row r="1149" spans="1:14" s="33" customFormat="1" x14ac:dyDescent="0.25">
      <c r="A1149" s="27"/>
      <c r="B1149" s="5"/>
      <c r="C1149" s="29"/>
      <c r="D1149" s="65"/>
      <c r="E1149" s="24"/>
      <c r="F1149" s="25"/>
      <c r="G1149" s="30"/>
      <c r="H1149" s="31"/>
      <c r="I1149" s="5"/>
      <c r="J1149" s="5"/>
      <c r="K1149" s="5"/>
      <c r="L1149" s="5"/>
      <c r="M1149" s="31"/>
      <c r="N1149" s="29"/>
    </row>
    <row r="1150" spans="1:14" s="33" customFormat="1" x14ac:dyDescent="0.25">
      <c r="A1150" s="27"/>
      <c r="B1150" s="5"/>
      <c r="C1150" s="29"/>
      <c r="D1150" s="65"/>
      <c r="E1150" s="24"/>
      <c r="F1150" s="25"/>
      <c r="G1150" s="30"/>
      <c r="H1150" s="31"/>
      <c r="I1150" s="5"/>
      <c r="J1150" s="5"/>
      <c r="K1150" s="5"/>
      <c r="L1150" s="5"/>
      <c r="M1150" s="31"/>
      <c r="N1150" s="29"/>
    </row>
    <row r="1151" spans="1:14" s="33" customFormat="1" x14ac:dyDescent="0.25">
      <c r="A1151" s="27"/>
      <c r="B1151" s="5"/>
      <c r="C1151" s="29"/>
      <c r="D1151" s="65"/>
      <c r="E1151" s="24"/>
      <c r="F1151" s="25"/>
      <c r="G1151" s="30"/>
      <c r="H1151" s="31"/>
      <c r="I1151" s="5"/>
      <c r="J1151" s="5"/>
      <c r="K1151" s="5"/>
      <c r="L1151" s="5"/>
      <c r="M1151" s="31"/>
      <c r="N1151" s="29"/>
    </row>
    <row r="1152" spans="1:14" s="33" customFormat="1" x14ac:dyDescent="0.25">
      <c r="A1152" s="27"/>
      <c r="B1152" s="5"/>
      <c r="C1152" s="29"/>
      <c r="D1152" s="65"/>
      <c r="E1152" s="24"/>
      <c r="F1152" s="25"/>
      <c r="G1152" s="30"/>
      <c r="H1152" s="31"/>
      <c r="I1152" s="5"/>
      <c r="J1152" s="5"/>
      <c r="K1152" s="5"/>
      <c r="L1152" s="5"/>
      <c r="M1152" s="31"/>
      <c r="N1152" s="29"/>
    </row>
    <row r="1153" spans="1:14" s="33" customFormat="1" x14ac:dyDescent="0.25">
      <c r="A1153" s="27"/>
      <c r="B1153" s="5"/>
      <c r="C1153" s="29"/>
      <c r="D1153" s="65"/>
      <c r="E1153" s="24"/>
      <c r="F1153" s="25"/>
      <c r="G1153" s="30"/>
      <c r="H1153" s="31"/>
      <c r="I1153" s="5"/>
      <c r="J1153" s="5"/>
      <c r="K1153" s="5"/>
      <c r="L1153" s="5"/>
      <c r="M1153" s="31"/>
      <c r="N1153" s="29"/>
    </row>
    <row r="1154" spans="1:14" s="33" customFormat="1" x14ac:dyDescent="0.25">
      <c r="A1154" s="27"/>
      <c r="B1154" s="5"/>
      <c r="C1154" s="29"/>
      <c r="D1154" s="65"/>
      <c r="E1154" s="24"/>
      <c r="F1154" s="25"/>
      <c r="G1154" s="30"/>
      <c r="H1154" s="31"/>
      <c r="I1154" s="5"/>
      <c r="J1154" s="5"/>
      <c r="K1154" s="5"/>
      <c r="L1154" s="5"/>
      <c r="M1154" s="31"/>
      <c r="N1154" s="29"/>
    </row>
    <row r="1155" spans="1:14" s="33" customFormat="1" x14ac:dyDescent="0.25">
      <c r="A1155" s="27"/>
      <c r="B1155" s="5"/>
      <c r="C1155" s="29"/>
      <c r="D1155" s="65"/>
      <c r="E1155" s="24"/>
      <c r="F1155" s="25"/>
      <c r="G1155" s="30"/>
      <c r="H1155" s="31"/>
      <c r="I1155" s="5"/>
      <c r="J1155" s="5"/>
      <c r="K1155" s="5"/>
      <c r="L1155" s="5"/>
      <c r="M1155" s="31"/>
      <c r="N1155" s="29"/>
    </row>
    <row r="1046857" spans="1:14" x14ac:dyDescent="0.25">
      <c r="A1046857" s="28"/>
      <c r="B1046857" s="28"/>
      <c r="C1046857" s="28"/>
      <c r="D1046857" s="28"/>
      <c r="E1046857" s="28"/>
      <c r="F1046857" s="28"/>
      <c r="G1046857" s="28"/>
      <c r="H1046857" s="28"/>
      <c r="I1046857" s="28"/>
      <c r="J1046857" s="26"/>
      <c r="K1046857" s="28"/>
      <c r="L1046857" s="28"/>
      <c r="M1046857" s="28"/>
      <c r="N1046857" s="28"/>
    </row>
  </sheetData>
  <conditionalFormatting sqref="D13:D1048576">
    <cfRule type="cellIs" dxfId="13863" priority="25418" operator="equal">
      <formula>"Escalado"</formula>
    </cfRule>
    <cfRule type="cellIs" dxfId="13862" priority="25419" operator="equal">
      <formula>"Escalado"</formula>
    </cfRule>
    <cfRule type="cellIs" dxfId="13861" priority="25420" operator="equal">
      <formula>"Escalado"</formula>
    </cfRule>
    <cfRule type="cellIs" dxfId="13860" priority="25421" operator="equal">
      <formula>"Realizado"</formula>
    </cfRule>
    <cfRule type="cellIs" dxfId="13859" priority="25422" operator="equal">
      <formula>"Aprobado"</formula>
    </cfRule>
    <cfRule type="cellIs" dxfId="13858" priority="25423" operator="equal">
      <formula>"Rechazado"</formula>
    </cfRule>
    <cfRule type="cellIs" dxfId="13857" priority="25424" operator="equal">
      <formula>"Realizado"</formula>
    </cfRule>
  </conditionalFormatting>
  <conditionalFormatting sqref="B13:B1048576">
    <cfRule type="cellIs" dxfId="13856" priority="25408" operator="equal">
      <formula>"APLAZADO"</formula>
    </cfRule>
    <cfRule type="cellIs" dxfId="13855" priority="25409" operator="equal">
      <formula>"CANCELADO"</formula>
    </cfRule>
    <cfRule type="cellIs" dxfId="13854" priority="25410" operator="equal">
      <formula>"NO EJECUTADO"</formula>
    </cfRule>
    <cfRule type="cellIs" dxfId="13853" priority="25411" operator="equal">
      <formula>"FPE"</formula>
    </cfRule>
    <cfRule type="cellIs" dxfId="13852" priority="25412" operator="equal">
      <formula>"AMA"</formula>
    </cfRule>
    <cfRule type="cellIs" dxfId="13851" priority="25413" operator="equal">
      <formula>"SIN DATOS"</formula>
    </cfRule>
    <cfRule type="cellIs" dxfId="13850" priority="25414" operator="equal">
      <formula>"SIN DATOS"</formula>
    </cfRule>
    <cfRule type="cellIs" dxfId="13849" priority="25415" operator="equal">
      <formula>"NO EJECTUTADO"</formula>
    </cfRule>
    <cfRule type="cellIs" dxfId="13848" priority="25416" operator="equal">
      <formula>"FE"</formula>
    </cfRule>
    <cfRule type="cellIs" dxfId="13847" priority="25417" operator="equal">
      <formula>"FE"</formula>
    </cfRule>
  </conditionalFormatting>
  <conditionalFormatting sqref="B13:B1048576">
    <cfRule type="cellIs" dxfId="13846" priority="25406" operator="equal">
      <formula>"Retirado"</formula>
    </cfRule>
    <cfRule type="cellIs" dxfId="13845" priority="25407" operator="equal">
      <formula>"FSE"</formula>
    </cfRule>
  </conditionalFormatting>
  <conditionalFormatting sqref="F13:F1048576">
    <cfRule type="cellIs" dxfId="13844" priority="25405" operator="equal">
      <formula>"OK"</formula>
    </cfRule>
  </conditionalFormatting>
  <conditionalFormatting sqref="D13:D1048576">
    <cfRule type="cellIs" dxfId="13843" priority="25401" operator="equal">
      <formula>"Menor"</formula>
    </cfRule>
    <cfRule type="cellIs" dxfId="13842" priority="25402" operator="equal">
      <formula>"Menor"</formula>
    </cfRule>
    <cfRule type="cellIs" dxfId="13841" priority="25403" operator="equal">
      <formula>"Menor"</formula>
    </cfRule>
    <cfRule type="cellIs" dxfId="13840" priority="25404" operator="equal">
      <formula>"Menor"</formula>
    </cfRule>
  </conditionalFormatting>
  <conditionalFormatting sqref="D13:D1048576">
    <cfRule type="cellIs" dxfId="13839" priority="25395" operator="equal">
      <formula>"Retirado"</formula>
    </cfRule>
    <cfRule type="cellIs" dxfId="13838" priority="25396" operator="equal">
      <formula>"Retirado"</formula>
    </cfRule>
    <cfRule type="cellIs" dxfId="13837" priority="25397" operator="equal">
      <formula>"Retirado"</formula>
    </cfRule>
    <cfRule type="cellIs" dxfId="13836" priority="25398" operator="equal">
      <formula>"Retirado"</formula>
    </cfRule>
  </conditionalFormatting>
  <conditionalFormatting sqref="D13:D1048576">
    <cfRule type="cellIs" dxfId="13835" priority="22481" operator="equal">
      <formula>"Preautorizado"</formula>
    </cfRule>
  </conditionalFormatting>
  <conditionalFormatting sqref="D13:D1048576">
    <cfRule type="cellIs" dxfId="13834" priority="21303" operator="equal">
      <formula>"Preautorizado"</formula>
    </cfRule>
  </conditionalFormatting>
  <conditionalFormatting sqref="J1046857">
    <cfRule type="cellIs" dxfId="13833" priority="12318" operator="equal">
      <formula>"OK"</formula>
    </cfRule>
  </conditionalFormatting>
  <conditionalFormatting sqref="D2:D12">
    <cfRule type="cellIs" dxfId="13832" priority="38" operator="equal">
      <formula>"Escalado"</formula>
    </cfRule>
    <cfRule type="cellIs" dxfId="13831" priority="39" operator="equal">
      <formula>"Escalado"</formula>
    </cfRule>
    <cfRule type="cellIs" dxfId="13830" priority="40" operator="equal">
      <formula>"Escalado"</formula>
    </cfRule>
    <cfRule type="cellIs" dxfId="13829" priority="41" operator="equal">
      <formula>"Realizado"</formula>
    </cfRule>
    <cfRule type="cellIs" dxfId="13828" priority="42" operator="equal">
      <formula>"Aprobado"</formula>
    </cfRule>
    <cfRule type="cellIs" dxfId="13827" priority="43" operator="equal">
      <formula>"Rechazado"</formula>
    </cfRule>
    <cfRule type="cellIs" dxfId="13826" priority="44" operator="equal">
      <formula>"Realizado"</formula>
    </cfRule>
  </conditionalFormatting>
  <conditionalFormatting sqref="E2:E12">
    <cfRule type="cellIs" dxfId="13825" priority="25" operator="equal">
      <formula>"OK"</formula>
    </cfRule>
  </conditionalFormatting>
  <conditionalFormatting sqref="D2:D12">
    <cfRule type="cellIs" dxfId="13824" priority="21" operator="equal">
      <formula>"Menor"</formula>
    </cfRule>
    <cfRule type="cellIs" dxfId="13823" priority="22" operator="equal">
      <formula>"Menor"</formula>
    </cfRule>
    <cfRule type="cellIs" dxfId="13822" priority="23" operator="equal">
      <formula>"Menor"</formula>
    </cfRule>
    <cfRule type="cellIs" dxfId="13821" priority="24" operator="equal">
      <formula>"Menor"</formula>
    </cfRule>
  </conditionalFormatting>
  <conditionalFormatting sqref="D2:D12">
    <cfRule type="cellIs" dxfId="13820" priority="17" operator="equal">
      <formula>"Retirado"</formula>
    </cfRule>
    <cfRule type="cellIs" dxfId="13819" priority="18" operator="equal">
      <formula>"Retirado"</formula>
    </cfRule>
    <cfRule type="cellIs" dxfId="13818" priority="19" operator="equal">
      <formula>"Retirado"</formula>
    </cfRule>
    <cfRule type="cellIs" dxfId="13817" priority="20" operator="equal">
      <formula>"Retirado"</formula>
    </cfRule>
  </conditionalFormatting>
  <conditionalFormatting sqref="D2:D12">
    <cfRule type="cellIs" dxfId="13816" priority="16" operator="equal">
      <formula>"Preautorizado"</formula>
    </cfRule>
  </conditionalFormatting>
  <conditionalFormatting sqref="D2:D12">
    <cfRule type="cellIs" dxfId="13815" priority="15" operator="equal">
      <formula>"Preautorizado"</formula>
    </cfRule>
  </conditionalFormatting>
  <conditionalFormatting sqref="F2:F12">
    <cfRule type="cellIs" dxfId="13814" priority="14" operator="equal">
      <formula>"OK"</formula>
    </cfRule>
  </conditionalFormatting>
  <conditionalFormatting sqref="F2:F12">
    <cfRule type="cellIs" dxfId="13813" priority="13" operator="equal">
      <formula>"OK"</formula>
    </cfRule>
  </conditionalFormatting>
  <conditionalFormatting sqref="B2:B12">
    <cfRule type="cellIs" dxfId="13812" priority="3" operator="equal">
      <formula>"APLAZADO"</formula>
    </cfRule>
    <cfRule type="cellIs" dxfId="13811" priority="4" operator="equal">
      <formula>"CANCELADO"</formula>
    </cfRule>
    <cfRule type="cellIs" dxfId="13810" priority="5" operator="equal">
      <formula>"NO EJECUTADO"</formula>
    </cfRule>
    <cfRule type="cellIs" dxfId="13809" priority="6" operator="equal">
      <formula>"FPE"</formula>
    </cfRule>
    <cfRule type="cellIs" dxfId="13808" priority="7" operator="equal">
      <formula>"AMA"</formula>
    </cfRule>
    <cfRule type="cellIs" dxfId="13807" priority="8" operator="equal">
      <formula>"SIN DATOS"</formula>
    </cfRule>
    <cfRule type="cellIs" dxfId="13806" priority="9" operator="equal">
      <formula>"SIN DATOS"</formula>
    </cfRule>
    <cfRule type="cellIs" dxfId="13805" priority="10" operator="equal">
      <formula>"NO EJECTUTADO"</formula>
    </cfRule>
    <cfRule type="cellIs" dxfId="13804" priority="11" operator="equal">
      <formula>"FE"</formula>
    </cfRule>
    <cfRule type="cellIs" dxfId="13803" priority="12" operator="equal">
      <formula>"FE"</formula>
    </cfRule>
  </conditionalFormatting>
  <conditionalFormatting sqref="B2:B12">
    <cfRule type="cellIs" dxfId="13802" priority="1" operator="equal">
      <formula>"Retirado"</formula>
    </cfRule>
    <cfRule type="cellIs" dxfId="13801" priority="2" operator="equal">
      <formula>"FSE"</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
  <sheetViews>
    <sheetView workbookViewId="0">
      <selection activeCell="A2" sqref="A2"/>
    </sheetView>
  </sheetViews>
  <sheetFormatPr defaultColWidth="9.140625" defaultRowHeight="15" x14ac:dyDescent="0.25"/>
  <cols>
    <col min="1" max="1" width="20.28515625" customWidth="1"/>
    <col min="2" max="2" width="49.7109375" customWidth="1"/>
    <col min="3" max="3" width="20.42578125" customWidth="1"/>
    <col min="4" max="4" width="45.7109375" customWidth="1"/>
    <col min="5" max="8" width="17.42578125" customWidth="1"/>
  </cols>
  <sheetData>
    <row r="1" spans="1:8" x14ac:dyDescent="0.25">
      <c r="A1" s="66" t="s">
        <v>76</v>
      </c>
      <c r="B1" s="66" t="s">
        <v>77</v>
      </c>
      <c r="C1" s="66" t="s">
        <v>78</v>
      </c>
      <c r="D1" s="66" t="s">
        <v>79</v>
      </c>
      <c r="E1" s="67" t="s">
        <v>80</v>
      </c>
      <c r="F1" s="68" t="s">
        <v>81</v>
      </c>
      <c r="G1" s="68" t="s">
        <v>82</v>
      </c>
      <c r="H1" s="68" t="s">
        <v>83</v>
      </c>
    </row>
  </sheetData>
  <conditionalFormatting sqref="A1">
    <cfRule type="duplicateValues" dxfId="13800" priority="4"/>
    <cfRule type="duplicateValues" dxfId="13799" priority="5"/>
  </conditionalFormatting>
  <conditionalFormatting sqref="C1">
    <cfRule type="duplicateValues" dxfId="13798" priority="3"/>
  </conditionalFormatting>
  <conditionalFormatting sqref="A1">
    <cfRule type="duplicateValues" dxfId="13797" priority="2"/>
  </conditionalFormatting>
  <conditionalFormatting sqref="A1">
    <cfRule type="duplicateValues" dxfId="13796"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207"/>
  <sheetViews>
    <sheetView workbookViewId="0">
      <selection activeCell="F21" sqref="F21"/>
    </sheetView>
  </sheetViews>
  <sheetFormatPr defaultColWidth="8.85546875" defaultRowHeight="15" x14ac:dyDescent="0.25"/>
  <cols>
    <col min="1" max="1" width="28.42578125" bestFit="1" customWidth="1"/>
    <col min="2" max="2" width="47" bestFit="1" customWidth="1"/>
    <col min="3" max="8" width="8.85546875" style="72"/>
  </cols>
  <sheetData>
    <row r="1" spans="1:7" x14ac:dyDescent="0.25">
      <c r="A1" s="69" t="s">
        <v>84</v>
      </c>
      <c r="B1" s="69" t="s">
        <v>77</v>
      </c>
      <c r="D1" s="73"/>
      <c r="E1" s="73"/>
      <c r="F1" s="73"/>
      <c r="G1" s="74"/>
    </row>
    <row r="2" spans="1:7" x14ac:dyDescent="0.25">
      <c r="A2" s="70" t="s">
        <v>85</v>
      </c>
      <c r="B2" s="71" t="s">
        <v>86</v>
      </c>
    </row>
    <row r="3" spans="1:7" x14ac:dyDescent="0.25">
      <c r="A3" s="70" t="s">
        <v>87</v>
      </c>
      <c r="B3" s="71" t="s">
        <v>86</v>
      </c>
    </row>
    <row r="4" spans="1:7" x14ac:dyDescent="0.25">
      <c r="A4" s="70" t="s">
        <v>88</v>
      </c>
      <c r="B4" s="71" t="s">
        <v>86</v>
      </c>
    </row>
    <row r="5" spans="1:7" x14ac:dyDescent="0.25">
      <c r="A5" s="70" t="s">
        <v>89</v>
      </c>
      <c r="B5" s="71" t="s">
        <v>86</v>
      </c>
    </row>
    <row r="6" spans="1:7" x14ac:dyDescent="0.25">
      <c r="A6" s="70" t="s">
        <v>90</v>
      </c>
      <c r="B6" s="71" t="s">
        <v>86</v>
      </c>
    </row>
    <row r="7" spans="1:7" x14ac:dyDescent="0.25">
      <c r="A7" s="70" t="s">
        <v>91</v>
      </c>
      <c r="B7" s="71" t="s">
        <v>86</v>
      </c>
    </row>
    <row r="8" spans="1:7" x14ac:dyDescent="0.25">
      <c r="A8" s="70" t="s">
        <v>92</v>
      </c>
      <c r="B8" s="71" t="s">
        <v>86</v>
      </c>
    </row>
    <row r="9" spans="1:7" x14ac:dyDescent="0.25">
      <c r="A9" s="70" t="s">
        <v>93</v>
      </c>
      <c r="B9" s="71" t="s">
        <v>86</v>
      </c>
    </row>
    <row r="10" spans="1:7" x14ac:dyDescent="0.25">
      <c r="A10" s="71" t="s">
        <v>94</v>
      </c>
      <c r="B10" s="71" t="s">
        <v>86</v>
      </c>
    </row>
    <row r="11" spans="1:7" x14ac:dyDescent="0.25">
      <c r="A11" s="70" t="s">
        <v>95</v>
      </c>
      <c r="B11" s="71" t="s">
        <v>96</v>
      </c>
    </row>
    <row r="12" spans="1:7" x14ac:dyDescent="0.25">
      <c r="A12" s="70" t="s">
        <v>97</v>
      </c>
      <c r="B12" s="71" t="s">
        <v>96</v>
      </c>
    </row>
    <row r="13" spans="1:7" x14ac:dyDescent="0.25">
      <c r="A13" s="70" t="s">
        <v>98</v>
      </c>
      <c r="B13" s="71" t="s">
        <v>96</v>
      </c>
    </row>
    <row r="14" spans="1:7" x14ac:dyDescent="0.25">
      <c r="A14" s="70" t="s">
        <v>99</v>
      </c>
      <c r="B14" s="71" t="s">
        <v>96</v>
      </c>
    </row>
    <row r="15" spans="1:7" x14ac:dyDescent="0.25">
      <c r="A15" s="70" t="s">
        <v>100</v>
      </c>
      <c r="B15" s="71" t="s">
        <v>96</v>
      </c>
    </row>
    <row r="16" spans="1:7" x14ac:dyDescent="0.25">
      <c r="A16" s="71" t="s">
        <v>101</v>
      </c>
      <c r="B16" s="71" t="s">
        <v>96</v>
      </c>
    </row>
    <row r="17" spans="1:2" x14ac:dyDescent="0.25">
      <c r="A17" s="70" t="s">
        <v>102</v>
      </c>
      <c r="B17" s="71" t="s">
        <v>86</v>
      </c>
    </row>
    <row r="18" spans="1:2" x14ac:dyDescent="0.25">
      <c r="A18" s="70" t="s">
        <v>103</v>
      </c>
      <c r="B18" s="71" t="s">
        <v>86</v>
      </c>
    </row>
    <row r="19" spans="1:2" x14ac:dyDescent="0.25">
      <c r="A19" s="70" t="s">
        <v>104</v>
      </c>
      <c r="B19" s="71" t="s">
        <v>86</v>
      </c>
    </row>
    <row r="20" spans="1:2" x14ac:dyDescent="0.25">
      <c r="A20" s="70" t="s">
        <v>105</v>
      </c>
      <c r="B20" s="71" t="s">
        <v>86</v>
      </c>
    </row>
    <row r="21" spans="1:2" x14ac:dyDescent="0.25">
      <c r="A21" s="70" t="s">
        <v>106</v>
      </c>
      <c r="B21" s="71" t="s">
        <v>86</v>
      </c>
    </row>
    <row r="22" spans="1:2" x14ac:dyDescent="0.25">
      <c r="A22" s="70" t="s">
        <v>107</v>
      </c>
      <c r="B22" s="71" t="s">
        <v>86</v>
      </c>
    </row>
    <row r="23" spans="1:2" x14ac:dyDescent="0.25">
      <c r="A23" s="71" t="s">
        <v>108</v>
      </c>
      <c r="B23" s="71" t="s">
        <v>86</v>
      </c>
    </row>
    <row r="24" spans="1:2" x14ac:dyDescent="0.25">
      <c r="A24" s="71" t="s">
        <v>109</v>
      </c>
      <c r="B24" s="71" t="s">
        <v>110</v>
      </c>
    </row>
    <row r="25" spans="1:2" x14ac:dyDescent="0.25">
      <c r="A25" s="71" t="s">
        <v>111</v>
      </c>
      <c r="B25" s="71" t="s">
        <v>112</v>
      </c>
    </row>
    <row r="26" spans="1:2" x14ac:dyDescent="0.25">
      <c r="A26" s="70" t="s">
        <v>113</v>
      </c>
      <c r="B26" s="71" t="s">
        <v>114</v>
      </c>
    </row>
    <row r="27" spans="1:2" x14ac:dyDescent="0.25">
      <c r="A27" s="70" t="s">
        <v>115</v>
      </c>
      <c r="B27" s="71" t="s">
        <v>114</v>
      </c>
    </row>
    <row r="28" spans="1:2" x14ac:dyDescent="0.25">
      <c r="A28" s="70" t="s">
        <v>116</v>
      </c>
      <c r="B28" s="71" t="s">
        <v>114</v>
      </c>
    </row>
    <row r="29" spans="1:2" x14ac:dyDescent="0.25">
      <c r="A29" s="70" t="s">
        <v>117</v>
      </c>
      <c r="B29" s="71" t="s">
        <v>114</v>
      </c>
    </row>
    <row r="30" spans="1:2" x14ac:dyDescent="0.25">
      <c r="A30" s="70" t="s">
        <v>118</v>
      </c>
      <c r="B30" s="71" t="s">
        <v>114</v>
      </c>
    </row>
    <row r="31" spans="1:2" x14ac:dyDescent="0.25">
      <c r="A31" s="70" t="s">
        <v>119</v>
      </c>
      <c r="B31" s="71" t="s">
        <v>114</v>
      </c>
    </row>
    <row r="32" spans="1:2" x14ac:dyDescent="0.25">
      <c r="A32" s="71" t="s">
        <v>120</v>
      </c>
      <c r="B32" s="71" t="s">
        <v>114</v>
      </c>
    </row>
    <row r="33" spans="1:2" x14ac:dyDescent="0.25">
      <c r="A33" s="70" t="s">
        <v>121</v>
      </c>
      <c r="B33" s="71" t="s">
        <v>122</v>
      </c>
    </row>
    <row r="34" spans="1:2" x14ac:dyDescent="0.25">
      <c r="A34" s="71" t="s">
        <v>123</v>
      </c>
      <c r="B34" s="71" t="s">
        <v>122</v>
      </c>
    </row>
    <row r="35" spans="1:2" x14ac:dyDescent="0.25">
      <c r="A35" t="s">
        <v>124</v>
      </c>
      <c r="B35" s="71" t="s">
        <v>125</v>
      </c>
    </row>
    <row r="36" spans="1:2" x14ac:dyDescent="0.25">
      <c r="A36" t="s">
        <v>126</v>
      </c>
      <c r="B36" s="71" t="s">
        <v>125</v>
      </c>
    </row>
    <row r="37" spans="1:2" x14ac:dyDescent="0.25">
      <c r="A37" t="s">
        <v>127</v>
      </c>
      <c r="B37" s="71" t="s">
        <v>125</v>
      </c>
    </row>
    <row r="38" spans="1:2" x14ac:dyDescent="0.25">
      <c r="A38" t="s">
        <v>128</v>
      </c>
      <c r="B38" s="71" t="s">
        <v>125</v>
      </c>
    </row>
    <row r="39" spans="1:2" x14ac:dyDescent="0.25">
      <c r="A39" t="s">
        <v>129</v>
      </c>
      <c r="B39" s="71" t="s">
        <v>125</v>
      </c>
    </row>
    <row r="40" spans="1:2" x14ac:dyDescent="0.25">
      <c r="A40" t="s">
        <v>130</v>
      </c>
      <c r="B40" s="71" t="s">
        <v>125</v>
      </c>
    </row>
    <row r="41" spans="1:2" x14ac:dyDescent="0.25">
      <c r="A41" t="s">
        <v>131</v>
      </c>
      <c r="B41" s="71" t="s">
        <v>125</v>
      </c>
    </row>
    <row r="42" spans="1:2" x14ac:dyDescent="0.25">
      <c r="A42" t="s">
        <v>132</v>
      </c>
      <c r="B42" s="71" t="s">
        <v>125</v>
      </c>
    </row>
    <row r="43" spans="1:2" x14ac:dyDescent="0.25">
      <c r="A43" t="s">
        <v>133</v>
      </c>
      <c r="B43" s="71" t="s">
        <v>125</v>
      </c>
    </row>
    <row r="44" spans="1:2" x14ac:dyDescent="0.25">
      <c r="A44" t="s">
        <v>134</v>
      </c>
      <c r="B44" s="71" t="s">
        <v>125</v>
      </c>
    </row>
    <row r="45" spans="1:2" x14ac:dyDescent="0.25">
      <c r="A45" t="s">
        <v>135</v>
      </c>
      <c r="B45" s="71" t="s">
        <v>125</v>
      </c>
    </row>
    <row r="46" spans="1:2" x14ac:dyDescent="0.25">
      <c r="A46" t="s">
        <v>136</v>
      </c>
      <c r="B46" s="71" t="s">
        <v>125</v>
      </c>
    </row>
    <row r="47" spans="1:2" x14ac:dyDescent="0.25">
      <c r="A47" t="s">
        <v>137</v>
      </c>
      <c r="B47" s="71" t="s">
        <v>125</v>
      </c>
    </row>
    <row r="48" spans="1:2" x14ac:dyDescent="0.25">
      <c r="A48" t="s">
        <v>138</v>
      </c>
      <c r="B48" s="71" t="s">
        <v>125</v>
      </c>
    </row>
    <row r="49" spans="1:2" x14ac:dyDescent="0.25">
      <c r="A49" t="s">
        <v>139</v>
      </c>
      <c r="B49" s="71" t="s">
        <v>125</v>
      </c>
    </row>
    <row r="50" spans="1:2" x14ac:dyDescent="0.25">
      <c r="A50" t="s">
        <v>140</v>
      </c>
      <c r="B50" s="71" t="s">
        <v>125</v>
      </c>
    </row>
    <row r="51" spans="1:2" x14ac:dyDescent="0.25">
      <c r="A51" t="s">
        <v>141</v>
      </c>
      <c r="B51" s="71" t="s">
        <v>125</v>
      </c>
    </row>
    <row r="52" spans="1:2" x14ac:dyDescent="0.25">
      <c r="A52" t="s">
        <v>142</v>
      </c>
      <c r="B52" s="71" t="s">
        <v>125</v>
      </c>
    </row>
    <row r="53" spans="1:2" x14ac:dyDescent="0.25">
      <c r="A53" t="s">
        <v>143</v>
      </c>
      <c r="B53" s="71" t="s">
        <v>125</v>
      </c>
    </row>
    <row r="54" spans="1:2" x14ac:dyDescent="0.25">
      <c r="A54" s="70" t="s">
        <v>144</v>
      </c>
      <c r="B54" s="71" t="s">
        <v>145</v>
      </c>
    </row>
    <row r="55" spans="1:2" x14ac:dyDescent="0.25">
      <c r="A55" s="71" t="s">
        <v>146</v>
      </c>
      <c r="B55" s="71" t="s">
        <v>145</v>
      </c>
    </row>
    <row r="56" spans="1:2" x14ac:dyDescent="0.25">
      <c r="A56" s="70" t="s">
        <v>147</v>
      </c>
      <c r="B56" s="71" t="s">
        <v>148</v>
      </c>
    </row>
    <row r="57" spans="1:2" x14ac:dyDescent="0.25">
      <c r="A57" s="70" t="s">
        <v>149</v>
      </c>
      <c r="B57" s="71" t="s">
        <v>148</v>
      </c>
    </row>
    <row r="58" spans="1:2" x14ac:dyDescent="0.25">
      <c r="A58" s="70" t="s">
        <v>150</v>
      </c>
      <c r="B58" s="71" t="s">
        <v>148</v>
      </c>
    </row>
    <row r="59" spans="1:2" x14ac:dyDescent="0.25">
      <c r="A59" s="71" t="s">
        <v>151</v>
      </c>
      <c r="B59" s="71" t="s">
        <v>148</v>
      </c>
    </row>
    <row r="60" spans="1:2" x14ac:dyDescent="0.25">
      <c r="A60" s="70" t="s">
        <v>152</v>
      </c>
      <c r="B60" s="71" t="s">
        <v>153</v>
      </c>
    </row>
    <row r="61" spans="1:2" x14ac:dyDescent="0.25">
      <c r="A61" s="70" t="s">
        <v>154</v>
      </c>
      <c r="B61" s="71" t="s">
        <v>153</v>
      </c>
    </row>
    <row r="62" spans="1:2" x14ac:dyDescent="0.25">
      <c r="A62" s="70" t="s">
        <v>155</v>
      </c>
      <c r="B62" s="71" t="s">
        <v>153</v>
      </c>
    </row>
    <row r="63" spans="1:2" x14ac:dyDescent="0.25">
      <c r="A63" s="71" t="s">
        <v>156</v>
      </c>
      <c r="B63" s="71" t="s">
        <v>153</v>
      </c>
    </row>
    <row r="64" spans="1:2" x14ac:dyDescent="0.25">
      <c r="A64" s="70" t="s">
        <v>157</v>
      </c>
      <c r="B64" s="71" t="s">
        <v>158</v>
      </c>
    </row>
    <row r="65" spans="1:2" x14ac:dyDescent="0.25">
      <c r="A65" s="70" t="s">
        <v>159</v>
      </c>
      <c r="B65" s="71" t="s">
        <v>158</v>
      </c>
    </row>
    <row r="66" spans="1:2" x14ac:dyDescent="0.25">
      <c r="A66" s="70" t="s">
        <v>160</v>
      </c>
      <c r="B66" s="71" t="s">
        <v>158</v>
      </c>
    </row>
    <row r="67" spans="1:2" x14ac:dyDescent="0.25">
      <c r="A67" s="70" t="s">
        <v>161</v>
      </c>
      <c r="B67" s="71" t="s">
        <v>158</v>
      </c>
    </row>
    <row r="68" spans="1:2" x14ac:dyDescent="0.25">
      <c r="A68" s="70" t="s">
        <v>162</v>
      </c>
      <c r="B68" s="71" t="s">
        <v>158</v>
      </c>
    </row>
    <row r="69" spans="1:2" x14ac:dyDescent="0.25">
      <c r="A69" s="71" t="s">
        <v>163</v>
      </c>
      <c r="B69" s="71" t="s">
        <v>158</v>
      </c>
    </row>
    <row r="70" spans="1:2" x14ac:dyDescent="0.25">
      <c r="A70" s="71" t="s">
        <v>164</v>
      </c>
      <c r="B70" s="71" t="s">
        <v>165</v>
      </c>
    </row>
    <row r="71" spans="1:2" x14ac:dyDescent="0.25">
      <c r="A71" s="71" t="s">
        <v>166</v>
      </c>
      <c r="B71" s="71" t="s">
        <v>167</v>
      </c>
    </row>
    <row r="72" spans="1:2" x14ac:dyDescent="0.25">
      <c r="A72" s="70" t="s">
        <v>168</v>
      </c>
      <c r="B72" s="71" t="s">
        <v>169</v>
      </c>
    </row>
    <row r="73" spans="1:2" x14ac:dyDescent="0.25">
      <c r="A73" s="71" t="s">
        <v>170</v>
      </c>
      <c r="B73" s="71" t="s">
        <v>169</v>
      </c>
    </row>
    <row r="74" spans="1:2" x14ac:dyDescent="0.25">
      <c r="A74" s="71" t="s">
        <v>171</v>
      </c>
      <c r="B74" s="71" t="s">
        <v>172</v>
      </c>
    </row>
    <row r="75" spans="1:2" x14ac:dyDescent="0.25">
      <c r="A75" s="70" t="s">
        <v>173</v>
      </c>
      <c r="B75" s="71" t="s">
        <v>86</v>
      </c>
    </row>
    <row r="76" spans="1:2" x14ac:dyDescent="0.25">
      <c r="A76" s="70" t="s">
        <v>174</v>
      </c>
      <c r="B76" s="71" t="s">
        <v>86</v>
      </c>
    </row>
    <row r="77" spans="1:2" x14ac:dyDescent="0.25">
      <c r="A77" s="70" t="s">
        <v>175</v>
      </c>
      <c r="B77" s="71" t="s">
        <v>86</v>
      </c>
    </row>
    <row r="78" spans="1:2" x14ac:dyDescent="0.25">
      <c r="A78" s="70" t="s">
        <v>176</v>
      </c>
      <c r="B78" s="71" t="s">
        <v>86</v>
      </c>
    </row>
    <row r="79" spans="1:2" x14ac:dyDescent="0.25">
      <c r="A79" s="70" t="s">
        <v>177</v>
      </c>
      <c r="B79" s="71" t="s">
        <v>86</v>
      </c>
    </row>
    <row r="80" spans="1:2" x14ac:dyDescent="0.25">
      <c r="A80" s="71" t="s">
        <v>178</v>
      </c>
      <c r="B80" s="71" t="s">
        <v>86</v>
      </c>
    </row>
    <row r="81" spans="1:2" x14ac:dyDescent="0.25">
      <c r="A81" s="70" t="s">
        <v>179</v>
      </c>
      <c r="B81" s="71" t="s">
        <v>180</v>
      </c>
    </row>
    <row r="82" spans="1:2" x14ac:dyDescent="0.25">
      <c r="A82" s="70" t="s">
        <v>181</v>
      </c>
      <c r="B82" s="71" t="s">
        <v>180</v>
      </c>
    </row>
    <row r="83" spans="1:2" x14ac:dyDescent="0.25">
      <c r="A83" s="70" t="s">
        <v>182</v>
      </c>
      <c r="B83" s="71" t="s">
        <v>180</v>
      </c>
    </row>
    <row r="84" spans="1:2" x14ac:dyDescent="0.25">
      <c r="A84" s="70" t="s">
        <v>183</v>
      </c>
      <c r="B84" s="71" t="s">
        <v>180</v>
      </c>
    </row>
    <row r="85" spans="1:2" x14ac:dyDescent="0.25">
      <c r="A85" s="70" t="s">
        <v>184</v>
      </c>
      <c r="B85" s="71" t="s">
        <v>180</v>
      </c>
    </row>
    <row r="86" spans="1:2" x14ac:dyDescent="0.25">
      <c r="A86" s="70" t="s">
        <v>185</v>
      </c>
      <c r="B86" s="71" t="s">
        <v>180</v>
      </c>
    </row>
    <row r="87" spans="1:2" x14ac:dyDescent="0.25">
      <c r="A87" s="70" t="s">
        <v>186</v>
      </c>
      <c r="B87" s="71" t="s">
        <v>180</v>
      </c>
    </row>
    <row r="88" spans="1:2" x14ac:dyDescent="0.25">
      <c r="A88" s="70" t="s">
        <v>187</v>
      </c>
      <c r="B88" s="71" t="s">
        <v>180</v>
      </c>
    </row>
    <row r="89" spans="1:2" x14ac:dyDescent="0.25">
      <c r="A89" s="70" t="s">
        <v>188</v>
      </c>
      <c r="B89" s="71" t="s">
        <v>180</v>
      </c>
    </row>
    <row r="90" spans="1:2" x14ac:dyDescent="0.25">
      <c r="A90" s="70" t="s">
        <v>189</v>
      </c>
      <c r="B90" s="71" t="s">
        <v>180</v>
      </c>
    </row>
    <row r="91" spans="1:2" x14ac:dyDescent="0.25">
      <c r="A91" s="71" t="s">
        <v>190</v>
      </c>
      <c r="B91" s="71" t="s">
        <v>180</v>
      </c>
    </row>
    <row r="92" spans="1:2" x14ac:dyDescent="0.25">
      <c r="A92" s="70" t="s">
        <v>191</v>
      </c>
      <c r="B92" s="71" t="s">
        <v>192</v>
      </c>
    </row>
    <row r="93" spans="1:2" x14ac:dyDescent="0.25">
      <c r="A93" s="71" t="s">
        <v>193</v>
      </c>
      <c r="B93" s="71" t="s">
        <v>192</v>
      </c>
    </row>
    <row r="94" spans="1:2" x14ac:dyDescent="0.25">
      <c r="A94" s="71" t="s">
        <v>194</v>
      </c>
      <c r="B94" s="71" t="s">
        <v>195</v>
      </c>
    </row>
    <row r="95" spans="1:2" x14ac:dyDescent="0.25">
      <c r="A95" s="70" t="s">
        <v>196</v>
      </c>
      <c r="B95" s="70" t="s">
        <v>197</v>
      </c>
    </row>
    <row r="96" spans="1:2" x14ac:dyDescent="0.25">
      <c r="A96" s="70" t="s">
        <v>198</v>
      </c>
      <c r="B96" s="70" t="s">
        <v>197</v>
      </c>
    </row>
    <row r="97" spans="1:2" x14ac:dyDescent="0.25">
      <c r="A97" s="70" t="s">
        <v>199</v>
      </c>
      <c r="B97" s="71" t="s">
        <v>200</v>
      </c>
    </row>
    <row r="98" spans="1:2" x14ac:dyDescent="0.25">
      <c r="A98" s="70" t="s">
        <v>201</v>
      </c>
      <c r="B98" s="71" t="s">
        <v>200</v>
      </c>
    </row>
    <row r="99" spans="1:2" x14ac:dyDescent="0.25">
      <c r="A99" s="70" t="s">
        <v>202</v>
      </c>
      <c r="B99" s="71" t="s">
        <v>200</v>
      </c>
    </row>
    <row r="100" spans="1:2" x14ac:dyDescent="0.25">
      <c r="A100" s="70" t="s">
        <v>203</v>
      </c>
      <c r="B100" s="71" t="s">
        <v>200</v>
      </c>
    </row>
    <row r="101" spans="1:2" x14ac:dyDescent="0.25">
      <c r="A101" s="70" t="s">
        <v>204</v>
      </c>
      <c r="B101" s="71" t="s">
        <v>200</v>
      </c>
    </row>
    <row r="102" spans="1:2" x14ac:dyDescent="0.25">
      <c r="A102" s="70" t="s">
        <v>205</v>
      </c>
      <c r="B102" s="71" t="s">
        <v>200</v>
      </c>
    </row>
    <row r="103" spans="1:2" x14ac:dyDescent="0.25">
      <c r="A103" s="70" t="s">
        <v>206</v>
      </c>
      <c r="B103" s="71" t="s">
        <v>200</v>
      </c>
    </row>
    <row r="104" spans="1:2" x14ac:dyDescent="0.25">
      <c r="A104" s="71" t="s">
        <v>207</v>
      </c>
      <c r="B104" s="71" t="s">
        <v>208</v>
      </c>
    </row>
    <row r="105" spans="1:2" x14ac:dyDescent="0.25">
      <c r="A105" s="70" t="s">
        <v>209</v>
      </c>
      <c r="B105" s="71" t="s">
        <v>210</v>
      </c>
    </row>
    <row r="106" spans="1:2" x14ac:dyDescent="0.25">
      <c r="A106" s="71" t="s">
        <v>211</v>
      </c>
      <c r="B106" s="71" t="s">
        <v>210</v>
      </c>
    </row>
    <row r="107" spans="1:2" x14ac:dyDescent="0.25">
      <c r="A107" s="70" t="s">
        <v>212</v>
      </c>
      <c r="B107" s="71" t="s">
        <v>213</v>
      </c>
    </row>
    <row r="108" spans="1:2" x14ac:dyDescent="0.25">
      <c r="A108" s="70" t="s">
        <v>214</v>
      </c>
      <c r="B108" s="71" t="s">
        <v>213</v>
      </c>
    </row>
    <row r="109" spans="1:2" x14ac:dyDescent="0.25">
      <c r="A109" s="70" t="s">
        <v>215</v>
      </c>
      <c r="B109" s="71" t="s">
        <v>213</v>
      </c>
    </row>
    <row r="110" spans="1:2" x14ac:dyDescent="0.25">
      <c r="A110" s="71" t="s">
        <v>216</v>
      </c>
      <c r="B110" s="71" t="s">
        <v>213</v>
      </c>
    </row>
    <row r="111" spans="1:2" x14ac:dyDescent="0.25">
      <c r="A111" t="s">
        <v>217</v>
      </c>
      <c r="B111" s="71" t="s">
        <v>218</v>
      </c>
    </row>
    <row r="112" spans="1:2" x14ac:dyDescent="0.25">
      <c r="A112" s="71" t="s">
        <v>219</v>
      </c>
      <c r="B112" s="71" t="s">
        <v>220</v>
      </c>
    </row>
    <row r="113" spans="1:4" x14ac:dyDescent="0.25">
      <c r="A113" s="71" t="s">
        <v>221</v>
      </c>
      <c r="B113" s="71" t="s">
        <v>220</v>
      </c>
      <c r="D113" s="75"/>
    </row>
    <row r="114" spans="1:4" x14ac:dyDescent="0.25">
      <c r="A114" s="71" t="s">
        <v>222</v>
      </c>
      <c r="B114" s="71" t="s">
        <v>220</v>
      </c>
    </row>
    <row r="115" spans="1:4" x14ac:dyDescent="0.25">
      <c r="A115" s="71" t="s">
        <v>223</v>
      </c>
      <c r="B115" s="71" t="s">
        <v>220</v>
      </c>
    </row>
    <row r="116" spans="1:4" x14ac:dyDescent="0.25">
      <c r="A116" s="71" t="s">
        <v>224</v>
      </c>
      <c r="B116" s="71" t="s">
        <v>220</v>
      </c>
    </row>
    <row r="117" spans="1:4" x14ac:dyDescent="0.25">
      <c r="A117" s="71" t="s">
        <v>225</v>
      </c>
      <c r="B117" s="71" t="s">
        <v>220</v>
      </c>
    </row>
    <row r="118" spans="1:4" x14ac:dyDescent="0.25">
      <c r="A118" s="71" t="s">
        <v>226</v>
      </c>
      <c r="B118" s="71" t="s">
        <v>220</v>
      </c>
    </row>
    <row r="119" spans="1:4" x14ac:dyDescent="0.25">
      <c r="A119" s="71" t="s">
        <v>227</v>
      </c>
      <c r="B119" s="71" t="s">
        <v>220</v>
      </c>
    </row>
    <row r="120" spans="1:4" x14ac:dyDescent="0.25">
      <c r="A120" s="71" t="s">
        <v>228</v>
      </c>
      <c r="B120" s="71" t="s">
        <v>220</v>
      </c>
    </row>
    <row r="121" spans="1:4" x14ac:dyDescent="0.25">
      <c r="A121" s="71" t="s">
        <v>229</v>
      </c>
      <c r="B121" s="71" t="s">
        <v>220</v>
      </c>
    </row>
    <row r="122" spans="1:4" x14ac:dyDescent="0.25">
      <c r="A122" s="70" t="s">
        <v>230</v>
      </c>
      <c r="B122" s="71" t="s">
        <v>180</v>
      </c>
    </row>
    <row r="123" spans="1:4" x14ac:dyDescent="0.25">
      <c r="A123" s="70" t="s">
        <v>231</v>
      </c>
      <c r="B123" s="71" t="s">
        <v>180</v>
      </c>
    </row>
    <row r="124" spans="1:4" x14ac:dyDescent="0.25">
      <c r="A124" s="70" t="s">
        <v>232</v>
      </c>
      <c r="B124" s="71" t="s">
        <v>180</v>
      </c>
    </row>
    <row r="125" spans="1:4" x14ac:dyDescent="0.25">
      <c r="A125" s="70" t="s">
        <v>233</v>
      </c>
      <c r="B125" s="71" t="s">
        <v>180</v>
      </c>
    </row>
    <row r="126" spans="1:4" x14ac:dyDescent="0.25">
      <c r="A126" s="70" t="s">
        <v>234</v>
      </c>
      <c r="B126" s="71" t="s">
        <v>180</v>
      </c>
    </row>
    <row r="127" spans="1:4" x14ac:dyDescent="0.25">
      <c r="A127" s="70" t="s">
        <v>235</v>
      </c>
      <c r="B127" s="71" t="s">
        <v>180</v>
      </c>
    </row>
    <row r="128" spans="1:4" x14ac:dyDescent="0.25">
      <c r="A128" s="70" t="s">
        <v>236</v>
      </c>
      <c r="B128" s="71" t="s">
        <v>180</v>
      </c>
    </row>
    <row r="129" spans="1:2" x14ac:dyDescent="0.25">
      <c r="A129" s="70" t="s">
        <v>237</v>
      </c>
      <c r="B129" s="71" t="s">
        <v>180</v>
      </c>
    </row>
    <row r="130" spans="1:2" x14ac:dyDescent="0.25">
      <c r="A130" s="70" t="s">
        <v>238</v>
      </c>
      <c r="B130" s="71" t="s">
        <v>180</v>
      </c>
    </row>
    <row r="131" spans="1:2" x14ac:dyDescent="0.25">
      <c r="A131" s="70" t="s">
        <v>239</v>
      </c>
      <c r="B131" s="71" t="s">
        <v>180</v>
      </c>
    </row>
    <row r="132" spans="1:2" x14ac:dyDescent="0.25">
      <c r="A132" s="70" t="s">
        <v>240</v>
      </c>
      <c r="B132" s="71" t="s">
        <v>180</v>
      </c>
    </row>
    <row r="133" spans="1:2" x14ac:dyDescent="0.25">
      <c r="A133" s="70" t="s">
        <v>241</v>
      </c>
      <c r="B133" s="71" t="s">
        <v>180</v>
      </c>
    </row>
    <row r="134" spans="1:2" x14ac:dyDescent="0.25">
      <c r="A134" s="70" t="s">
        <v>242</v>
      </c>
      <c r="B134" s="71" t="s">
        <v>180</v>
      </c>
    </row>
    <row r="135" spans="1:2" x14ac:dyDescent="0.25">
      <c r="A135" s="70" t="s">
        <v>243</v>
      </c>
      <c r="B135" s="71" t="s">
        <v>180</v>
      </c>
    </row>
    <row r="136" spans="1:2" x14ac:dyDescent="0.25">
      <c r="A136" s="70" t="s">
        <v>244</v>
      </c>
      <c r="B136" s="71" t="s">
        <v>180</v>
      </c>
    </row>
    <row r="137" spans="1:2" x14ac:dyDescent="0.25">
      <c r="A137" s="70" t="s">
        <v>245</v>
      </c>
      <c r="B137" s="71" t="s">
        <v>180</v>
      </c>
    </row>
    <row r="138" spans="1:2" x14ac:dyDescent="0.25">
      <c r="A138" s="70" t="s">
        <v>246</v>
      </c>
      <c r="B138" s="71" t="s">
        <v>180</v>
      </c>
    </row>
    <row r="139" spans="1:2" x14ac:dyDescent="0.25">
      <c r="A139" s="71" t="s">
        <v>247</v>
      </c>
      <c r="B139" s="71" t="s">
        <v>180</v>
      </c>
    </row>
    <row r="140" spans="1:2" x14ac:dyDescent="0.25">
      <c r="A140" s="71" t="s">
        <v>248</v>
      </c>
      <c r="B140" s="71" t="s">
        <v>249</v>
      </c>
    </row>
    <row r="141" spans="1:2" x14ac:dyDescent="0.25">
      <c r="A141" s="71" t="s">
        <v>250</v>
      </c>
      <c r="B141" s="71" t="s">
        <v>251</v>
      </c>
    </row>
    <row r="142" spans="1:2" x14ac:dyDescent="0.25">
      <c r="A142" s="70" t="s">
        <v>252</v>
      </c>
      <c r="B142" s="71" t="s">
        <v>253</v>
      </c>
    </row>
    <row r="143" spans="1:2" x14ac:dyDescent="0.25">
      <c r="A143" s="71" t="s">
        <v>254</v>
      </c>
      <c r="B143" s="71" t="s">
        <v>253</v>
      </c>
    </row>
    <row r="144" spans="1:2" x14ac:dyDescent="0.25">
      <c r="A144" s="70" t="s">
        <v>255</v>
      </c>
      <c r="B144" s="71" t="s">
        <v>256</v>
      </c>
    </row>
    <row r="145" spans="1:2" x14ac:dyDescent="0.25">
      <c r="A145" s="70" t="s">
        <v>257</v>
      </c>
      <c r="B145" s="71" t="s">
        <v>256</v>
      </c>
    </row>
    <row r="146" spans="1:2" x14ac:dyDescent="0.25">
      <c r="A146" s="70" t="s">
        <v>258</v>
      </c>
      <c r="B146" s="71" t="s">
        <v>256</v>
      </c>
    </row>
    <row r="147" spans="1:2" x14ac:dyDescent="0.25">
      <c r="A147" s="70" t="s">
        <v>259</v>
      </c>
      <c r="B147" s="71" t="s">
        <v>256</v>
      </c>
    </row>
    <row r="148" spans="1:2" x14ac:dyDescent="0.25">
      <c r="A148" s="70" t="s">
        <v>260</v>
      </c>
      <c r="B148" s="71" t="s">
        <v>256</v>
      </c>
    </row>
    <row r="149" spans="1:2" x14ac:dyDescent="0.25">
      <c r="A149" s="70" t="s">
        <v>261</v>
      </c>
      <c r="B149" s="71" t="s">
        <v>256</v>
      </c>
    </row>
    <row r="150" spans="1:2" x14ac:dyDescent="0.25">
      <c r="A150" s="70" t="s">
        <v>262</v>
      </c>
      <c r="B150" s="71" t="s">
        <v>256</v>
      </c>
    </row>
    <row r="151" spans="1:2" x14ac:dyDescent="0.25">
      <c r="A151" s="70" t="s">
        <v>263</v>
      </c>
      <c r="B151" s="71" t="s">
        <v>256</v>
      </c>
    </row>
    <row r="152" spans="1:2" x14ac:dyDescent="0.25">
      <c r="A152" s="70" t="s">
        <v>264</v>
      </c>
      <c r="B152" s="71" t="s">
        <v>256</v>
      </c>
    </row>
    <row r="153" spans="1:2" x14ac:dyDescent="0.25">
      <c r="A153" s="70" t="s">
        <v>265</v>
      </c>
      <c r="B153" s="71" t="s">
        <v>256</v>
      </c>
    </row>
    <row r="154" spans="1:2" x14ac:dyDescent="0.25">
      <c r="A154" s="70" t="s">
        <v>266</v>
      </c>
      <c r="B154" s="71" t="s">
        <v>256</v>
      </c>
    </row>
    <row r="155" spans="1:2" x14ac:dyDescent="0.25">
      <c r="A155" s="70" t="s">
        <v>267</v>
      </c>
      <c r="B155" s="71" t="s">
        <v>256</v>
      </c>
    </row>
    <row r="156" spans="1:2" x14ac:dyDescent="0.25">
      <c r="A156" s="70" t="s">
        <v>268</v>
      </c>
      <c r="B156" s="71" t="s">
        <v>256</v>
      </c>
    </row>
    <row r="157" spans="1:2" x14ac:dyDescent="0.25">
      <c r="A157" s="70" t="s">
        <v>269</v>
      </c>
      <c r="B157" s="71" t="s">
        <v>256</v>
      </c>
    </row>
    <row r="158" spans="1:2" x14ac:dyDescent="0.25">
      <c r="A158" s="71" t="s">
        <v>270</v>
      </c>
      <c r="B158" s="71" t="s">
        <v>256</v>
      </c>
    </row>
    <row r="159" spans="1:2" x14ac:dyDescent="0.25">
      <c r="A159" s="70" t="s">
        <v>271</v>
      </c>
      <c r="B159" s="71" t="s">
        <v>272</v>
      </c>
    </row>
    <row r="160" spans="1:2" x14ac:dyDescent="0.25">
      <c r="A160" s="70" t="s">
        <v>273</v>
      </c>
      <c r="B160" s="71" t="s">
        <v>272</v>
      </c>
    </row>
    <row r="161" spans="1:2" x14ac:dyDescent="0.25">
      <c r="A161" s="70" t="s">
        <v>274</v>
      </c>
      <c r="B161" s="71" t="s">
        <v>272</v>
      </c>
    </row>
    <row r="162" spans="1:2" x14ac:dyDescent="0.25">
      <c r="A162" s="70" t="s">
        <v>275</v>
      </c>
      <c r="B162" s="71" t="s">
        <v>272</v>
      </c>
    </row>
    <row r="163" spans="1:2" x14ac:dyDescent="0.25">
      <c r="A163" s="71" t="s">
        <v>276</v>
      </c>
      <c r="B163" s="71" t="s">
        <v>272</v>
      </c>
    </row>
    <row r="164" spans="1:2" x14ac:dyDescent="0.25">
      <c r="A164" s="71" t="s">
        <v>277</v>
      </c>
      <c r="B164" s="71" t="s">
        <v>112</v>
      </c>
    </row>
    <row r="165" spans="1:2" x14ac:dyDescent="0.25">
      <c r="A165" s="70" t="s">
        <v>278</v>
      </c>
      <c r="B165" s="71" t="s">
        <v>96</v>
      </c>
    </row>
    <row r="166" spans="1:2" x14ac:dyDescent="0.25">
      <c r="A166" s="70" t="s">
        <v>279</v>
      </c>
      <c r="B166" s="71" t="s">
        <v>96</v>
      </c>
    </row>
    <row r="167" spans="1:2" x14ac:dyDescent="0.25">
      <c r="A167" s="70" t="s">
        <v>280</v>
      </c>
      <c r="B167" s="71" t="s">
        <v>96</v>
      </c>
    </row>
    <row r="168" spans="1:2" x14ac:dyDescent="0.25">
      <c r="A168" s="70" t="s">
        <v>281</v>
      </c>
      <c r="B168" s="71" t="s">
        <v>96</v>
      </c>
    </row>
    <row r="169" spans="1:2" x14ac:dyDescent="0.25">
      <c r="A169" s="70" t="s">
        <v>282</v>
      </c>
      <c r="B169" s="71" t="s">
        <v>96</v>
      </c>
    </row>
    <row r="170" spans="1:2" x14ac:dyDescent="0.25">
      <c r="A170" s="70" t="s">
        <v>283</v>
      </c>
      <c r="B170" s="71" t="s">
        <v>96</v>
      </c>
    </row>
    <row r="171" spans="1:2" x14ac:dyDescent="0.25">
      <c r="A171" s="70" t="s">
        <v>284</v>
      </c>
      <c r="B171" s="71" t="s">
        <v>96</v>
      </c>
    </row>
    <row r="172" spans="1:2" x14ac:dyDescent="0.25">
      <c r="A172" s="70" t="s">
        <v>285</v>
      </c>
      <c r="B172" s="71" t="s">
        <v>96</v>
      </c>
    </row>
    <row r="173" spans="1:2" x14ac:dyDescent="0.25">
      <c r="A173" s="70" t="s">
        <v>286</v>
      </c>
      <c r="B173" s="71" t="s">
        <v>96</v>
      </c>
    </row>
    <row r="174" spans="1:2" x14ac:dyDescent="0.25">
      <c r="A174" s="70" t="s">
        <v>287</v>
      </c>
      <c r="B174" s="71" t="s">
        <v>96</v>
      </c>
    </row>
    <row r="175" spans="1:2" x14ac:dyDescent="0.25">
      <c r="A175" s="70" t="s">
        <v>288</v>
      </c>
      <c r="B175" s="71" t="s">
        <v>96</v>
      </c>
    </row>
    <row r="176" spans="1:2" x14ac:dyDescent="0.25">
      <c r="A176" s="70" t="s">
        <v>289</v>
      </c>
      <c r="B176" s="71" t="s">
        <v>96</v>
      </c>
    </row>
    <row r="177" spans="1:2" x14ac:dyDescent="0.25">
      <c r="A177" s="70" t="s">
        <v>290</v>
      </c>
      <c r="B177" s="71" t="s">
        <v>96</v>
      </c>
    </row>
    <row r="178" spans="1:2" x14ac:dyDescent="0.25">
      <c r="A178" s="70" t="s">
        <v>291</v>
      </c>
      <c r="B178" s="71" t="s">
        <v>96</v>
      </c>
    </row>
    <row r="179" spans="1:2" x14ac:dyDescent="0.25">
      <c r="A179" s="70" t="s">
        <v>292</v>
      </c>
      <c r="B179" s="71" t="s">
        <v>96</v>
      </c>
    </row>
    <row r="180" spans="1:2" x14ac:dyDescent="0.25">
      <c r="A180" s="70" t="s">
        <v>293</v>
      </c>
      <c r="B180" s="71" t="s">
        <v>96</v>
      </c>
    </row>
    <row r="181" spans="1:2" x14ac:dyDescent="0.25">
      <c r="A181" s="70" t="s">
        <v>294</v>
      </c>
      <c r="B181" s="71" t="s">
        <v>96</v>
      </c>
    </row>
    <row r="182" spans="1:2" x14ac:dyDescent="0.25">
      <c r="A182" s="70" t="s">
        <v>295</v>
      </c>
      <c r="B182" s="71" t="s">
        <v>96</v>
      </c>
    </row>
    <row r="183" spans="1:2" x14ac:dyDescent="0.25">
      <c r="A183" s="70" t="s">
        <v>296</v>
      </c>
      <c r="B183" s="71" t="s">
        <v>96</v>
      </c>
    </row>
    <row r="184" spans="1:2" x14ac:dyDescent="0.25">
      <c r="A184" s="70" t="s">
        <v>297</v>
      </c>
      <c r="B184" s="71" t="s">
        <v>96</v>
      </c>
    </row>
    <row r="185" spans="1:2" x14ac:dyDescent="0.25">
      <c r="A185" s="70" t="s">
        <v>298</v>
      </c>
      <c r="B185" s="71" t="s">
        <v>96</v>
      </c>
    </row>
    <row r="186" spans="1:2" x14ac:dyDescent="0.25">
      <c r="A186" s="70" t="s">
        <v>299</v>
      </c>
      <c r="B186" s="71" t="s">
        <v>96</v>
      </c>
    </row>
    <row r="187" spans="1:2" x14ac:dyDescent="0.25">
      <c r="A187" s="70" t="s">
        <v>300</v>
      </c>
      <c r="B187" s="71" t="s">
        <v>96</v>
      </c>
    </row>
    <row r="188" spans="1:2" x14ac:dyDescent="0.25">
      <c r="A188" s="70" t="s">
        <v>301</v>
      </c>
      <c r="B188" s="71" t="s">
        <v>302</v>
      </c>
    </row>
    <row r="189" spans="1:2" x14ac:dyDescent="0.25">
      <c r="A189" s="70" t="s">
        <v>303</v>
      </c>
      <c r="B189" s="71" t="s">
        <v>302</v>
      </c>
    </row>
    <row r="190" spans="1:2" x14ac:dyDescent="0.25">
      <c r="A190" s="70" t="s">
        <v>304</v>
      </c>
      <c r="B190" s="71" t="s">
        <v>302</v>
      </c>
    </row>
    <row r="191" spans="1:2" x14ac:dyDescent="0.25">
      <c r="A191" s="70" t="s">
        <v>305</v>
      </c>
      <c r="B191" s="71" t="s">
        <v>302</v>
      </c>
    </row>
    <row r="192" spans="1:2" x14ac:dyDescent="0.25">
      <c r="A192" s="70" t="s">
        <v>306</v>
      </c>
      <c r="B192" s="71" t="s">
        <v>307</v>
      </c>
    </row>
    <row r="193" spans="1:2" x14ac:dyDescent="0.25">
      <c r="A193" s="70" t="s">
        <v>308</v>
      </c>
      <c r="B193" s="71" t="s">
        <v>307</v>
      </c>
    </row>
    <row r="194" spans="1:2" x14ac:dyDescent="0.25">
      <c r="A194" s="70" t="s">
        <v>309</v>
      </c>
      <c r="B194" s="71" t="s">
        <v>307</v>
      </c>
    </row>
    <row r="195" spans="1:2" x14ac:dyDescent="0.25">
      <c r="A195" s="70" t="s">
        <v>310</v>
      </c>
      <c r="B195" s="71" t="s">
        <v>307</v>
      </c>
    </row>
    <row r="196" spans="1:2" x14ac:dyDescent="0.25">
      <c r="A196" s="70" t="s">
        <v>311</v>
      </c>
      <c r="B196" s="71" t="s">
        <v>307</v>
      </c>
    </row>
    <row r="197" spans="1:2" x14ac:dyDescent="0.25">
      <c r="A197" s="70" t="s">
        <v>312</v>
      </c>
      <c r="B197" s="71" t="s">
        <v>307</v>
      </c>
    </row>
    <row r="198" spans="1:2" x14ac:dyDescent="0.25">
      <c r="A198" s="70" t="s">
        <v>313</v>
      </c>
      <c r="B198" s="71" t="s">
        <v>307</v>
      </c>
    </row>
    <row r="199" spans="1:2" x14ac:dyDescent="0.25">
      <c r="A199" s="70" t="s">
        <v>314</v>
      </c>
      <c r="B199" s="71" t="s">
        <v>307</v>
      </c>
    </row>
    <row r="200" spans="1:2" x14ac:dyDescent="0.25">
      <c r="A200" s="70" t="s">
        <v>315</v>
      </c>
      <c r="B200" s="71" t="s">
        <v>307</v>
      </c>
    </row>
    <row r="201" spans="1:2" x14ac:dyDescent="0.25">
      <c r="A201" s="70" t="s">
        <v>316</v>
      </c>
      <c r="B201" s="71" t="s">
        <v>307</v>
      </c>
    </row>
    <row r="202" spans="1:2" x14ac:dyDescent="0.25">
      <c r="A202" s="70" t="s">
        <v>317</v>
      </c>
      <c r="B202" s="71" t="s">
        <v>307</v>
      </c>
    </row>
    <row r="203" spans="1:2" x14ac:dyDescent="0.25">
      <c r="A203" s="70" t="s">
        <v>318</v>
      </c>
      <c r="B203" s="71" t="s">
        <v>307</v>
      </c>
    </row>
    <row r="204" spans="1:2" x14ac:dyDescent="0.25">
      <c r="A204" s="70" t="s">
        <v>319</v>
      </c>
      <c r="B204" s="71" t="s">
        <v>307</v>
      </c>
    </row>
    <row r="205" spans="1:2" x14ac:dyDescent="0.25">
      <c r="A205" s="70" t="s">
        <v>320</v>
      </c>
      <c r="B205" s="71" t="s">
        <v>307</v>
      </c>
    </row>
    <row r="206" spans="1:2" x14ac:dyDescent="0.25">
      <c r="A206" s="70"/>
      <c r="B206" s="71"/>
    </row>
    <row r="207" spans="1:2" x14ac:dyDescent="0.25">
      <c r="A207" s="70"/>
      <c r="B207" s="71"/>
    </row>
  </sheetData>
  <conditionalFormatting sqref="A11:A16">
    <cfRule type="duplicateValues" dxfId="13795" priority="1"/>
  </conditionalFormatting>
  <conditionalFormatting sqref="A206:A207">
    <cfRule type="duplicateValues" dxfId="13794" priority="4"/>
  </conditionalFormatting>
  <conditionalFormatting sqref="A2:A10 A17:A205">
    <cfRule type="duplicateValues" dxfId="13793" priority="2"/>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1"/>
  <sheetViews>
    <sheetView workbookViewId="0">
      <pane ySplit="1" topLeftCell="A2" activePane="bottomLeft" state="frozen"/>
      <selection activeCell="B1" sqref="B1"/>
      <selection pane="bottomLeft"/>
    </sheetView>
  </sheetViews>
  <sheetFormatPr defaultColWidth="9.140625" defaultRowHeight="15" x14ac:dyDescent="0.25"/>
  <cols>
    <col min="1" max="1" width="33.28515625" bestFit="1" customWidth="1"/>
    <col min="2" max="3" width="36.85546875" customWidth="1"/>
    <col min="4" max="4" width="43.5703125" customWidth="1"/>
    <col min="5" max="5" width="18.140625" bestFit="1" customWidth="1"/>
  </cols>
  <sheetData>
    <row r="1" spans="1:5" x14ac:dyDescent="0.25">
      <c r="A1" s="45" t="s">
        <v>321</v>
      </c>
      <c r="B1" s="45" t="s">
        <v>322</v>
      </c>
      <c r="C1" s="45" t="s">
        <v>323</v>
      </c>
      <c r="D1" s="45" t="s">
        <v>324</v>
      </c>
      <c r="E1" s="45" t="s">
        <v>325</v>
      </c>
    </row>
    <row r="2" spans="1:5" ht="31.5" x14ac:dyDescent="0.25">
      <c r="A2" s="132" t="s">
        <v>326</v>
      </c>
      <c r="B2" s="51" t="s">
        <v>327</v>
      </c>
      <c r="C2" s="132" t="s">
        <v>328</v>
      </c>
      <c r="D2" s="135" t="s">
        <v>329</v>
      </c>
      <c r="E2" s="132" t="s">
        <v>330</v>
      </c>
    </row>
    <row r="3" spans="1:5" ht="21" x14ac:dyDescent="0.25">
      <c r="A3" s="133"/>
      <c r="B3" s="51" t="s">
        <v>331</v>
      </c>
      <c r="C3" s="133"/>
      <c r="D3" s="136"/>
      <c r="E3" s="133"/>
    </row>
    <row r="4" spans="1:5" x14ac:dyDescent="0.25">
      <c r="A4" s="134"/>
      <c r="B4" s="51" t="s">
        <v>332</v>
      </c>
      <c r="C4" s="133"/>
      <c r="D4" s="137"/>
      <c r="E4" s="134"/>
    </row>
    <row r="5" spans="1:5" x14ac:dyDescent="0.25">
      <c r="A5" s="79" t="s">
        <v>333</v>
      </c>
      <c r="B5" s="79" t="s">
        <v>334</v>
      </c>
      <c r="C5" s="79" t="s">
        <v>335</v>
      </c>
      <c r="D5" s="61" t="s">
        <v>336</v>
      </c>
      <c r="E5" s="54"/>
    </row>
    <row r="6" spans="1:5" x14ac:dyDescent="0.25">
      <c r="A6" s="132" t="s">
        <v>337</v>
      </c>
      <c r="B6" s="55" t="s">
        <v>338</v>
      </c>
      <c r="C6" s="132" t="s">
        <v>339</v>
      </c>
      <c r="D6" s="147" t="s">
        <v>340</v>
      </c>
      <c r="E6" s="132" t="s">
        <v>341</v>
      </c>
    </row>
    <row r="7" spans="1:5" x14ac:dyDescent="0.25">
      <c r="A7" s="133"/>
      <c r="B7" s="53" t="s">
        <v>342</v>
      </c>
      <c r="C7" s="133"/>
      <c r="D7" s="133"/>
      <c r="E7" s="133"/>
    </row>
    <row r="8" spans="1:5" x14ac:dyDescent="0.25">
      <c r="A8" s="134"/>
      <c r="B8" s="55" t="s">
        <v>343</v>
      </c>
      <c r="C8" s="134"/>
      <c r="D8" s="134"/>
      <c r="E8" s="134"/>
    </row>
    <row r="9" spans="1:5" ht="15" customHeight="1" x14ac:dyDescent="0.25">
      <c r="A9" s="144" t="s">
        <v>344</v>
      </c>
      <c r="B9" s="79" t="s">
        <v>345</v>
      </c>
      <c r="C9" s="138" t="s">
        <v>346</v>
      </c>
      <c r="D9" s="139" t="s">
        <v>347</v>
      </c>
      <c r="E9" s="141" t="s">
        <v>348</v>
      </c>
    </row>
    <row r="10" spans="1:5" x14ac:dyDescent="0.25">
      <c r="A10" s="145"/>
      <c r="B10" s="79" t="s">
        <v>349</v>
      </c>
      <c r="C10" s="138"/>
      <c r="D10" s="140"/>
      <c r="E10" s="142"/>
    </row>
    <row r="11" spans="1:5" x14ac:dyDescent="0.25">
      <c r="A11" s="146"/>
      <c r="B11" s="79" t="s">
        <v>350</v>
      </c>
      <c r="C11" s="138"/>
      <c r="D11" s="140"/>
      <c r="E11" s="143"/>
    </row>
  </sheetData>
  <autoFilter ref="A1:E1" xr:uid="{00000000-0009-0000-0000-000003000000}"/>
  <mergeCells count="12">
    <mergeCell ref="A6:A8"/>
    <mergeCell ref="A9:A11"/>
    <mergeCell ref="C6:C8"/>
    <mergeCell ref="D6:D8"/>
    <mergeCell ref="A2:A4"/>
    <mergeCell ref="E6:E8"/>
    <mergeCell ref="C2:C4"/>
    <mergeCell ref="D2:D4"/>
    <mergeCell ref="E2:E4"/>
    <mergeCell ref="C9:C11"/>
    <mergeCell ref="D9:D11"/>
    <mergeCell ref="E9:E11"/>
  </mergeCells>
  <hyperlinks>
    <hyperlink ref="D5" r:id="rId1" xr:uid="{00000000-0004-0000-0300-000000000000}"/>
    <hyperlink ref="D6" r:id="rId2" xr:uid="{00000000-0004-0000-0300-000001000000}"/>
    <hyperlink ref="D9" r:id="rId3" xr:uid="{00000000-0004-0000-0300-000002000000}"/>
  </hyperlinks>
  <pageMargins left="0.7" right="0.7" top="0.75" bottom="0.75" header="0.3" footer="0.3"/>
  <pageSetup paperSize="9" orientation="portrait" r:id="rId4"/>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8"/>
  <sheetViews>
    <sheetView workbookViewId="0"/>
  </sheetViews>
  <sheetFormatPr defaultColWidth="9.140625" defaultRowHeight="15" x14ac:dyDescent="0.25"/>
  <cols>
    <col min="1" max="1" width="17.5703125" bestFit="1" customWidth="1"/>
    <col min="2" max="2" width="49.42578125" bestFit="1" customWidth="1"/>
    <col min="3" max="3" width="24.7109375" bestFit="1" customWidth="1"/>
    <col min="4" max="4" width="26.140625" bestFit="1" customWidth="1"/>
  </cols>
  <sheetData>
    <row r="1" spans="1:4" ht="18.75" x14ac:dyDescent="0.25">
      <c r="A1" s="56" t="s">
        <v>351</v>
      </c>
      <c r="B1" s="57" t="s">
        <v>352</v>
      </c>
      <c r="C1" s="57" t="s">
        <v>353</v>
      </c>
      <c r="D1" s="57" t="s">
        <v>354</v>
      </c>
    </row>
    <row r="2" spans="1:4" x14ac:dyDescent="0.25">
      <c r="A2" s="15" t="s">
        <v>355</v>
      </c>
      <c r="B2" s="58" t="s">
        <v>356</v>
      </c>
      <c r="C2" s="18">
        <v>917548594</v>
      </c>
      <c r="D2" s="15" t="s">
        <v>357</v>
      </c>
    </row>
    <row r="3" spans="1:4" ht="30" x14ac:dyDescent="0.25">
      <c r="A3" s="15"/>
      <c r="B3" s="59" t="s">
        <v>358</v>
      </c>
      <c r="C3" s="60" t="s">
        <v>359</v>
      </c>
      <c r="D3" s="15"/>
    </row>
    <row r="4" spans="1:4" x14ac:dyDescent="0.25">
      <c r="A4" s="15"/>
      <c r="B4" s="15"/>
      <c r="C4" s="15"/>
      <c r="D4" s="15"/>
    </row>
    <row r="5" spans="1:4" x14ac:dyDescent="0.25">
      <c r="A5" s="15"/>
      <c r="B5" s="15"/>
      <c r="C5" s="15"/>
      <c r="D5" s="15"/>
    </row>
    <row r="6" spans="1:4" x14ac:dyDescent="0.25">
      <c r="A6" s="15"/>
      <c r="B6" s="15"/>
      <c r="C6" s="15"/>
      <c r="D6" s="15"/>
    </row>
    <row r="7" spans="1:4" x14ac:dyDescent="0.25">
      <c r="A7" s="15"/>
      <c r="B7" s="15"/>
      <c r="C7" s="15"/>
      <c r="D7" s="15"/>
    </row>
    <row r="8" spans="1:4" x14ac:dyDescent="0.25">
      <c r="A8" s="15"/>
      <c r="B8" s="15"/>
      <c r="C8" s="15"/>
      <c r="D8" s="15"/>
    </row>
    <row r="9" spans="1:4" x14ac:dyDescent="0.25">
      <c r="A9" s="15"/>
      <c r="B9" s="15"/>
      <c r="C9" s="15"/>
      <c r="D9" s="15"/>
    </row>
    <row r="10" spans="1:4" x14ac:dyDescent="0.25">
      <c r="A10" s="15"/>
      <c r="B10" s="15"/>
      <c r="C10" s="15"/>
      <c r="D10" s="15"/>
    </row>
    <row r="11" spans="1:4" x14ac:dyDescent="0.25">
      <c r="A11" s="15"/>
      <c r="B11" s="15"/>
      <c r="C11" s="15"/>
      <c r="D11" s="15"/>
    </row>
    <row r="12" spans="1:4" x14ac:dyDescent="0.25">
      <c r="A12" s="15"/>
      <c r="B12" s="15"/>
      <c r="C12" s="15"/>
      <c r="D12" s="15"/>
    </row>
    <row r="13" spans="1:4" x14ac:dyDescent="0.25">
      <c r="A13" s="15"/>
      <c r="B13" s="15"/>
      <c r="C13" s="15"/>
      <c r="D13" s="15"/>
    </row>
    <row r="14" spans="1:4" x14ac:dyDescent="0.25">
      <c r="A14" s="15"/>
      <c r="B14" s="15"/>
      <c r="C14" s="15"/>
      <c r="D14" s="15"/>
    </row>
    <row r="15" spans="1:4" x14ac:dyDescent="0.25">
      <c r="A15" s="15"/>
      <c r="B15" s="15"/>
      <c r="C15" s="15"/>
      <c r="D15" s="15"/>
    </row>
    <row r="16" spans="1:4" x14ac:dyDescent="0.25">
      <c r="A16" s="15"/>
      <c r="B16" s="15"/>
      <c r="C16" s="15"/>
      <c r="D16" s="15"/>
    </row>
    <row r="17" spans="1:4" x14ac:dyDescent="0.25">
      <c r="A17" s="15"/>
      <c r="B17" s="15"/>
      <c r="C17" s="15"/>
      <c r="D17" s="15"/>
    </row>
    <row r="18" spans="1:4" x14ac:dyDescent="0.25">
      <c r="A18" s="15"/>
      <c r="B18" s="15"/>
      <c r="C18" s="15"/>
      <c r="D18" s="15"/>
    </row>
  </sheetData>
  <autoFilter ref="A1:C1" xr:uid="{00000000-0009-0000-0000-000004000000}"/>
  <hyperlinks>
    <hyperlink ref="B2" r:id="rId1" xr:uid="{00000000-0004-0000-0400-000000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filterMode="1"/>
  <dimension ref="A1:D40"/>
  <sheetViews>
    <sheetView workbookViewId="0"/>
  </sheetViews>
  <sheetFormatPr defaultColWidth="9.140625" defaultRowHeight="15" x14ac:dyDescent="0.25"/>
  <cols>
    <col min="1" max="1" width="45.7109375" bestFit="1" customWidth="1"/>
    <col min="2" max="2" width="22.7109375" bestFit="1" customWidth="1"/>
    <col min="3" max="3" width="25.85546875" bestFit="1" customWidth="1"/>
    <col min="4" max="4" width="22.7109375" bestFit="1" customWidth="1"/>
  </cols>
  <sheetData>
    <row r="1" spans="1:4" x14ac:dyDescent="0.25">
      <c r="A1" s="46" t="s">
        <v>360</v>
      </c>
      <c r="B1" s="46" t="s">
        <v>361</v>
      </c>
      <c r="C1" s="46" t="s">
        <v>362</v>
      </c>
      <c r="D1" s="46" t="s">
        <v>363</v>
      </c>
    </row>
    <row r="2" spans="1:4" hidden="1" x14ac:dyDescent="0.25">
      <c r="A2" s="15" t="s">
        <v>364</v>
      </c>
      <c r="B2" s="15" t="s">
        <v>365</v>
      </c>
      <c r="C2" s="15" t="s">
        <v>366</v>
      </c>
      <c r="D2" s="15" t="s">
        <v>367</v>
      </c>
    </row>
    <row r="3" spans="1:4" hidden="1" x14ac:dyDescent="0.25">
      <c r="A3" s="15" t="s">
        <v>368</v>
      </c>
      <c r="B3" s="15" t="s">
        <v>365</v>
      </c>
      <c r="C3" s="15" t="s">
        <v>366</v>
      </c>
      <c r="D3" s="15" t="s">
        <v>367</v>
      </c>
    </row>
    <row r="4" spans="1:4" hidden="1" x14ac:dyDescent="0.25">
      <c r="A4" s="15" t="s">
        <v>369</v>
      </c>
      <c r="B4" s="15" t="s">
        <v>365</v>
      </c>
      <c r="C4" s="15" t="s">
        <v>366</v>
      </c>
      <c r="D4" s="15" t="s">
        <v>367</v>
      </c>
    </row>
    <row r="5" spans="1:4" hidden="1" x14ac:dyDescent="0.25">
      <c r="A5" s="15" t="s">
        <v>370</v>
      </c>
      <c r="B5" s="15" t="s">
        <v>365</v>
      </c>
      <c r="C5" s="15" t="s">
        <v>371</v>
      </c>
      <c r="D5" s="15" t="s">
        <v>372</v>
      </c>
    </row>
    <row r="6" spans="1:4" hidden="1" x14ac:dyDescent="0.25">
      <c r="A6" s="15" t="s">
        <v>373</v>
      </c>
      <c r="B6" s="15" t="s">
        <v>365</v>
      </c>
      <c r="C6" s="15" t="s">
        <v>374</v>
      </c>
      <c r="D6" s="15" t="s">
        <v>372</v>
      </c>
    </row>
    <row r="7" spans="1:4" hidden="1" x14ac:dyDescent="0.25">
      <c r="A7" s="15" t="s">
        <v>375</v>
      </c>
      <c r="B7" s="15" t="s">
        <v>365</v>
      </c>
      <c r="C7" s="15" t="s">
        <v>376</v>
      </c>
      <c r="D7" s="15" t="s">
        <v>367</v>
      </c>
    </row>
    <row r="8" spans="1:4" hidden="1" x14ac:dyDescent="0.25">
      <c r="A8" s="15" t="s">
        <v>377</v>
      </c>
      <c r="B8" s="15" t="s">
        <v>365</v>
      </c>
      <c r="C8" s="15" t="s">
        <v>378</v>
      </c>
      <c r="D8" s="15" t="s">
        <v>367</v>
      </c>
    </row>
    <row r="9" spans="1:4" hidden="1" x14ac:dyDescent="0.25">
      <c r="A9" s="15" t="s">
        <v>379</v>
      </c>
      <c r="B9" s="15" t="s">
        <v>365</v>
      </c>
      <c r="C9" s="15" t="s">
        <v>380</v>
      </c>
      <c r="D9" s="15" t="s">
        <v>372</v>
      </c>
    </row>
    <row r="10" spans="1:4" hidden="1" x14ac:dyDescent="0.25">
      <c r="A10" s="15" t="s">
        <v>381</v>
      </c>
      <c r="B10" s="15" t="s">
        <v>365</v>
      </c>
      <c r="C10" s="15" t="s">
        <v>382</v>
      </c>
      <c r="D10" s="15" t="s">
        <v>367</v>
      </c>
    </row>
    <row r="11" spans="1:4" hidden="1" x14ac:dyDescent="0.25">
      <c r="A11" s="15" t="s">
        <v>383</v>
      </c>
      <c r="B11" s="15" t="s">
        <v>365</v>
      </c>
      <c r="C11" s="15" t="s">
        <v>384</v>
      </c>
      <c r="D11" s="15" t="s">
        <v>372</v>
      </c>
    </row>
    <row r="12" spans="1:4" hidden="1" x14ac:dyDescent="0.25">
      <c r="A12" s="15" t="s">
        <v>385</v>
      </c>
      <c r="B12" s="15" t="s">
        <v>365</v>
      </c>
      <c r="C12" s="15" t="s">
        <v>386</v>
      </c>
      <c r="D12" s="15" t="s">
        <v>372</v>
      </c>
    </row>
    <row r="13" spans="1:4" hidden="1" x14ac:dyDescent="0.25">
      <c r="A13" s="15" t="s">
        <v>387</v>
      </c>
      <c r="B13" s="15" t="s">
        <v>365</v>
      </c>
      <c r="C13" s="15" t="s">
        <v>388</v>
      </c>
      <c r="D13" s="15" t="s">
        <v>372</v>
      </c>
    </row>
    <row r="14" spans="1:4" hidden="1" x14ac:dyDescent="0.25">
      <c r="A14" s="15" t="s">
        <v>389</v>
      </c>
      <c r="B14" s="15" t="s">
        <v>365</v>
      </c>
      <c r="C14" s="15" t="s">
        <v>390</v>
      </c>
      <c r="D14" s="15" t="s">
        <v>372</v>
      </c>
    </row>
    <row r="15" spans="1:4" hidden="1" x14ac:dyDescent="0.25">
      <c r="A15" s="15" t="s">
        <v>391</v>
      </c>
      <c r="B15" s="15" t="s">
        <v>365</v>
      </c>
      <c r="C15" s="15" t="s">
        <v>388</v>
      </c>
      <c r="D15" s="15" t="s">
        <v>372</v>
      </c>
    </row>
    <row r="16" spans="1:4" hidden="1" x14ac:dyDescent="0.25">
      <c r="A16" s="15" t="s">
        <v>392</v>
      </c>
      <c r="B16" s="15" t="s">
        <v>365</v>
      </c>
      <c r="C16" s="15" t="s">
        <v>388</v>
      </c>
      <c r="D16" s="15" t="s">
        <v>372</v>
      </c>
    </row>
    <row r="17" spans="1:4" hidden="1" x14ac:dyDescent="0.25">
      <c r="A17" s="15" t="s">
        <v>393</v>
      </c>
      <c r="B17" s="15" t="s">
        <v>365</v>
      </c>
      <c r="C17" s="15" t="s">
        <v>394</v>
      </c>
      <c r="D17" s="15" t="s">
        <v>367</v>
      </c>
    </row>
    <row r="18" spans="1:4" hidden="1" x14ac:dyDescent="0.25">
      <c r="A18" s="15" t="s">
        <v>395</v>
      </c>
      <c r="B18" s="15" t="s">
        <v>365</v>
      </c>
      <c r="C18" s="15" t="s">
        <v>396</v>
      </c>
      <c r="D18" s="15" t="s">
        <v>367</v>
      </c>
    </row>
    <row r="19" spans="1:4" hidden="1" x14ac:dyDescent="0.25">
      <c r="A19" s="15" t="s">
        <v>397</v>
      </c>
      <c r="B19" s="15" t="s">
        <v>365</v>
      </c>
      <c r="C19" s="15" t="s">
        <v>396</v>
      </c>
      <c r="D19" s="15" t="s">
        <v>367</v>
      </c>
    </row>
    <row r="20" spans="1:4" x14ac:dyDescent="0.25">
      <c r="A20" s="15" t="s">
        <v>398</v>
      </c>
      <c r="B20" s="15" t="s">
        <v>399</v>
      </c>
      <c r="C20" s="15" t="s">
        <v>366</v>
      </c>
      <c r="D20" s="15" t="s">
        <v>400</v>
      </c>
    </row>
    <row r="21" spans="1:4" x14ac:dyDescent="0.25">
      <c r="A21" s="15" t="s">
        <v>401</v>
      </c>
      <c r="B21" s="15" t="s">
        <v>399</v>
      </c>
      <c r="C21" s="15" t="s">
        <v>366</v>
      </c>
      <c r="D21" s="15" t="s">
        <v>400</v>
      </c>
    </row>
    <row r="22" spans="1:4" x14ac:dyDescent="0.25">
      <c r="A22" s="15" t="s">
        <v>402</v>
      </c>
      <c r="B22" s="15" t="s">
        <v>399</v>
      </c>
      <c r="C22" s="15" t="s">
        <v>366</v>
      </c>
      <c r="D22" s="15" t="s">
        <v>400</v>
      </c>
    </row>
    <row r="23" spans="1:4" x14ac:dyDescent="0.25">
      <c r="A23" s="50" t="s">
        <v>403</v>
      </c>
      <c r="B23" s="15" t="s">
        <v>399</v>
      </c>
      <c r="C23" s="15" t="s">
        <v>371</v>
      </c>
      <c r="D23" s="15"/>
    </row>
    <row r="24" spans="1:4" x14ac:dyDescent="0.25">
      <c r="A24" s="15" t="s">
        <v>404</v>
      </c>
      <c r="B24" s="15" t="s">
        <v>399</v>
      </c>
      <c r="C24" s="15" t="s">
        <v>371</v>
      </c>
      <c r="D24" s="15"/>
    </row>
    <row r="25" spans="1:4" x14ac:dyDescent="0.25">
      <c r="A25" s="15" t="s">
        <v>405</v>
      </c>
      <c r="B25" s="15" t="s">
        <v>399</v>
      </c>
      <c r="C25" s="15" t="s">
        <v>374</v>
      </c>
      <c r="D25" s="15" t="s">
        <v>406</v>
      </c>
    </row>
    <row r="26" spans="1:4" x14ac:dyDescent="0.25">
      <c r="A26" s="50" t="s">
        <v>407</v>
      </c>
      <c r="B26" s="15" t="s">
        <v>399</v>
      </c>
      <c r="C26" s="15" t="s">
        <v>374</v>
      </c>
      <c r="D26" s="15"/>
    </row>
    <row r="27" spans="1:4" x14ac:dyDescent="0.25">
      <c r="A27" s="50" t="s">
        <v>408</v>
      </c>
      <c r="B27" s="15" t="s">
        <v>399</v>
      </c>
      <c r="C27" s="15" t="s">
        <v>376</v>
      </c>
      <c r="D27" s="15"/>
    </row>
    <row r="28" spans="1:4" x14ac:dyDescent="0.25">
      <c r="A28" s="50" t="s">
        <v>409</v>
      </c>
      <c r="B28" s="15" t="s">
        <v>399</v>
      </c>
      <c r="C28" s="15" t="s">
        <v>378</v>
      </c>
      <c r="D28" s="15"/>
    </row>
    <row r="29" spans="1:4" x14ac:dyDescent="0.25">
      <c r="A29" s="15" t="s">
        <v>410</v>
      </c>
      <c r="B29" s="15" t="s">
        <v>399</v>
      </c>
      <c r="C29" s="15" t="s">
        <v>380</v>
      </c>
      <c r="D29" s="15" t="s">
        <v>400</v>
      </c>
    </row>
    <row r="30" spans="1:4" x14ac:dyDescent="0.25">
      <c r="A30" s="15" t="s">
        <v>411</v>
      </c>
      <c r="B30" s="15" t="s">
        <v>399</v>
      </c>
      <c r="C30" s="15" t="s">
        <v>380</v>
      </c>
      <c r="D30" s="15" t="s">
        <v>400</v>
      </c>
    </row>
    <row r="31" spans="1:4" x14ac:dyDescent="0.25">
      <c r="A31" s="15" t="s">
        <v>412</v>
      </c>
      <c r="B31" s="15" t="s">
        <v>399</v>
      </c>
      <c r="C31" s="15" t="s">
        <v>382</v>
      </c>
      <c r="D31" s="15" t="s">
        <v>413</v>
      </c>
    </row>
    <row r="32" spans="1:4" x14ac:dyDescent="0.25">
      <c r="A32" s="15" t="s">
        <v>414</v>
      </c>
      <c r="B32" s="15" t="s">
        <v>399</v>
      </c>
      <c r="C32" s="15" t="s">
        <v>384</v>
      </c>
      <c r="D32" s="15"/>
    </row>
    <row r="33" spans="1:4" x14ac:dyDescent="0.25">
      <c r="A33" s="15" t="s">
        <v>415</v>
      </c>
      <c r="B33" s="15" t="s">
        <v>399</v>
      </c>
      <c r="C33" s="15" t="s">
        <v>386</v>
      </c>
      <c r="D33" s="15" t="s">
        <v>406</v>
      </c>
    </row>
    <row r="34" spans="1:4" x14ac:dyDescent="0.25">
      <c r="A34" s="15" t="s">
        <v>416</v>
      </c>
      <c r="B34" s="15" t="s">
        <v>399</v>
      </c>
      <c r="C34" s="15" t="s">
        <v>388</v>
      </c>
      <c r="D34" s="15"/>
    </row>
    <row r="35" spans="1:4" x14ac:dyDescent="0.25">
      <c r="A35" s="15" t="s">
        <v>416</v>
      </c>
      <c r="B35" s="15" t="s">
        <v>399</v>
      </c>
      <c r="C35" s="15" t="s">
        <v>390</v>
      </c>
      <c r="D35" s="15"/>
    </row>
    <row r="36" spans="1:4" x14ac:dyDescent="0.25">
      <c r="A36" s="15" t="s">
        <v>417</v>
      </c>
      <c r="B36" s="15" t="s">
        <v>399</v>
      </c>
      <c r="C36" s="15" t="s">
        <v>388</v>
      </c>
      <c r="D36" s="15"/>
    </row>
    <row r="37" spans="1:4" x14ac:dyDescent="0.25">
      <c r="A37" s="15" t="s">
        <v>416</v>
      </c>
      <c r="B37" s="15" t="s">
        <v>399</v>
      </c>
      <c r="C37" s="15" t="s">
        <v>388</v>
      </c>
      <c r="D37" s="15"/>
    </row>
    <row r="38" spans="1:4" x14ac:dyDescent="0.25">
      <c r="A38" s="15" t="s">
        <v>416</v>
      </c>
      <c r="B38" s="15" t="s">
        <v>399</v>
      </c>
      <c r="C38" s="15" t="s">
        <v>394</v>
      </c>
      <c r="D38" s="15"/>
    </row>
    <row r="39" spans="1:4" x14ac:dyDescent="0.25">
      <c r="A39" s="15" t="s">
        <v>418</v>
      </c>
      <c r="B39" s="15" t="s">
        <v>399</v>
      </c>
      <c r="C39" s="15" t="s">
        <v>396</v>
      </c>
      <c r="D39" s="15" t="s">
        <v>406</v>
      </c>
    </row>
    <row r="40" spans="1:4" x14ac:dyDescent="0.25">
      <c r="A40" s="15" t="s">
        <v>419</v>
      </c>
      <c r="B40" s="15" t="s">
        <v>399</v>
      </c>
      <c r="C40" s="15" t="s">
        <v>396</v>
      </c>
      <c r="D40" s="15"/>
    </row>
  </sheetData>
  <autoFilter ref="A1:D40" xr:uid="{00000000-0009-0000-0000-000005000000}">
    <filterColumn colId="1">
      <filters>
        <filter val="Argonauta"/>
      </filters>
    </filterColumn>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13"/>
  <sheetViews>
    <sheetView workbookViewId="0"/>
  </sheetViews>
  <sheetFormatPr defaultColWidth="9.140625" defaultRowHeight="15" x14ac:dyDescent="0.25"/>
  <cols>
    <col min="1" max="1" width="36" bestFit="1" customWidth="1"/>
    <col min="2" max="2" width="14" bestFit="1" customWidth="1"/>
    <col min="3" max="3" width="25.28515625" bestFit="1" customWidth="1"/>
  </cols>
  <sheetData>
    <row r="1" spans="1:3" x14ac:dyDescent="0.25">
      <c r="A1" s="46" t="s">
        <v>360</v>
      </c>
      <c r="B1" s="46" t="s">
        <v>361</v>
      </c>
      <c r="C1" s="46" t="s">
        <v>362</v>
      </c>
    </row>
    <row r="2" spans="1:3" x14ac:dyDescent="0.25">
      <c r="A2" s="38" t="s">
        <v>420</v>
      </c>
      <c r="B2" s="11" t="s">
        <v>399</v>
      </c>
      <c r="C2" s="15" t="s">
        <v>421</v>
      </c>
    </row>
    <row r="3" spans="1:3" x14ac:dyDescent="0.25">
      <c r="A3" s="38" t="s">
        <v>422</v>
      </c>
      <c r="B3" s="11" t="s">
        <v>399</v>
      </c>
      <c r="C3" s="15" t="s">
        <v>334</v>
      </c>
    </row>
    <row r="4" spans="1:3" ht="30" x14ac:dyDescent="0.25">
      <c r="A4" s="38" t="s">
        <v>423</v>
      </c>
      <c r="B4" s="11" t="s">
        <v>399</v>
      </c>
      <c r="C4" s="47" t="s">
        <v>424</v>
      </c>
    </row>
    <row r="5" spans="1:3" x14ac:dyDescent="0.25">
      <c r="A5" s="38" t="s">
        <v>425</v>
      </c>
      <c r="B5" s="11" t="s">
        <v>399</v>
      </c>
      <c r="C5" s="15" t="s">
        <v>426</v>
      </c>
    </row>
    <row r="6" spans="1:3" x14ac:dyDescent="0.25">
      <c r="A6" s="38" t="s">
        <v>427</v>
      </c>
      <c r="B6" s="11" t="s">
        <v>399</v>
      </c>
      <c r="C6" s="15" t="s">
        <v>428</v>
      </c>
    </row>
    <row r="7" spans="1:3" x14ac:dyDescent="0.25">
      <c r="A7" s="38" t="s">
        <v>429</v>
      </c>
      <c r="B7" s="11" t="s">
        <v>399</v>
      </c>
      <c r="C7" s="15" t="s">
        <v>430</v>
      </c>
    </row>
    <row r="8" spans="1:3" x14ac:dyDescent="0.25">
      <c r="A8" s="38" t="s">
        <v>431</v>
      </c>
      <c r="B8" s="11" t="s">
        <v>399</v>
      </c>
      <c r="C8" s="15" t="s">
        <v>432</v>
      </c>
    </row>
    <row r="9" spans="1:3" x14ac:dyDescent="0.25">
      <c r="A9" s="38" t="s">
        <v>433</v>
      </c>
      <c r="B9" s="11" t="s">
        <v>399</v>
      </c>
      <c r="C9" s="15" t="s">
        <v>342</v>
      </c>
    </row>
    <row r="10" spans="1:3" x14ac:dyDescent="0.25">
      <c r="A10" s="38" t="s">
        <v>434</v>
      </c>
      <c r="B10" s="11" t="s">
        <v>399</v>
      </c>
      <c r="C10" s="15" t="s">
        <v>345</v>
      </c>
    </row>
    <row r="11" spans="1:3" ht="30" x14ac:dyDescent="0.25">
      <c r="A11" s="38" t="s">
        <v>435</v>
      </c>
      <c r="B11" s="11" t="s">
        <v>399</v>
      </c>
      <c r="C11" s="47" t="s">
        <v>436</v>
      </c>
    </row>
    <row r="12" spans="1:3" x14ac:dyDescent="0.25">
      <c r="A12" s="38" t="s">
        <v>437</v>
      </c>
      <c r="B12" s="11" t="s">
        <v>399</v>
      </c>
      <c r="C12" s="15" t="s">
        <v>438</v>
      </c>
    </row>
    <row r="13" spans="1:3" x14ac:dyDescent="0.25">
      <c r="A13" s="38" t="s">
        <v>439</v>
      </c>
      <c r="B13" s="11" t="s">
        <v>399</v>
      </c>
      <c r="C13" s="15" t="s">
        <v>438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131"/>
  <sheetViews>
    <sheetView workbookViewId="0">
      <pane ySplit="1" topLeftCell="A2" activePane="bottomLeft" state="frozen"/>
      <selection pane="bottomLeft"/>
    </sheetView>
  </sheetViews>
  <sheetFormatPr defaultColWidth="9.140625" defaultRowHeight="15" x14ac:dyDescent="0.25"/>
  <cols>
    <col min="1" max="1" width="50.140625" bestFit="1" customWidth="1"/>
    <col min="2" max="2" width="47.5703125" bestFit="1" customWidth="1"/>
    <col min="3" max="3" width="20.28515625" customWidth="1"/>
    <col min="5" max="5" width="55.5703125" customWidth="1"/>
    <col min="6" max="6" width="15.140625" bestFit="1" customWidth="1"/>
    <col min="7" max="7" width="40.28515625" bestFit="1" customWidth="1"/>
  </cols>
  <sheetData>
    <row r="1" spans="1:7" x14ac:dyDescent="0.25">
      <c r="A1" s="48" t="s">
        <v>440</v>
      </c>
      <c r="B1" s="48" t="s">
        <v>441</v>
      </c>
      <c r="C1" s="48" t="s">
        <v>442</v>
      </c>
      <c r="D1" s="48" t="s">
        <v>443</v>
      </c>
      <c r="E1" s="48" t="s">
        <v>444</v>
      </c>
      <c r="F1" s="48" t="s">
        <v>445</v>
      </c>
      <c r="G1" s="48" t="s">
        <v>446</v>
      </c>
    </row>
    <row r="2" spans="1:7" ht="45" x14ac:dyDescent="0.25">
      <c r="A2" s="37" t="s">
        <v>447</v>
      </c>
      <c r="B2" s="37" t="s">
        <v>448</v>
      </c>
      <c r="C2" s="49" t="s">
        <v>449</v>
      </c>
      <c r="D2" s="37" t="s">
        <v>450</v>
      </c>
      <c r="E2" s="37" t="s">
        <v>451</v>
      </c>
      <c r="F2" s="37" t="s">
        <v>452</v>
      </c>
      <c r="G2" s="37" t="s">
        <v>453</v>
      </c>
    </row>
    <row r="3" spans="1:7" ht="75" x14ac:dyDescent="0.25">
      <c r="A3" s="37" t="s">
        <v>447</v>
      </c>
      <c r="B3" s="37" t="s">
        <v>454</v>
      </c>
      <c r="C3" s="49" t="s">
        <v>455</v>
      </c>
      <c r="D3" s="37" t="s">
        <v>450</v>
      </c>
      <c r="E3" s="37" t="s">
        <v>455</v>
      </c>
      <c r="F3" s="37" t="s">
        <v>452</v>
      </c>
      <c r="G3" s="37" t="s">
        <v>453</v>
      </c>
    </row>
    <row r="4" spans="1:7" ht="30" x14ac:dyDescent="0.25">
      <c r="A4" s="37" t="s">
        <v>447</v>
      </c>
      <c r="B4" s="37" t="s">
        <v>456</v>
      </c>
      <c r="C4" s="49" t="s">
        <v>457</v>
      </c>
      <c r="D4" s="37" t="s">
        <v>450</v>
      </c>
      <c r="E4" s="37" t="s">
        <v>458</v>
      </c>
      <c r="F4" s="37" t="s">
        <v>452</v>
      </c>
      <c r="G4" s="37" t="s">
        <v>453</v>
      </c>
    </row>
    <row r="5" spans="1:7" ht="30" x14ac:dyDescent="0.25">
      <c r="A5" s="37" t="s">
        <v>447</v>
      </c>
      <c r="B5" s="37" t="s">
        <v>459</v>
      </c>
      <c r="C5" s="49" t="s">
        <v>460</v>
      </c>
      <c r="D5" s="37" t="s">
        <v>450</v>
      </c>
      <c r="E5" s="37" t="s">
        <v>461</v>
      </c>
      <c r="F5" s="37" t="s">
        <v>452</v>
      </c>
      <c r="G5" s="37" t="s">
        <v>453</v>
      </c>
    </row>
    <row r="6" spans="1:7" ht="60" x14ac:dyDescent="0.25">
      <c r="A6" s="37" t="s">
        <v>447</v>
      </c>
      <c r="B6" s="37" t="s">
        <v>462</v>
      </c>
      <c r="C6" s="49" t="s">
        <v>463</v>
      </c>
      <c r="D6" s="37" t="s">
        <v>450</v>
      </c>
      <c r="E6" s="37" t="s">
        <v>464</v>
      </c>
      <c r="F6" s="37" t="s">
        <v>452</v>
      </c>
      <c r="G6" s="37" t="s">
        <v>453</v>
      </c>
    </row>
    <row r="7" spans="1:7" x14ac:dyDescent="0.25">
      <c r="A7" s="37" t="s">
        <v>465</v>
      </c>
      <c r="B7" s="37" t="s">
        <v>466</v>
      </c>
      <c r="C7" s="49" t="s">
        <v>464</v>
      </c>
      <c r="D7" s="37" t="s">
        <v>450</v>
      </c>
      <c r="E7" s="37" t="s">
        <v>464</v>
      </c>
      <c r="F7" s="37" t="s">
        <v>467</v>
      </c>
      <c r="G7" s="37" t="s">
        <v>468</v>
      </c>
    </row>
    <row r="8" spans="1:7" x14ac:dyDescent="0.25">
      <c r="A8" s="37" t="s">
        <v>465</v>
      </c>
      <c r="B8" s="37" t="s">
        <v>401</v>
      </c>
      <c r="C8" s="49" t="s">
        <v>464</v>
      </c>
      <c r="D8" s="37" t="s">
        <v>450</v>
      </c>
      <c r="E8" s="37" t="s">
        <v>464</v>
      </c>
      <c r="F8" s="37" t="s">
        <v>467</v>
      </c>
      <c r="G8" s="37" t="s">
        <v>468</v>
      </c>
    </row>
    <row r="9" spans="1:7" ht="30" x14ac:dyDescent="0.25">
      <c r="A9" s="37" t="s">
        <v>469</v>
      </c>
      <c r="B9" s="52" t="s">
        <v>470</v>
      </c>
      <c r="C9" s="49" t="s">
        <v>471</v>
      </c>
      <c r="D9" s="37" t="s">
        <v>450</v>
      </c>
      <c r="E9" s="37" t="s">
        <v>464</v>
      </c>
      <c r="F9" s="37" t="s">
        <v>472</v>
      </c>
      <c r="G9" s="37" t="s">
        <v>473</v>
      </c>
    </row>
    <row r="10" spans="1:7" ht="30" x14ac:dyDescent="0.25">
      <c r="A10" s="37" t="s">
        <v>469</v>
      </c>
      <c r="B10" s="52" t="s">
        <v>474</v>
      </c>
      <c r="C10" s="49" t="s">
        <v>475</v>
      </c>
      <c r="D10" s="37" t="s">
        <v>450</v>
      </c>
      <c r="E10" s="37" t="s">
        <v>464</v>
      </c>
      <c r="F10" s="37" t="s">
        <v>476</v>
      </c>
      <c r="G10" s="37" t="s">
        <v>477</v>
      </c>
    </row>
    <row r="11" spans="1:7" ht="30" x14ac:dyDescent="0.25">
      <c r="A11" s="37" t="s">
        <v>469</v>
      </c>
      <c r="B11" s="52" t="s">
        <v>478</v>
      </c>
      <c r="C11" s="49" t="s">
        <v>471</v>
      </c>
      <c r="D11" s="37" t="s">
        <v>450</v>
      </c>
      <c r="E11" s="37" t="s">
        <v>464</v>
      </c>
      <c r="F11" s="37" t="s">
        <v>472</v>
      </c>
      <c r="G11" s="37" t="s">
        <v>473</v>
      </c>
    </row>
    <row r="12" spans="1:7" ht="30" x14ac:dyDescent="0.25">
      <c r="A12" s="37" t="s">
        <v>469</v>
      </c>
      <c r="B12" s="52" t="s">
        <v>479</v>
      </c>
      <c r="C12" s="49" t="s">
        <v>471</v>
      </c>
      <c r="D12" s="37" t="s">
        <v>450</v>
      </c>
      <c r="E12" s="37" t="s">
        <v>464</v>
      </c>
      <c r="F12" s="37" t="s">
        <v>472</v>
      </c>
      <c r="G12" s="37" t="s">
        <v>473</v>
      </c>
    </row>
    <row r="13" spans="1:7" ht="45" x14ac:dyDescent="0.25">
      <c r="A13" s="37" t="s">
        <v>469</v>
      </c>
      <c r="B13" s="52" t="s">
        <v>480</v>
      </c>
      <c r="C13" s="49" t="s">
        <v>481</v>
      </c>
      <c r="D13" s="37" t="s">
        <v>450</v>
      </c>
      <c r="E13" s="37" t="s">
        <v>464</v>
      </c>
      <c r="F13" s="37" t="s">
        <v>476</v>
      </c>
      <c r="G13" s="37" t="s">
        <v>477</v>
      </c>
    </row>
    <row r="14" spans="1:7" ht="30" x14ac:dyDescent="0.25">
      <c r="A14" s="37" t="s">
        <v>469</v>
      </c>
      <c r="B14" s="52" t="s">
        <v>482</v>
      </c>
      <c r="C14" s="49" t="s">
        <v>471</v>
      </c>
      <c r="D14" s="37" t="s">
        <v>450</v>
      </c>
      <c r="E14" s="37" t="s">
        <v>464</v>
      </c>
      <c r="F14" s="37" t="s">
        <v>472</v>
      </c>
      <c r="G14" s="37" t="s">
        <v>473</v>
      </c>
    </row>
    <row r="15" spans="1:7" ht="30" x14ac:dyDescent="0.25">
      <c r="A15" s="37" t="s">
        <v>469</v>
      </c>
      <c r="B15" s="37" t="s">
        <v>483</v>
      </c>
      <c r="C15" s="49" t="s">
        <v>484</v>
      </c>
      <c r="D15" s="37" t="s">
        <v>450</v>
      </c>
      <c r="E15" s="37" t="s">
        <v>464</v>
      </c>
      <c r="F15" s="37" t="s">
        <v>485</v>
      </c>
      <c r="G15" s="37" t="s">
        <v>486</v>
      </c>
    </row>
    <row r="16" spans="1:7" x14ac:dyDescent="0.25">
      <c r="A16" s="37" t="s">
        <v>469</v>
      </c>
      <c r="B16" s="37" t="s">
        <v>415</v>
      </c>
      <c r="C16" s="49" t="s">
        <v>487</v>
      </c>
      <c r="D16" s="37" t="s">
        <v>450</v>
      </c>
      <c r="E16" s="37" t="s">
        <v>464</v>
      </c>
      <c r="F16" s="37" t="s">
        <v>476</v>
      </c>
      <c r="G16" s="37" t="s">
        <v>477</v>
      </c>
    </row>
    <row r="17" spans="1:7" ht="30" x14ac:dyDescent="0.25">
      <c r="A17" s="37" t="s">
        <v>469</v>
      </c>
      <c r="B17" s="37" t="s">
        <v>488</v>
      </c>
      <c r="C17" s="49" t="s">
        <v>489</v>
      </c>
      <c r="D17" s="37" t="s">
        <v>450</v>
      </c>
      <c r="E17" s="37" t="s">
        <v>490</v>
      </c>
      <c r="F17" s="37" t="s">
        <v>491</v>
      </c>
      <c r="G17" s="37" t="s">
        <v>492</v>
      </c>
    </row>
    <row r="18" spans="1:7" ht="45" x14ac:dyDescent="0.25">
      <c r="A18" s="37" t="s">
        <v>493</v>
      </c>
      <c r="B18" s="37" t="s">
        <v>494</v>
      </c>
      <c r="C18" s="49" t="s">
        <v>495</v>
      </c>
      <c r="D18" s="37" t="s">
        <v>450</v>
      </c>
      <c r="E18" s="37" t="s">
        <v>464</v>
      </c>
      <c r="F18" s="37" t="s">
        <v>496</v>
      </c>
      <c r="G18" s="37" t="s">
        <v>497</v>
      </c>
    </row>
    <row r="19" spans="1:7" ht="75" x14ac:dyDescent="0.25">
      <c r="A19" s="37" t="s">
        <v>498</v>
      </c>
      <c r="B19" s="37" t="s">
        <v>499</v>
      </c>
      <c r="C19" s="49" t="s">
        <v>500</v>
      </c>
      <c r="D19" s="37" t="s">
        <v>450</v>
      </c>
      <c r="E19" s="37" t="s">
        <v>501</v>
      </c>
      <c r="F19" s="37" t="s">
        <v>502</v>
      </c>
      <c r="G19" s="37" t="s">
        <v>503</v>
      </c>
    </row>
    <row r="20" spans="1:7" ht="60" x14ac:dyDescent="0.25">
      <c r="A20" s="37" t="s">
        <v>504</v>
      </c>
      <c r="B20" s="37" t="s">
        <v>505</v>
      </c>
      <c r="C20" s="49" t="s">
        <v>506</v>
      </c>
      <c r="D20" s="37" t="s">
        <v>450</v>
      </c>
      <c r="E20" s="37" t="s">
        <v>464</v>
      </c>
      <c r="F20" s="37" t="s">
        <v>507</v>
      </c>
      <c r="G20" s="37" t="s">
        <v>508</v>
      </c>
    </row>
    <row r="21" spans="1:7" ht="60" x14ac:dyDescent="0.25">
      <c r="A21" s="37" t="s">
        <v>504</v>
      </c>
      <c r="B21" s="37" t="s">
        <v>509</v>
      </c>
      <c r="C21" s="49" t="s">
        <v>510</v>
      </c>
      <c r="D21" s="37" t="s">
        <v>450</v>
      </c>
      <c r="E21" s="37" t="s">
        <v>464</v>
      </c>
      <c r="F21" s="37" t="s">
        <v>507</v>
      </c>
      <c r="G21" s="37" t="s">
        <v>508</v>
      </c>
    </row>
    <row r="22" spans="1:7" ht="30" x14ac:dyDescent="0.25">
      <c r="A22" s="37" t="s">
        <v>511</v>
      </c>
      <c r="B22" s="37" t="s">
        <v>512</v>
      </c>
      <c r="C22" s="49" t="s">
        <v>513</v>
      </c>
      <c r="D22" s="37" t="s">
        <v>450</v>
      </c>
      <c r="E22" s="37" t="s">
        <v>464</v>
      </c>
      <c r="F22" s="37" t="s">
        <v>514</v>
      </c>
      <c r="G22" s="37" t="s">
        <v>515</v>
      </c>
    </row>
    <row r="23" spans="1:7" ht="30" x14ac:dyDescent="0.25">
      <c r="A23" s="37" t="s">
        <v>511</v>
      </c>
      <c r="B23" s="37" t="s">
        <v>418</v>
      </c>
      <c r="C23" s="49" t="s">
        <v>516</v>
      </c>
      <c r="D23" s="37" t="s">
        <v>450</v>
      </c>
      <c r="E23" s="37" t="s">
        <v>464</v>
      </c>
      <c r="F23" s="37" t="s">
        <v>517</v>
      </c>
      <c r="G23" s="37" t="s">
        <v>518</v>
      </c>
    </row>
    <row r="24" spans="1:7" ht="30" x14ac:dyDescent="0.25">
      <c r="A24" s="37" t="s">
        <v>511</v>
      </c>
      <c r="B24" s="37" t="s">
        <v>519</v>
      </c>
      <c r="C24" s="49" t="s">
        <v>520</v>
      </c>
      <c r="D24" s="37" t="s">
        <v>450</v>
      </c>
      <c r="E24" s="37" t="s">
        <v>464</v>
      </c>
      <c r="F24" s="37" t="s">
        <v>521</v>
      </c>
      <c r="G24" s="37" t="s">
        <v>522</v>
      </c>
    </row>
    <row r="25" spans="1:7" ht="30" x14ac:dyDescent="0.25">
      <c r="A25" s="37" t="s">
        <v>511</v>
      </c>
      <c r="B25" s="37" t="s">
        <v>523</v>
      </c>
      <c r="C25" s="49" t="s">
        <v>524</v>
      </c>
      <c r="D25" s="37" t="s">
        <v>450</v>
      </c>
      <c r="E25" s="37" t="s">
        <v>464</v>
      </c>
      <c r="F25" s="37" t="s">
        <v>521</v>
      </c>
      <c r="G25" s="37" t="s">
        <v>522</v>
      </c>
    </row>
    <row r="26" spans="1:7" ht="30" x14ac:dyDescent="0.25">
      <c r="A26" s="37" t="s">
        <v>511</v>
      </c>
      <c r="B26" s="37" t="s">
        <v>525</v>
      </c>
      <c r="C26" s="49" t="s">
        <v>526</v>
      </c>
      <c r="D26" s="37" t="s">
        <v>450</v>
      </c>
      <c r="E26" s="37" t="s">
        <v>527</v>
      </c>
      <c r="F26" s="37" t="s">
        <v>521</v>
      </c>
      <c r="G26" s="37" t="s">
        <v>522</v>
      </c>
    </row>
    <row r="27" spans="1:7" x14ac:dyDescent="0.25">
      <c r="A27" s="37" t="s">
        <v>511</v>
      </c>
      <c r="B27" s="37" t="s">
        <v>528</v>
      </c>
      <c r="C27" s="49" t="s">
        <v>529</v>
      </c>
      <c r="D27" s="37" t="s">
        <v>450</v>
      </c>
      <c r="E27" s="37" t="s">
        <v>530</v>
      </c>
      <c r="F27" s="37" t="s">
        <v>531</v>
      </c>
      <c r="G27" s="37" t="s">
        <v>532</v>
      </c>
    </row>
    <row r="28" spans="1:7" ht="90" x14ac:dyDescent="0.25">
      <c r="A28" s="37" t="s">
        <v>511</v>
      </c>
      <c r="B28" s="37" t="s">
        <v>533</v>
      </c>
      <c r="C28" s="49" t="s">
        <v>534</v>
      </c>
      <c r="D28" s="37" t="s">
        <v>450</v>
      </c>
      <c r="E28" s="37" t="s">
        <v>535</v>
      </c>
      <c r="F28" s="37" t="s">
        <v>531</v>
      </c>
      <c r="G28" s="37" t="s">
        <v>532</v>
      </c>
    </row>
    <row r="29" spans="1:7" ht="105" x14ac:dyDescent="0.25">
      <c r="A29" s="37" t="s">
        <v>511</v>
      </c>
      <c r="B29" s="37" t="s">
        <v>536</v>
      </c>
      <c r="C29" s="49" t="s">
        <v>537</v>
      </c>
      <c r="D29" s="37" t="s">
        <v>450</v>
      </c>
      <c r="E29" s="37" t="s">
        <v>538</v>
      </c>
      <c r="F29" s="37" t="s">
        <v>539</v>
      </c>
      <c r="G29" s="37" t="s">
        <v>540</v>
      </c>
    </row>
    <row r="30" spans="1:7" ht="105" x14ac:dyDescent="0.25">
      <c r="A30" s="37" t="s">
        <v>511</v>
      </c>
      <c r="B30" s="37" t="s">
        <v>541</v>
      </c>
      <c r="C30" s="49" t="s">
        <v>542</v>
      </c>
      <c r="D30" s="37" t="s">
        <v>450</v>
      </c>
      <c r="E30" s="37" t="s">
        <v>464</v>
      </c>
      <c r="F30" s="37" t="s">
        <v>531</v>
      </c>
      <c r="G30" s="37" t="s">
        <v>532</v>
      </c>
    </row>
    <row r="31" spans="1:7" ht="120" x14ac:dyDescent="0.25">
      <c r="A31" s="37" t="s">
        <v>511</v>
      </c>
      <c r="B31" s="37" t="s">
        <v>543</v>
      </c>
      <c r="C31" s="49" t="s">
        <v>544</v>
      </c>
      <c r="D31" s="37" t="s">
        <v>450</v>
      </c>
      <c r="E31" s="37" t="s">
        <v>464</v>
      </c>
      <c r="F31" s="37" t="s">
        <v>545</v>
      </c>
      <c r="G31" s="37" t="s">
        <v>546</v>
      </c>
    </row>
    <row r="32" spans="1:7" ht="30" x14ac:dyDescent="0.25">
      <c r="A32" s="37" t="s">
        <v>511</v>
      </c>
      <c r="B32" s="37" t="s">
        <v>547</v>
      </c>
      <c r="C32" s="49" t="s">
        <v>548</v>
      </c>
      <c r="D32" s="37" t="s">
        <v>450</v>
      </c>
      <c r="E32" s="37" t="s">
        <v>464</v>
      </c>
      <c r="F32" s="37" t="s">
        <v>521</v>
      </c>
      <c r="G32" s="37" t="s">
        <v>522</v>
      </c>
    </row>
    <row r="33" spans="1:7" ht="30" x14ac:dyDescent="0.25">
      <c r="A33" s="37" t="s">
        <v>511</v>
      </c>
      <c r="B33" s="37" t="s">
        <v>549</v>
      </c>
      <c r="C33" s="49" t="s">
        <v>550</v>
      </c>
      <c r="D33" s="37" t="s">
        <v>450</v>
      </c>
      <c r="E33" s="37" t="s">
        <v>551</v>
      </c>
      <c r="F33" s="37" t="s">
        <v>521</v>
      </c>
      <c r="G33" s="37" t="s">
        <v>522</v>
      </c>
    </row>
    <row r="34" spans="1:7" ht="30" x14ac:dyDescent="0.25">
      <c r="A34" s="37" t="s">
        <v>511</v>
      </c>
      <c r="B34" s="37" t="s">
        <v>552</v>
      </c>
      <c r="C34" s="49" t="s">
        <v>553</v>
      </c>
      <c r="D34" s="37" t="s">
        <v>450</v>
      </c>
      <c r="E34" s="37" t="s">
        <v>464</v>
      </c>
      <c r="F34" s="37" t="s">
        <v>521</v>
      </c>
      <c r="G34" s="37" t="s">
        <v>522</v>
      </c>
    </row>
    <row r="35" spans="1:7" ht="30" x14ac:dyDescent="0.25">
      <c r="A35" s="37" t="s">
        <v>511</v>
      </c>
      <c r="B35" s="37" t="s">
        <v>554</v>
      </c>
      <c r="C35" s="49" t="s">
        <v>555</v>
      </c>
      <c r="D35" s="37" t="s">
        <v>450</v>
      </c>
      <c r="E35" s="37" t="s">
        <v>556</v>
      </c>
      <c r="F35" s="37" t="s">
        <v>521</v>
      </c>
      <c r="G35" s="37" t="s">
        <v>522</v>
      </c>
    </row>
    <row r="36" spans="1:7" ht="30" x14ac:dyDescent="0.25">
      <c r="A36" s="37" t="s">
        <v>511</v>
      </c>
      <c r="B36" s="37" t="s">
        <v>557</v>
      </c>
      <c r="C36" s="49" t="s">
        <v>558</v>
      </c>
      <c r="D36" s="37" t="s">
        <v>450</v>
      </c>
      <c r="E36" s="37" t="s">
        <v>559</v>
      </c>
      <c r="F36" s="37" t="s">
        <v>521</v>
      </c>
      <c r="G36" s="37" t="s">
        <v>522</v>
      </c>
    </row>
    <row r="37" spans="1:7" ht="30" x14ac:dyDescent="0.25">
      <c r="A37" s="37" t="s">
        <v>511</v>
      </c>
      <c r="B37" s="37" t="s">
        <v>560</v>
      </c>
      <c r="C37" s="49" t="s">
        <v>561</v>
      </c>
      <c r="D37" s="37" t="s">
        <v>450</v>
      </c>
      <c r="E37" s="37" t="s">
        <v>562</v>
      </c>
      <c r="F37" s="37" t="s">
        <v>521</v>
      </c>
      <c r="G37" s="37" t="s">
        <v>522</v>
      </c>
    </row>
    <row r="38" spans="1:7" ht="30" x14ac:dyDescent="0.25">
      <c r="A38" s="37" t="s">
        <v>511</v>
      </c>
      <c r="B38" s="37" t="s">
        <v>563</v>
      </c>
      <c r="C38" s="49" t="s">
        <v>564</v>
      </c>
      <c r="D38" s="37" t="s">
        <v>450</v>
      </c>
      <c r="E38" s="37" t="s">
        <v>565</v>
      </c>
      <c r="F38" s="37" t="s">
        <v>521</v>
      </c>
      <c r="G38" s="37" t="s">
        <v>522</v>
      </c>
    </row>
    <row r="39" spans="1:7" x14ac:dyDescent="0.25">
      <c r="A39" s="37" t="s">
        <v>511</v>
      </c>
      <c r="B39" s="37" t="s">
        <v>566</v>
      </c>
      <c r="C39" s="49" t="s">
        <v>464</v>
      </c>
      <c r="D39" s="37" t="s">
        <v>450</v>
      </c>
      <c r="E39" s="37" t="s">
        <v>464</v>
      </c>
      <c r="F39" s="37" t="s">
        <v>567</v>
      </c>
      <c r="G39" s="37" t="s">
        <v>568</v>
      </c>
    </row>
    <row r="40" spans="1:7" ht="30" x14ac:dyDescent="0.25">
      <c r="A40" s="37" t="s">
        <v>511</v>
      </c>
      <c r="B40" s="37" t="s">
        <v>569</v>
      </c>
      <c r="C40" s="49" t="s">
        <v>570</v>
      </c>
      <c r="D40" s="37" t="s">
        <v>450</v>
      </c>
      <c r="E40" s="37" t="s">
        <v>571</v>
      </c>
      <c r="F40" s="37" t="s">
        <v>572</v>
      </c>
      <c r="G40" s="37" t="s">
        <v>573</v>
      </c>
    </row>
    <row r="41" spans="1:7" ht="30" x14ac:dyDescent="0.25">
      <c r="A41" s="37" t="s">
        <v>511</v>
      </c>
      <c r="B41" s="37" t="s">
        <v>574</v>
      </c>
      <c r="C41" s="49" t="s">
        <v>575</v>
      </c>
      <c r="D41" s="37" t="s">
        <v>450</v>
      </c>
      <c r="E41" s="37" t="s">
        <v>464</v>
      </c>
      <c r="F41" s="37" t="s">
        <v>514</v>
      </c>
      <c r="G41" s="37" t="s">
        <v>515</v>
      </c>
    </row>
    <row r="42" spans="1:7" x14ac:dyDescent="0.25">
      <c r="A42" s="37" t="s">
        <v>511</v>
      </c>
      <c r="B42" s="37" t="s">
        <v>576</v>
      </c>
      <c r="C42" s="49" t="s">
        <v>577</v>
      </c>
      <c r="D42" s="37" t="s">
        <v>450</v>
      </c>
      <c r="E42" s="37" t="s">
        <v>578</v>
      </c>
      <c r="F42" s="37" t="s">
        <v>579</v>
      </c>
      <c r="G42" s="37" t="s">
        <v>580</v>
      </c>
    </row>
    <row r="43" spans="1:7" ht="30" x14ac:dyDescent="0.25">
      <c r="A43" s="37" t="s">
        <v>511</v>
      </c>
      <c r="B43" s="37" t="s">
        <v>581</v>
      </c>
      <c r="C43" s="49" t="s">
        <v>582</v>
      </c>
      <c r="D43" s="37" t="s">
        <v>450</v>
      </c>
      <c r="E43" s="37" t="s">
        <v>583</v>
      </c>
      <c r="F43" s="37" t="s">
        <v>521</v>
      </c>
      <c r="G43" s="37" t="s">
        <v>522</v>
      </c>
    </row>
    <row r="44" spans="1:7" ht="30" x14ac:dyDescent="0.25">
      <c r="A44" s="37" t="s">
        <v>511</v>
      </c>
      <c r="B44" s="37" t="s">
        <v>584</v>
      </c>
      <c r="C44" s="49" t="s">
        <v>585</v>
      </c>
      <c r="D44" s="37" t="s">
        <v>450</v>
      </c>
      <c r="E44" s="37" t="s">
        <v>464</v>
      </c>
      <c r="F44" s="37" t="s">
        <v>521</v>
      </c>
      <c r="G44" s="37" t="s">
        <v>522</v>
      </c>
    </row>
    <row r="45" spans="1:7" ht="30" x14ac:dyDescent="0.25">
      <c r="A45" s="37" t="s">
        <v>511</v>
      </c>
      <c r="B45" s="37" t="s">
        <v>586</v>
      </c>
      <c r="C45" s="49" t="s">
        <v>587</v>
      </c>
      <c r="D45" s="37" t="s">
        <v>450</v>
      </c>
      <c r="E45" s="37" t="s">
        <v>588</v>
      </c>
      <c r="F45" s="37" t="s">
        <v>521</v>
      </c>
      <c r="G45" s="37" t="s">
        <v>522</v>
      </c>
    </row>
    <row r="46" spans="1:7" ht="30" x14ac:dyDescent="0.25">
      <c r="A46" s="37" t="s">
        <v>511</v>
      </c>
      <c r="B46" s="37" t="s">
        <v>589</v>
      </c>
      <c r="C46" s="49" t="s">
        <v>590</v>
      </c>
      <c r="D46" s="37" t="s">
        <v>450</v>
      </c>
      <c r="E46" s="37" t="s">
        <v>591</v>
      </c>
      <c r="F46" s="37" t="s">
        <v>521</v>
      </c>
      <c r="G46" s="37" t="s">
        <v>522</v>
      </c>
    </row>
    <row r="47" spans="1:7" ht="30" x14ac:dyDescent="0.25">
      <c r="A47" s="37" t="s">
        <v>511</v>
      </c>
      <c r="B47" s="37" t="s">
        <v>592</v>
      </c>
      <c r="C47" s="49" t="s">
        <v>593</v>
      </c>
      <c r="D47" s="37" t="s">
        <v>450</v>
      </c>
      <c r="E47" s="37" t="s">
        <v>594</v>
      </c>
      <c r="F47" s="37" t="s">
        <v>521</v>
      </c>
      <c r="G47" s="37" t="s">
        <v>522</v>
      </c>
    </row>
    <row r="48" spans="1:7" ht="30" x14ac:dyDescent="0.25">
      <c r="A48" s="37" t="s">
        <v>511</v>
      </c>
      <c r="B48" s="37" t="s">
        <v>595</v>
      </c>
      <c r="C48" s="49" t="s">
        <v>596</v>
      </c>
      <c r="D48" s="37" t="s">
        <v>450</v>
      </c>
      <c r="E48" s="37" t="s">
        <v>597</v>
      </c>
      <c r="F48" s="37" t="s">
        <v>521</v>
      </c>
      <c r="G48" s="37" t="s">
        <v>522</v>
      </c>
    </row>
    <row r="49" spans="1:7" ht="30" x14ac:dyDescent="0.25">
      <c r="A49" s="37" t="s">
        <v>511</v>
      </c>
      <c r="B49" s="37" t="s">
        <v>598</v>
      </c>
      <c r="C49" s="49" t="s">
        <v>599</v>
      </c>
      <c r="D49" s="37" t="s">
        <v>450</v>
      </c>
      <c r="E49" s="37" t="s">
        <v>464</v>
      </c>
      <c r="F49" s="37" t="s">
        <v>579</v>
      </c>
      <c r="G49" s="37" t="s">
        <v>580</v>
      </c>
    </row>
    <row r="50" spans="1:7" ht="30" x14ac:dyDescent="0.25">
      <c r="A50" s="37" t="s">
        <v>511</v>
      </c>
      <c r="B50" s="37" t="s">
        <v>600</v>
      </c>
      <c r="C50" s="49" t="s">
        <v>601</v>
      </c>
      <c r="D50" s="37" t="s">
        <v>450</v>
      </c>
      <c r="E50" s="37" t="s">
        <v>464</v>
      </c>
      <c r="F50" s="37" t="s">
        <v>567</v>
      </c>
      <c r="G50" s="37" t="s">
        <v>568</v>
      </c>
    </row>
    <row r="51" spans="1:7" x14ac:dyDescent="0.25">
      <c r="A51" s="37" t="s">
        <v>511</v>
      </c>
      <c r="B51" s="37" t="s">
        <v>602</v>
      </c>
      <c r="C51" s="49" t="s">
        <v>464</v>
      </c>
      <c r="D51" s="37" t="s">
        <v>450</v>
      </c>
      <c r="E51" s="37" t="s">
        <v>464</v>
      </c>
      <c r="F51" s="37" t="s">
        <v>521</v>
      </c>
      <c r="G51" s="37" t="s">
        <v>522</v>
      </c>
    </row>
    <row r="52" spans="1:7" ht="30" x14ac:dyDescent="0.25">
      <c r="A52" s="37" t="s">
        <v>603</v>
      </c>
      <c r="B52" s="37" t="s">
        <v>604</v>
      </c>
      <c r="C52" s="49" t="s">
        <v>605</v>
      </c>
      <c r="D52" s="37" t="s">
        <v>450</v>
      </c>
      <c r="E52" s="37" t="s">
        <v>464</v>
      </c>
      <c r="F52" s="37" t="s">
        <v>567</v>
      </c>
      <c r="G52" s="37" t="s">
        <v>568</v>
      </c>
    </row>
    <row r="53" spans="1:7" ht="75" x14ac:dyDescent="0.25">
      <c r="A53" s="37" t="s">
        <v>603</v>
      </c>
      <c r="B53" s="37" t="s">
        <v>419</v>
      </c>
      <c r="C53" s="49" t="s">
        <v>606</v>
      </c>
      <c r="D53" s="37" t="s">
        <v>450</v>
      </c>
      <c r="E53" s="37" t="s">
        <v>464</v>
      </c>
      <c r="F53" s="37" t="s">
        <v>607</v>
      </c>
      <c r="G53" s="37" t="s">
        <v>608</v>
      </c>
    </row>
    <row r="54" spans="1:7" ht="60" x14ac:dyDescent="0.25">
      <c r="A54" s="37" t="s">
        <v>609</v>
      </c>
      <c r="B54" s="37" t="s">
        <v>610</v>
      </c>
      <c r="C54" s="49" t="s">
        <v>611</v>
      </c>
      <c r="D54" s="37" t="s">
        <v>450</v>
      </c>
      <c r="E54" s="37" t="s">
        <v>464</v>
      </c>
      <c r="F54" s="37" t="s">
        <v>612</v>
      </c>
      <c r="G54" s="37" t="s">
        <v>613</v>
      </c>
    </row>
    <row r="55" spans="1:7" ht="45" x14ac:dyDescent="0.25">
      <c r="A55" s="37" t="s">
        <v>614</v>
      </c>
      <c r="B55" s="37" t="s">
        <v>615</v>
      </c>
      <c r="C55" s="49" t="s">
        <v>616</v>
      </c>
      <c r="D55" s="37" t="s">
        <v>450</v>
      </c>
      <c r="E55" s="37" t="s">
        <v>464</v>
      </c>
      <c r="F55" s="37" t="s">
        <v>617</v>
      </c>
      <c r="G55" s="37" t="s">
        <v>618</v>
      </c>
    </row>
    <row r="56" spans="1:7" ht="30" x14ac:dyDescent="0.25">
      <c r="A56" s="37" t="s">
        <v>619</v>
      </c>
      <c r="B56" s="37" t="s">
        <v>620</v>
      </c>
      <c r="C56" s="49" t="s">
        <v>621</v>
      </c>
      <c r="D56" s="37" t="s">
        <v>450</v>
      </c>
      <c r="E56" s="37" t="s">
        <v>464</v>
      </c>
      <c r="F56" s="37" t="s">
        <v>507</v>
      </c>
      <c r="G56" s="37" t="s">
        <v>508</v>
      </c>
    </row>
    <row r="57" spans="1:7" ht="30" x14ac:dyDescent="0.25">
      <c r="A57" s="37" t="s">
        <v>619</v>
      </c>
      <c r="B57" s="37" t="s">
        <v>622</v>
      </c>
      <c r="C57" s="49" t="s">
        <v>623</v>
      </c>
      <c r="D57" s="37" t="s">
        <v>450</v>
      </c>
      <c r="E57" s="37" t="s">
        <v>464</v>
      </c>
      <c r="F57" s="37" t="s">
        <v>624</v>
      </c>
      <c r="G57" s="37" t="s">
        <v>625</v>
      </c>
    </row>
    <row r="58" spans="1:7" ht="30" x14ac:dyDescent="0.25">
      <c r="A58" s="37" t="s">
        <v>619</v>
      </c>
      <c r="B58" s="37" t="s">
        <v>626</v>
      </c>
      <c r="C58" s="49" t="s">
        <v>627</v>
      </c>
      <c r="D58" s="37" t="s">
        <v>450</v>
      </c>
      <c r="E58" s="37" t="s">
        <v>464</v>
      </c>
      <c r="F58" s="37" t="s">
        <v>628</v>
      </c>
      <c r="G58" s="37" t="s">
        <v>629</v>
      </c>
    </row>
    <row r="59" spans="1:7" ht="30" x14ac:dyDescent="0.25">
      <c r="A59" s="37" t="s">
        <v>619</v>
      </c>
      <c r="B59" s="37" t="s">
        <v>630</v>
      </c>
      <c r="C59" s="49" t="s">
        <v>631</v>
      </c>
      <c r="D59" s="37" t="s">
        <v>450</v>
      </c>
      <c r="E59" s="37" t="s">
        <v>464</v>
      </c>
      <c r="F59" s="37" t="s">
        <v>632</v>
      </c>
      <c r="G59" s="37" t="s">
        <v>633</v>
      </c>
    </row>
    <row r="60" spans="1:7" ht="30" x14ac:dyDescent="0.25">
      <c r="A60" s="37" t="s">
        <v>619</v>
      </c>
      <c r="B60" s="37" t="s">
        <v>634</v>
      </c>
      <c r="C60" s="49" t="s">
        <v>635</v>
      </c>
      <c r="D60" s="37" t="s">
        <v>450</v>
      </c>
      <c r="E60" s="37" t="s">
        <v>464</v>
      </c>
      <c r="F60" s="37" t="s">
        <v>507</v>
      </c>
      <c r="G60" s="37" t="s">
        <v>508</v>
      </c>
    </row>
    <row r="61" spans="1:7" ht="30" x14ac:dyDescent="0.25">
      <c r="A61" s="37" t="s">
        <v>619</v>
      </c>
      <c r="B61" s="37" t="s">
        <v>636</v>
      </c>
      <c r="C61" s="49" t="s">
        <v>637</v>
      </c>
      <c r="D61" s="37" t="s">
        <v>450</v>
      </c>
      <c r="E61" s="37" t="s">
        <v>464</v>
      </c>
      <c r="F61" s="37" t="s">
        <v>638</v>
      </c>
      <c r="G61" s="37" t="s">
        <v>639</v>
      </c>
    </row>
    <row r="62" spans="1:7" ht="30" x14ac:dyDescent="0.25">
      <c r="A62" s="37" t="s">
        <v>619</v>
      </c>
      <c r="B62" s="37" t="s">
        <v>640</v>
      </c>
      <c r="C62" s="49" t="s">
        <v>641</v>
      </c>
      <c r="D62" s="37" t="s">
        <v>450</v>
      </c>
      <c r="E62" s="37" t="s">
        <v>464</v>
      </c>
      <c r="F62" s="37" t="s">
        <v>642</v>
      </c>
      <c r="G62" s="37" t="s">
        <v>643</v>
      </c>
    </row>
    <row r="63" spans="1:7" ht="45" x14ac:dyDescent="0.25">
      <c r="A63" s="37" t="s">
        <v>619</v>
      </c>
      <c r="B63" s="37" t="s">
        <v>644</v>
      </c>
      <c r="C63" s="49" t="s">
        <v>645</v>
      </c>
      <c r="D63" s="37" t="s">
        <v>450</v>
      </c>
      <c r="E63" s="37" t="s">
        <v>464</v>
      </c>
      <c r="F63" s="37" t="s">
        <v>646</v>
      </c>
      <c r="G63" s="37" t="s">
        <v>647</v>
      </c>
    </row>
    <row r="64" spans="1:7" x14ac:dyDescent="0.25">
      <c r="A64" s="37" t="s">
        <v>619</v>
      </c>
      <c r="B64" s="37" t="s">
        <v>648</v>
      </c>
      <c r="C64" s="49" t="s">
        <v>464</v>
      </c>
      <c r="D64" s="37" t="s">
        <v>450</v>
      </c>
      <c r="E64" s="37" t="s">
        <v>464</v>
      </c>
      <c r="F64" s="37" t="s">
        <v>624</v>
      </c>
      <c r="G64" s="37" t="s">
        <v>625</v>
      </c>
    </row>
    <row r="65" spans="1:7" ht="45" x14ac:dyDescent="0.25">
      <c r="A65" s="37" t="s">
        <v>649</v>
      </c>
      <c r="B65" s="37" t="s">
        <v>650</v>
      </c>
      <c r="C65" s="49" t="s">
        <v>651</v>
      </c>
      <c r="D65" s="37" t="s">
        <v>450</v>
      </c>
      <c r="E65" s="37" t="s">
        <v>652</v>
      </c>
      <c r="F65" s="37" t="s">
        <v>653</v>
      </c>
      <c r="G65" s="37" t="s">
        <v>654</v>
      </c>
    </row>
    <row r="66" spans="1:7" ht="60" x14ac:dyDescent="0.25">
      <c r="A66" s="37" t="s">
        <v>649</v>
      </c>
      <c r="B66" s="37" t="s">
        <v>655</v>
      </c>
      <c r="C66" s="49" t="s">
        <v>656</v>
      </c>
      <c r="D66" s="37" t="s">
        <v>450</v>
      </c>
      <c r="E66" s="37" t="s">
        <v>464</v>
      </c>
      <c r="F66" s="37" t="s">
        <v>657</v>
      </c>
      <c r="G66" s="37" t="s">
        <v>658</v>
      </c>
    </row>
    <row r="67" spans="1:7" ht="30" x14ac:dyDescent="0.25">
      <c r="A67" s="37" t="s">
        <v>649</v>
      </c>
      <c r="B67" s="37" t="s">
        <v>659</v>
      </c>
      <c r="C67" s="49" t="s">
        <v>660</v>
      </c>
      <c r="D67" s="37" t="s">
        <v>450</v>
      </c>
      <c r="E67" s="37" t="s">
        <v>464</v>
      </c>
      <c r="F67" s="37" t="s">
        <v>657</v>
      </c>
      <c r="G67" s="37" t="s">
        <v>658</v>
      </c>
    </row>
    <row r="68" spans="1:7" ht="60" x14ac:dyDescent="0.25">
      <c r="A68" s="37" t="s">
        <v>649</v>
      </c>
      <c r="B68" s="37" t="s">
        <v>661</v>
      </c>
      <c r="C68" s="49" t="s">
        <v>662</v>
      </c>
      <c r="D68" s="37" t="s">
        <v>450</v>
      </c>
      <c r="E68" s="37" t="s">
        <v>464</v>
      </c>
      <c r="F68" s="37" t="s">
        <v>657</v>
      </c>
      <c r="G68" s="37" t="s">
        <v>658</v>
      </c>
    </row>
    <row r="69" spans="1:7" ht="45" x14ac:dyDescent="0.25">
      <c r="A69" s="37" t="s">
        <v>649</v>
      </c>
      <c r="B69" s="37" t="s">
        <v>663</v>
      </c>
      <c r="C69" s="49" t="s">
        <v>664</v>
      </c>
      <c r="D69" s="37" t="s">
        <v>450</v>
      </c>
      <c r="E69" s="37" t="s">
        <v>464</v>
      </c>
      <c r="F69" s="37" t="s">
        <v>657</v>
      </c>
      <c r="G69" s="37" t="s">
        <v>658</v>
      </c>
    </row>
    <row r="70" spans="1:7" ht="45" x14ac:dyDescent="0.25">
      <c r="A70" s="37" t="s">
        <v>649</v>
      </c>
      <c r="B70" s="37" t="s">
        <v>665</v>
      </c>
      <c r="C70" s="49" t="s">
        <v>666</v>
      </c>
      <c r="D70" s="37" t="s">
        <v>450</v>
      </c>
      <c r="E70" s="37" t="s">
        <v>667</v>
      </c>
      <c r="F70" s="37" t="s">
        <v>624</v>
      </c>
      <c r="G70" s="37" t="s">
        <v>625</v>
      </c>
    </row>
    <row r="71" spans="1:7" x14ac:dyDescent="0.25">
      <c r="A71" s="37" t="s">
        <v>649</v>
      </c>
      <c r="B71" s="37" t="s">
        <v>668</v>
      </c>
      <c r="C71" s="49" t="s">
        <v>669</v>
      </c>
      <c r="D71" s="37" t="s">
        <v>450</v>
      </c>
      <c r="E71" s="37" t="s">
        <v>464</v>
      </c>
      <c r="F71" s="37" t="s">
        <v>670</v>
      </c>
      <c r="G71" s="37" t="s">
        <v>671</v>
      </c>
    </row>
    <row r="72" spans="1:7" ht="30" x14ac:dyDescent="0.25">
      <c r="A72" s="37" t="s">
        <v>649</v>
      </c>
      <c r="B72" s="37" t="s">
        <v>672</v>
      </c>
      <c r="C72" s="49" t="s">
        <v>660</v>
      </c>
      <c r="D72" s="37" t="s">
        <v>450</v>
      </c>
      <c r="E72" s="37" t="s">
        <v>673</v>
      </c>
      <c r="F72" s="37" t="s">
        <v>657</v>
      </c>
      <c r="G72" s="37" t="s">
        <v>658</v>
      </c>
    </row>
    <row r="73" spans="1:7" ht="45" x14ac:dyDescent="0.25">
      <c r="A73" s="37" t="s">
        <v>649</v>
      </c>
      <c r="B73" s="37" t="s">
        <v>674</v>
      </c>
      <c r="C73" s="49" t="s">
        <v>664</v>
      </c>
      <c r="D73" s="37" t="s">
        <v>450</v>
      </c>
      <c r="E73" s="37" t="s">
        <v>675</v>
      </c>
      <c r="F73" s="37" t="s">
        <v>657</v>
      </c>
      <c r="G73" s="37" t="s">
        <v>658</v>
      </c>
    </row>
    <row r="74" spans="1:7" ht="75" x14ac:dyDescent="0.25">
      <c r="A74" s="37" t="s">
        <v>649</v>
      </c>
      <c r="B74" s="37" t="s">
        <v>676</v>
      </c>
      <c r="C74" s="49" t="s">
        <v>677</v>
      </c>
      <c r="D74" s="37" t="s">
        <v>450</v>
      </c>
      <c r="E74" s="37" t="s">
        <v>464</v>
      </c>
      <c r="F74" s="37" t="s">
        <v>646</v>
      </c>
      <c r="G74" s="37" t="s">
        <v>647</v>
      </c>
    </row>
    <row r="75" spans="1:7" ht="45" x14ac:dyDescent="0.25">
      <c r="A75" s="37" t="s">
        <v>678</v>
      </c>
      <c r="B75" s="37" t="s">
        <v>679</v>
      </c>
      <c r="C75" s="49" t="s">
        <v>680</v>
      </c>
      <c r="D75" s="37" t="s">
        <v>450</v>
      </c>
      <c r="E75" s="37" t="s">
        <v>464</v>
      </c>
      <c r="F75" s="37" t="s">
        <v>681</v>
      </c>
      <c r="G75" s="37" t="s">
        <v>682</v>
      </c>
    </row>
    <row r="76" spans="1:7" ht="45" x14ac:dyDescent="0.25">
      <c r="A76" s="37" t="s">
        <v>683</v>
      </c>
      <c r="B76" s="37" t="s">
        <v>684</v>
      </c>
      <c r="C76" s="49" t="s">
        <v>685</v>
      </c>
      <c r="D76" s="37" t="s">
        <v>450</v>
      </c>
      <c r="E76" s="37" t="s">
        <v>464</v>
      </c>
      <c r="F76" s="37" t="s">
        <v>646</v>
      </c>
      <c r="G76" s="37" t="s">
        <v>647</v>
      </c>
    </row>
    <row r="77" spans="1:7" ht="30" x14ac:dyDescent="0.25">
      <c r="A77" s="37" t="s">
        <v>686</v>
      </c>
      <c r="B77" s="37" t="s">
        <v>687</v>
      </c>
      <c r="C77" s="49" t="s">
        <v>688</v>
      </c>
      <c r="D77" s="37" t="s">
        <v>450</v>
      </c>
      <c r="E77" s="37" t="s">
        <v>464</v>
      </c>
      <c r="F77" s="37" t="s">
        <v>689</v>
      </c>
      <c r="G77" s="37" t="s">
        <v>690</v>
      </c>
    </row>
    <row r="78" spans="1:7" ht="30" x14ac:dyDescent="0.25">
      <c r="A78" s="37" t="s">
        <v>691</v>
      </c>
      <c r="B78" s="37" t="s">
        <v>692</v>
      </c>
      <c r="C78" s="49" t="s">
        <v>693</v>
      </c>
      <c r="D78" s="37" t="s">
        <v>450</v>
      </c>
      <c r="E78" s="37" t="s">
        <v>694</v>
      </c>
      <c r="F78" s="37" t="s">
        <v>695</v>
      </c>
      <c r="G78" s="37" t="s">
        <v>696</v>
      </c>
    </row>
    <row r="79" spans="1:7" ht="30" x14ac:dyDescent="0.25">
      <c r="A79" s="37" t="s">
        <v>691</v>
      </c>
      <c r="B79" s="37" t="s">
        <v>697</v>
      </c>
      <c r="C79" s="49" t="s">
        <v>698</v>
      </c>
      <c r="D79" s="37" t="s">
        <v>450</v>
      </c>
      <c r="E79" s="37" t="s">
        <v>464</v>
      </c>
      <c r="F79" s="37" t="s">
        <v>699</v>
      </c>
      <c r="G79" s="37" t="s">
        <v>700</v>
      </c>
    </row>
    <row r="80" spans="1:7" ht="30" x14ac:dyDescent="0.25">
      <c r="A80" s="37" t="s">
        <v>691</v>
      </c>
      <c r="B80" s="37" t="s">
        <v>701</v>
      </c>
      <c r="C80" s="49" t="s">
        <v>702</v>
      </c>
      <c r="D80" s="37" t="s">
        <v>450</v>
      </c>
      <c r="E80" s="37" t="s">
        <v>703</v>
      </c>
      <c r="F80" s="37" t="s">
        <v>695</v>
      </c>
      <c r="G80" s="37" t="s">
        <v>696</v>
      </c>
    </row>
    <row r="81" spans="1:7" ht="30" x14ac:dyDescent="0.25">
      <c r="A81" s="37" t="s">
        <v>704</v>
      </c>
      <c r="B81" s="37" t="s">
        <v>705</v>
      </c>
      <c r="C81" s="49" t="s">
        <v>706</v>
      </c>
      <c r="D81" s="37" t="s">
        <v>450</v>
      </c>
      <c r="E81" s="37" t="s">
        <v>707</v>
      </c>
      <c r="F81" s="37" t="s">
        <v>708</v>
      </c>
      <c r="G81" s="37" t="s">
        <v>709</v>
      </c>
    </row>
    <row r="82" spans="1:7" ht="30" x14ac:dyDescent="0.25">
      <c r="A82" s="37" t="s">
        <v>710</v>
      </c>
      <c r="B82" s="37" t="s">
        <v>711</v>
      </c>
      <c r="C82" s="49" t="s">
        <v>712</v>
      </c>
      <c r="D82" s="37" t="s">
        <v>450</v>
      </c>
      <c r="E82" s="37" t="s">
        <v>464</v>
      </c>
      <c r="F82" s="37" t="s">
        <v>521</v>
      </c>
      <c r="G82" s="37" t="s">
        <v>522</v>
      </c>
    </row>
    <row r="83" spans="1:7" ht="30" x14ac:dyDescent="0.25">
      <c r="A83" s="37" t="s">
        <v>710</v>
      </c>
      <c r="B83" s="37" t="s">
        <v>713</v>
      </c>
      <c r="C83" s="49" t="s">
        <v>575</v>
      </c>
      <c r="D83" s="37" t="s">
        <v>450</v>
      </c>
      <c r="E83" s="37" t="s">
        <v>464</v>
      </c>
      <c r="F83" s="37" t="s">
        <v>714</v>
      </c>
      <c r="G83" s="37" t="s">
        <v>715</v>
      </c>
    </row>
    <row r="84" spans="1:7" ht="45" x14ac:dyDescent="0.25">
      <c r="A84" s="37" t="s">
        <v>716</v>
      </c>
      <c r="B84" s="37" t="s">
        <v>717</v>
      </c>
      <c r="C84" s="49" t="s">
        <v>718</v>
      </c>
      <c r="D84" s="37" t="s">
        <v>450</v>
      </c>
      <c r="E84" s="37" t="s">
        <v>719</v>
      </c>
      <c r="F84" s="37" t="s">
        <v>720</v>
      </c>
      <c r="G84" s="37" t="s">
        <v>721</v>
      </c>
    </row>
    <row r="85" spans="1:7" ht="30" x14ac:dyDescent="0.25">
      <c r="A85" s="37" t="s">
        <v>716</v>
      </c>
      <c r="B85" s="37" t="s">
        <v>722</v>
      </c>
      <c r="C85" s="49" t="s">
        <v>575</v>
      </c>
      <c r="D85" s="37" t="s">
        <v>450</v>
      </c>
      <c r="E85" s="37" t="s">
        <v>464</v>
      </c>
      <c r="F85" s="37" t="s">
        <v>723</v>
      </c>
      <c r="G85" s="37" t="s">
        <v>724</v>
      </c>
    </row>
    <row r="86" spans="1:7" ht="45" x14ac:dyDescent="0.25">
      <c r="A86" s="37" t="s">
        <v>716</v>
      </c>
      <c r="B86" s="37" t="s">
        <v>725</v>
      </c>
      <c r="C86" s="49" t="s">
        <v>726</v>
      </c>
      <c r="D86" s="37" t="s">
        <v>450</v>
      </c>
      <c r="E86" s="37" t="s">
        <v>464</v>
      </c>
      <c r="F86" s="37" t="s">
        <v>727</v>
      </c>
      <c r="G86" s="37" t="s">
        <v>728</v>
      </c>
    </row>
    <row r="87" spans="1:7" ht="45" x14ac:dyDescent="0.25">
      <c r="A87" s="37" t="s">
        <v>716</v>
      </c>
      <c r="B87" s="37" t="s">
        <v>729</v>
      </c>
      <c r="C87" s="49" t="s">
        <v>726</v>
      </c>
      <c r="D87" s="37" t="s">
        <v>450</v>
      </c>
      <c r="E87" s="37" t="s">
        <v>464</v>
      </c>
      <c r="F87" s="37" t="s">
        <v>730</v>
      </c>
      <c r="G87" s="37" t="s">
        <v>731</v>
      </c>
    </row>
    <row r="88" spans="1:7" ht="45" x14ac:dyDescent="0.25">
      <c r="A88" s="37" t="s">
        <v>716</v>
      </c>
      <c r="B88" s="37" t="s">
        <v>732</v>
      </c>
      <c r="C88" s="49" t="s">
        <v>733</v>
      </c>
      <c r="D88" s="37" t="s">
        <v>450</v>
      </c>
      <c r="E88" s="37" t="s">
        <v>464</v>
      </c>
      <c r="F88" s="37" t="s">
        <v>734</v>
      </c>
      <c r="G88" s="37" t="s">
        <v>735</v>
      </c>
    </row>
    <row r="89" spans="1:7" ht="45" x14ac:dyDescent="0.25">
      <c r="A89" s="37" t="s">
        <v>716</v>
      </c>
      <c r="B89" s="37" t="s">
        <v>736</v>
      </c>
      <c r="C89" s="49" t="s">
        <v>737</v>
      </c>
      <c r="D89" s="37" t="s">
        <v>450</v>
      </c>
      <c r="E89" s="37" t="s">
        <v>464</v>
      </c>
      <c r="F89" s="37" t="s">
        <v>738</v>
      </c>
      <c r="G89" s="37" t="s">
        <v>739</v>
      </c>
    </row>
    <row r="90" spans="1:7" ht="60" x14ac:dyDescent="0.25">
      <c r="A90" s="37" t="s">
        <v>740</v>
      </c>
      <c r="B90" s="37" t="s">
        <v>741</v>
      </c>
      <c r="C90" s="49" t="s">
        <v>742</v>
      </c>
      <c r="D90" s="37" t="s">
        <v>450</v>
      </c>
      <c r="E90" s="37" t="s">
        <v>743</v>
      </c>
      <c r="F90" s="37" t="s">
        <v>744</v>
      </c>
      <c r="G90" s="37" t="s">
        <v>745</v>
      </c>
    </row>
    <row r="91" spans="1:7" x14ac:dyDescent="0.25">
      <c r="A91" s="37" t="s">
        <v>740</v>
      </c>
      <c r="B91" s="37" t="s">
        <v>746</v>
      </c>
      <c r="C91" s="49" t="s">
        <v>464</v>
      </c>
      <c r="D91" s="37" t="s">
        <v>450</v>
      </c>
      <c r="E91" s="37" t="s">
        <v>464</v>
      </c>
      <c r="F91" s="37" t="s">
        <v>744</v>
      </c>
      <c r="G91" s="37" t="s">
        <v>745</v>
      </c>
    </row>
    <row r="92" spans="1:7" x14ac:dyDescent="0.25">
      <c r="A92" s="37" t="s">
        <v>740</v>
      </c>
      <c r="B92" s="37" t="s">
        <v>747</v>
      </c>
      <c r="C92" s="49" t="s">
        <v>464</v>
      </c>
      <c r="D92" s="37" t="s">
        <v>450</v>
      </c>
      <c r="E92" s="37" t="s">
        <v>464</v>
      </c>
      <c r="F92" s="37" t="s">
        <v>744</v>
      </c>
      <c r="G92" s="37" t="s">
        <v>745</v>
      </c>
    </row>
    <row r="93" spans="1:7" x14ac:dyDescent="0.25">
      <c r="A93" s="37" t="s">
        <v>740</v>
      </c>
      <c r="B93" s="37" t="s">
        <v>748</v>
      </c>
      <c r="C93" s="49" t="s">
        <v>464</v>
      </c>
      <c r="D93" s="37" t="s">
        <v>450</v>
      </c>
      <c r="E93" s="37" t="s">
        <v>464</v>
      </c>
      <c r="F93" s="37" t="s">
        <v>744</v>
      </c>
      <c r="G93" s="37" t="s">
        <v>745</v>
      </c>
    </row>
    <row r="94" spans="1:7" ht="105" x14ac:dyDescent="0.25">
      <c r="A94" s="37" t="s">
        <v>740</v>
      </c>
      <c r="B94" s="37" t="s">
        <v>749</v>
      </c>
      <c r="C94" s="49" t="s">
        <v>750</v>
      </c>
      <c r="D94" s="37" t="s">
        <v>450</v>
      </c>
      <c r="E94" s="37" t="s">
        <v>464</v>
      </c>
      <c r="F94" s="37" t="s">
        <v>744</v>
      </c>
      <c r="G94" s="37" t="s">
        <v>745</v>
      </c>
    </row>
    <row r="95" spans="1:7" ht="75" x14ac:dyDescent="0.25">
      <c r="A95" s="37" t="s">
        <v>740</v>
      </c>
      <c r="B95" s="37" t="s">
        <v>751</v>
      </c>
      <c r="C95" s="49" t="s">
        <v>752</v>
      </c>
      <c r="D95" s="37" t="s">
        <v>450</v>
      </c>
      <c r="E95" s="37" t="s">
        <v>464</v>
      </c>
      <c r="F95" s="37" t="s">
        <v>744</v>
      </c>
      <c r="G95" s="37" t="s">
        <v>745</v>
      </c>
    </row>
    <row r="96" spans="1:7" ht="75" x14ac:dyDescent="0.25">
      <c r="A96" s="37" t="s">
        <v>740</v>
      </c>
      <c r="B96" s="37" t="s">
        <v>753</v>
      </c>
      <c r="C96" s="49" t="s">
        <v>752</v>
      </c>
      <c r="D96" s="37" t="s">
        <v>450</v>
      </c>
      <c r="E96" s="37" t="s">
        <v>464</v>
      </c>
      <c r="F96" s="37" t="s">
        <v>744</v>
      </c>
      <c r="G96" s="37" t="s">
        <v>745</v>
      </c>
    </row>
    <row r="97" spans="1:7" ht="45" x14ac:dyDescent="0.25">
      <c r="A97" s="37" t="s">
        <v>754</v>
      </c>
      <c r="B97" s="37" t="s">
        <v>411</v>
      </c>
      <c r="C97" s="49" t="s">
        <v>755</v>
      </c>
      <c r="D97" s="37" t="s">
        <v>450</v>
      </c>
      <c r="E97" s="37" t="s">
        <v>464</v>
      </c>
      <c r="F97" s="37" t="s">
        <v>756</v>
      </c>
      <c r="G97" s="37" t="s">
        <v>757</v>
      </c>
    </row>
    <row r="98" spans="1:7" ht="60" x14ac:dyDescent="0.25">
      <c r="A98" s="37" t="s">
        <v>754</v>
      </c>
      <c r="B98" s="52" t="s">
        <v>758</v>
      </c>
      <c r="C98" s="49" t="s">
        <v>759</v>
      </c>
      <c r="D98" s="37" t="s">
        <v>450</v>
      </c>
      <c r="E98" s="37" t="s">
        <v>464</v>
      </c>
      <c r="F98" s="37" t="s">
        <v>760</v>
      </c>
      <c r="G98" s="37" t="s">
        <v>761</v>
      </c>
    </row>
    <row r="99" spans="1:7" ht="60" x14ac:dyDescent="0.25">
      <c r="A99" s="37" t="s">
        <v>754</v>
      </c>
      <c r="B99" s="52" t="s">
        <v>414</v>
      </c>
      <c r="C99" s="49" t="s">
        <v>762</v>
      </c>
      <c r="D99" s="37" t="s">
        <v>450</v>
      </c>
      <c r="E99" s="37" t="s">
        <v>464</v>
      </c>
      <c r="F99" s="37" t="s">
        <v>760</v>
      </c>
      <c r="G99" s="37" t="s">
        <v>761</v>
      </c>
    </row>
    <row r="100" spans="1:7" ht="30" x14ac:dyDescent="0.25">
      <c r="A100" s="37" t="s">
        <v>754</v>
      </c>
      <c r="B100" s="37" t="s">
        <v>763</v>
      </c>
      <c r="C100" s="49" t="s">
        <v>764</v>
      </c>
      <c r="D100" s="37" t="s">
        <v>450</v>
      </c>
      <c r="E100" s="37" t="s">
        <v>464</v>
      </c>
      <c r="F100" s="37" t="s">
        <v>760</v>
      </c>
      <c r="G100" s="37" t="s">
        <v>761</v>
      </c>
    </row>
    <row r="101" spans="1:7" ht="30" x14ac:dyDescent="0.25">
      <c r="A101" s="37" t="s">
        <v>754</v>
      </c>
      <c r="B101" s="52" t="s">
        <v>765</v>
      </c>
      <c r="C101" s="49" t="s">
        <v>764</v>
      </c>
      <c r="D101" s="37" t="s">
        <v>450</v>
      </c>
      <c r="E101" s="37" t="s">
        <v>464</v>
      </c>
      <c r="F101" s="37" t="s">
        <v>760</v>
      </c>
      <c r="G101" s="37" t="s">
        <v>761</v>
      </c>
    </row>
    <row r="102" spans="1:7" ht="60" x14ac:dyDescent="0.25">
      <c r="A102" s="37" t="s">
        <v>754</v>
      </c>
      <c r="B102" s="52" t="s">
        <v>766</v>
      </c>
      <c r="C102" s="49" t="s">
        <v>767</v>
      </c>
      <c r="D102" s="37" t="s">
        <v>450</v>
      </c>
      <c r="E102" s="37" t="s">
        <v>464</v>
      </c>
      <c r="F102" s="37" t="s">
        <v>760</v>
      </c>
      <c r="G102" s="37" t="s">
        <v>761</v>
      </c>
    </row>
    <row r="103" spans="1:7" ht="30" x14ac:dyDescent="0.25">
      <c r="A103" s="37" t="s">
        <v>754</v>
      </c>
      <c r="B103" s="37" t="s">
        <v>412</v>
      </c>
      <c r="C103" s="49" t="s">
        <v>768</v>
      </c>
      <c r="D103" s="37" t="s">
        <v>450</v>
      </c>
      <c r="E103" s="37" t="s">
        <v>464</v>
      </c>
      <c r="F103" s="37" t="s">
        <v>502</v>
      </c>
      <c r="G103" s="37" t="s">
        <v>503</v>
      </c>
    </row>
    <row r="104" spans="1:7" ht="30" x14ac:dyDescent="0.25">
      <c r="A104" s="37" t="s">
        <v>754</v>
      </c>
      <c r="B104" s="37" t="s">
        <v>409</v>
      </c>
      <c r="C104" s="49" t="s">
        <v>769</v>
      </c>
      <c r="D104" s="37" t="s">
        <v>450</v>
      </c>
      <c r="E104" s="37" t="s">
        <v>464</v>
      </c>
      <c r="F104" s="37" t="s">
        <v>502</v>
      </c>
      <c r="G104" s="37" t="s">
        <v>503</v>
      </c>
    </row>
    <row r="105" spans="1:7" ht="30" x14ac:dyDescent="0.25">
      <c r="A105" s="37" t="s">
        <v>754</v>
      </c>
      <c r="B105" s="37" t="s">
        <v>770</v>
      </c>
      <c r="C105" s="49" t="s">
        <v>771</v>
      </c>
      <c r="D105" s="37" t="s">
        <v>450</v>
      </c>
      <c r="E105" s="37" t="s">
        <v>464</v>
      </c>
      <c r="F105" s="37" t="s">
        <v>653</v>
      </c>
      <c r="G105" s="37" t="s">
        <v>654</v>
      </c>
    </row>
    <row r="106" spans="1:7" ht="75" x14ac:dyDescent="0.25">
      <c r="A106" s="37" t="s">
        <v>754</v>
      </c>
      <c r="B106" s="37" t="s">
        <v>772</v>
      </c>
      <c r="C106" s="49" t="s">
        <v>773</v>
      </c>
      <c r="D106" s="37" t="s">
        <v>450</v>
      </c>
      <c r="E106" s="37" t="s">
        <v>774</v>
      </c>
      <c r="F106" s="37" t="s">
        <v>775</v>
      </c>
      <c r="G106" s="37" t="s">
        <v>776</v>
      </c>
    </row>
    <row r="107" spans="1:7" ht="105" x14ac:dyDescent="0.25">
      <c r="A107" s="37" t="s">
        <v>754</v>
      </c>
      <c r="B107" s="37" t="s">
        <v>777</v>
      </c>
      <c r="C107" s="49" t="s">
        <v>778</v>
      </c>
      <c r="D107" s="37" t="s">
        <v>450</v>
      </c>
      <c r="E107" s="37" t="s">
        <v>464</v>
      </c>
      <c r="F107" s="37" t="s">
        <v>779</v>
      </c>
      <c r="G107" s="37" t="s">
        <v>780</v>
      </c>
    </row>
    <row r="108" spans="1:7" ht="30" x14ac:dyDescent="0.25">
      <c r="A108" s="37" t="s">
        <v>754</v>
      </c>
      <c r="B108" s="37" t="s">
        <v>781</v>
      </c>
      <c r="C108" s="49" t="s">
        <v>782</v>
      </c>
      <c r="D108" s="37" t="s">
        <v>450</v>
      </c>
      <c r="E108" s="37" t="s">
        <v>464</v>
      </c>
      <c r="F108" s="37" t="s">
        <v>779</v>
      </c>
      <c r="G108" s="37" t="s">
        <v>780</v>
      </c>
    </row>
    <row r="109" spans="1:7" ht="45" x14ac:dyDescent="0.25">
      <c r="A109" s="37" t="s">
        <v>754</v>
      </c>
      <c r="B109" s="37" t="s">
        <v>404</v>
      </c>
      <c r="C109" s="49" t="s">
        <v>783</v>
      </c>
      <c r="D109" s="37" t="s">
        <v>450</v>
      </c>
      <c r="E109" s="37" t="s">
        <v>464</v>
      </c>
      <c r="F109" s="37" t="s">
        <v>779</v>
      </c>
      <c r="G109" s="37" t="s">
        <v>780</v>
      </c>
    </row>
    <row r="110" spans="1:7" ht="30" x14ac:dyDescent="0.25">
      <c r="A110" s="37" t="s">
        <v>754</v>
      </c>
      <c r="B110" s="37" t="s">
        <v>408</v>
      </c>
      <c r="C110" s="49" t="s">
        <v>784</v>
      </c>
      <c r="D110" s="37" t="s">
        <v>450</v>
      </c>
      <c r="E110" s="37" t="s">
        <v>464</v>
      </c>
      <c r="F110" s="37" t="s">
        <v>502</v>
      </c>
      <c r="G110" s="37" t="s">
        <v>503</v>
      </c>
    </row>
    <row r="111" spans="1:7" ht="75" x14ac:dyDescent="0.25">
      <c r="A111" s="37" t="s">
        <v>754</v>
      </c>
      <c r="B111" s="37" t="s">
        <v>785</v>
      </c>
      <c r="C111" s="49" t="s">
        <v>786</v>
      </c>
      <c r="D111" s="37" t="s">
        <v>450</v>
      </c>
      <c r="E111" s="37" t="s">
        <v>464</v>
      </c>
      <c r="F111" s="37" t="s">
        <v>760</v>
      </c>
      <c r="G111" s="37" t="s">
        <v>761</v>
      </c>
    </row>
    <row r="112" spans="1:7" x14ac:dyDescent="0.25">
      <c r="A112" s="37" t="s">
        <v>754</v>
      </c>
      <c r="B112" s="37" t="s">
        <v>410</v>
      </c>
      <c r="C112" s="49" t="s">
        <v>787</v>
      </c>
      <c r="D112" s="37" t="s">
        <v>450</v>
      </c>
      <c r="E112" s="37" t="s">
        <v>464</v>
      </c>
      <c r="F112" s="37" t="s">
        <v>756</v>
      </c>
      <c r="G112" s="37" t="s">
        <v>757</v>
      </c>
    </row>
    <row r="113" spans="1:7" ht="105" x14ac:dyDescent="0.25">
      <c r="A113" s="37" t="s">
        <v>754</v>
      </c>
      <c r="B113" s="37" t="s">
        <v>788</v>
      </c>
      <c r="C113" s="49" t="s">
        <v>778</v>
      </c>
      <c r="D113" s="37" t="s">
        <v>450</v>
      </c>
      <c r="E113" s="37" t="s">
        <v>464</v>
      </c>
      <c r="F113" s="37" t="s">
        <v>502</v>
      </c>
      <c r="G113" s="37" t="s">
        <v>503</v>
      </c>
    </row>
    <row r="114" spans="1:7" ht="45" x14ac:dyDescent="0.25">
      <c r="A114" s="37" t="s">
        <v>754</v>
      </c>
      <c r="B114" s="52" t="s">
        <v>789</v>
      </c>
      <c r="C114" s="49" t="s">
        <v>790</v>
      </c>
      <c r="D114" s="37" t="s">
        <v>450</v>
      </c>
      <c r="E114" s="37" t="s">
        <v>791</v>
      </c>
      <c r="F114" s="37" t="s">
        <v>502</v>
      </c>
      <c r="G114" s="37" t="s">
        <v>503</v>
      </c>
    </row>
    <row r="115" spans="1:7" ht="75" x14ac:dyDescent="0.25">
      <c r="A115" s="37" t="s">
        <v>754</v>
      </c>
      <c r="B115" s="37" t="s">
        <v>792</v>
      </c>
      <c r="C115" s="49" t="s">
        <v>793</v>
      </c>
      <c r="D115" s="37" t="s">
        <v>450</v>
      </c>
      <c r="E115" s="37" t="s">
        <v>464</v>
      </c>
      <c r="F115" s="37" t="s">
        <v>502</v>
      </c>
      <c r="G115" s="37" t="s">
        <v>503</v>
      </c>
    </row>
    <row r="116" spans="1:7" ht="75" x14ac:dyDescent="0.25">
      <c r="A116" s="37" t="s">
        <v>754</v>
      </c>
      <c r="B116" s="37" t="s">
        <v>794</v>
      </c>
      <c r="C116" s="49" t="s">
        <v>795</v>
      </c>
      <c r="D116" s="37" t="s">
        <v>450</v>
      </c>
      <c r="E116" s="37" t="s">
        <v>464</v>
      </c>
      <c r="F116" s="37" t="s">
        <v>796</v>
      </c>
      <c r="G116" s="37" t="s">
        <v>797</v>
      </c>
    </row>
    <row r="117" spans="1:7" ht="105" x14ac:dyDescent="0.25">
      <c r="A117" s="37" t="s">
        <v>754</v>
      </c>
      <c r="B117" s="37" t="s">
        <v>798</v>
      </c>
      <c r="C117" s="49" t="s">
        <v>799</v>
      </c>
      <c r="D117" s="37" t="s">
        <v>450</v>
      </c>
      <c r="E117" s="37" t="s">
        <v>464</v>
      </c>
      <c r="F117" s="37" t="s">
        <v>775</v>
      </c>
      <c r="G117" s="37" t="s">
        <v>776</v>
      </c>
    </row>
    <row r="118" spans="1:7" ht="60" x14ac:dyDescent="0.25">
      <c r="A118" s="37" t="s">
        <v>754</v>
      </c>
      <c r="B118" s="37" t="s">
        <v>398</v>
      </c>
      <c r="C118" s="49" t="s">
        <v>800</v>
      </c>
      <c r="D118" s="37" t="s">
        <v>450</v>
      </c>
      <c r="E118" s="37" t="s">
        <v>464</v>
      </c>
      <c r="F118" s="37" t="s">
        <v>775</v>
      </c>
      <c r="G118" s="37" t="s">
        <v>776</v>
      </c>
    </row>
    <row r="119" spans="1:7" ht="75" x14ac:dyDescent="0.25">
      <c r="A119" s="37" t="s">
        <v>754</v>
      </c>
      <c r="B119" s="37" t="s">
        <v>407</v>
      </c>
      <c r="C119" s="49" t="s">
        <v>801</v>
      </c>
      <c r="D119" s="37" t="s">
        <v>450</v>
      </c>
      <c r="E119" s="37" t="s">
        <v>464</v>
      </c>
      <c r="F119" s="37" t="s">
        <v>502</v>
      </c>
      <c r="G119" s="37" t="s">
        <v>503</v>
      </c>
    </row>
    <row r="120" spans="1:7" ht="60" x14ac:dyDescent="0.25">
      <c r="A120" s="37" t="s">
        <v>754</v>
      </c>
      <c r="B120" s="37" t="s">
        <v>802</v>
      </c>
      <c r="C120" s="49" t="s">
        <v>803</v>
      </c>
      <c r="D120" s="37" t="s">
        <v>450</v>
      </c>
      <c r="E120" s="37" t="s">
        <v>464</v>
      </c>
      <c r="F120" s="37" t="s">
        <v>760</v>
      </c>
      <c r="G120" s="37" t="s">
        <v>761</v>
      </c>
    </row>
    <row r="121" spans="1:7" ht="90" x14ac:dyDescent="0.25">
      <c r="A121" s="37" t="s">
        <v>754</v>
      </c>
      <c r="B121" s="37" t="s">
        <v>405</v>
      </c>
      <c r="C121" s="49" t="s">
        <v>804</v>
      </c>
      <c r="D121" s="37" t="s">
        <v>450</v>
      </c>
      <c r="E121" s="37" t="s">
        <v>464</v>
      </c>
      <c r="F121" s="37" t="s">
        <v>502</v>
      </c>
      <c r="G121" s="37" t="s">
        <v>503</v>
      </c>
    </row>
    <row r="122" spans="1:7" ht="75" x14ac:dyDescent="0.25">
      <c r="A122" s="37" t="s">
        <v>754</v>
      </c>
      <c r="B122" s="37" t="s">
        <v>402</v>
      </c>
      <c r="C122" s="49" t="s">
        <v>805</v>
      </c>
      <c r="D122" s="37" t="s">
        <v>450</v>
      </c>
      <c r="E122" s="37" t="s">
        <v>464</v>
      </c>
      <c r="F122" s="37" t="s">
        <v>502</v>
      </c>
      <c r="G122" s="37" t="s">
        <v>503</v>
      </c>
    </row>
    <row r="123" spans="1:7" ht="75" x14ac:dyDescent="0.25">
      <c r="A123" s="37" t="s">
        <v>754</v>
      </c>
      <c r="B123" s="37" t="s">
        <v>806</v>
      </c>
      <c r="C123" s="49" t="s">
        <v>807</v>
      </c>
      <c r="D123" s="37" t="s">
        <v>450</v>
      </c>
      <c r="E123" s="37" t="s">
        <v>464</v>
      </c>
      <c r="F123" s="37" t="s">
        <v>502</v>
      </c>
      <c r="G123" s="37" t="s">
        <v>503</v>
      </c>
    </row>
    <row r="124" spans="1:7" ht="45" x14ac:dyDescent="0.25">
      <c r="A124" s="37" t="s">
        <v>754</v>
      </c>
      <c r="B124" s="37" t="s">
        <v>808</v>
      </c>
      <c r="C124" s="49" t="s">
        <v>809</v>
      </c>
      <c r="D124" s="37" t="s">
        <v>450</v>
      </c>
      <c r="E124" s="37" t="s">
        <v>464</v>
      </c>
      <c r="F124" s="37" t="s">
        <v>756</v>
      </c>
      <c r="G124" s="37" t="s">
        <v>757</v>
      </c>
    </row>
    <row r="125" spans="1:7" ht="45" x14ac:dyDescent="0.25">
      <c r="A125" s="37" t="s">
        <v>754</v>
      </c>
      <c r="B125" s="37" t="s">
        <v>417</v>
      </c>
      <c r="C125" s="49" t="s">
        <v>810</v>
      </c>
      <c r="D125" s="37" t="s">
        <v>450</v>
      </c>
      <c r="E125" s="37" t="s">
        <v>464</v>
      </c>
      <c r="F125" s="37" t="s">
        <v>756</v>
      </c>
      <c r="G125" s="37" t="s">
        <v>757</v>
      </c>
    </row>
    <row r="126" spans="1:7" ht="60" x14ac:dyDescent="0.25">
      <c r="A126" s="37" t="s">
        <v>754</v>
      </c>
      <c r="B126" s="37" t="s">
        <v>403</v>
      </c>
      <c r="C126" s="49" t="s">
        <v>811</v>
      </c>
      <c r="D126" s="37" t="s">
        <v>450</v>
      </c>
      <c r="E126" s="37" t="s">
        <v>464</v>
      </c>
      <c r="F126" s="37" t="s">
        <v>502</v>
      </c>
      <c r="G126" s="37" t="s">
        <v>503</v>
      </c>
    </row>
    <row r="127" spans="1:7" ht="30" x14ac:dyDescent="0.25">
      <c r="A127" s="37" t="s">
        <v>812</v>
      </c>
      <c r="B127" s="37" t="s">
        <v>813</v>
      </c>
      <c r="C127" s="49" t="s">
        <v>814</v>
      </c>
      <c r="D127" s="37" t="s">
        <v>450</v>
      </c>
      <c r="E127" s="37" t="s">
        <v>815</v>
      </c>
      <c r="F127" s="37" t="s">
        <v>816</v>
      </c>
      <c r="G127" s="37" t="s">
        <v>817</v>
      </c>
    </row>
    <row r="128" spans="1:7" ht="30" x14ac:dyDescent="0.25">
      <c r="A128" s="37" t="s">
        <v>818</v>
      </c>
      <c r="B128" s="37" t="s">
        <v>819</v>
      </c>
      <c r="C128" s="49" t="s">
        <v>820</v>
      </c>
      <c r="D128" s="37" t="s">
        <v>450</v>
      </c>
      <c r="E128" s="37" t="s">
        <v>821</v>
      </c>
      <c r="F128" s="37" t="s">
        <v>507</v>
      </c>
      <c r="G128" s="37" t="s">
        <v>508</v>
      </c>
    </row>
    <row r="129" spans="1:7" ht="75" x14ac:dyDescent="0.25">
      <c r="A129" s="37" t="s">
        <v>818</v>
      </c>
      <c r="B129" s="37" t="s">
        <v>822</v>
      </c>
      <c r="C129" s="49" t="s">
        <v>823</v>
      </c>
      <c r="D129" s="37" t="s">
        <v>450</v>
      </c>
      <c r="E129" s="37" t="s">
        <v>824</v>
      </c>
      <c r="F129" s="37" t="s">
        <v>825</v>
      </c>
      <c r="G129" s="37" t="s">
        <v>826</v>
      </c>
    </row>
    <row r="130" spans="1:7" ht="45" x14ac:dyDescent="0.25">
      <c r="A130" s="37" t="s">
        <v>818</v>
      </c>
      <c r="B130" s="37" t="s">
        <v>827</v>
      </c>
      <c r="C130" s="49" t="s">
        <v>828</v>
      </c>
      <c r="D130" s="37" t="s">
        <v>450</v>
      </c>
      <c r="E130" s="37" t="s">
        <v>464</v>
      </c>
      <c r="F130" s="37" t="s">
        <v>642</v>
      </c>
      <c r="G130" s="37" t="s">
        <v>643</v>
      </c>
    </row>
    <row r="131" spans="1:7" ht="135" x14ac:dyDescent="0.25">
      <c r="A131" s="37" t="s">
        <v>829</v>
      </c>
      <c r="B131" s="37" t="s">
        <v>830</v>
      </c>
      <c r="C131" s="49" t="s">
        <v>831</v>
      </c>
      <c r="D131" s="37" t="s">
        <v>450</v>
      </c>
      <c r="E131" s="37" t="s">
        <v>464</v>
      </c>
      <c r="F131" s="37" t="s">
        <v>832</v>
      </c>
      <c r="G131" s="37" t="s">
        <v>833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504"/>
  <sheetViews>
    <sheetView zoomScaleNormal="100" workbookViewId="0">
      <pane ySplit="1" topLeftCell="A250" activePane="bottomLeft" state="frozen"/>
      <selection pane="bottomLeft" activeCell="C265" sqref="C265"/>
    </sheetView>
  </sheetViews>
  <sheetFormatPr defaultColWidth="11.42578125" defaultRowHeight="15" x14ac:dyDescent="0.25"/>
  <cols>
    <col min="1" max="1" width="17.28515625" bestFit="1" customWidth="1"/>
    <col min="2" max="2" width="58.140625" customWidth="1"/>
    <col min="3" max="3" width="17.42578125" customWidth="1"/>
    <col min="4" max="5" width="14.7109375" bestFit="1" customWidth="1"/>
  </cols>
  <sheetData>
    <row r="1" spans="1:5" x14ac:dyDescent="0.25">
      <c r="A1" s="13" t="s">
        <v>6</v>
      </c>
      <c r="B1" s="13" t="s">
        <v>362</v>
      </c>
      <c r="C1" s="13" t="s">
        <v>834</v>
      </c>
      <c r="D1" s="13" t="s">
        <v>10</v>
      </c>
      <c r="E1" s="13" t="s">
        <v>11</v>
      </c>
    </row>
    <row r="2" spans="1:5" x14ac:dyDescent="0.25">
      <c r="A2" s="77" t="s">
        <v>835</v>
      </c>
      <c r="B2" s="9" t="s">
        <v>836</v>
      </c>
      <c r="C2" s="77" t="s">
        <v>16</v>
      </c>
      <c r="D2" s="77">
        <v>42471.9375</v>
      </c>
      <c r="E2" s="77">
        <v>42472.020833333336</v>
      </c>
    </row>
    <row r="3" spans="1:5" ht="21" x14ac:dyDescent="0.25">
      <c r="A3" s="77" t="s">
        <v>837</v>
      </c>
      <c r="B3" s="9" t="s">
        <v>838</v>
      </c>
      <c r="C3" s="77" t="s">
        <v>16</v>
      </c>
      <c r="D3" s="77">
        <v>42472.916666666664</v>
      </c>
      <c r="E3" s="77">
        <v>42473.354166666664</v>
      </c>
    </row>
    <row r="4" spans="1:5" x14ac:dyDescent="0.25">
      <c r="A4" s="7" t="s">
        <v>839</v>
      </c>
      <c r="B4" s="8" t="s">
        <v>840</v>
      </c>
      <c r="C4" s="7" t="s">
        <v>16</v>
      </c>
      <c r="D4" s="7">
        <v>42474.916666666664</v>
      </c>
      <c r="E4" s="7">
        <v>42475.041666666664</v>
      </c>
    </row>
    <row r="5" spans="1:5" ht="21" x14ac:dyDescent="0.25">
      <c r="A5" s="7" t="s">
        <v>841</v>
      </c>
      <c r="B5" s="8" t="s">
        <v>842</v>
      </c>
      <c r="C5" s="7" t="s">
        <v>16</v>
      </c>
      <c r="D5" s="7">
        <v>42475.916666666664</v>
      </c>
      <c r="E5" s="7">
        <v>42477.625</v>
      </c>
    </row>
    <row r="6" spans="1:5" x14ac:dyDescent="0.25">
      <c r="A6" s="7" t="s">
        <v>843</v>
      </c>
      <c r="B6" s="8" t="s">
        <v>844</v>
      </c>
      <c r="C6" s="7" t="s">
        <v>16</v>
      </c>
      <c r="D6" s="7">
        <v>42478</v>
      </c>
      <c r="E6" s="7">
        <v>42478.166666666664</v>
      </c>
    </row>
    <row r="7" spans="1:5" x14ac:dyDescent="0.25">
      <c r="A7" s="7" t="s">
        <v>845</v>
      </c>
      <c r="B7" s="8" t="s">
        <v>846</v>
      </c>
      <c r="C7" s="7" t="s">
        <v>16</v>
      </c>
      <c r="D7" s="7">
        <v>42479.375</v>
      </c>
      <c r="E7" s="7">
        <v>42479.604166666664</v>
      </c>
    </row>
    <row r="8" spans="1:5" x14ac:dyDescent="0.25">
      <c r="A8" s="7" t="s">
        <v>847</v>
      </c>
      <c r="B8" s="8" t="s">
        <v>848</v>
      </c>
      <c r="C8" s="7" t="s">
        <v>16</v>
      </c>
      <c r="D8" s="7">
        <v>42479.375</v>
      </c>
      <c r="E8" s="7">
        <v>42479.604166666664</v>
      </c>
    </row>
    <row r="9" spans="1:5" x14ac:dyDescent="0.25">
      <c r="A9" s="7" t="s">
        <v>849</v>
      </c>
      <c r="B9" s="8" t="s">
        <v>850</v>
      </c>
      <c r="C9" s="7" t="s">
        <v>16</v>
      </c>
      <c r="D9" s="7">
        <v>42481.375</v>
      </c>
      <c r="E9" s="7">
        <v>42481.604166666664</v>
      </c>
    </row>
    <row r="10" spans="1:5" x14ac:dyDescent="0.25">
      <c r="A10" s="7" t="s">
        <v>851</v>
      </c>
      <c r="B10" s="8" t="s">
        <v>852</v>
      </c>
      <c r="C10" s="7" t="s">
        <v>16</v>
      </c>
      <c r="D10" s="7">
        <v>42481.375</v>
      </c>
      <c r="E10" s="7">
        <v>42481.604166666664</v>
      </c>
    </row>
    <row r="11" spans="1:5" x14ac:dyDescent="0.25">
      <c r="A11" s="7" t="s">
        <v>853</v>
      </c>
      <c r="B11" s="8" t="s">
        <v>836</v>
      </c>
      <c r="C11" s="7" t="s">
        <v>16</v>
      </c>
      <c r="D11" s="7">
        <v>42477.458333333336</v>
      </c>
      <c r="E11" s="7">
        <v>42477.541666666664</v>
      </c>
    </row>
    <row r="12" spans="1:5" x14ac:dyDescent="0.25">
      <c r="A12" s="77" t="s">
        <v>854</v>
      </c>
      <c r="B12" s="9" t="s">
        <v>855</v>
      </c>
      <c r="C12" s="77" t="s">
        <v>16</v>
      </c>
      <c r="D12" s="77">
        <v>42485.625</v>
      </c>
      <c r="E12" s="77">
        <v>42485.666666666664</v>
      </c>
    </row>
    <row r="13" spans="1:5" x14ac:dyDescent="0.25">
      <c r="A13" s="77" t="s">
        <v>856</v>
      </c>
      <c r="B13" s="9" t="s">
        <v>846</v>
      </c>
      <c r="C13" s="77" t="s">
        <v>16</v>
      </c>
      <c r="D13" s="77">
        <v>42482.416666666664</v>
      </c>
      <c r="E13" s="77">
        <v>42482.5</v>
      </c>
    </row>
    <row r="14" spans="1:5" x14ac:dyDescent="0.25">
      <c r="A14" s="77" t="s">
        <v>857</v>
      </c>
      <c r="B14" s="9" t="s">
        <v>848</v>
      </c>
      <c r="C14" s="77" t="s">
        <v>16</v>
      </c>
      <c r="D14" s="77">
        <v>42483.833333333336</v>
      </c>
      <c r="E14" s="77">
        <v>42484.354166666664</v>
      </c>
    </row>
    <row r="15" spans="1:5" x14ac:dyDescent="0.25">
      <c r="A15" s="77" t="s">
        <v>849</v>
      </c>
      <c r="B15" s="9" t="s">
        <v>850</v>
      </c>
      <c r="C15" s="77" t="s">
        <v>16</v>
      </c>
      <c r="D15" s="77">
        <v>42486.375</v>
      </c>
      <c r="E15" s="77">
        <v>42486.645833333336</v>
      </c>
    </row>
    <row r="16" spans="1:5" x14ac:dyDescent="0.25">
      <c r="A16" s="77" t="s">
        <v>858</v>
      </c>
      <c r="B16" s="9" t="s">
        <v>852</v>
      </c>
      <c r="C16" s="77" t="s">
        <v>16</v>
      </c>
      <c r="D16" s="77">
        <v>42486.375</v>
      </c>
      <c r="E16" s="77">
        <v>42486.645833333336</v>
      </c>
    </row>
    <row r="17" spans="1:7" x14ac:dyDescent="0.25">
      <c r="A17" s="77" t="s">
        <v>859</v>
      </c>
      <c r="B17" s="9" t="s">
        <v>860</v>
      </c>
      <c r="C17" s="77"/>
      <c r="D17" s="77">
        <v>42485.291666666664</v>
      </c>
      <c r="E17" s="77">
        <v>42485.416666666664</v>
      </c>
    </row>
    <row r="18" spans="1:7" x14ac:dyDescent="0.25">
      <c r="A18" s="77" t="s">
        <v>861</v>
      </c>
      <c r="B18" s="9" t="s">
        <v>862</v>
      </c>
      <c r="C18" s="77" t="s">
        <v>16</v>
      </c>
      <c r="D18" s="77">
        <v>42484.791666666664</v>
      </c>
      <c r="E18" s="77">
        <v>42484.916666666664</v>
      </c>
    </row>
    <row r="19" spans="1:7" x14ac:dyDescent="0.25">
      <c r="A19" s="77" t="s">
        <v>863</v>
      </c>
      <c r="B19" s="9" t="s">
        <v>836</v>
      </c>
      <c r="C19" s="77" t="s">
        <v>16</v>
      </c>
      <c r="D19" s="77">
        <v>42485</v>
      </c>
      <c r="E19" s="77">
        <v>42485.166666666664</v>
      </c>
    </row>
    <row r="20" spans="1:7" x14ac:dyDescent="0.25">
      <c r="A20" s="7" t="s">
        <v>864</v>
      </c>
      <c r="B20" s="8" t="s">
        <v>840</v>
      </c>
      <c r="C20" s="7" t="s">
        <v>16</v>
      </c>
      <c r="D20" s="7">
        <v>42489</v>
      </c>
      <c r="E20" s="7">
        <v>42489.25</v>
      </c>
    </row>
    <row r="21" spans="1:7" x14ac:dyDescent="0.25">
      <c r="A21" s="7" t="s">
        <v>865</v>
      </c>
      <c r="B21" s="8" t="s">
        <v>844</v>
      </c>
      <c r="C21" s="7" t="s">
        <v>16</v>
      </c>
      <c r="D21" s="7">
        <v>42494.833333333336</v>
      </c>
      <c r="E21" s="7">
        <v>42494.958333333336</v>
      </c>
    </row>
    <row r="22" spans="1:7" x14ac:dyDescent="0.25">
      <c r="A22" s="7" t="s">
        <v>866</v>
      </c>
      <c r="B22" s="8" t="s">
        <v>844</v>
      </c>
      <c r="C22" s="7" t="s">
        <v>16</v>
      </c>
      <c r="D22" s="7">
        <v>42488.833333333336</v>
      </c>
      <c r="E22" s="7">
        <v>42488.875</v>
      </c>
    </row>
    <row r="23" spans="1:7" x14ac:dyDescent="0.25">
      <c r="A23" s="7" t="s">
        <v>867</v>
      </c>
      <c r="B23" s="8" t="s">
        <v>844</v>
      </c>
      <c r="C23" s="7" t="s">
        <v>16</v>
      </c>
      <c r="D23" s="7">
        <v>42493.833333333336</v>
      </c>
      <c r="E23" s="7">
        <v>42493.916666666664</v>
      </c>
    </row>
    <row r="24" spans="1:7" x14ac:dyDescent="0.25">
      <c r="A24" s="7" t="s">
        <v>868</v>
      </c>
      <c r="B24" s="8" t="s">
        <v>844</v>
      </c>
      <c r="C24" s="7" t="s">
        <v>16</v>
      </c>
      <c r="D24" s="7">
        <v>42490.916666666664</v>
      </c>
      <c r="E24" s="7">
        <v>42490.993055555555</v>
      </c>
      <c r="G24" t="s">
        <v>869</v>
      </c>
    </row>
    <row r="25" spans="1:7" x14ac:dyDescent="0.25">
      <c r="A25" s="7" t="s">
        <v>870</v>
      </c>
      <c r="B25" s="8" t="s">
        <v>846</v>
      </c>
      <c r="C25" s="7" t="s">
        <v>16</v>
      </c>
      <c r="D25" s="7">
        <v>42488.916666666664</v>
      </c>
      <c r="E25" s="7">
        <v>42489.25</v>
      </c>
    </row>
    <row r="26" spans="1:7" x14ac:dyDescent="0.25">
      <c r="A26" s="77" t="s">
        <v>871</v>
      </c>
      <c r="B26" s="9" t="s">
        <v>860</v>
      </c>
      <c r="C26" s="77" t="s">
        <v>16</v>
      </c>
      <c r="D26" s="77">
        <v>42517.916666666664</v>
      </c>
      <c r="E26" s="77">
        <v>42518.083333333336</v>
      </c>
    </row>
    <row r="27" spans="1:7" ht="21" x14ac:dyDescent="0.25">
      <c r="A27" s="77" t="s">
        <v>872</v>
      </c>
      <c r="B27" s="9" t="s">
        <v>873</v>
      </c>
      <c r="C27" s="77" t="s">
        <v>874</v>
      </c>
      <c r="D27" s="77">
        <v>42501.916666666664</v>
      </c>
      <c r="E27" s="77">
        <v>42501.958333333336</v>
      </c>
    </row>
    <row r="28" spans="1:7" x14ac:dyDescent="0.25">
      <c r="A28" s="77" t="s">
        <v>875</v>
      </c>
      <c r="B28" s="9" t="s">
        <v>860</v>
      </c>
      <c r="C28" s="77" t="s">
        <v>16</v>
      </c>
      <c r="D28" s="77">
        <v>42496.375</v>
      </c>
      <c r="E28" s="77">
        <v>42496.5</v>
      </c>
    </row>
    <row r="29" spans="1:7" s="10" customFormat="1" x14ac:dyDescent="0.25">
      <c r="A29" s="77" t="s">
        <v>870</v>
      </c>
      <c r="B29" s="9" t="s">
        <v>846</v>
      </c>
      <c r="C29" s="77" t="s">
        <v>16</v>
      </c>
      <c r="D29" s="77">
        <v>42494.916666666664</v>
      </c>
      <c r="E29" s="77">
        <v>42495.25</v>
      </c>
    </row>
    <row r="30" spans="1:7" s="10" customFormat="1" x14ac:dyDescent="0.25">
      <c r="A30" s="77" t="s">
        <v>876</v>
      </c>
      <c r="B30" s="9" t="s">
        <v>848</v>
      </c>
      <c r="C30" s="77" t="s">
        <v>16</v>
      </c>
      <c r="D30" s="77">
        <v>42495.625</v>
      </c>
      <c r="E30" s="77">
        <v>42495.958333333336</v>
      </c>
    </row>
    <row r="31" spans="1:7" s="10" customFormat="1" x14ac:dyDescent="0.25">
      <c r="A31" s="77" t="s">
        <v>877</v>
      </c>
      <c r="B31" s="9" t="s">
        <v>836</v>
      </c>
      <c r="C31" s="77" t="s">
        <v>16</v>
      </c>
      <c r="D31" s="77">
        <v>42503.916666666664</v>
      </c>
      <c r="E31" s="77">
        <v>42504.625</v>
      </c>
    </row>
    <row r="32" spans="1:7" x14ac:dyDescent="0.25">
      <c r="A32" s="7" t="s">
        <v>878</v>
      </c>
      <c r="B32" s="8" t="s">
        <v>836</v>
      </c>
      <c r="C32" s="7" t="s">
        <v>16</v>
      </c>
      <c r="D32" s="7">
        <v>42507.625</v>
      </c>
      <c r="E32" s="7">
        <v>42507.666666666664</v>
      </c>
    </row>
    <row r="33" spans="1:5" x14ac:dyDescent="0.25">
      <c r="A33" s="7" t="s">
        <v>871</v>
      </c>
      <c r="B33" s="8" t="s">
        <v>879</v>
      </c>
      <c r="C33" s="7" t="s">
        <v>16</v>
      </c>
      <c r="D33" s="7">
        <v>42503.916666666664</v>
      </c>
      <c r="E33" s="7">
        <v>42504.083333333336</v>
      </c>
    </row>
    <row r="34" spans="1:5" x14ac:dyDescent="0.25">
      <c r="A34" s="7" t="s">
        <v>880</v>
      </c>
      <c r="B34" s="8" t="s">
        <v>881</v>
      </c>
      <c r="C34" s="7" t="s">
        <v>16</v>
      </c>
      <c r="D34" s="7">
        <v>42502.833333333336</v>
      </c>
      <c r="E34" s="7">
        <v>42503.333333333336</v>
      </c>
    </row>
    <row r="35" spans="1:5" x14ac:dyDescent="0.25">
      <c r="A35" s="7" t="s">
        <v>882</v>
      </c>
      <c r="B35" s="8" t="s">
        <v>883</v>
      </c>
      <c r="C35" s="7" t="s">
        <v>16</v>
      </c>
      <c r="D35" s="7">
        <v>42502.833333333336</v>
      </c>
      <c r="E35" s="7">
        <v>42503.333333333336</v>
      </c>
    </row>
    <row r="36" spans="1:5" ht="31.5" x14ac:dyDescent="0.25">
      <c r="A36" s="7" t="s">
        <v>884</v>
      </c>
      <c r="B36" s="8" t="s">
        <v>885</v>
      </c>
      <c r="C36" s="7" t="s">
        <v>886</v>
      </c>
      <c r="D36" s="7">
        <v>42506.916666666664</v>
      </c>
      <c r="E36" s="7">
        <v>42506.979166666664</v>
      </c>
    </row>
    <row r="37" spans="1:5" x14ac:dyDescent="0.25">
      <c r="A37" s="7" t="s">
        <v>887</v>
      </c>
      <c r="B37" s="8" t="s">
        <v>888</v>
      </c>
      <c r="C37" s="7" t="s">
        <v>16</v>
      </c>
      <c r="D37" s="7">
        <v>42509.916666666664</v>
      </c>
      <c r="E37" s="7">
        <v>42509.999305555553</v>
      </c>
    </row>
    <row r="38" spans="1:5" ht="31.5" x14ac:dyDescent="0.25">
      <c r="A38" s="77" t="s">
        <v>889</v>
      </c>
      <c r="B38" s="9" t="s">
        <v>890</v>
      </c>
      <c r="C38" s="77" t="s">
        <v>886</v>
      </c>
      <c r="D38" s="77">
        <v>42514.916666666664</v>
      </c>
      <c r="E38" s="77">
        <v>42515.041666666664</v>
      </c>
    </row>
    <row r="39" spans="1:5" ht="31.5" x14ac:dyDescent="0.25">
      <c r="A39" s="6" t="s">
        <v>891</v>
      </c>
      <c r="B39" s="12" t="s">
        <v>892</v>
      </c>
      <c r="C39" s="77" t="s">
        <v>886</v>
      </c>
      <c r="D39" s="6">
        <v>42511.958333333336</v>
      </c>
      <c r="E39" s="6">
        <v>42512.166666666664</v>
      </c>
    </row>
    <row r="40" spans="1:5" x14ac:dyDescent="0.25">
      <c r="A40" s="6" t="s">
        <v>893</v>
      </c>
      <c r="B40" s="12" t="s">
        <v>894</v>
      </c>
      <c r="C40" s="6" t="s">
        <v>16</v>
      </c>
      <c r="D40" s="6">
        <v>42509.833333333336</v>
      </c>
      <c r="E40" s="6">
        <v>42510.333333333336</v>
      </c>
    </row>
    <row r="41" spans="1:5" ht="21" x14ac:dyDescent="0.25">
      <c r="A41" s="6" t="s">
        <v>895</v>
      </c>
      <c r="B41" s="9" t="s">
        <v>896</v>
      </c>
      <c r="C41" s="6" t="s">
        <v>16</v>
      </c>
      <c r="D41" s="6">
        <v>42513.375</v>
      </c>
      <c r="E41" s="6">
        <v>42513.625</v>
      </c>
    </row>
    <row r="42" spans="1:5" x14ac:dyDescent="0.25">
      <c r="A42" s="6" t="s">
        <v>897</v>
      </c>
      <c r="B42" s="12" t="s">
        <v>898</v>
      </c>
      <c r="C42" s="6" t="s">
        <v>16</v>
      </c>
      <c r="D42" s="6">
        <v>42514.833333333336</v>
      </c>
      <c r="E42" s="6">
        <v>42515.333333333336</v>
      </c>
    </row>
    <row r="43" spans="1:5" x14ac:dyDescent="0.25">
      <c r="A43" s="6" t="s">
        <v>899</v>
      </c>
      <c r="B43" s="12" t="s">
        <v>900</v>
      </c>
      <c r="C43" s="6" t="s">
        <v>16</v>
      </c>
      <c r="D43" s="6">
        <v>42514.833333333336</v>
      </c>
      <c r="E43" s="6">
        <v>42515.333333333336</v>
      </c>
    </row>
    <row r="44" spans="1:5" x14ac:dyDescent="0.25">
      <c r="A44" s="7" t="s">
        <v>901</v>
      </c>
      <c r="B44" s="8" t="s">
        <v>902</v>
      </c>
      <c r="C44" s="7" t="s">
        <v>16</v>
      </c>
      <c r="D44" s="7">
        <v>42517.291666666664</v>
      </c>
      <c r="E44" s="7">
        <v>42517.416666666664</v>
      </c>
    </row>
    <row r="45" spans="1:5" x14ac:dyDescent="0.25">
      <c r="A45" s="7" t="s">
        <v>903</v>
      </c>
      <c r="B45" s="8" t="s">
        <v>904</v>
      </c>
      <c r="C45" s="7" t="s">
        <v>16</v>
      </c>
      <c r="D45" s="7">
        <v>42520.291666666664</v>
      </c>
      <c r="E45" s="7">
        <v>42520.416666666664</v>
      </c>
    </row>
    <row r="46" spans="1:5" x14ac:dyDescent="0.25">
      <c r="A46" s="7" t="s">
        <v>905</v>
      </c>
      <c r="B46" s="8" t="s">
        <v>906</v>
      </c>
      <c r="C46" s="7" t="s">
        <v>16</v>
      </c>
      <c r="D46" s="7">
        <v>42520.3125</v>
      </c>
      <c r="E46" s="7">
        <v>42520.4375</v>
      </c>
    </row>
    <row r="47" spans="1:5" x14ac:dyDescent="0.25">
      <c r="A47" s="7" t="s">
        <v>907</v>
      </c>
      <c r="B47" s="8" t="s">
        <v>908</v>
      </c>
      <c r="C47" s="7" t="s">
        <v>16</v>
      </c>
      <c r="D47" s="7">
        <v>42521.3125</v>
      </c>
      <c r="E47" s="7">
        <v>42521.4375</v>
      </c>
    </row>
    <row r="48" spans="1:5" x14ac:dyDescent="0.25">
      <c r="A48" s="7" t="s">
        <v>909</v>
      </c>
      <c r="B48" s="8" t="s">
        <v>910</v>
      </c>
      <c r="C48" s="7" t="s">
        <v>16</v>
      </c>
      <c r="D48" s="7">
        <v>42521.833333333336</v>
      </c>
      <c r="E48" s="7">
        <v>42522.125</v>
      </c>
    </row>
    <row r="49" spans="1:5" ht="21" x14ac:dyDescent="0.25">
      <c r="A49" s="7" t="s">
        <v>911</v>
      </c>
      <c r="B49" s="8" t="s">
        <v>912</v>
      </c>
      <c r="C49" s="7" t="s">
        <v>16</v>
      </c>
      <c r="D49" s="7">
        <v>42518.791666666664</v>
      </c>
      <c r="E49" s="7">
        <v>42519.604166666664</v>
      </c>
    </row>
    <row r="50" spans="1:5" x14ac:dyDescent="0.25">
      <c r="A50" s="7" t="s">
        <v>849</v>
      </c>
      <c r="B50" s="8" t="s">
        <v>913</v>
      </c>
      <c r="C50" s="7" t="s">
        <v>16</v>
      </c>
      <c r="D50" s="7">
        <v>42522.375</v>
      </c>
      <c r="E50" s="7">
        <v>42522.75</v>
      </c>
    </row>
    <row r="51" spans="1:5" x14ac:dyDescent="0.25">
      <c r="A51" s="7" t="s">
        <v>858</v>
      </c>
      <c r="B51" s="8" t="s">
        <v>914</v>
      </c>
      <c r="C51" s="7" t="s">
        <v>16</v>
      </c>
      <c r="D51" s="7">
        <v>42523.375</v>
      </c>
      <c r="E51" s="7">
        <v>42523.75</v>
      </c>
    </row>
    <row r="52" spans="1:5" ht="21" x14ac:dyDescent="0.25">
      <c r="A52" s="77" t="s">
        <v>915</v>
      </c>
      <c r="B52" s="9" t="s">
        <v>916</v>
      </c>
      <c r="C52" s="6" t="s">
        <v>16</v>
      </c>
      <c r="D52" s="77">
        <v>42523.833333333336</v>
      </c>
      <c r="E52" s="77">
        <v>42524.125</v>
      </c>
    </row>
    <row r="53" spans="1:5" ht="21" x14ac:dyDescent="0.25">
      <c r="A53" s="77" t="s">
        <v>917</v>
      </c>
      <c r="B53" s="9" t="s">
        <v>918</v>
      </c>
      <c r="C53" s="6" t="s">
        <v>16</v>
      </c>
      <c r="D53" s="77">
        <v>42525.791666666664</v>
      </c>
      <c r="E53" s="77">
        <v>42526.604166666664</v>
      </c>
    </row>
    <row r="54" spans="1:5" ht="21" x14ac:dyDescent="0.25">
      <c r="A54" s="77" t="s">
        <v>919</v>
      </c>
      <c r="B54" s="9" t="s">
        <v>920</v>
      </c>
      <c r="C54" s="6" t="s">
        <v>16</v>
      </c>
      <c r="D54" s="77">
        <v>42528.833333333336</v>
      </c>
      <c r="E54" s="77">
        <v>42529.125</v>
      </c>
    </row>
    <row r="55" spans="1:5" x14ac:dyDescent="0.25">
      <c r="A55" s="77" t="s">
        <v>921</v>
      </c>
      <c r="B55" s="9" t="s">
        <v>922</v>
      </c>
      <c r="C55" s="6" t="s">
        <v>16</v>
      </c>
      <c r="D55" s="77">
        <v>42527.239583333336</v>
      </c>
      <c r="E55" s="77">
        <v>42527.5</v>
      </c>
    </row>
    <row r="56" spans="1:5" x14ac:dyDescent="0.25">
      <c r="A56" s="77" t="s">
        <v>923</v>
      </c>
      <c r="B56" s="9" t="s">
        <v>924</v>
      </c>
      <c r="C56" s="6" t="s">
        <v>16</v>
      </c>
      <c r="D56" s="77">
        <v>42528.239583333336</v>
      </c>
      <c r="E56" s="77">
        <v>42528.5</v>
      </c>
    </row>
    <row r="57" spans="1:5" x14ac:dyDescent="0.25">
      <c r="A57" s="77" t="s">
        <v>925</v>
      </c>
      <c r="B57" s="9" t="s">
        <v>926</v>
      </c>
      <c r="C57" s="6" t="s">
        <v>16</v>
      </c>
      <c r="D57" s="77">
        <v>42528.239583333336</v>
      </c>
      <c r="E57" s="77">
        <v>42528.583333333336</v>
      </c>
    </row>
    <row r="58" spans="1:5" ht="21" x14ac:dyDescent="0.25">
      <c r="A58" s="77" t="s">
        <v>927</v>
      </c>
      <c r="B58" s="9" t="s">
        <v>928</v>
      </c>
      <c r="C58" s="6" t="s">
        <v>16</v>
      </c>
      <c r="D58" s="77">
        <v>42523.916666666664</v>
      </c>
      <c r="E58" s="77">
        <v>42524.083333333336</v>
      </c>
    </row>
    <row r="59" spans="1:5" x14ac:dyDescent="0.25">
      <c r="A59" s="7" t="s">
        <v>929</v>
      </c>
      <c r="B59" s="8" t="s">
        <v>930</v>
      </c>
      <c r="C59" s="7" t="s">
        <v>16</v>
      </c>
      <c r="D59" s="7">
        <v>42531.791666666664</v>
      </c>
      <c r="E59" s="7">
        <v>42532.520833333336</v>
      </c>
    </row>
    <row r="60" spans="1:5" x14ac:dyDescent="0.25">
      <c r="A60" s="7" t="s">
        <v>931</v>
      </c>
      <c r="B60" s="8" t="s">
        <v>932</v>
      </c>
      <c r="C60" s="7" t="s">
        <v>16</v>
      </c>
      <c r="D60" s="7">
        <v>42530.833333333336</v>
      </c>
      <c r="E60" s="7">
        <v>42531.125</v>
      </c>
    </row>
    <row r="61" spans="1:5" ht="21" x14ac:dyDescent="0.25">
      <c r="A61" s="7" t="s">
        <v>933</v>
      </c>
      <c r="B61" s="8" t="s">
        <v>934</v>
      </c>
      <c r="C61" s="7" t="s">
        <v>16</v>
      </c>
      <c r="D61" s="7">
        <v>42534.239583333336</v>
      </c>
      <c r="E61" s="7">
        <v>42534.5</v>
      </c>
    </row>
    <row r="62" spans="1:5" ht="21" x14ac:dyDescent="0.25">
      <c r="A62" s="7" t="s">
        <v>935</v>
      </c>
      <c r="B62" s="8" t="s">
        <v>936</v>
      </c>
      <c r="C62" s="7" t="s">
        <v>16</v>
      </c>
      <c r="D62" s="7">
        <v>42535.239583333336</v>
      </c>
      <c r="E62" s="7">
        <v>42535.5</v>
      </c>
    </row>
    <row r="63" spans="1:5" s="10" customFormat="1" ht="21" x14ac:dyDescent="0.25">
      <c r="A63" s="7" t="s">
        <v>937</v>
      </c>
      <c r="B63" s="8" t="s">
        <v>938</v>
      </c>
      <c r="C63" s="14" t="s">
        <v>874</v>
      </c>
      <c r="D63" s="7">
        <v>42532</v>
      </c>
      <c r="E63" s="7">
        <v>42533.25</v>
      </c>
    </row>
    <row r="64" spans="1:5" s="10" customFormat="1" ht="21" x14ac:dyDescent="0.25">
      <c r="A64" s="7" t="s">
        <v>939</v>
      </c>
      <c r="B64" s="8" t="s">
        <v>940</v>
      </c>
      <c r="C64" s="14" t="s">
        <v>874</v>
      </c>
      <c r="D64" s="7">
        <v>42535.625</v>
      </c>
      <c r="E64" s="7">
        <v>42535.75</v>
      </c>
    </row>
    <row r="65" spans="1:5" ht="31.5" x14ac:dyDescent="0.25">
      <c r="A65" s="77" t="s">
        <v>941</v>
      </c>
      <c r="B65" s="9" t="s">
        <v>942</v>
      </c>
      <c r="C65" s="77" t="s">
        <v>886</v>
      </c>
      <c r="D65" s="77">
        <v>42537.833333333336</v>
      </c>
      <c r="E65" s="77">
        <v>42537.916666666664</v>
      </c>
    </row>
    <row r="66" spans="1:5" ht="31.5" x14ac:dyDescent="0.25">
      <c r="A66" s="77" t="s">
        <v>943</v>
      </c>
      <c r="B66" s="9" t="s">
        <v>944</v>
      </c>
      <c r="C66" s="77" t="s">
        <v>886</v>
      </c>
      <c r="D66" s="77">
        <v>42542.833333333336</v>
      </c>
      <c r="E66" s="77">
        <v>42542.916666666664</v>
      </c>
    </row>
    <row r="67" spans="1:5" ht="21" x14ac:dyDescent="0.25">
      <c r="A67" s="77" t="s">
        <v>945</v>
      </c>
      <c r="B67" s="9" t="s">
        <v>946</v>
      </c>
      <c r="C67" s="77" t="s">
        <v>16</v>
      </c>
      <c r="D67" s="77">
        <v>42541.239583333336</v>
      </c>
      <c r="E67" s="77">
        <v>42541.5</v>
      </c>
    </row>
    <row r="68" spans="1:5" ht="21" x14ac:dyDescent="0.25">
      <c r="A68" s="77" t="s">
        <v>947</v>
      </c>
      <c r="B68" s="9" t="s">
        <v>948</v>
      </c>
      <c r="C68" s="77" t="s">
        <v>16</v>
      </c>
      <c r="D68" s="77">
        <v>42542.239583333336</v>
      </c>
      <c r="E68" s="77">
        <v>42542.5</v>
      </c>
    </row>
    <row r="69" spans="1:5" x14ac:dyDescent="0.25">
      <c r="A69" s="77" t="s">
        <v>949</v>
      </c>
      <c r="B69" s="9" t="s">
        <v>950</v>
      </c>
      <c r="C69" s="77" t="s">
        <v>16</v>
      </c>
      <c r="D69" s="77">
        <v>42541.458333333336</v>
      </c>
      <c r="E69" s="77">
        <v>42541.5</v>
      </c>
    </row>
    <row r="70" spans="1:5" x14ac:dyDescent="0.25">
      <c r="A70" s="7" t="s">
        <v>951</v>
      </c>
      <c r="B70" s="8" t="s">
        <v>952</v>
      </c>
      <c r="C70" s="7" t="s">
        <v>16</v>
      </c>
      <c r="D70" s="7">
        <v>42544.916666666664</v>
      </c>
      <c r="E70" s="7">
        <v>42545.291666666664</v>
      </c>
    </row>
    <row r="71" spans="1:5" x14ac:dyDescent="0.25">
      <c r="A71" s="7" t="s">
        <v>953</v>
      </c>
      <c r="B71" s="8" t="s">
        <v>954</v>
      </c>
      <c r="C71" s="7" t="s">
        <v>16</v>
      </c>
      <c r="D71" s="7">
        <v>42545</v>
      </c>
      <c r="E71" s="7">
        <v>42545.25</v>
      </c>
    </row>
    <row r="72" spans="1:5" x14ac:dyDescent="0.25">
      <c r="A72" s="7" t="s">
        <v>955</v>
      </c>
      <c r="B72" s="8" t="s">
        <v>956</v>
      </c>
      <c r="C72" s="7" t="s">
        <v>16</v>
      </c>
      <c r="D72" s="7">
        <v>42549.625</v>
      </c>
      <c r="E72" s="7">
        <v>42549.666666666664</v>
      </c>
    </row>
    <row r="73" spans="1:5" ht="21" x14ac:dyDescent="0.25">
      <c r="A73" s="7" t="s">
        <v>957</v>
      </c>
      <c r="B73" s="8" t="s">
        <v>958</v>
      </c>
      <c r="C73" s="7" t="s">
        <v>16</v>
      </c>
      <c r="D73" s="7">
        <v>42549.625</v>
      </c>
      <c r="E73" s="7">
        <v>42549.75</v>
      </c>
    </row>
    <row r="74" spans="1:5" ht="21" x14ac:dyDescent="0.25">
      <c r="A74" s="7" t="s">
        <v>959</v>
      </c>
      <c r="B74" s="8" t="s">
        <v>960</v>
      </c>
      <c r="C74" s="7" t="s">
        <v>16</v>
      </c>
      <c r="D74" s="7">
        <v>42548.239583333336</v>
      </c>
      <c r="E74" s="7">
        <v>42548.5</v>
      </c>
    </row>
    <row r="75" spans="1:5" ht="21" x14ac:dyDescent="0.25">
      <c r="A75" s="7" t="s">
        <v>961</v>
      </c>
      <c r="B75" s="8" t="s">
        <v>962</v>
      </c>
      <c r="C75" s="7" t="s">
        <v>16</v>
      </c>
      <c r="D75" s="7">
        <v>42549.239583333336</v>
      </c>
      <c r="E75" s="7">
        <v>42549.5</v>
      </c>
    </row>
    <row r="76" spans="1:5" ht="33" x14ac:dyDescent="0.25">
      <c r="A76" s="77" t="s">
        <v>963</v>
      </c>
      <c r="B76" s="16" t="s">
        <v>964</v>
      </c>
      <c r="C76" s="77" t="s">
        <v>16</v>
      </c>
      <c r="D76" s="77">
        <v>42554.916666666664</v>
      </c>
      <c r="E76" s="77">
        <v>42555.25</v>
      </c>
    </row>
    <row r="77" spans="1:5" x14ac:dyDescent="0.25">
      <c r="A77" s="77" t="s">
        <v>965</v>
      </c>
      <c r="B77" s="9" t="s">
        <v>966</v>
      </c>
      <c r="C77" s="77" t="s">
        <v>16</v>
      </c>
      <c r="D77" s="77">
        <v>42552</v>
      </c>
      <c r="E77" s="77">
        <v>42552.25</v>
      </c>
    </row>
    <row r="78" spans="1:5" x14ac:dyDescent="0.25">
      <c r="A78" s="77" t="s">
        <v>967</v>
      </c>
      <c r="B78" s="9" t="s">
        <v>968</v>
      </c>
      <c r="C78" s="77" t="s">
        <v>16</v>
      </c>
      <c r="D78" s="77">
        <v>42552.354166666664</v>
      </c>
      <c r="E78" s="77">
        <v>42552.645833333336</v>
      </c>
    </row>
    <row r="79" spans="1:5" x14ac:dyDescent="0.25">
      <c r="A79" s="77" t="s">
        <v>969</v>
      </c>
      <c r="B79" s="9" t="s">
        <v>970</v>
      </c>
      <c r="C79" s="77" t="s">
        <v>971</v>
      </c>
      <c r="D79" s="77">
        <v>42552.833333333336</v>
      </c>
      <c r="E79" s="77">
        <v>42553.166666666664</v>
      </c>
    </row>
    <row r="80" spans="1:5" ht="40.5" customHeight="1" x14ac:dyDescent="0.25">
      <c r="A80" s="77" t="s">
        <v>937</v>
      </c>
      <c r="B80" s="9" t="s">
        <v>972</v>
      </c>
      <c r="C80" s="77" t="s">
        <v>16</v>
      </c>
      <c r="D80" s="77">
        <v>42554</v>
      </c>
      <c r="E80" s="77">
        <v>42554.25</v>
      </c>
    </row>
    <row r="81" spans="1:5" x14ac:dyDescent="0.25">
      <c r="A81" s="77" t="s">
        <v>973</v>
      </c>
      <c r="B81" s="9" t="s">
        <v>974</v>
      </c>
      <c r="C81" s="77" t="s">
        <v>16</v>
      </c>
      <c r="D81" s="77">
        <v>42555.625</v>
      </c>
      <c r="E81" s="77">
        <v>42555.666666666664</v>
      </c>
    </row>
    <row r="82" spans="1:5" ht="21" x14ac:dyDescent="0.25">
      <c r="A82" s="77" t="s">
        <v>975</v>
      </c>
      <c r="B82" s="9" t="s">
        <v>976</v>
      </c>
      <c r="C82" s="77" t="s">
        <v>16</v>
      </c>
      <c r="D82" s="77">
        <v>42556</v>
      </c>
      <c r="E82" s="77">
        <v>42556.25</v>
      </c>
    </row>
    <row r="83" spans="1:5" x14ac:dyDescent="0.25">
      <c r="A83" s="77" t="s">
        <v>977</v>
      </c>
      <c r="B83" s="9" t="s">
        <v>978</v>
      </c>
      <c r="C83" s="77" t="s">
        <v>16</v>
      </c>
      <c r="D83" s="77">
        <v>42556.875</v>
      </c>
      <c r="E83" s="77">
        <v>42557.25</v>
      </c>
    </row>
    <row r="84" spans="1:5" ht="21" x14ac:dyDescent="0.25">
      <c r="A84" s="77" t="s">
        <v>979</v>
      </c>
      <c r="B84" s="9" t="s">
        <v>980</v>
      </c>
      <c r="C84" s="77" t="s">
        <v>971</v>
      </c>
      <c r="D84" s="77">
        <v>42557</v>
      </c>
      <c r="E84" s="77">
        <v>42557.25</v>
      </c>
    </row>
    <row r="85" spans="1:5" x14ac:dyDescent="0.25">
      <c r="A85" s="77" t="s">
        <v>981</v>
      </c>
      <c r="B85" s="9" t="s">
        <v>982</v>
      </c>
      <c r="C85" s="77" t="s">
        <v>16</v>
      </c>
      <c r="D85" s="77">
        <v>42553</v>
      </c>
      <c r="E85" s="77">
        <v>42553.166666666664</v>
      </c>
    </row>
    <row r="86" spans="1:5" x14ac:dyDescent="0.25">
      <c r="A86" s="7" t="s">
        <v>983</v>
      </c>
      <c r="B86" s="8" t="s">
        <v>984</v>
      </c>
      <c r="C86" s="7" t="s">
        <v>16</v>
      </c>
      <c r="D86" s="7">
        <v>42558</v>
      </c>
      <c r="E86" s="7">
        <v>42558.25</v>
      </c>
    </row>
    <row r="87" spans="1:5" x14ac:dyDescent="0.25">
      <c r="A87" s="7" t="s">
        <v>985</v>
      </c>
      <c r="B87" s="8" t="s">
        <v>986</v>
      </c>
      <c r="C87" s="7" t="s">
        <v>16</v>
      </c>
      <c r="D87" s="7">
        <v>42558.333333333336</v>
      </c>
      <c r="E87" s="7">
        <v>42558.375</v>
      </c>
    </row>
    <row r="88" spans="1:5" ht="42" x14ac:dyDescent="0.25">
      <c r="A88" s="77" t="s">
        <v>987</v>
      </c>
      <c r="B88" s="9" t="s">
        <v>988</v>
      </c>
      <c r="C88" s="77" t="s">
        <v>989</v>
      </c>
      <c r="D88" s="77">
        <v>42560</v>
      </c>
      <c r="E88" s="77">
        <v>42560.25</v>
      </c>
    </row>
    <row r="89" spans="1:5" ht="31.5" x14ac:dyDescent="0.25">
      <c r="A89" s="77" t="s">
        <v>990</v>
      </c>
      <c r="B89" s="9" t="s">
        <v>991</v>
      </c>
      <c r="C89" s="77" t="s">
        <v>16</v>
      </c>
      <c r="D89" s="77">
        <v>42551.833333333336</v>
      </c>
      <c r="E89" s="77">
        <v>42551.916666666664</v>
      </c>
    </row>
    <row r="90" spans="1:5" ht="31.5" x14ac:dyDescent="0.25">
      <c r="A90" s="77" t="s">
        <v>992</v>
      </c>
      <c r="B90" s="9" t="s">
        <v>993</v>
      </c>
      <c r="C90" s="77" t="s">
        <v>16</v>
      </c>
      <c r="D90" s="77">
        <v>42561</v>
      </c>
      <c r="E90" s="77">
        <v>42561</v>
      </c>
    </row>
    <row r="91" spans="1:5" ht="28.5" customHeight="1" x14ac:dyDescent="0.25">
      <c r="A91" s="77" t="s">
        <v>994</v>
      </c>
      <c r="B91" s="9" t="s">
        <v>995</v>
      </c>
      <c r="C91" s="77"/>
      <c r="D91" s="77">
        <v>42563</v>
      </c>
      <c r="E91" s="77">
        <v>42563.25</v>
      </c>
    </row>
    <row r="92" spans="1:5" ht="31.5" x14ac:dyDescent="0.25">
      <c r="A92" s="77" t="s">
        <v>996</v>
      </c>
      <c r="B92" s="9" t="s">
        <v>997</v>
      </c>
      <c r="C92" s="77" t="s">
        <v>874</v>
      </c>
      <c r="D92" s="77">
        <v>42563.833333333336</v>
      </c>
      <c r="E92" s="77">
        <v>42563.916666666664</v>
      </c>
    </row>
    <row r="93" spans="1:5" x14ac:dyDescent="0.25">
      <c r="A93" s="7" t="s">
        <v>998</v>
      </c>
      <c r="B93" s="8" t="s">
        <v>999</v>
      </c>
      <c r="C93" s="7" t="s">
        <v>16</v>
      </c>
      <c r="D93" s="7">
        <v>42568</v>
      </c>
      <c r="E93" s="7">
        <v>42568.25</v>
      </c>
    </row>
    <row r="94" spans="1:5" x14ac:dyDescent="0.25">
      <c r="A94" s="7" t="s">
        <v>1000</v>
      </c>
      <c r="B94" s="8" t="s">
        <v>1001</v>
      </c>
      <c r="C94" s="7" t="s">
        <v>16</v>
      </c>
      <c r="D94" s="7">
        <v>42565.958333333336</v>
      </c>
      <c r="E94" s="7">
        <v>42566.041666666664</v>
      </c>
    </row>
    <row r="95" spans="1:5" ht="21" x14ac:dyDescent="0.25">
      <c r="A95" s="7" t="s">
        <v>1002</v>
      </c>
      <c r="B95" s="8" t="s">
        <v>1003</v>
      </c>
      <c r="C95" s="7" t="s">
        <v>16</v>
      </c>
      <c r="D95" s="7">
        <v>42567.833333333336</v>
      </c>
      <c r="E95" s="7">
        <v>42568.916666666664</v>
      </c>
    </row>
    <row r="96" spans="1:5" x14ac:dyDescent="0.25">
      <c r="A96" s="7" t="s">
        <v>1004</v>
      </c>
      <c r="B96" s="8" t="s">
        <v>1005</v>
      </c>
      <c r="C96" s="7" t="s">
        <v>16</v>
      </c>
      <c r="D96" s="7">
        <v>42572.291666666664</v>
      </c>
      <c r="E96" s="7">
        <v>42572.458333333336</v>
      </c>
    </row>
    <row r="97" spans="1:5" x14ac:dyDescent="0.25">
      <c r="A97" s="7" t="s">
        <v>1006</v>
      </c>
      <c r="B97" s="8" t="s">
        <v>1007</v>
      </c>
      <c r="C97" s="7" t="s">
        <v>16</v>
      </c>
      <c r="D97" s="7">
        <v>42567</v>
      </c>
      <c r="E97" s="7">
        <v>42567.25</v>
      </c>
    </row>
    <row r="98" spans="1:5" x14ac:dyDescent="0.25">
      <c r="A98" s="7" t="s">
        <v>1008</v>
      </c>
      <c r="B98" s="8" t="s">
        <v>1009</v>
      </c>
      <c r="C98" s="7" t="s">
        <v>16</v>
      </c>
      <c r="D98" s="7">
        <v>42570.333333333336</v>
      </c>
      <c r="E98" s="7">
        <v>42570.541666666664</v>
      </c>
    </row>
    <row r="99" spans="1:5" x14ac:dyDescent="0.25">
      <c r="A99" s="7" t="s">
        <v>1010</v>
      </c>
      <c r="B99" s="8" t="s">
        <v>1011</v>
      </c>
      <c r="C99" s="7" t="s">
        <v>16</v>
      </c>
      <c r="D99" s="7">
        <v>42572.333333333336</v>
      </c>
      <c r="E99" s="7">
        <v>42572.541666666664</v>
      </c>
    </row>
    <row r="100" spans="1:5" x14ac:dyDescent="0.25">
      <c r="A100" s="7" t="s">
        <v>1012</v>
      </c>
      <c r="B100" s="8" t="s">
        <v>1013</v>
      </c>
      <c r="C100" s="7" t="s">
        <v>16</v>
      </c>
      <c r="D100" s="7">
        <v>42577.333333333336</v>
      </c>
      <c r="E100" s="7">
        <v>42577.541666666664</v>
      </c>
    </row>
    <row r="101" spans="1:5" x14ac:dyDescent="0.25">
      <c r="A101" s="7" t="s">
        <v>1014</v>
      </c>
      <c r="B101" s="8" t="s">
        <v>1015</v>
      </c>
      <c r="C101" s="7" t="s">
        <v>16</v>
      </c>
      <c r="D101" s="7">
        <v>42578.333333333336</v>
      </c>
      <c r="E101" s="7">
        <v>42578.541666666664</v>
      </c>
    </row>
    <row r="102" spans="1:5" x14ac:dyDescent="0.25">
      <c r="A102" s="77" t="s">
        <v>1016</v>
      </c>
      <c r="B102" s="9" t="s">
        <v>1017</v>
      </c>
      <c r="C102" s="77" t="s">
        <v>16</v>
      </c>
      <c r="D102" s="77">
        <v>42577.791666666664</v>
      </c>
      <c r="E102" s="77">
        <v>42577.979166666664</v>
      </c>
    </row>
    <row r="103" spans="1:5" x14ac:dyDescent="0.25">
      <c r="A103" s="77" t="s">
        <v>1018</v>
      </c>
      <c r="B103" s="9" t="s">
        <v>1019</v>
      </c>
      <c r="C103" s="77" t="s">
        <v>16</v>
      </c>
      <c r="D103" s="77">
        <v>42578.791666666664</v>
      </c>
      <c r="E103" s="77">
        <v>42578.979166666664</v>
      </c>
    </row>
    <row r="104" spans="1:5" ht="31.5" x14ac:dyDescent="0.25">
      <c r="A104" s="77" t="s">
        <v>1020</v>
      </c>
      <c r="B104" s="9" t="s">
        <v>1021</v>
      </c>
      <c r="C104" s="77" t="s">
        <v>886</v>
      </c>
      <c r="D104" s="77">
        <v>42574</v>
      </c>
      <c r="E104" s="77">
        <v>42574.25</v>
      </c>
    </row>
    <row r="105" spans="1:5" ht="52.5" x14ac:dyDescent="0.25">
      <c r="A105" s="77" t="s">
        <v>1022</v>
      </c>
      <c r="B105" s="9" t="s">
        <v>1023</v>
      </c>
      <c r="C105" s="77" t="s">
        <v>1024</v>
      </c>
      <c r="D105" s="77">
        <v>42574</v>
      </c>
      <c r="E105" s="77">
        <v>42574.25</v>
      </c>
    </row>
    <row r="106" spans="1:5" x14ac:dyDescent="0.25">
      <c r="A106" s="77" t="s">
        <v>1025</v>
      </c>
      <c r="B106" s="9" t="s">
        <v>1026</v>
      </c>
      <c r="C106" s="77" t="s">
        <v>16</v>
      </c>
      <c r="D106" s="77">
        <v>42574</v>
      </c>
      <c r="E106" s="77">
        <v>42574.25</v>
      </c>
    </row>
    <row r="107" spans="1:5" x14ac:dyDescent="0.25">
      <c r="A107" s="77" t="s">
        <v>1027</v>
      </c>
      <c r="B107" s="9" t="s">
        <v>1028</v>
      </c>
      <c r="C107" s="77" t="s">
        <v>16</v>
      </c>
      <c r="D107" s="77">
        <v>42574</v>
      </c>
      <c r="E107" s="77">
        <v>42574.25</v>
      </c>
    </row>
    <row r="108" spans="1:5" x14ac:dyDescent="0.25">
      <c r="A108" s="7" t="s">
        <v>1029</v>
      </c>
      <c r="B108" s="8" t="s">
        <v>1030</v>
      </c>
      <c r="C108" s="7" t="s">
        <v>16</v>
      </c>
      <c r="D108" s="7">
        <v>42579.791666666664</v>
      </c>
      <c r="E108" s="7">
        <v>42579.979166666664</v>
      </c>
    </row>
    <row r="109" spans="1:5" x14ac:dyDescent="0.25">
      <c r="A109" s="7" t="s">
        <v>1031</v>
      </c>
      <c r="B109" s="8" t="s">
        <v>1032</v>
      </c>
      <c r="C109" s="7" t="s">
        <v>16</v>
      </c>
      <c r="D109" s="7">
        <v>42579.375</v>
      </c>
      <c r="E109" s="7">
        <v>42579.520833333336</v>
      </c>
    </row>
    <row r="110" spans="1:5" ht="42" x14ac:dyDescent="0.25">
      <c r="A110" s="7" t="s">
        <v>1020</v>
      </c>
      <c r="B110" s="8" t="s">
        <v>1033</v>
      </c>
      <c r="C110" s="7" t="s">
        <v>989</v>
      </c>
      <c r="D110" s="7">
        <v>42582</v>
      </c>
      <c r="E110" s="7">
        <v>42582.25</v>
      </c>
    </row>
    <row r="111" spans="1:5" ht="63" x14ac:dyDescent="0.25">
      <c r="A111" s="7" t="s">
        <v>1022</v>
      </c>
      <c r="B111" s="8" t="s">
        <v>1034</v>
      </c>
      <c r="C111" s="7" t="s">
        <v>1035</v>
      </c>
      <c r="D111" s="7">
        <v>42582</v>
      </c>
      <c r="E111" s="7">
        <v>42582.25</v>
      </c>
    </row>
    <row r="112" spans="1:5" ht="21" x14ac:dyDescent="0.25">
      <c r="A112" s="7" t="s">
        <v>1025</v>
      </c>
      <c r="B112" s="8" t="s">
        <v>1036</v>
      </c>
      <c r="C112" s="7" t="s">
        <v>874</v>
      </c>
      <c r="D112" s="7">
        <v>42582</v>
      </c>
      <c r="E112" s="7">
        <v>42582.25</v>
      </c>
    </row>
    <row r="113" spans="1:5" x14ac:dyDescent="0.25">
      <c r="A113" s="7" t="s">
        <v>1037</v>
      </c>
      <c r="B113" s="8" t="s">
        <v>1038</v>
      </c>
      <c r="C113" s="7" t="s">
        <v>16</v>
      </c>
      <c r="D113" s="7">
        <v>42580</v>
      </c>
      <c r="E113" s="7">
        <v>42580.25</v>
      </c>
    </row>
    <row r="114" spans="1:5" ht="42" x14ac:dyDescent="0.25">
      <c r="A114" s="77" t="s">
        <v>1039</v>
      </c>
      <c r="B114" s="9" t="s">
        <v>1040</v>
      </c>
      <c r="C114" s="77" t="s">
        <v>16</v>
      </c>
      <c r="D114" s="77">
        <v>42587</v>
      </c>
      <c r="E114" s="77">
        <v>42587.25</v>
      </c>
    </row>
    <row r="115" spans="1:5" ht="21" x14ac:dyDescent="0.25">
      <c r="A115" s="77" t="s">
        <v>1041</v>
      </c>
      <c r="B115" s="9" t="s">
        <v>1042</v>
      </c>
      <c r="C115" s="77" t="s">
        <v>16</v>
      </c>
      <c r="D115" s="77">
        <v>42587</v>
      </c>
      <c r="E115" s="77">
        <v>42587.208333333336</v>
      </c>
    </row>
    <row r="116" spans="1:5" x14ac:dyDescent="0.25">
      <c r="A116" s="77" t="s">
        <v>1043</v>
      </c>
      <c r="B116" s="9" t="s">
        <v>1044</v>
      </c>
      <c r="C116" s="77" t="s">
        <v>16</v>
      </c>
      <c r="D116" s="77">
        <v>42587.291666666664</v>
      </c>
      <c r="E116" s="77">
        <v>42587.458333333336</v>
      </c>
    </row>
    <row r="117" spans="1:5" x14ac:dyDescent="0.25">
      <c r="A117" s="77" t="s">
        <v>1045</v>
      </c>
      <c r="B117" s="9" t="s">
        <v>1046</v>
      </c>
      <c r="C117" s="77" t="s">
        <v>16</v>
      </c>
      <c r="D117" s="77">
        <v>42587.666666666664</v>
      </c>
      <c r="E117" s="77">
        <v>42587.916666666664</v>
      </c>
    </row>
    <row r="118" spans="1:5" ht="52.5" x14ac:dyDescent="0.25">
      <c r="A118" s="77" t="s">
        <v>1047</v>
      </c>
      <c r="B118" s="9" t="s">
        <v>1048</v>
      </c>
      <c r="C118" s="77" t="s">
        <v>971</v>
      </c>
      <c r="D118" s="77">
        <v>42588</v>
      </c>
      <c r="E118" s="77">
        <v>42588.25</v>
      </c>
    </row>
    <row r="119" spans="1:5" x14ac:dyDescent="0.25">
      <c r="A119" s="77" t="s">
        <v>1027</v>
      </c>
      <c r="B119" s="9" t="s">
        <v>1028</v>
      </c>
      <c r="C119" s="77" t="s">
        <v>16</v>
      </c>
      <c r="D119" s="77">
        <v>42589</v>
      </c>
      <c r="E119" s="77">
        <v>42589.25</v>
      </c>
    </row>
    <row r="120" spans="1:5" x14ac:dyDescent="0.25">
      <c r="A120" s="77" t="s">
        <v>1049</v>
      </c>
      <c r="B120" s="9" t="s">
        <v>1050</v>
      </c>
      <c r="C120" s="77" t="s">
        <v>16</v>
      </c>
      <c r="D120" s="77">
        <v>42589</v>
      </c>
      <c r="E120" s="77">
        <v>42589.25</v>
      </c>
    </row>
    <row r="121" spans="1:5" ht="73.5" x14ac:dyDescent="0.25">
      <c r="A121" s="77" t="s">
        <v>1051</v>
      </c>
      <c r="B121" s="9" t="s">
        <v>1052</v>
      </c>
      <c r="C121" s="77" t="s">
        <v>16</v>
      </c>
      <c r="D121" s="77">
        <v>42589</v>
      </c>
      <c r="E121" s="77">
        <v>42589.25</v>
      </c>
    </row>
    <row r="122" spans="1:5" ht="31.5" x14ac:dyDescent="0.25">
      <c r="A122" s="77" t="s">
        <v>1053</v>
      </c>
      <c r="B122" s="9" t="s">
        <v>1054</v>
      </c>
      <c r="C122" s="77" t="s">
        <v>16</v>
      </c>
      <c r="D122" s="77">
        <v>42589.708333333336</v>
      </c>
      <c r="E122" s="77">
        <v>42590.25</v>
      </c>
    </row>
    <row r="123" spans="1:5" ht="21" x14ac:dyDescent="0.25">
      <c r="A123" s="77" t="s">
        <v>1055</v>
      </c>
      <c r="B123" s="9" t="s">
        <v>1056</v>
      </c>
      <c r="C123" s="77" t="s">
        <v>16</v>
      </c>
      <c r="D123" s="77">
        <v>42591</v>
      </c>
      <c r="E123" s="77">
        <v>42591.25</v>
      </c>
    </row>
    <row r="124" spans="1:5" ht="66" customHeight="1" x14ac:dyDescent="0.25">
      <c r="A124" s="77" t="s">
        <v>1057</v>
      </c>
      <c r="B124" s="9" t="s">
        <v>1058</v>
      </c>
      <c r="C124" s="77" t="s">
        <v>1059</v>
      </c>
      <c r="D124" s="77">
        <v>42591.916666666664</v>
      </c>
      <c r="E124" s="77">
        <v>42592.041666666664</v>
      </c>
    </row>
    <row r="125" spans="1:5" x14ac:dyDescent="0.25">
      <c r="A125" s="77" t="s">
        <v>1060</v>
      </c>
      <c r="B125" s="9" t="s">
        <v>1061</v>
      </c>
      <c r="C125" s="77" t="s">
        <v>16</v>
      </c>
      <c r="D125" s="77">
        <v>42592</v>
      </c>
      <c r="E125" s="77">
        <v>42592.25</v>
      </c>
    </row>
    <row r="126" spans="1:5" x14ac:dyDescent="0.25">
      <c r="A126" s="77" t="s">
        <v>1062</v>
      </c>
      <c r="B126" s="9" t="s">
        <v>1063</v>
      </c>
      <c r="C126" s="77" t="s">
        <v>16</v>
      </c>
      <c r="D126" s="77">
        <v>42592</v>
      </c>
      <c r="E126" s="77">
        <v>42592.25</v>
      </c>
    </row>
    <row r="127" spans="1:5" ht="21" x14ac:dyDescent="0.25">
      <c r="A127" s="7" t="s">
        <v>1064</v>
      </c>
      <c r="B127" s="8" t="s">
        <v>1065</v>
      </c>
      <c r="C127" s="7" t="s">
        <v>16</v>
      </c>
      <c r="D127" s="7">
        <v>42598</v>
      </c>
      <c r="E127" s="7">
        <v>42598.25</v>
      </c>
    </row>
    <row r="128" spans="1:5" x14ac:dyDescent="0.25">
      <c r="A128" s="7" t="s">
        <v>1066</v>
      </c>
      <c r="B128" s="8" t="s">
        <v>1067</v>
      </c>
      <c r="C128" s="7" t="s">
        <v>971</v>
      </c>
      <c r="D128" s="7">
        <v>42593.708333333336</v>
      </c>
      <c r="E128" s="7">
        <v>42593.958333333336</v>
      </c>
    </row>
    <row r="129" spans="1:5" ht="42" x14ac:dyDescent="0.25">
      <c r="A129" s="7" t="s">
        <v>1068</v>
      </c>
      <c r="B129" s="8" t="s">
        <v>1069</v>
      </c>
      <c r="C129" s="7" t="s">
        <v>16</v>
      </c>
      <c r="D129" s="7">
        <v>42593.833333333336</v>
      </c>
      <c r="E129" s="7">
        <v>42593.916666666664</v>
      </c>
    </row>
    <row r="130" spans="1:5" x14ac:dyDescent="0.25">
      <c r="A130" s="7" t="s">
        <v>1070</v>
      </c>
      <c r="B130" s="8" t="s">
        <v>1071</v>
      </c>
      <c r="C130" s="7" t="s">
        <v>16</v>
      </c>
      <c r="D130" s="7">
        <v>42593.958333333336</v>
      </c>
      <c r="E130" s="7">
        <v>42594.041666666664</v>
      </c>
    </row>
    <row r="131" spans="1:5" x14ac:dyDescent="0.25">
      <c r="A131" s="7" t="s">
        <v>1072</v>
      </c>
      <c r="B131" s="8" t="s">
        <v>1073</v>
      </c>
      <c r="C131" s="7" t="s">
        <v>16</v>
      </c>
      <c r="D131" s="7">
        <v>42596</v>
      </c>
      <c r="E131" s="7">
        <v>42596.25</v>
      </c>
    </row>
    <row r="132" spans="1:5" ht="63" x14ac:dyDescent="0.25">
      <c r="A132" s="7" t="s">
        <v>1074</v>
      </c>
      <c r="B132" s="8" t="s">
        <v>1075</v>
      </c>
      <c r="C132" s="7" t="s">
        <v>1076</v>
      </c>
      <c r="D132" s="7">
        <v>42597</v>
      </c>
      <c r="E132" s="7">
        <v>42597.25</v>
      </c>
    </row>
    <row r="133" spans="1:5" ht="21" x14ac:dyDescent="0.25">
      <c r="A133" s="7" t="s">
        <v>1077</v>
      </c>
      <c r="B133" s="8" t="s">
        <v>1065</v>
      </c>
      <c r="C133" s="7" t="s">
        <v>16</v>
      </c>
      <c r="D133" s="7">
        <v>42598</v>
      </c>
      <c r="E133" s="7">
        <v>42598.25</v>
      </c>
    </row>
    <row r="134" spans="1:5" ht="94.5" x14ac:dyDescent="0.25">
      <c r="A134" s="7" t="s">
        <v>1078</v>
      </c>
      <c r="B134" s="8" t="s">
        <v>1079</v>
      </c>
      <c r="C134" s="7" t="s">
        <v>1080</v>
      </c>
      <c r="D134" s="7">
        <v>42598.916666666664</v>
      </c>
      <c r="E134" s="7">
        <v>42599</v>
      </c>
    </row>
    <row r="135" spans="1:5" x14ac:dyDescent="0.25">
      <c r="A135" s="7" t="s">
        <v>1062</v>
      </c>
      <c r="B135" s="8" t="s">
        <v>1063</v>
      </c>
      <c r="C135" s="7" t="s">
        <v>16</v>
      </c>
      <c r="D135" s="7">
        <v>42599.75</v>
      </c>
      <c r="E135" s="7">
        <v>42600</v>
      </c>
    </row>
    <row r="136" spans="1:5" x14ac:dyDescent="0.25">
      <c r="A136" s="77" t="s">
        <v>1081</v>
      </c>
      <c r="B136" s="9" t="s">
        <v>1082</v>
      </c>
      <c r="C136" s="77" t="s">
        <v>16</v>
      </c>
      <c r="D136" s="77">
        <v>42606.583333333336</v>
      </c>
      <c r="E136" s="77">
        <v>42606.666666666664</v>
      </c>
    </row>
    <row r="137" spans="1:5" x14ac:dyDescent="0.25">
      <c r="A137" s="77" t="s">
        <v>1083</v>
      </c>
      <c r="B137" s="9" t="s">
        <v>1084</v>
      </c>
      <c r="C137" s="77" t="s">
        <v>16</v>
      </c>
      <c r="D137" s="77">
        <v>42601.8125</v>
      </c>
      <c r="E137" s="77">
        <v>42602.0625</v>
      </c>
    </row>
    <row r="138" spans="1:5" x14ac:dyDescent="0.25">
      <c r="A138" s="77" t="s">
        <v>1085</v>
      </c>
      <c r="B138" s="9" t="s">
        <v>1086</v>
      </c>
      <c r="C138" s="77" t="s">
        <v>16</v>
      </c>
      <c r="D138" s="77">
        <v>42602.958333333336</v>
      </c>
      <c r="E138" s="77">
        <v>42603.291666666664</v>
      </c>
    </row>
    <row r="139" spans="1:5" x14ac:dyDescent="0.25">
      <c r="A139" s="77" t="s">
        <v>1087</v>
      </c>
      <c r="B139" s="9" t="s">
        <v>1088</v>
      </c>
      <c r="C139" s="77" t="s">
        <v>16</v>
      </c>
      <c r="D139" s="77">
        <v>42603.958333333336</v>
      </c>
      <c r="E139" s="77">
        <v>42604.083333333336</v>
      </c>
    </row>
    <row r="140" spans="1:5" x14ac:dyDescent="0.25">
      <c r="A140" s="7" t="s">
        <v>1089</v>
      </c>
      <c r="B140" s="8" t="s">
        <v>1090</v>
      </c>
      <c r="C140" s="7" t="s">
        <v>16</v>
      </c>
      <c r="D140" s="7">
        <v>42608.958333333336</v>
      </c>
      <c r="E140" s="7">
        <v>42609.375</v>
      </c>
    </row>
    <row r="141" spans="1:5" ht="31.5" x14ac:dyDescent="0.25">
      <c r="A141" s="7" t="s">
        <v>1091</v>
      </c>
      <c r="B141" s="8" t="s">
        <v>1092</v>
      </c>
      <c r="C141" s="7" t="s">
        <v>16</v>
      </c>
      <c r="D141" s="7">
        <v>42607.75</v>
      </c>
      <c r="E141" s="7">
        <v>42607.916666666664</v>
      </c>
    </row>
    <row r="142" spans="1:5" x14ac:dyDescent="0.25">
      <c r="A142" s="7" t="s">
        <v>1093</v>
      </c>
      <c r="B142" s="8" t="s">
        <v>1094</v>
      </c>
      <c r="C142" s="7" t="s">
        <v>16</v>
      </c>
      <c r="D142" s="7">
        <v>42608.375</v>
      </c>
      <c r="E142" s="7">
        <v>42608.625</v>
      </c>
    </row>
    <row r="143" spans="1:5" x14ac:dyDescent="0.25">
      <c r="A143" s="7" t="s">
        <v>1095</v>
      </c>
      <c r="B143" s="8" t="s">
        <v>1096</v>
      </c>
      <c r="C143" s="7" t="s">
        <v>16</v>
      </c>
      <c r="D143" s="7">
        <v>42611.375</v>
      </c>
      <c r="E143" s="7">
        <v>42611.625</v>
      </c>
    </row>
    <row r="144" spans="1:5" x14ac:dyDescent="0.25">
      <c r="A144" s="7" t="s">
        <v>1097</v>
      </c>
      <c r="B144" s="8" t="s">
        <v>1098</v>
      </c>
      <c r="C144" s="7" t="s">
        <v>16</v>
      </c>
      <c r="D144" s="7">
        <v>42613.375</v>
      </c>
      <c r="E144" s="7">
        <v>42613.625</v>
      </c>
    </row>
    <row r="145" spans="1:5" ht="21" x14ac:dyDescent="0.25">
      <c r="A145" s="7" t="s">
        <v>1099</v>
      </c>
      <c r="B145" s="8" t="s">
        <v>1100</v>
      </c>
      <c r="C145" s="7" t="s">
        <v>16</v>
      </c>
      <c r="D145" s="7">
        <v>42610</v>
      </c>
      <c r="E145" s="7">
        <v>42610.25</v>
      </c>
    </row>
    <row r="146" spans="1:5" x14ac:dyDescent="0.25">
      <c r="A146" s="77" t="s">
        <v>1101</v>
      </c>
      <c r="B146" s="9" t="s">
        <v>1102</v>
      </c>
      <c r="C146" s="77" t="s">
        <v>16</v>
      </c>
      <c r="D146" s="77">
        <v>42616.958333333336</v>
      </c>
      <c r="E146" s="77">
        <v>42617.291666666664</v>
      </c>
    </row>
    <row r="147" spans="1:5" x14ac:dyDescent="0.25">
      <c r="A147" s="77" t="s">
        <v>1103</v>
      </c>
      <c r="B147" s="9" t="s">
        <v>1104</v>
      </c>
      <c r="C147" s="77" t="s">
        <v>16</v>
      </c>
      <c r="D147" s="77">
        <v>42619.375</v>
      </c>
      <c r="E147" s="77">
        <v>42619.645833333336</v>
      </c>
    </row>
    <row r="148" spans="1:5" x14ac:dyDescent="0.25">
      <c r="A148" s="77" t="s">
        <v>1105</v>
      </c>
      <c r="B148" s="9" t="s">
        <v>1106</v>
      </c>
      <c r="C148" s="77" t="s">
        <v>16</v>
      </c>
      <c r="D148" s="77">
        <v>42615.375</v>
      </c>
      <c r="E148" s="77">
        <v>42615.625</v>
      </c>
    </row>
    <row r="149" spans="1:5" x14ac:dyDescent="0.25">
      <c r="A149" s="77" t="s">
        <v>1107</v>
      </c>
      <c r="B149" s="9" t="s">
        <v>1108</v>
      </c>
      <c r="C149" s="77" t="s">
        <v>16</v>
      </c>
      <c r="D149" s="77">
        <v>42615</v>
      </c>
      <c r="E149" s="77">
        <v>42615.25</v>
      </c>
    </row>
    <row r="150" spans="1:5" x14ac:dyDescent="0.25">
      <c r="A150" s="77" t="s">
        <v>1109</v>
      </c>
      <c r="B150" s="9" t="s">
        <v>1110</v>
      </c>
      <c r="C150" s="77" t="s">
        <v>16</v>
      </c>
      <c r="D150" s="77">
        <v>42615</v>
      </c>
      <c r="E150" s="77">
        <v>42615.1875</v>
      </c>
    </row>
    <row r="151" spans="1:5" ht="21" x14ac:dyDescent="0.25">
      <c r="A151" s="77" t="s">
        <v>1002</v>
      </c>
      <c r="B151" s="9" t="s">
        <v>1003</v>
      </c>
      <c r="C151" s="77" t="s">
        <v>16</v>
      </c>
      <c r="D151" s="77">
        <v>42616.833333333336</v>
      </c>
      <c r="E151" s="77">
        <v>42617.916666666664</v>
      </c>
    </row>
    <row r="152" spans="1:5" x14ac:dyDescent="0.25">
      <c r="A152" s="7" t="s">
        <v>1111</v>
      </c>
      <c r="B152" s="8" t="s">
        <v>1112</v>
      </c>
      <c r="C152" s="7" t="s">
        <v>16</v>
      </c>
      <c r="D152" s="7">
        <v>42623.833333333336</v>
      </c>
      <c r="E152" s="7">
        <v>42624.208333333336</v>
      </c>
    </row>
    <row r="153" spans="1:5" x14ac:dyDescent="0.25">
      <c r="A153" s="7" t="s">
        <v>1113</v>
      </c>
      <c r="B153" s="8" t="s">
        <v>1114</v>
      </c>
      <c r="C153" s="7" t="s">
        <v>16</v>
      </c>
      <c r="D153" s="7">
        <v>42626.979166666664</v>
      </c>
      <c r="E153" s="7">
        <v>42627.395833333336</v>
      </c>
    </row>
    <row r="154" spans="1:5" x14ac:dyDescent="0.25">
      <c r="A154" s="7" t="s">
        <v>1115</v>
      </c>
      <c r="B154" s="8" t="s">
        <v>1116</v>
      </c>
      <c r="C154" s="7" t="s">
        <v>16</v>
      </c>
      <c r="D154" s="7">
        <v>42625.375</v>
      </c>
      <c r="E154" s="7">
        <v>42625.458333333336</v>
      </c>
    </row>
    <row r="155" spans="1:5" x14ac:dyDescent="0.25">
      <c r="A155" s="7" t="s">
        <v>1117</v>
      </c>
      <c r="B155" s="8" t="s">
        <v>1118</v>
      </c>
      <c r="C155" s="7" t="s">
        <v>16</v>
      </c>
      <c r="D155" s="7">
        <v>42632.375</v>
      </c>
      <c r="E155" s="7">
        <v>42632.458333333336</v>
      </c>
    </row>
    <row r="156" spans="1:5" x14ac:dyDescent="0.25">
      <c r="A156" s="7" t="s">
        <v>1119</v>
      </c>
      <c r="B156" s="8" t="s">
        <v>1120</v>
      </c>
      <c r="C156" s="7" t="s">
        <v>16</v>
      </c>
      <c r="D156" s="7">
        <v>42622.375</v>
      </c>
      <c r="E156" s="7">
        <v>42622.625</v>
      </c>
    </row>
    <row r="157" spans="1:5" x14ac:dyDescent="0.25">
      <c r="A157" s="7" t="s">
        <v>1121</v>
      </c>
      <c r="B157" s="8" t="s">
        <v>1122</v>
      </c>
      <c r="C157" s="7" t="s">
        <v>16</v>
      </c>
      <c r="D157" s="7">
        <v>42625.375</v>
      </c>
      <c r="E157" s="7">
        <v>42625.625</v>
      </c>
    </row>
    <row r="158" spans="1:5" x14ac:dyDescent="0.25">
      <c r="A158" s="7" t="s">
        <v>1123</v>
      </c>
      <c r="B158" s="8" t="s">
        <v>1124</v>
      </c>
      <c r="C158" s="7" t="s">
        <v>16</v>
      </c>
      <c r="D158" s="7">
        <v>42627.375</v>
      </c>
      <c r="E158" s="7">
        <v>42627.625</v>
      </c>
    </row>
    <row r="159" spans="1:5" x14ac:dyDescent="0.25">
      <c r="A159" s="7" t="s">
        <v>1125</v>
      </c>
      <c r="B159" s="8" t="s">
        <v>1126</v>
      </c>
      <c r="C159" s="7" t="s">
        <v>16</v>
      </c>
      <c r="D159" s="7">
        <v>42622.909722222219</v>
      </c>
      <c r="E159" s="7">
        <v>42622.999305555553</v>
      </c>
    </row>
    <row r="160" spans="1:5" ht="21" x14ac:dyDescent="0.25">
      <c r="A160" s="77" t="s">
        <v>1127</v>
      </c>
      <c r="B160" s="9" t="s">
        <v>1128</v>
      </c>
      <c r="C160" s="77" t="s">
        <v>16</v>
      </c>
      <c r="D160" s="77">
        <v>42628</v>
      </c>
      <c r="E160" s="77"/>
    </row>
    <row r="161" spans="1:5" x14ac:dyDescent="0.25">
      <c r="A161" s="77" t="s">
        <v>1129</v>
      </c>
      <c r="B161" s="9" t="s">
        <v>1130</v>
      </c>
      <c r="C161" s="77" t="s">
        <v>16</v>
      </c>
      <c r="D161" s="77">
        <v>42629.75</v>
      </c>
      <c r="E161" s="77">
        <v>42629.916666666664</v>
      </c>
    </row>
    <row r="162" spans="1:5" x14ac:dyDescent="0.25">
      <c r="A162" s="77" t="s">
        <v>1131</v>
      </c>
      <c r="B162" s="9" t="s">
        <v>1132</v>
      </c>
      <c r="C162" s="77" t="s">
        <v>16</v>
      </c>
      <c r="D162" s="77">
        <v>42629.375</v>
      </c>
      <c r="E162" s="77">
        <v>42629.625</v>
      </c>
    </row>
    <row r="163" spans="1:5" x14ac:dyDescent="0.25">
      <c r="A163" s="77" t="s">
        <v>1133</v>
      </c>
      <c r="B163" s="9" t="s">
        <v>1134</v>
      </c>
      <c r="C163" s="77" t="s">
        <v>16</v>
      </c>
      <c r="D163" s="77">
        <v>42634.375</v>
      </c>
      <c r="E163" s="77">
        <v>42634.625</v>
      </c>
    </row>
    <row r="164" spans="1:5" ht="21" x14ac:dyDescent="0.25">
      <c r="A164" s="77" t="s">
        <v>1135</v>
      </c>
      <c r="B164" s="9" t="s">
        <v>1136</v>
      </c>
      <c r="C164" s="77" t="s">
        <v>16</v>
      </c>
      <c r="D164" s="77">
        <v>42631.958333333336</v>
      </c>
      <c r="E164" s="77">
        <v>42632.041666666664</v>
      </c>
    </row>
    <row r="165" spans="1:5" ht="21" x14ac:dyDescent="0.25">
      <c r="A165" s="77" t="s">
        <v>1137</v>
      </c>
      <c r="B165" s="9" t="s">
        <v>1138</v>
      </c>
      <c r="C165" s="77" t="s">
        <v>16</v>
      </c>
      <c r="D165" s="77">
        <v>42632.291666666664</v>
      </c>
      <c r="E165" s="77">
        <v>42632.583333333336</v>
      </c>
    </row>
    <row r="166" spans="1:5" x14ac:dyDescent="0.25">
      <c r="A166" s="77" t="s">
        <v>1139</v>
      </c>
      <c r="B166" s="9" t="s">
        <v>1140</v>
      </c>
      <c r="C166" s="77" t="s">
        <v>16</v>
      </c>
      <c r="D166" s="77">
        <v>42632.909722222219</v>
      </c>
      <c r="E166" s="77">
        <v>42632.999305555553</v>
      </c>
    </row>
    <row r="167" spans="1:5" x14ac:dyDescent="0.25">
      <c r="A167" s="77" t="s">
        <v>1141</v>
      </c>
      <c r="B167" s="9" t="s">
        <v>1142</v>
      </c>
      <c r="C167" s="77" t="s">
        <v>16</v>
      </c>
      <c r="D167" s="77">
        <v>42629.833333333336</v>
      </c>
      <c r="E167" s="77">
        <v>42630.333333333336</v>
      </c>
    </row>
    <row r="168" spans="1:5" x14ac:dyDescent="0.25">
      <c r="A168" s="77" t="s">
        <v>1143</v>
      </c>
      <c r="B168" s="9" t="s">
        <v>1144</v>
      </c>
      <c r="C168" s="77" t="s">
        <v>16</v>
      </c>
      <c r="D168" s="77">
        <v>42631.916666666664</v>
      </c>
      <c r="E168" s="77">
        <v>42631.999988425923</v>
      </c>
    </row>
    <row r="169" spans="1:5" x14ac:dyDescent="0.25">
      <c r="A169" s="77" t="s">
        <v>1145</v>
      </c>
      <c r="B169" s="9" t="s">
        <v>1082</v>
      </c>
      <c r="C169" s="77" t="s">
        <v>16</v>
      </c>
      <c r="D169" s="77">
        <v>42632.583333333336</v>
      </c>
      <c r="E169" s="77">
        <v>42632.666666666664</v>
      </c>
    </row>
    <row r="170" spans="1:5" x14ac:dyDescent="0.25">
      <c r="A170" s="77" t="s">
        <v>1146</v>
      </c>
      <c r="B170" s="9" t="s">
        <v>1147</v>
      </c>
      <c r="C170" s="77" t="s">
        <v>16</v>
      </c>
      <c r="D170" s="77">
        <v>42634.583333333336</v>
      </c>
      <c r="E170" s="77">
        <v>42634.666666666664</v>
      </c>
    </row>
    <row r="171" spans="1:5" x14ac:dyDescent="0.25">
      <c r="A171" s="77" t="s">
        <v>1148</v>
      </c>
      <c r="B171" s="9" t="s">
        <v>1149</v>
      </c>
      <c r="C171" s="77" t="s">
        <v>16</v>
      </c>
      <c r="D171" s="77">
        <v>42641.583333333336</v>
      </c>
      <c r="E171" s="77">
        <v>42641.666666666664</v>
      </c>
    </row>
    <row r="172" spans="1:5" x14ac:dyDescent="0.25">
      <c r="A172" s="7" t="s">
        <v>1150</v>
      </c>
      <c r="B172" s="8" t="s">
        <v>1151</v>
      </c>
      <c r="C172" s="7" t="s">
        <v>16</v>
      </c>
      <c r="D172" s="7">
        <v>42641.375</v>
      </c>
      <c r="E172" s="7">
        <v>42641.625</v>
      </c>
    </row>
    <row r="173" spans="1:5" x14ac:dyDescent="0.25">
      <c r="A173" s="7" t="s">
        <v>1152</v>
      </c>
      <c r="B173" s="8" t="s">
        <v>1153</v>
      </c>
      <c r="C173" s="7" t="s">
        <v>16</v>
      </c>
      <c r="D173" s="7">
        <v>42645.916666666664</v>
      </c>
      <c r="E173" s="7">
        <v>42646.25</v>
      </c>
    </row>
    <row r="174" spans="1:5" x14ac:dyDescent="0.25">
      <c r="A174" s="7" t="s">
        <v>1154</v>
      </c>
      <c r="B174" s="8" t="s">
        <v>1155</v>
      </c>
      <c r="C174" s="7" t="s">
        <v>16</v>
      </c>
      <c r="D174" s="7">
        <v>42639.625</v>
      </c>
      <c r="E174" s="7">
        <v>42639.666666666664</v>
      </c>
    </row>
    <row r="175" spans="1:5" ht="42" x14ac:dyDescent="0.25">
      <c r="A175" s="7" t="s">
        <v>1156</v>
      </c>
      <c r="B175" s="8" t="s">
        <v>1157</v>
      </c>
      <c r="C175" s="7" t="s">
        <v>16</v>
      </c>
      <c r="D175" s="7">
        <v>42637</v>
      </c>
      <c r="E175" s="7">
        <v>42637.333333333336</v>
      </c>
    </row>
    <row r="176" spans="1:5" x14ac:dyDescent="0.25">
      <c r="A176" s="7" t="s">
        <v>1158</v>
      </c>
      <c r="B176" s="8" t="s">
        <v>1149</v>
      </c>
      <c r="C176" s="7" t="s">
        <v>16</v>
      </c>
      <c r="D176" s="7">
        <v>42641.583333333336</v>
      </c>
      <c r="E176" s="7">
        <v>42641.666666666664</v>
      </c>
    </row>
    <row r="177" spans="1:6" x14ac:dyDescent="0.25">
      <c r="A177" s="7" t="s">
        <v>1159</v>
      </c>
      <c r="B177" s="8" t="s">
        <v>1160</v>
      </c>
      <c r="C177" s="7" t="s">
        <v>16</v>
      </c>
      <c r="D177" s="7">
        <v>42646.583333333336</v>
      </c>
      <c r="E177" s="7">
        <v>42646.666666666664</v>
      </c>
    </row>
    <row r="178" spans="1:6" x14ac:dyDescent="0.25">
      <c r="A178" s="7" t="s">
        <v>1161</v>
      </c>
      <c r="B178" s="8" t="s">
        <v>1162</v>
      </c>
      <c r="C178" s="7" t="s">
        <v>16</v>
      </c>
      <c r="D178" s="7">
        <v>42648.583333333336</v>
      </c>
      <c r="E178" s="7">
        <v>42648.666666666664</v>
      </c>
    </row>
    <row r="179" spans="1:6" ht="21" x14ac:dyDescent="0.25">
      <c r="A179" s="7" t="s">
        <v>1163</v>
      </c>
      <c r="B179" s="8" t="s">
        <v>1164</v>
      </c>
      <c r="C179" s="7" t="s">
        <v>16</v>
      </c>
      <c r="D179" s="7">
        <v>42640.333333333336</v>
      </c>
      <c r="E179" s="7">
        <v>42640.541666666664</v>
      </c>
    </row>
    <row r="180" spans="1:6" x14ac:dyDescent="0.25">
      <c r="A180" s="77" t="s">
        <v>1159</v>
      </c>
      <c r="B180" s="9" t="s">
        <v>1160</v>
      </c>
      <c r="C180" s="77" t="s">
        <v>16</v>
      </c>
      <c r="D180" s="77">
        <v>42646.583333333336</v>
      </c>
      <c r="E180" s="77">
        <v>42646.666666666664</v>
      </c>
    </row>
    <row r="181" spans="1:6" x14ac:dyDescent="0.25">
      <c r="A181" s="77" t="s">
        <v>1165</v>
      </c>
      <c r="B181" s="9" t="s">
        <v>1166</v>
      </c>
      <c r="C181" s="77" t="s">
        <v>16</v>
      </c>
      <c r="D181" s="77">
        <v>42648.583333333336</v>
      </c>
      <c r="E181" s="77">
        <v>42648.666666666664</v>
      </c>
    </row>
    <row r="182" spans="1:6" x14ac:dyDescent="0.25">
      <c r="A182" s="77" t="s">
        <v>1152</v>
      </c>
      <c r="B182" s="9" t="s">
        <v>1153</v>
      </c>
      <c r="C182" s="77" t="s">
        <v>16</v>
      </c>
      <c r="D182" s="77">
        <v>42645.916666666664</v>
      </c>
      <c r="E182" s="77">
        <v>42646.25</v>
      </c>
    </row>
    <row r="183" spans="1:6" x14ac:dyDescent="0.25">
      <c r="A183" s="77" t="s">
        <v>1167</v>
      </c>
      <c r="B183" s="9" t="s">
        <v>1168</v>
      </c>
      <c r="C183" s="77" t="s">
        <v>16</v>
      </c>
      <c r="D183" s="77">
        <v>42648.979166666664</v>
      </c>
      <c r="E183" s="77">
        <v>42649.145833333336</v>
      </c>
    </row>
    <row r="184" spans="1:6" x14ac:dyDescent="0.25">
      <c r="A184" s="77" t="s">
        <v>1169</v>
      </c>
      <c r="B184" s="9" t="s">
        <v>1170</v>
      </c>
      <c r="C184" s="77" t="s">
        <v>16</v>
      </c>
      <c r="D184" s="77">
        <v>42645.625</v>
      </c>
      <c r="E184" s="77">
        <v>42645.958333333336</v>
      </c>
    </row>
    <row r="185" spans="1:6" ht="21" x14ac:dyDescent="0.25">
      <c r="A185" s="7" t="s">
        <v>1171</v>
      </c>
      <c r="B185" s="8" t="s">
        <v>1172</v>
      </c>
      <c r="C185" s="7" t="s">
        <v>16</v>
      </c>
      <c r="D185" s="7">
        <v>42653.979166666664</v>
      </c>
      <c r="E185" s="7">
        <v>42654.270833333336</v>
      </c>
    </row>
    <row r="186" spans="1:6" ht="31.5" x14ac:dyDescent="0.25">
      <c r="A186" s="7" t="s">
        <v>1173</v>
      </c>
      <c r="B186" s="8" t="s">
        <v>1174</v>
      </c>
      <c r="C186" s="7" t="s">
        <v>1175</v>
      </c>
      <c r="D186" s="7">
        <v>42652</v>
      </c>
      <c r="E186" s="7">
        <v>42652.25</v>
      </c>
    </row>
    <row r="187" spans="1:6" x14ac:dyDescent="0.25">
      <c r="A187" s="77" t="s">
        <v>1176</v>
      </c>
      <c r="B187" s="9" t="s">
        <v>1177</v>
      </c>
      <c r="C187" s="77" t="s">
        <v>16</v>
      </c>
      <c r="D187" s="77">
        <v>42660.625</v>
      </c>
      <c r="E187" s="4">
        <v>42660.666666666664</v>
      </c>
      <c r="F187" s="20"/>
    </row>
    <row r="188" spans="1:6" x14ac:dyDescent="0.25">
      <c r="A188" s="77" t="s">
        <v>1178</v>
      </c>
      <c r="B188" s="9" t="s">
        <v>1179</v>
      </c>
      <c r="C188" s="77" t="s">
        <v>16</v>
      </c>
      <c r="D188" s="77">
        <v>42660.395833333336</v>
      </c>
      <c r="E188" s="4">
        <v>42660.5625</v>
      </c>
      <c r="F188" s="21"/>
    </row>
    <row r="189" spans="1:6" x14ac:dyDescent="0.25">
      <c r="A189" s="7" t="s">
        <v>1180</v>
      </c>
      <c r="B189" s="8" t="s">
        <v>1181</v>
      </c>
      <c r="C189" s="7" t="s">
        <v>16</v>
      </c>
      <c r="D189" s="7">
        <v>42668.333333333336</v>
      </c>
      <c r="E189" s="19">
        <v>42668.541666666664</v>
      </c>
      <c r="F189" s="21"/>
    </row>
    <row r="190" spans="1:6" x14ac:dyDescent="0.25">
      <c r="A190" s="7" t="s">
        <v>1182</v>
      </c>
      <c r="B190" s="8" t="s">
        <v>1183</v>
      </c>
      <c r="C190" s="7" t="s">
        <v>16</v>
      </c>
      <c r="D190" s="7">
        <v>42665</v>
      </c>
      <c r="E190" s="19">
        <v>42665.166666666664</v>
      </c>
      <c r="F190" s="21"/>
    </row>
    <row r="191" spans="1:6" x14ac:dyDescent="0.25">
      <c r="A191" s="7" t="s">
        <v>1184</v>
      </c>
      <c r="B191" s="8" t="s">
        <v>1185</v>
      </c>
      <c r="C191" s="7" t="s">
        <v>16</v>
      </c>
      <c r="D191" s="7">
        <v>42666.916666666664</v>
      </c>
      <c r="E191" s="19">
        <v>42666.957638888889</v>
      </c>
      <c r="F191" s="21"/>
    </row>
    <row r="192" spans="1:6" x14ac:dyDescent="0.25">
      <c r="A192" s="7" t="s">
        <v>1186</v>
      </c>
      <c r="B192" s="8" t="s">
        <v>1187</v>
      </c>
      <c r="C192" s="7" t="s">
        <v>16</v>
      </c>
      <c r="D192" s="7">
        <v>42663.666666666664</v>
      </c>
      <c r="E192" s="19">
        <v>42663.75</v>
      </c>
      <c r="F192" s="21"/>
    </row>
    <row r="193" spans="1:6" ht="21" x14ac:dyDescent="0.25">
      <c r="A193" s="7" t="s">
        <v>1188</v>
      </c>
      <c r="B193" s="8" t="s">
        <v>1189</v>
      </c>
      <c r="C193" s="7" t="s">
        <v>16</v>
      </c>
      <c r="D193" s="7">
        <v>42666</v>
      </c>
      <c r="E193" s="19">
        <v>42666.083333333336</v>
      </c>
      <c r="F193" s="21"/>
    </row>
    <row r="194" spans="1:6" ht="21" x14ac:dyDescent="0.25">
      <c r="A194" s="7" t="s">
        <v>1190</v>
      </c>
      <c r="B194" s="8" t="s">
        <v>1191</v>
      </c>
      <c r="C194" s="7" t="s">
        <v>16</v>
      </c>
      <c r="D194" s="7">
        <v>42667.979166666664</v>
      </c>
      <c r="E194" s="19">
        <v>42668.270833333336</v>
      </c>
      <c r="F194" s="21"/>
    </row>
    <row r="195" spans="1:6" ht="21" x14ac:dyDescent="0.25">
      <c r="A195" s="7" t="s">
        <v>1192</v>
      </c>
      <c r="B195" s="8" t="s">
        <v>1193</v>
      </c>
      <c r="C195" s="7" t="s">
        <v>16</v>
      </c>
      <c r="D195" s="7">
        <v>42664.958333333336</v>
      </c>
      <c r="E195" s="19">
        <v>42665.208333333336</v>
      </c>
      <c r="F195" s="21"/>
    </row>
    <row r="196" spans="1:6" x14ac:dyDescent="0.25">
      <c r="A196" s="7" t="s">
        <v>1194</v>
      </c>
      <c r="B196" s="8" t="s">
        <v>1195</v>
      </c>
      <c r="C196" s="7" t="s">
        <v>16</v>
      </c>
      <c r="D196" s="7">
        <v>42664.291666666664</v>
      </c>
      <c r="E196" s="19">
        <v>42664.333333333336</v>
      </c>
      <c r="F196" s="21"/>
    </row>
    <row r="197" spans="1:6" ht="31.5" x14ac:dyDescent="0.25">
      <c r="A197" s="7" t="s">
        <v>1196</v>
      </c>
      <c r="B197" s="8" t="s">
        <v>1197</v>
      </c>
      <c r="C197" s="7" t="s">
        <v>16</v>
      </c>
      <c r="D197" s="7">
        <v>42664.791666666664</v>
      </c>
      <c r="E197" s="19">
        <v>42664.875</v>
      </c>
      <c r="F197" s="21"/>
    </row>
    <row r="198" spans="1:6" x14ac:dyDescent="0.25">
      <c r="A198" s="7" t="s">
        <v>1198</v>
      </c>
      <c r="B198" s="8" t="s">
        <v>1199</v>
      </c>
      <c r="C198" s="7" t="s">
        <v>16</v>
      </c>
      <c r="D198" s="7">
        <v>42667.916666666664</v>
      </c>
      <c r="E198" s="19">
        <v>42667.958333333336</v>
      </c>
      <c r="F198" s="21"/>
    </row>
    <row r="199" spans="1:6" ht="31.5" x14ac:dyDescent="0.25">
      <c r="A199" s="7" t="s">
        <v>1200</v>
      </c>
      <c r="B199" s="8" t="s">
        <v>1201</v>
      </c>
      <c r="C199" s="7" t="s">
        <v>16</v>
      </c>
      <c r="D199" s="7">
        <v>42666</v>
      </c>
      <c r="E199" s="19">
        <v>42666.166666666664</v>
      </c>
      <c r="F199" s="21"/>
    </row>
    <row r="200" spans="1:6" x14ac:dyDescent="0.25">
      <c r="A200" s="77" t="s">
        <v>1202</v>
      </c>
      <c r="B200" s="9" t="s">
        <v>1203</v>
      </c>
      <c r="C200" s="77" t="s">
        <v>16</v>
      </c>
      <c r="D200" s="77">
        <v>42673.625</v>
      </c>
      <c r="E200" s="77">
        <v>42673.958333333336</v>
      </c>
    </row>
    <row r="201" spans="1:6" ht="31.5" x14ac:dyDescent="0.25">
      <c r="A201" s="77" t="s">
        <v>1204</v>
      </c>
      <c r="B201" s="9" t="s">
        <v>1205</v>
      </c>
      <c r="C201" s="77" t="s">
        <v>16</v>
      </c>
      <c r="D201" s="77">
        <v>42670.833333333336</v>
      </c>
      <c r="E201" s="77">
        <v>42670.916666666664</v>
      </c>
    </row>
    <row r="202" spans="1:6" ht="21" x14ac:dyDescent="0.25">
      <c r="A202" s="77" t="s">
        <v>1206</v>
      </c>
      <c r="B202" s="9" t="s">
        <v>1207</v>
      </c>
      <c r="C202" s="77" t="s">
        <v>16</v>
      </c>
      <c r="D202" s="77">
        <v>42676.416666666664</v>
      </c>
      <c r="E202" s="77">
        <v>42676.583333333336</v>
      </c>
    </row>
    <row r="203" spans="1:6" ht="21" x14ac:dyDescent="0.25">
      <c r="A203" s="77" t="s">
        <v>1208</v>
      </c>
      <c r="B203" s="9" t="s">
        <v>1209</v>
      </c>
      <c r="C203" s="77" t="s">
        <v>16</v>
      </c>
      <c r="D203" s="77">
        <v>42677.416666666664</v>
      </c>
      <c r="E203" s="77">
        <v>42677.583333333336</v>
      </c>
    </row>
    <row r="204" spans="1:6" ht="21" x14ac:dyDescent="0.25">
      <c r="A204" s="77" t="s">
        <v>1210</v>
      </c>
      <c r="B204" s="9" t="s">
        <v>1211</v>
      </c>
      <c r="C204" s="77" t="s">
        <v>16</v>
      </c>
      <c r="D204" s="77">
        <v>42678.416666666664</v>
      </c>
      <c r="E204" s="77">
        <v>42678.583333333336</v>
      </c>
    </row>
    <row r="205" spans="1:6" x14ac:dyDescent="0.25">
      <c r="A205" s="7" t="s">
        <v>1212</v>
      </c>
      <c r="B205" s="8" t="s">
        <v>1213</v>
      </c>
      <c r="C205" s="7" t="s">
        <v>16</v>
      </c>
      <c r="D205" s="7">
        <v>42682.375</v>
      </c>
      <c r="E205" s="7">
        <v>42682.541666666664</v>
      </c>
    </row>
    <row r="206" spans="1:6" ht="21" x14ac:dyDescent="0.25">
      <c r="A206" s="7" t="s">
        <v>1214</v>
      </c>
      <c r="B206" s="8" t="s">
        <v>1215</v>
      </c>
      <c r="C206" s="7" t="s">
        <v>16</v>
      </c>
      <c r="D206" s="7">
        <v>42681.75</v>
      </c>
      <c r="E206" s="7">
        <v>42681.916666666664</v>
      </c>
    </row>
    <row r="207" spans="1:6" ht="21" x14ac:dyDescent="0.25">
      <c r="A207" s="7" t="s">
        <v>1216</v>
      </c>
      <c r="B207" s="8" t="s">
        <v>1217</v>
      </c>
      <c r="C207" s="7" t="s">
        <v>16</v>
      </c>
      <c r="D207" s="7">
        <v>42682.416666666664</v>
      </c>
      <c r="E207" s="7">
        <v>42682.583333333336</v>
      </c>
    </row>
    <row r="208" spans="1:6" ht="21" x14ac:dyDescent="0.25">
      <c r="A208" s="7" t="s">
        <v>1218</v>
      </c>
      <c r="B208" s="8" t="s">
        <v>1219</v>
      </c>
      <c r="C208" s="7" t="s">
        <v>16</v>
      </c>
      <c r="D208" s="7">
        <v>42684.416666666664</v>
      </c>
      <c r="E208" s="7">
        <v>42684.583333333336</v>
      </c>
    </row>
    <row r="209" spans="1:5" x14ac:dyDescent="0.25">
      <c r="A209" s="7" t="s">
        <v>1180</v>
      </c>
      <c r="B209" s="8" t="s">
        <v>1181</v>
      </c>
      <c r="C209" s="7" t="s">
        <v>16</v>
      </c>
      <c r="D209" s="7">
        <v>42681.333333333336</v>
      </c>
      <c r="E209" s="7">
        <v>42681.541666666664</v>
      </c>
    </row>
    <row r="210" spans="1:5" x14ac:dyDescent="0.25">
      <c r="A210" s="7" t="s">
        <v>1220</v>
      </c>
      <c r="B210" s="8" t="s">
        <v>1221</v>
      </c>
      <c r="C210" s="7" t="s">
        <v>16</v>
      </c>
      <c r="D210" s="7">
        <v>42680.625</v>
      </c>
      <c r="E210" s="7">
        <v>42680.958333333336</v>
      </c>
    </row>
    <row r="211" spans="1:5" ht="42" x14ac:dyDescent="0.25">
      <c r="A211" s="7" t="s">
        <v>1222</v>
      </c>
      <c r="B211" s="22" t="s">
        <v>1223</v>
      </c>
      <c r="C211" s="7"/>
      <c r="D211" s="7">
        <v>42677.979166666664</v>
      </c>
      <c r="E211" s="7">
        <v>42678.0625</v>
      </c>
    </row>
    <row r="212" spans="1:5" x14ac:dyDescent="0.25">
      <c r="A212" s="77" t="s">
        <v>1224</v>
      </c>
      <c r="B212" s="9" t="s">
        <v>1225</v>
      </c>
      <c r="C212" s="77" t="s">
        <v>16</v>
      </c>
      <c r="D212" s="77">
        <v>42689.291666666664</v>
      </c>
      <c r="E212" s="77">
        <v>42689.375</v>
      </c>
    </row>
    <row r="213" spans="1:5" x14ac:dyDescent="0.25">
      <c r="A213" s="77" t="s">
        <v>1226</v>
      </c>
      <c r="B213" s="9" t="s">
        <v>1227</v>
      </c>
      <c r="C213" s="77" t="s">
        <v>16</v>
      </c>
      <c r="D213" s="77">
        <v>42687.625</v>
      </c>
      <c r="E213" s="77">
        <v>42687.958333333336</v>
      </c>
    </row>
    <row r="214" spans="1:5" ht="21" x14ac:dyDescent="0.25">
      <c r="A214" s="77" t="s">
        <v>1228</v>
      </c>
      <c r="B214" s="9" t="s">
        <v>1229</v>
      </c>
      <c r="C214" s="77" t="s">
        <v>16</v>
      </c>
      <c r="D214" s="77">
        <v>42688.416666666664</v>
      </c>
      <c r="E214" s="77">
        <v>42688.583333333336</v>
      </c>
    </row>
    <row r="215" spans="1:5" ht="21" x14ac:dyDescent="0.25">
      <c r="A215" s="77" t="s">
        <v>1230</v>
      </c>
      <c r="B215" s="9" t="s">
        <v>1231</v>
      </c>
      <c r="C215" s="77" t="s">
        <v>16</v>
      </c>
      <c r="D215" s="77">
        <v>42690.375</v>
      </c>
      <c r="E215" s="77">
        <v>42690.5</v>
      </c>
    </row>
    <row r="216" spans="1:5" ht="42" x14ac:dyDescent="0.25">
      <c r="A216" s="77" t="s">
        <v>1232</v>
      </c>
      <c r="B216" s="9" t="s">
        <v>1233</v>
      </c>
      <c r="C216" s="77"/>
      <c r="D216" s="77"/>
      <c r="E216" s="77"/>
    </row>
    <row r="217" spans="1:5" x14ac:dyDescent="0.25">
      <c r="A217" s="77" t="s">
        <v>1234</v>
      </c>
      <c r="B217" s="9" t="s">
        <v>1235</v>
      </c>
      <c r="C217" s="77" t="s">
        <v>16</v>
      </c>
      <c r="D217" s="23">
        <v>42687.916666666664</v>
      </c>
      <c r="E217" s="23">
        <v>42688.25</v>
      </c>
    </row>
    <row r="218" spans="1:5" ht="52.5" x14ac:dyDescent="0.25">
      <c r="A218" s="77" t="s">
        <v>1236</v>
      </c>
      <c r="B218" s="9" t="s">
        <v>1237</v>
      </c>
      <c r="C218" s="77" t="s">
        <v>16</v>
      </c>
      <c r="D218" s="3">
        <v>42688.916666666664</v>
      </c>
      <c r="E218" s="3">
        <v>42689.25</v>
      </c>
    </row>
    <row r="219" spans="1:5" x14ac:dyDescent="0.25">
      <c r="A219" s="77" t="s">
        <v>1238</v>
      </c>
      <c r="B219" s="9" t="s">
        <v>1239</v>
      </c>
      <c r="C219" s="77" t="s">
        <v>16</v>
      </c>
      <c r="D219" s="23">
        <v>42689.916666666664</v>
      </c>
      <c r="E219" s="23">
        <v>42690.25</v>
      </c>
    </row>
    <row r="220" spans="1:5" ht="31.5" x14ac:dyDescent="0.25">
      <c r="A220" s="77" t="s">
        <v>1240</v>
      </c>
      <c r="B220" s="9" t="s">
        <v>1241</v>
      </c>
      <c r="C220" s="77" t="s">
        <v>16</v>
      </c>
      <c r="D220" s="23">
        <v>42690.916666666664</v>
      </c>
      <c r="E220" s="23">
        <v>42691.25</v>
      </c>
    </row>
    <row r="221" spans="1:5" ht="94.5" x14ac:dyDescent="0.25">
      <c r="A221" s="77" t="s">
        <v>1242</v>
      </c>
      <c r="B221" s="9" t="s">
        <v>1243</v>
      </c>
      <c r="C221" s="77" t="s">
        <v>16</v>
      </c>
      <c r="D221" s="23">
        <v>42691.916666666664</v>
      </c>
      <c r="E221" s="23">
        <v>42692.25</v>
      </c>
    </row>
    <row r="222" spans="1:5" ht="63" x14ac:dyDescent="0.25">
      <c r="A222" s="77" t="s">
        <v>1244</v>
      </c>
      <c r="B222" s="9" t="s">
        <v>1245</v>
      </c>
      <c r="C222" s="77" t="s">
        <v>16</v>
      </c>
      <c r="D222" s="23">
        <v>42694.916666666664</v>
      </c>
      <c r="E222" s="23">
        <v>42695.25</v>
      </c>
    </row>
    <row r="223" spans="1:5" ht="31.5" x14ac:dyDescent="0.25">
      <c r="A223" s="77" t="s">
        <v>1246</v>
      </c>
      <c r="B223" s="9" t="s">
        <v>1247</v>
      </c>
      <c r="C223" s="77" t="s">
        <v>16</v>
      </c>
      <c r="D223" s="77">
        <v>42688.75</v>
      </c>
      <c r="E223" s="77">
        <v>42688.875</v>
      </c>
    </row>
    <row r="224" spans="1:5" x14ac:dyDescent="0.25">
      <c r="A224" s="77" t="s">
        <v>1248</v>
      </c>
      <c r="B224" s="9" t="s">
        <v>1249</v>
      </c>
      <c r="C224" s="77" t="s">
        <v>16</v>
      </c>
      <c r="D224" s="77">
        <v>42684.916666666664</v>
      </c>
      <c r="E224" s="77">
        <v>42685.083333333336</v>
      </c>
    </row>
    <row r="225" spans="1:5" x14ac:dyDescent="0.25">
      <c r="A225" s="77" t="s">
        <v>1250</v>
      </c>
      <c r="B225" s="9" t="s">
        <v>1251</v>
      </c>
      <c r="C225" s="77" t="s">
        <v>16</v>
      </c>
      <c r="D225" s="77">
        <v>42689</v>
      </c>
      <c r="E225" s="77">
        <v>42689.041666666664</v>
      </c>
    </row>
    <row r="226" spans="1:5" ht="21" x14ac:dyDescent="0.25">
      <c r="A226" s="77" t="s">
        <v>1252</v>
      </c>
      <c r="B226" s="9" t="s">
        <v>1253</v>
      </c>
      <c r="C226" s="77" t="s">
        <v>16</v>
      </c>
      <c r="D226" s="77">
        <v>42691.375</v>
      </c>
      <c r="E226" s="77">
        <v>42691.541666666664</v>
      </c>
    </row>
    <row r="227" spans="1:5" x14ac:dyDescent="0.25">
      <c r="A227" s="77" t="s">
        <v>1254</v>
      </c>
      <c r="B227" s="9" t="s">
        <v>1255</v>
      </c>
      <c r="C227" s="77" t="s">
        <v>16</v>
      </c>
      <c r="D227" s="77">
        <v>42688.625</v>
      </c>
      <c r="E227" s="77">
        <v>42688.666666666664</v>
      </c>
    </row>
    <row r="228" spans="1:5" ht="31.5" x14ac:dyDescent="0.25">
      <c r="A228" s="7" t="s">
        <v>1256</v>
      </c>
      <c r="B228" s="8" t="s">
        <v>1257</v>
      </c>
      <c r="C228" s="7" t="s">
        <v>16</v>
      </c>
      <c r="D228" s="7">
        <v>42691.75</v>
      </c>
      <c r="E228" s="7">
        <v>42691.916666666664</v>
      </c>
    </row>
    <row r="229" spans="1:5" ht="21" x14ac:dyDescent="0.25">
      <c r="A229" s="7" t="s">
        <v>1258</v>
      </c>
      <c r="B229" s="8" t="s">
        <v>1259</v>
      </c>
      <c r="C229" s="7" t="s">
        <v>16</v>
      </c>
      <c r="D229" s="7">
        <v>42695.375</v>
      </c>
      <c r="E229" s="7">
        <v>42695.5</v>
      </c>
    </row>
    <row r="230" spans="1:5" ht="21" x14ac:dyDescent="0.25">
      <c r="A230" s="7" t="s">
        <v>1260</v>
      </c>
      <c r="B230" s="8" t="s">
        <v>1261</v>
      </c>
      <c r="C230" s="7" t="s">
        <v>16</v>
      </c>
      <c r="D230" s="7">
        <v>42696.375</v>
      </c>
      <c r="E230" s="7">
        <v>42696.5</v>
      </c>
    </row>
    <row r="231" spans="1:5" ht="21" x14ac:dyDescent="0.25">
      <c r="A231" s="7" t="s">
        <v>1262</v>
      </c>
      <c r="B231" s="8" t="s">
        <v>1263</v>
      </c>
      <c r="C231" s="7" t="s">
        <v>16</v>
      </c>
      <c r="D231" s="7">
        <v>42697.375</v>
      </c>
      <c r="E231" s="7">
        <v>42697.5</v>
      </c>
    </row>
    <row r="232" spans="1:5" x14ac:dyDescent="0.25">
      <c r="A232" s="7" t="s">
        <v>1264</v>
      </c>
      <c r="B232" s="8" t="s">
        <v>1265</v>
      </c>
      <c r="C232" s="7" t="s">
        <v>16</v>
      </c>
      <c r="D232" s="7">
        <v>42695.583333333336</v>
      </c>
      <c r="E232" s="7">
        <v>42695.666666666664</v>
      </c>
    </row>
    <row r="233" spans="1:5" x14ac:dyDescent="0.25">
      <c r="A233" s="7" t="s">
        <v>1266</v>
      </c>
      <c r="B233" s="8" t="s">
        <v>1267</v>
      </c>
      <c r="C233" s="7" t="s">
        <v>16</v>
      </c>
      <c r="D233" s="7">
        <v>42696.375</v>
      </c>
      <c r="E233" s="7">
        <v>42696.541666666664</v>
      </c>
    </row>
    <row r="234" spans="1:5" x14ac:dyDescent="0.25">
      <c r="A234" s="7" t="s">
        <v>1268</v>
      </c>
      <c r="B234" s="8" t="s">
        <v>1269</v>
      </c>
      <c r="C234" s="7" t="s">
        <v>16</v>
      </c>
      <c r="D234" s="7">
        <v>42694.958333333336</v>
      </c>
      <c r="E234" s="7">
        <v>42695.0625</v>
      </c>
    </row>
    <row r="235" spans="1:5" x14ac:dyDescent="0.25">
      <c r="A235" s="7" t="s">
        <v>1270</v>
      </c>
      <c r="B235" s="8" t="s">
        <v>1271</v>
      </c>
      <c r="C235" s="7" t="s">
        <v>16</v>
      </c>
      <c r="D235" s="7">
        <v>42692.000694444447</v>
      </c>
      <c r="E235" s="7">
        <v>42692.084027777775</v>
      </c>
    </row>
    <row r="236" spans="1:5" x14ac:dyDescent="0.25">
      <c r="A236" s="7" t="s">
        <v>1272</v>
      </c>
      <c r="B236" s="8" t="s">
        <v>1273</v>
      </c>
      <c r="C236" s="7" t="s">
        <v>16</v>
      </c>
      <c r="D236" s="7">
        <v>42693.5</v>
      </c>
      <c r="E236" s="7">
        <v>42694.75</v>
      </c>
    </row>
    <row r="237" spans="1:5" x14ac:dyDescent="0.25">
      <c r="A237" s="7" t="s">
        <v>1274</v>
      </c>
      <c r="B237" s="8" t="s">
        <v>1275</v>
      </c>
      <c r="C237" s="7" t="s">
        <v>16</v>
      </c>
      <c r="D237" s="7">
        <v>42691.916666666664</v>
      </c>
      <c r="E237" s="7">
        <v>42692.083333333336</v>
      </c>
    </row>
    <row r="238" spans="1:5" ht="21" x14ac:dyDescent="0.25">
      <c r="A238" s="7" t="s">
        <v>1276</v>
      </c>
      <c r="B238" s="8" t="s">
        <v>1277</v>
      </c>
      <c r="C238" s="7" t="s">
        <v>16</v>
      </c>
      <c r="D238" s="7">
        <v>42694</v>
      </c>
      <c r="E238" s="7">
        <v>42694.25</v>
      </c>
    </row>
    <row r="239" spans="1:5" x14ac:dyDescent="0.25">
      <c r="A239" s="7" t="s">
        <v>1278</v>
      </c>
      <c r="B239" s="8" t="s">
        <v>1279</v>
      </c>
      <c r="C239" s="7" t="s">
        <v>16</v>
      </c>
      <c r="D239" s="7">
        <v>42697.395833333336</v>
      </c>
      <c r="E239" s="7">
        <v>42697.5625</v>
      </c>
    </row>
    <row r="240" spans="1:5" ht="31.5" x14ac:dyDescent="0.25">
      <c r="A240" s="7" t="s">
        <v>1280</v>
      </c>
      <c r="B240" s="8" t="s">
        <v>1281</v>
      </c>
      <c r="C240" s="7" t="s">
        <v>16</v>
      </c>
      <c r="D240" s="7">
        <v>42693.416666666664</v>
      </c>
      <c r="E240" s="7">
        <v>42694.916666666664</v>
      </c>
    </row>
    <row r="241" spans="1:5" x14ac:dyDescent="0.25">
      <c r="A241" s="7" t="s">
        <v>1282</v>
      </c>
      <c r="B241" s="8" t="s">
        <v>1283</v>
      </c>
      <c r="C241" s="7" t="s">
        <v>16</v>
      </c>
      <c r="D241" s="7">
        <v>42694.916666666664</v>
      </c>
      <c r="E241" s="7">
        <v>42694.999988425923</v>
      </c>
    </row>
    <row r="242" spans="1:5" ht="31.5" x14ac:dyDescent="0.25">
      <c r="A242" s="77" t="s">
        <v>1284</v>
      </c>
      <c r="B242" s="9" t="s">
        <v>1285</v>
      </c>
      <c r="C242" s="77" t="s">
        <v>16</v>
      </c>
      <c r="D242" s="77">
        <v>42703.75</v>
      </c>
      <c r="E242" s="77">
        <v>42703.875</v>
      </c>
    </row>
    <row r="243" spans="1:5" x14ac:dyDescent="0.25">
      <c r="A243" s="77" t="s">
        <v>1286</v>
      </c>
      <c r="B243" s="9" t="s">
        <v>1287</v>
      </c>
      <c r="C243" s="77" t="s">
        <v>16</v>
      </c>
      <c r="D243" s="77">
        <v>42698.833333333336</v>
      </c>
      <c r="E243" s="77">
        <v>42699.291666666664</v>
      </c>
    </row>
    <row r="244" spans="1:5" x14ac:dyDescent="0.25">
      <c r="A244" s="77" t="s">
        <v>1288</v>
      </c>
      <c r="B244" s="9" t="s">
        <v>1289</v>
      </c>
      <c r="C244" s="77" t="s">
        <v>16</v>
      </c>
      <c r="D244" s="77">
        <v>42698.791666666664</v>
      </c>
      <c r="E244" s="77">
        <v>42698.916666666664</v>
      </c>
    </row>
    <row r="245" spans="1:5" x14ac:dyDescent="0.25">
      <c r="A245" s="77" t="s">
        <v>1290</v>
      </c>
      <c r="B245" s="9" t="s">
        <v>1291</v>
      </c>
      <c r="C245" s="77" t="s">
        <v>16</v>
      </c>
      <c r="D245" s="77">
        <v>42699</v>
      </c>
      <c r="E245" s="77">
        <v>42699.166666666664</v>
      </c>
    </row>
    <row r="246" spans="1:5" x14ac:dyDescent="0.25">
      <c r="A246" s="77" t="s">
        <v>1292</v>
      </c>
      <c r="B246" s="9" t="s">
        <v>1293</v>
      </c>
      <c r="C246" s="77" t="s">
        <v>16</v>
      </c>
      <c r="D246" s="77">
        <v>42700.958333333336</v>
      </c>
      <c r="E246" s="77">
        <v>42701.333333333336</v>
      </c>
    </row>
    <row r="247" spans="1:5" x14ac:dyDescent="0.25">
      <c r="A247" s="77" t="s">
        <v>1294</v>
      </c>
      <c r="B247" s="9" t="s">
        <v>1295</v>
      </c>
      <c r="C247" s="77" t="s">
        <v>16</v>
      </c>
      <c r="D247" s="77">
        <v>42703.333333333336</v>
      </c>
      <c r="E247" s="77">
        <v>42703.458333333336</v>
      </c>
    </row>
    <row r="248" spans="1:5" x14ac:dyDescent="0.25">
      <c r="A248" s="77" t="s">
        <v>1296</v>
      </c>
      <c r="B248" s="9" t="s">
        <v>1297</v>
      </c>
      <c r="C248" s="77" t="s">
        <v>16</v>
      </c>
      <c r="D248" s="77">
        <v>42704.333333333336</v>
      </c>
      <c r="E248" s="77">
        <v>42704.458333333336</v>
      </c>
    </row>
    <row r="249" spans="1:5" x14ac:dyDescent="0.25">
      <c r="A249" s="77" t="s">
        <v>1298</v>
      </c>
      <c r="B249" s="9" t="s">
        <v>1299</v>
      </c>
      <c r="C249" s="77" t="s">
        <v>16</v>
      </c>
      <c r="D249" s="77">
        <v>42701.875</v>
      </c>
      <c r="E249" s="77">
        <v>42702.083333333336</v>
      </c>
    </row>
    <row r="250" spans="1:5" x14ac:dyDescent="0.25">
      <c r="A250" s="77" t="s">
        <v>1300</v>
      </c>
      <c r="B250" s="9" t="s">
        <v>1301</v>
      </c>
      <c r="C250" s="77" t="s">
        <v>16</v>
      </c>
      <c r="D250" s="77">
        <v>42698.916666666664</v>
      </c>
      <c r="E250" s="77">
        <v>42699.041666666664</v>
      </c>
    </row>
    <row r="251" spans="1:5" x14ac:dyDescent="0.25">
      <c r="A251" s="77" t="s">
        <v>1302</v>
      </c>
      <c r="B251" s="9" t="s">
        <v>1303</v>
      </c>
      <c r="C251" s="77" t="s">
        <v>16</v>
      </c>
      <c r="D251" s="77">
        <v>42698.333333333336</v>
      </c>
      <c r="E251" s="77">
        <v>42698.583333333336</v>
      </c>
    </row>
    <row r="252" spans="1:5" ht="21" x14ac:dyDescent="0.25">
      <c r="A252" s="77" t="s">
        <v>1304</v>
      </c>
      <c r="B252" s="9" t="s">
        <v>1305</v>
      </c>
      <c r="C252" s="77" t="s">
        <v>16</v>
      </c>
      <c r="D252" s="77">
        <v>42702.791666666664</v>
      </c>
      <c r="E252" s="77">
        <v>42702.916666666664</v>
      </c>
    </row>
    <row r="253" spans="1:5" ht="21" x14ac:dyDescent="0.25">
      <c r="A253" s="7" t="s">
        <v>1306</v>
      </c>
      <c r="B253" s="8" t="s">
        <v>1307</v>
      </c>
      <c r="C253" s="7" t="s">
        <v>16</v>
      </c>
      <c r="D253" s="7">
        <v>42709</v>
      </c>
      <c r="E253" s="7">
        <v>42709.25</v>
      </c>
    </row>
    <row r="254" spans="1:5" ht="21" x14ac:dyDescent="0.25">
      <c r="A254" s="7" t="s">
        <v>1308</v>
      </c>
      <c r="B254" s="8" t="s">
        <v>1309</v>
      </c>
      <c r="C254" s="7" t="s">
        <v>16</v>
      </c>
      <c r="D254" s="7">
        <v>42714.979166666664</v>
      </c>
      <c r="E254" s="7">
        <v>42715.270833333336</v>
      </c>
    </row>
    <row r="255" spans="1:5" ht="31.5" x14ac:dyDescent="0.25">
      <c r="A255" s="7" t="s">
        <v>1284</v>
      </c>
      <c r="B255" s="8" t="s">
        <v>1285</v>
      </c>
      <c r="C255" s="7" t="s">
        <v>16</v>
      </c>
      <c r="D255" s="7">
        <v>42705.75</v>
      </c>
      <c r="E255" s="7">
        <v>42705.875</v>
      </c>
    </row>
    <row r="256" spans="1:5" ht="31.5" x14ac:dyDescent="0.25">
      <c r="A256" s="7" t="s">
        <v>1310</v>
      </c>
      <c r="B256" s="8" t="s">
        <v>1311</v>
      </c>
      <c r="C256" s="7" t="s">
        <v>16</v>
      </c>
      <c r="D256" s="7">
        <v>42708.625</v>
      </c>
      <c r="E256" s="7">
        <v>42709.25</v>
      </c>
    </row>
    <row r="257" spans="1:5" ht="21" x14ac:dyDescent="0.25">
      <c r="A257" s="7" t="s">
        <v>1312</v>
      </c>
      <c r="B257" s="8" t="s">
        <v>1313</v>
      </c>
      <c r="C257" s="7" t="s">
        <v>16</v>
      </c>
      <c r="D257" s="7">
        <v>42706</v>
      </c>
      <c r="E257" s="7">
        <v>42706.166666666664</v>
      </c>
    </row>
    <row r="258" spans="1:5" ht="21" x14ac:dyDescent="0.25">
      <c r="A258" s="7" t="s">
        <v>1314</v>
      </c>
      <c r="B258" s="8" t="s">
        <v>1315</v>
      </c>
      <c r="C258" s="7" t="s">
        <v>16</v>
      </c>
      <c r="D258" s="7">
        <v>42711</v>
      </c>
      <c r="E258" s="7">
        <v>42711.166666666664</v>
      </c>
    </row>
    <row r="259" spans="1:5" x14ac:dyDescent="0.25">
      <c r="A259" s="7" t="s">
        <v>1316</v>
      </c>
      <c r="B259" s="8" t="s">
        <v>1317</v>
      </c>
      <c r="C259" s="7" t="s">
        <v>16</v>
      </c>
      <c r="D259" s="7">
        <v>42712.000694444447</v>
      </c>
      <c r="E259" s="7">
        <v>42712.25</v>
      </c>
    </row>
    <row r="260" spans="1:5" ht="21" x14ac:dyDescent="0.25">
      <c r="A260" s="7" t="s">
        <v>1318</v>
      </c>
      <c r="B260" s="8" t="s">
        <v>1319</v>
      </c>
      <c r="C260" s="7" t="s">
        <v>16</v>
      </c>
      <c r="D260" s="7">
        <v>42712</v>
      </c>
      <c r="E260" s="7">
        <v>42712.25</v>
      </c>
    </row>
    <row r="261" spans="1:5" ht="21" x14ac:dyDescent="0.25">
      <c r="A261" s="7" t="s">
        <v>1320</v>
      </c>
      <c r="B261" s="8" t="s">
        <v>1319</v>
      </c>
      <c r="C261" s="7" t="s">
        <v>16</v>
      </c>
      <c r="D261" s="7">
        <v>42712</v>
      </c>
      <c r="E261" s="7">
        <v>42712.25</v>
      </c>
    </row>
    <row r="262" spans="1:5" x14ac:dyDescent="0.25">
      <c r="A262" s="7" t="s">
        <v>1321</v>
      </c>
      <c r="B262" s="8" t="s">
        <v>1322</v>
      </c>
      <c r="C262" s="7" t="s">
        <v>16</v>
      </c>
      <c r="D262" s="7">
        <v>42705.625</v>
      </c>
      <c r="E262" s="7">
        <v>42705.708333333336</v>
      </c>
    </row>
    <row r="263" spans="1:5" ht="21" x14ac:dyDescent="0.25">
      <c r="A263" s="7" t="s">
        <v>1323</v>
      </c>
      <c r="B263" s="22" t="s">
        <v>1324</v>
      </c>
      <c r="C263" s="7"/>
      <c r="D263" s="7"/>
      <c r="E263" s="7"/>
    </row>
    <row r="264" spans="1:5" x14ac:dyDescent="0.25">
      <c r="A264" s="7" t="s">
        <v>1325</v>
      </c>
      <c r="B264" s="8" t="s">
        <v>1326</v>
      </c>
      <c r="C264" s="7" t="s">
        <v>16</v>
      </c>
      <c r="D264" s="7">
        <v>42706.333333333336</v>
      </c>
      <c r="E264" s="7">
        <v>42706.375</v>
      </c>
    </row>
    <row r="265" spans="1:5" x14ac:dyDescent="0.25">
      <c r="A265" s="7" t="s">
        <v>1327</v>
      </c>
      <c r="B265" s="8" t="s">
        <v>1328</v>
      </c>
      <c r="C265" s="7" t="s">
        <v>16</v>
      </c>
      <c r="D265" s="7">
        <v>42706</v>
      </c>
      <c r="E265" s="7">
        <v>42706.125</v>
      </c>
    </row>
    <row r="266" spans="1:5" x14ac:dyDescent="0.25">
      <c r="A266" s="77"/>
      <c r="B266" s="9"/>
      <c r="C266" s="77"/>
      <c r="D266" s="77"/>
      <c r="E266" s="77"/>
    </row>
    <row r="267" spans="1:5" x14ac:dyDescent="0.25">
      <c r="A267" s="77"/>
      <c r="B267" s="9"/>
      <c r="C267" s="77"/>
      <c r="D267" s="77"/>
      <c r="E267" s="77"/>
    </row>
    <row r="268" spans="1:5" x14ac:dyDescent="0.25">
      <c r="A268" s="77"/>
      <c r="B268" s="9"/>
      <c r="C268" s="77"/>
      <c r="D268" s="77"/>
      <c r="E268" s="77"/>
    </row>
    <row r="269" spans="1:5" x14ac:dyDescent="0.25">
      <c r="A269" s="77"/>
      <c r="B269" s="9"/>
      <c r="C269" s="77"/>
      <c r="D269" s="77"/>
      <c r="E269" s="77"/>
    </row>
    <row r="270" spans="1:5" x14ac:dyDescent="0.25">
      <c r="A270" s="77"/>
      <c r="B270" s="9"/>
      <c r="C270" s="77"/>
      <c r="D270" s="77"/>
      <c r="E270" s="77"/>
    </row>
    <row r="271" spans="1:5" x14ac:dyDescent="0.25">
      <c r="A271" s="77"/>
      <c r="B271" s="9"/>
      <c r="C271" s="77"/>
      <c r="D271" s="77"/>
      <c r="E271" s="77"/>
    </row>
    <row r="272" spans="1:5" x14ac:dyDescent="0.25">
      <c r="A272" s="77"/>
      <c r="B272" s="9"/>
      <c r="C272" s="77"/>
      <c r="D272" s="77"/>
      <c r="E272" s="77"/>
    </row>
    <row r="273" spans="1:5" x14ac:dyDescent="0.25">
      <c r="A273" s="77"/>
      <c r="B273" s="9"/>
      <c r="C273" s="77"/>
      <c r="D273" s="77"/>
      <c r="E273" s="77"/>
    </row>
    <row r="274" spans="1:5" x14ac:dyDescent="0.25">
      <c r="A274" s="77"/>
      <c r="B274" s="9"/>
      <c r="C274" s="77"/>
      <c r="D274" s="77"/>
      <c r="E274" s="77"/>
    </row>
    <row r="275" spans="1:5" x14ac:dyDescent="0.25">
      <c r="A275" s="77"/>
      <c r="B275" s="9"/>
      <c r="C275" s="77"/>
      <c r="D275" s="77"/>
      <c r="E275" s="77"/>
    </row>
    <row r="276" spans="1:5" x14ac:dyDescent="0.25">
      <c r="A276" s="77"/>
      <c r="B276" s="9"/>
      <c r="C276" s="77"/>
      <c r="D276" s="77"/>
      <c r="E276" s="77"/>
    </row>
    <row r="277" spans="1:5" x14ac:dyDescent="0.25">
      <c r="A277" s="77"/>
      <c r="B277" s="9"/>
      <c r="C277" s="77"/>
      <c r="D277" s="77"/>
      <c r="E277" s="77"/>
    </row>
    <row r="278" spans="1:5" x14ac:dyDescent="0.25">
      <c r="A278" s="77"/>
      <c r="B278" s="9"/>
      <c r="C278" s="77"/>
      <c r="D278" s="77"/>
      <c r="E278" s="77"/>
    </row>
    <row r="279" spans="1:5" x14ac:dyDescent="0.25">
      <c r="A279" s="77"/>
      <c r="B279" s="9"/>
      <c r="C279" s="77"/>
      <c r="D279" s="77"/>
      <c r="E279" s="77"/>
    </row>
    <row r="280" spans="1:5" x14ac:dyDescent="0.25">
      <c r="A280" s="77"/>
      <c r="B280" s="9"/>
      <c r="C280" s="77"/>
      <c r="D280" s="77"/>
      <c r="E280" s="77"/>
    </row>
    <row r="281" spans="1:5" x14ac:dyDescent="0.25">
      <c r="A281" s="77"/>
      <c r="B281" s="9"/>
      <c r="C281" s="77"/>
      <c r="D281" s="77"/>
      <c r="E281" s="77"/>
    </row>
    <row r="282" spans="1:5" x14ac:dyDescent="0.25">
      <c r="A282" s="77"/>
      <c r="B282" s="9"/>
      <c r="C282" s="77"/>
      <c r="D282" s="77"/>
      <c r="E282" s="77"/>
    </row>
    <row r="283" spans="1:5" x14ac:dyDescent="0.25">
      <c r="A283" s="77"/>
      <c r="B283" s="9"/>
      <c r="C283" s="77"/>
      <c r="D283" s="77"/>
      <c r="E283" s="77"/>
    </row>
    <row r="284" spans="1:5" x14ac:dyDescent="0.25">
      <c r="A284" s="77"/>
      <c r="B284" s="9"/>
      <c r="C284" s="77"/>
      <c r="D284" s="77"/>
      <c r="E284" s="77"/>
    </row>
    <row r="285" spans="1:5" x14ac:dyDescent="0.25">
      <c r="A285" s="77"/>
      <c r="B285" s="9"/>
      <c r="C285" s="77"/>
      <c r="D285" s="77"/>
      <c r="E285" s="77"/>
    </row>
    <row r="286" spans="1:5" x14ac:dyDescent="0.25">
      <c r="A286" s="77"/>
      <c r="B286" s="9"/>
      <c r="C286" s="77"/>
      <c r="D286" s="77"/>
      <c r="E286" s="77"/>
    </row>
    <row r="287" spans="1:5" x14ac:dyDescent="0.25">
      <c r="A287" s="77"/>
      <c r="B287" s="9"/>
      <c r="C287" s="77"/>
      <c r="D287" s="77"/>
      <c r="E287" s="77"/>
    </row>
    <row r="288" spans="1:5" x14ac:dyDescent="0.25">
      <c r="A288" s="77"/>
      <c r="B288" s="9"/>
      <c r="C288" s="77"/>
      <c r="D288" s="77"/>
      <c r="E288" s="77"/>
    </row>
    <row r="289" spans="1:5" x14ac:dyDescent="0.25">
      <c r="A289" s="77"/>
      <c r="B289" s="9"/>
      <c r="C289" s="77"/>
      <c r="D289" s="77"/>
      <c r="E289" s="77"/>
    </row>
    <row r="290" spans="1:5" x14ac:dyDescent="0.25">
      <c r="A290" s="77"/>
      <c r="B290" s="9"/>
      <c r="C290" s="77"/>
      <c r="D290" s="77"/>
      <c r="E290" s="77"/>
    </row>
    <row r="291" spans="1:5" x14ac:dyDescent="0.25">
      <c r="A291" s="77"/>
      <c r="B291" s="9"/>
      <c r="C291" s="77"/>
      <c r="D291" s="77"/>
      <c r="E291" s="77"/>
    </row>
    <row r="292" spans="1:5" x14ac:dyDescent="0.25">
      <c r="A292" s="77"/>
      <c r="B292" s="9"/>
      <c r="C292" s="77"/>
      <c r="D292" s="77"/>
      <c r="E292" s="77"/>
    </row>
    <row r="293" spans="1:5" x14ac:dyDescent="0.25">
      <c r="A293" s="77"/>
      <c r="B293" s="9"/>
      <c r="C293" s="77"/>
      <c r="D293" s="77"/>
      <c r="E293" s="77"/>
    </row>
    <row r="294" spans="1:5" x14ac:dyDescent="0.25">
      <c r="A294" s="77"/>
      <c r="B294" s="9"/>
      <c r="C294" s="77"/>
      <c r="D294" s="77"/>
      <c r="E294" s="77"/>
    </row>
    <row r="295" spans="1:5" x14ac:dyDescent="0.25">
      <c r="A295" s="77"/>
      <c r="B295" s="9"/>
      <c r="C295" s="77"/>
      <c r="D295" s="77"/>
      <c r="E295" s="77"/>
    </row>
    <row r="296" spans="1:5" x14ac:dyDescent="0.25">
      <c r="A296" s="77"/>
      <c r="B296" s="9"/>
      <c r="C296" s="77"/>
      <c r="D296" s="77"/>
      <c r="E296" s="77"/>
    </row>
    <row r="297" spans="1:5" x14ac:dyDescent="0.25">
      <c r="A297" s="77"/>
      <c r="B297" s="9"/>
      <c r="C297" s="77"/>
      <c r="D297" s="77"/>
      <c r="E297" s="77"/>
    </row>
    <row r="298" spans="1:5" x14ac:dyDescent="0.25">
      <c r="A298" s="77"/>
      <c r="B298" s="9"/>
      <c r="C298" s="77"/>
      <c r="D298" s="77"/>
      <c r="E298" s="77"/>
    </row>
    <row r="299" spans="1:5" x14ac:dyDescent="0.25">
      <c r="A299" s="77"/>
      <c r="B299" s="9"/>
      <c r="C299" s="77"/>
      <c r="D299" s="77"/>
      <c r="E299" s="77"/>
    </row>
    <row r="300" spans="1:5" x14ac:dyDescent="0.25">
      <c r="A300" s="77"/>
      <c r="B300" s="9"/>
      <c r="C300" s="77"/>
      <c r="D300" s="77"/>
      <c r="E300" s="77"/>
    </row>
    <row r="301" spans="1:5" x14ac:dyDescent="0.25">
      <c r="A301" s="77"/>
      <c r="B301" s="9"/>
      <c r="C301" s="77"/>
      <c r="D301" s="77"/>
      <c r="E301" s="77"/>
    </row>
    <row r="302" spans="1:5" x14ac:dyDescent="0.25">
      <c r="A302" s="77"/>
      <c r="B302" s="9"/>
      <c r="C302" s="77"/>
      <c r="D302" s="77"/>
      <c r="E302" s="77"/>
    </row>
    <row r="303" spans="1:5" x14ac:dyDescent="0.25">
      <c r="A303" s="77"/>
      <c r="B303" s="9"/>
      <c r="C303" s="77"/>
      <c r="D303" s="77"/>
      <c r="E303" s="77"/>
    </row>
    <row r="304" spans="1:5" x14ac:dyDescent="0.25">
      <c r="A304" s="77"/>
      <c r="B304" s="9"/>
      <c r="C304" s="77"/>
      <c r="D304" s="77"/>
      <c r="E304" s="77"/>
    </row>
    <row r="305" spans="1:5" x14ac:dyDescent="0.25">
      <c r="A305" s="77"/>
      <c r="B305" s="9"/>
      <c r="C305" s="77"/>
      <c r="D305" s="77"/>
      <c r="E305" s="77"/>
    </row>
    <row r="306" spans="1:5" x14ac:dyDescent="0.25">
      <c r="A306" s="77"/>
      <c r="B306" s="9"/>
      <c r="C306" s="77"/>
      <c r="D306" s="77"/>
      <c r="E306" s="77"/>
    </row>
    <row r="307" spans="1:5" x14ac:dyDescent="0.25">
      <c r="A307" s="77"/>
      <c r="B307" s="9"/>
      <c r="C307" s="77"/>
      <c r="D307" s="77"/>
      <c r="E307" s="77"/>
    </row>
    <row r="308" spans="1:5" x14ac:dyDescent="0.25">
      <c r="A308" s="77"/>
      <c r="B308" s="9"/>
      <c r="C308" s="77"/>
      <c r="D308" s="77"/>
      <c r="E308" s="77"/>
    </row>
    <row r="309" spans="1:5" x14ac:dyDescent="0.25">
      <c r="A309" s="77"/>
      <c r="B309" s="9"/>
      <c r="C309" s="77"/>
      <c r="D309" s="77"/>
      <c r="E309" s="77"/>
    </row>
    <row r="310" spans="1:5" x14ac:dyDescent="0.25">
      <c r="A310" s="77"/>
      <c r="B310" s="9"/>
      <c r="C310" s="77"/>
      <c r="D310" s="77"/>
      <c r="E310" s="77"/>
    </row>
    <row r="311" spans="1:5" x14ac:dyDescent="0.25">
      <c r="A311" s="77"/>
      <c r="B311" s="9"/>
      <c r="C311" s="77"/>
      <c r="D311" s="77"/>
      <c r="E311" s="77"/>
    </row>
    <row r="312" spans="1:5" x14ac:dyDescent="0.25">
      <c r="A312" s="77"/>
      <c r="B312" s="9"/>
      <c r="C312" s="77"/>
      <c r="D312" s="77"/>
      <c r="E312" s="77"/>
    </row>
    <row r="313" spans="1:5" x14ac:dyDescent="0.25">
      <c r="A313" s="77"/>
      <c r="B313" s="9"/>
      <c r="C313" s="77"/>
      <c r="D313" s="77"/>
      <c r="E313" s="77"/>
    </row>
    <row r="314" spans="1:5" x14ac:dyDescent="0.25">
      <c r="A314" s="77"/>
      <c r="B314" s="9"/>
      <c r="C314" s="77"/>
      <c r="D314" s="77"/>
      <c r="E314" s="77"/>
    </row>
    <row r="315" spans="1:5" x14ac:dyDescent="0.25">
      <c r="A315" s="77"/>
      <c r="B315" s="9"/>
      <c r="C315" s="77"/>
      <c r="D315" s="77"/>
      <c r="E315" s="77"/>
    </row>
    <row r="316" spans="1:5" x14ac:dyDescent="0.25">
      <c r="A316" s="77"/>
      <c r="B316" s="9"/>
      <c r="C316" s="77"/>
      <c r="D316" s="77"/>
      <c r="E316" s="77"/>
    </row>
    <row r="317" spans="1:5" x14ac:dyDescent="0.25">
      <c r="A317" s="77"/>
      <c r="B317" s="9"/>
      <c r="C317" s="77"/>
      <c r="D317" s="77"/>
      <c r="E317" s="77"/>
    </row>
    <row r="318" spans="1:5" x14ac:dyDescent="0.25">
      <c r="A318" s="77"/>
      <c r="B318" s="9"/>
      <c r="C318" s="77"/>
      <c r="D318" s="77"/>
      <c r="E318" s="77"/>
    </row>
    <row r="319" spans="1:5" x14ac:dyDescent="0.25">
      <c r="A319" s="77"/>
      <c r="B319" s="9"/>
      <c r="C319" s="77"/>
      <c r="D319" s="77"/>
      <c r="E319" s="77"/>
    </row>
    <row r="320" spans="1:5" x14ac:dyDescent="0.25">
      <c r="A320" s="77"/>
      <c r="B320" s="9"/>
      <c r="C320" s="77"/>
      <c r="D320" s="77"/>
      <c r="E320" s="77"/>
    </row>
    <row r="321" spans="1:5" x14ac:dyDescent="0.25">
      <c r="A321" s="77"/>
      <c r="B321" s="9"/>
      <c r="C321" s="77"/>
      <c r="D321" s="77"/>
      <c r="E321" s="77"/>
    </row>
    <row r="322" spans="1:5" x14ac:dyDescent="0.25">
      <c r="A322" s="77"/>
      <c r="B322" s="9"/>
      <c r="C322" s="77"/>
      <c r="D322" s="77"/>
      <c r="E322" s="77"/>
    </row>
    <row r="323" spans="1:5" x14ac:dyDescent="0.25">
      <c r="A323" s="77"/>
      <c r="B323" s="9"/>
      <c r="C323" s="77"/>
      <c r="D323" s="77"/>
      <c r="E323" s="77"/>
    </row>
    <row r="324" spans="1:5" x14ac:dyDescent="0.25">
      <c r="A324" s="77"/>
      <c r="B324" s="9"/>
      <c r="C324" s="77"/>
      <c r="D324" s="77"/>
      <c r="E324" s="77"/>
    </row>
    <row r="325" spans="1:5" x14ac:dyDescent="0.25">
      <c r="A325" s="77"/>
      <c r="B325" s="9"/>
      <c r="C325" s="77"/>
      <c r="D325" s="77"/>
      <c r="E325" s="77"/>
    </row>
    <row r="326" spans="1:5" x14ac:dyDescent="0.25">
      <c r="A326" s="77"/>
      <c r="B326" s="9"/>
      <c r="C326" s="77"/>
      <c r="D326" s="77"/>
      <c r="E326" s="77"/>
    </row>
    <row r="327" spans="1:5" x14ac:dyDescent="0.25">
      <c r="A327" s="77"/>
      <c r="B327" s="9"/>
      <c r="C327" s="77"/>
      <c r="D327" s="77"/>
      <c r="E327" s="77"/>
    </row>
    <row r="328" spans="1:5" x14ac:dyDescent="0.25">
      <c r="A328" s="77"/>
      <c r="B328" s="9"/>
      <c r="C328" s="77"/>
      <c r="D328" s="77"/>
      <c r="E328" s="77"/>
    </row>
    <row r="329" spans="1:5" x14ac:dyDescent="0.25">
      <c r="A329" s="77"/>
      <c r="B329" s="9"/>
      <c r="C329" s="77"/>
      <c r="D329" s="77"/>
      <c r="E329" s="77"/>
    </row>
    <row r="330" spans="1:5" x14ac:dyDescent="0.25">
      <c r="A330" s="77"/>
      <c r="B330" s="9"/>
      <c r="C330" s="77"/>
      <c r="D330" s="77"/>
      <c r="E330" s="77"/>
    </row>
    <row r="331" spans="1:5" x14ac:dyDescent="0.25">
      <c r="A331" s="77"/>
      <c r="B331" s="9"/>
      <c r="C331" s="77"/>
      <c r="D331" s="77"/>
      <c r="E331" s="77"/>
    </row>
    <row r="332" spans="1:5" x14ac:dyDescent="0.25">
      <c r="A332" s="77"/>
      <c r="B332" s="9"/>
      <c r="C332" s="77"/>
      <c r="D332" s="77"/>
      <c r="E332" s="77"/>
    </row>
    <row r="333" spans="1:5" x14ac:dyDescent="0.25">
      <c r="A333" s="77"/>
      <c r="B333" s="9"/>
      <c r="C333" s="77"/>
      <c r="D333" s="77"/>
      <c r="E333" s="77"/>
    </row>
    <row r="334" spans="1:5" x14ac:dyDescent="0.25">
      <c r="A334" s="77"/>
      <c r="B334" s="9"/>
      <c r="C334" s="77"/>
      <c r="D334" s="77"/>
      <c r="E334" s="77"/>
    </row>
    <row r="335" spans="1:5" x14ac:dyDescent="0.25">
      <c r="A335" s="77"/>
      <c r="B335" s="9"/>
      <c r="C335" s="77"/>
      <c r="D335" s="77"/>
      <c r="E335" s="77"/>
    </row>
    <row r="336" spans="1:5" x14ac:dyDescent="0.25">
      <c r="A336" s="77"/>
      <c r="B336" s="9"/>
      <c r="C336" s="77"/>
      <c r="D336" s="77"/>
      <c r="E336" s="77"/>
    </row>
    <row r="337" spans="1:5" x14ac:dyDescent="0.25">
      <c r="A337" s="77"/>
      <c r="B337" s="9"/>
      <c r="C337" s="77"/>
      <c r="D337" s="77"/>
      <c r="E337" s="77"/>
    </row>
    <row r="338" spans="1:5" x14ac:dyDescent="0.25">
      <c r="A338" s="77"/>
      <c r="B338" s="9"/>
      <c r="C338" s="77"/>
      <c r="D338" s="77"/>
      <c r="E338" s="77"/>
    </row>
    <row r="339" spans="1:5" x14ac:dyDescent="0.25">
      <c r="A339" s="77"/>
      <c r="B339" s="9"/>
      <c r="C339" s="77"/>
      <c r="D339" s="77"/>
      <c r="E339" s="77"/>
    </row>
    <row r="340" spans="1:5" x14ac:dyDescent="0.25">
      <c r="A340" s="77"/>
      <c r="B340" s="9"/>
      <c r="C340" s="77"/>
      <c r="D340" s="77"/>
      <c r="E340" s="77"/>
    </row>
    <row r="341" spans="1:5" x14ac:dyDescent="0.25">
      <c r="A341" s="77"/>
      <c r="B341" s="9"/>
      <c r="C341" s="77"/>
      <c r="D341" s="77"/>
      <c r="E341" s="77"/>
    </row>
    <row r="342" spans="1:5" x14ac:dyDescent="0.25">
      <c r="A342" s="77"/>
      <c r="B342" s="9"/>
      <c r="C342" s="77"/>
      <c r="D342" s="77"/>
      <c r="E342" s="77"/>
    </row>
    <row r="343" spans="1:5" x14ac:dyDescent="0.25">
      <c r="A343" s="77"/>
      <c r="B343" s="9"/>
      <c r="C343" s="77"/>
      <c r="D343" s="77"/>
      <c r="E343" s="77"/>
    </row>
    <row r="344" spans="1:5" x14ac:dyDescent="0.25">
      <c r="A344" s="77"/>
      <c r="B344" s="9"/>
      <c r="C344" s="77"/>
      <c r="D344" s="77"/>
      <c r="E344" s="77"/>
    </row>
    <row r="345" spans="1:5" x14ac:dyDescent="0.25">
      <c r="A345" s="77"/>
      <c r="B345" s="9"/>
      <c r="C345" s="77"/>
      <c r="D345" s="77"/>
      <c r="E345" s="77"/>
    </row>
    <row r="346" spans="1:5" x14ac:dyDescent="0.25">
      <c r="A346" s="77"/>
      <c r="B346" s="9"/>
      <c r="C346" s="77"/>
      <c r="D346" s="77"/>
      <c r="E346" s="77"/>
    </row>
    <row r="347" spans="1:5" x14ac:dyDescent="0.25">
      <c r="A347" s="77"/>
      <c r="B347" s="9"/>
      <c r="C347" s="77"/>
      <c r="D347" s="77"/>
      <c r="E347" s="77"/>
    </row>
    <row r="348" spans="1:5" x14ac:dyDescent="0.25">
      <c r="A348" s="77"/>
      <c r="B348" s="9"/>
      <c r="C348" s="77"/>
      <c r="D348" s="77"/>
      <c r="E348" s="77"/>
    </row>
    <row r="349" spans="1:5" x14ac:dyDescent="0.25">
      <c r="A349" s="77"/>
      <c r="B349" s="9"/>
      <c r="C349" s="77"/>
      <c r="D349" s="77"/>
      <c r="E349" s="77"/>
    </row>
    <row r="350" spans="1:5" x14ac:dyDescent="0.25">
      <c r="A350" s="77"/>
      <c r="B350" s="9"/>
      <c r="C350" s="77"/>
      <c r="D350" s="77"/>
      <c r="E350" s="77"/>
    </row>
    <row r="351" spans="1:5" x14ac:dyDescent="0.25">
      <c r="A351" s="77"/>
      <c r="B351" s="9"/>
      <c r="C351" s="77"/>
      <c r="D351" s="77"/>
      <c r="E351" s="77"/>
    </row>
    <row r="352" spans="1:5" x14ac:dyDescent="0.25">
      <c r="A352" s="77"/>
      <c r="B352" s="9"/>
      <c r="C352" s="77"/>
      <c r="D352" s="77"/>
      <c r="E352" s="77"/>
    </row>
    <row r="353" spans="1:5" x14ac:dyDescent="0.25">
      <c r="A353" s="77"/>
      <c r="B353" s="9"/>
      <c r="C353" s="77"/>
      <c r="D353" s="77"/>
      <c r="E353" s="77"/>
    </row>
    <row r="354" spans="1:5" x14ac:dyDescent="0.25">
      <c r="A354" s="77"/>
      <c r="B354" s="9"/>
      <c r="C354" s="77"/>
      <c r="D354" s="77"/>
      <c r="E354" s="77"/>
    </row>
    <row r="355" spans="1:5" x14ac:dyDescent="0.25">
      <c r="A355" s="77"/>
      <c r="B355" s="9"/>
      <c r="C355" s="77"/>
      <c r="D355" s="77"/>
      <c r="E355" s="77"/>
    </row>
    <row r="356" spans="1:5" x14ac:dyDescent="0.25">
      <c r="A356" s="77"/>
      <c r="B356" s="9"/>
      <c r="C356" s="77"/>
      <c r="D356" s="77"/>
      <c r="E356" s="77"/>
    </row>
    <row r="357" spans="1:5" x14ac:dyDescent="0.25">
      <c r="A357" s="77"/>
      <c r="B357" s="9"/>
      <c r="C357" s="77"/>
      <c r="D357" s="77"/>
      <c r="E357" s="77"/>
    </row>
    <row r="358" spans="1:5" x14ac:dyDescent="0.25">
      <c r="A358" s="77"/>
      <c r="B358" s="9"/>
      <c r="C358" s="77"/>
      <c r="D358" s="77"/>
      <c r="E358" s="77"/>
    </row>
    <row r="359" spans="1:5" x14ac:dyDescent="0.25">
      <c r="A359" s="77"/>
      <c r="B359" s="9"/>
      <c r="C359" s="77"/>
      <c r="D359" s="77"/>
      <c r="E359" s="77"/>
    </row>
    <row r="360" spans="1:5" x14ac:dyDescent="0.25">
      <c r="A360" s="77"/>
      <c r="B360" s="9"/>
      <c r="C360" s="77"/>
      <c r="D360" s="77"/>
      <c r="E360" s="77"/>
    </row>
    <row r="361" spans="1:5" x14ac:dyDescent="0.25">
      <c r="A361" s="77"/>
      <c r="B361" s="9"/>
      <c r="C361" s="77"/>
      <c r="D361" s="77"/>
      <c r="E361" s="77"/>
    </row>
    <row r="362" spans="1:5" x14ac:dyDescent="0.25">
      <c r="A362" s="77"/>
      <c r="B362" s="9"/>
      <c r="C362" s="77"/>
      <c r="D362" s="77"/>
      <c r="E362" s="77"/>
    </row>
    <row r="363" spans="1:5" x14ac:dyDescent="0.25">
      <c r="A363" s="77"/>
      <c r="B363" s="9"/>
      <c r="C363" s="77"/>
      <c r="D363" s="77"/>
      <c r="E363" s="77"/>
    </row>
    <row r="364" spans="1:5" x14ac:dyDescent="0.25">
      <c r="A364" s="77"/>
      <c r="B364" s="9"/>
      <c r="C364" s="77"/>
      <c r="D364" s="77"/>
      <c r="E364" s="77"/>
    </row>
    <row r="365" spans="1:5" x14ac:dyDescent="0.25">
      <c r="A365" s="77"/>
      <c r="B365" s="9"/>
      <c r="C365" s="77"/>
      <c r="D365" s="77"/>
      <c r="E365" s="77"/>
    </row>
    <row r="366" spans="1:5" x14ac:dyDescent="0.25">
      <c r="A366" s="77"/>
      <c r="B366" s="9"/>
      <c r="C366" s="77"/>
      <c r="D366" s="77"/>
      <c r="E366" s="77"/>
    </row>
    <row r="367" spans="1:5" x14ac:dyDescent="0.25">
      <c r="A367" s="77"/>
      <c r="B367" s="9"/>
      <c r="C367" s="77"/>
      <c r="D367" s="77"/>
      <c r="E367" s="77"/>
    </row>
    <row r="368" spans="1:5" x14ac:dyDescent="0.25">
      <c r="A368" s="77"/>
      <c r="B368" s="9"/>
      <c r="C368" s="77"/>
      <c r="D368" s="77"/>
      <c r="E368" s="77"/>
    </row>
    <row r="369" spans="1:5" x14ac:dyDescent="0.25">
      <c r="A369" s="77"/>
      <c r="B369" s="9"/>
      <c r="C369" s="77"/>
      <c r="D369" s="77"/>
      <c r="E369" s="77"/>
    </row>
    <row r="370" spans="1:5" x14ac:dyDescent="0.25">
      <c r="A370" s="77"/>
      <c r="B370" s="9"/>
      <c r="C370" s="77"/>
      <c r="D370" s="77"/>
      <c r="E370" s="77"/>
    </row>
    <row r="371" spans="1:5" x14ac:dyDescent="0.25">
      <c r="A371" s="77"/>
      <c r="B371" s="9"/>
      <c r="C371" s="77"/>
      <c r="D371" s="77"/>
      <c r="E371" s="77"/>
    </row>
    <row r="372" spans="1:5" x14ac:dyDescent="0.25">
      <c r="A372" s="77"/>
      <c r="B372" s="9"/>
      <c r="C372" s="77"/>
      <c r="D372" s="77"/>
      <c r="E372" s="77"/>
    </row>
    <row r="373" spans="1:5" x14ac:dyDescent="0.25">
      <c r="A373" s="77"/>
      <c r="B373" s="9"/>
      <c r="C373" s="77"/>
      <c r="D373" s="77"/>
      <c r="E373" s="77"/>
    </row>
    <row r="374" spans="1:5" x14ac:dyDescent="0.25">
      <c r="A374" s="77"/>
      <c r="B374" s="9"/>
      <c r="C374" s="77"/>
      <c r="D374" s="77"/>
      <c r="E374" s="77"/>
    </row>
    <row r="375" spans="1:5" x14ac:dyDescent="0.25">
      <c r="A375" s="77"/>
      <c r="B375" s="9"/>
      <c r="C375" s="77"/>
      <c r="D375" s="77"/>
      <c r="E375" s="77"/>
    </row>
    <row r="376" spans="1:5" x14ac:dyDescent="0.25">
      <c r="A376" s="77"/>
      <c r="B376" s="9"/>
      <c r="C376" s="77"/>
      <c r="D376" s="77"/>
      <c r="E376" s="77"/>
    </row>
    <row r="377" spans="1:5" x14ac:dyDescent="0.25">
      <c r="A377" s="77"/>
      <c r="B377" s="9"/>
      <c r="C377" s="77"/>
      <c r="D377" s="77"/>
      <c r="E377" s="77"/>
    </row>
    <row r="378" spans="1:5" x14ac:dyDescent="0.25">
      <c r="A378" s="77"/>
      <c r="B378" s="9"/>
      <c r="C378" s="77"/>
      <c r="D378" s="77"/>
      <c r="E378" s="77"/>
    </row>
    <row r="379" spans="1:5" x14ac:dyDescent="0.25">
      <c r="A379" s="77"/>
      <c r="B379" s="9"/>
      <c r="C379" s="77"/>
      <c r="D379" s="77"/>
      <c r="E379" s="77"/>
    </row>
    <row r="380" spans="1:5" x14ac:dyDescent="0.25">
      <c r="A380" s="77"/>
      <c r="B380" s="9"/>
      <c r="C380" s="77"/>
      <c r="D380" s="77"/>
      <c r="E380" s="77"/>
    </row>
    <row r="381" spans="1:5" x14ac:dyDescent="0.25">
      <c r="A381" s="77"/>
      <c r="B381" s="9"/>
      <c r="C381" s="77"/>
      <c r="D381" s="77"/>
      <c r="E381" s="77"/>
    </row>
    <row r="382" spans="1:5" x14ac:dyDescent="0.25">
      <c r="A382" s="77"/>
      <c r="B382" s="9"/>
      <c r="C382" s="77"/>
      <c r="D382" s="77"/>
      <c r="E382" s="77"/>
    </row>
    <row r="383" spans="1:5" x14ac:dyDescent="0.25">
      <c r="A383" s="77"/>
      <c r="B383" s="9"/>
      <c r="C383" s="77"/>
      <c r="D383" s="77"/>
      <c r="E383" s="77"/>
    </row>
    <row r="384" spans="1:5" x14ac:dyDescent="0.25">
      <c r="A384" s="77"/>
      <c r="B384" s="9"/>
      <c r="C384" s="77"/>
      <c r="D384" s="77"/>
      <c r="E384" s="77"/>
    </row>
    <row r="385" spans="1:5" x14ac:dyDescent="0.25">
      <c r="A385" s="77"/>
      <c r="B385" s="9"/>
      <c r="C385" s="77"/>
      <c r="D385" s="77"/>
      <c r="E385" s="77"/>
    </row>
    <row r="386" spans="1:5" x14ac:dyDescent="0.25">
      <c r="A386" s="77"/>
      <c r="B386" s="9"/>
      <c r="C386" s="77"/>
      <c r="D386" s="77"/>
      <c r="E386" s="77"/>
    </row>
    <row r="387" spans="1:5" x14ac:dyDescent="0.25">
      <c r="A387" s="77"/>
      <c r="B387" s="9"/>
      <c r="C387" s="77"/>
      <c r="D387" s="77"/>
      <c r="E387" s="77"/>
    </row>
    <row r="388" spans="1:5" x14ac:dyDescent="0.25">
      <c r="A388" s="77"/>
      <c r="B388" s="9"/>
      <c r="C388" s="77"/>
      <c r="D388" s="77"/>
      <c r="E388" s="77"/>
    </row>
    <row r="389" spans="1:5" x14ac:dyDescent="0.25">
      <c r="A389" s="77"/>
      <c r="B389" s="9"/>
      <c r="C389" s="77"/>
      <c r="D389" s="77"/>
      <c r="E389" s="77"/>
    </row>
    <row r="390" spans="1:5" x14ac:dyDescent="0.25">
      <c r="A390" s="77"/>
      <c r="B390" s="9"/>
      <c r="C390" s="77"/>
      <c r="D390" s="77"/>
      <c r="E390" s="77"/>
    </row>
    <row r="391" spans="1:5" x14ac:dyDescent="0.25">
      <c r="A391" s="77"/>
      <c r="B391" s="9"/>
      <c r="C391" s="77"/>
      <c r="D391" s="77"/>
      <c r="E391" s="77"/>
    </row>
    <row r="392" spans="1:5" x14ac:dyDescent="0.25">
      <c r="A392" s="77"/>
      <c r="B392" s="9"/>
      <c r="C392" s="77"/>
      <c r="D392" s="77"/>
      <c r="E392" s="77"/>
    </row>
    <row r="393" spans="1:5" x14ac:dyDescent="0.25">
      <c r="A393" s="77"/>
      <c r="B393" s="9"/>
      <c r="C393" s="77"/>
      <c r="D393" s="77"/>
      <c r="E393" s="77"/>
    </row>
    <row r="394" spans="1:5" x14ac:dyDescent="0.25">
      <c r="A394" s="77"/>
      <c r="B394" s="9"/>
      <c r="C394" s="77"/>
      <c r="D394" s="77"/>
      <c r="E394" s="77"/>
    </row>
    <row r="395" spans="1:5" x14ac:dyDescent="0.25">
      <c r="A395" s="77"/>
      <c r="B395" s="9"/>
      <c r="C395" s="77"/>
      <c r="D395" s="77"/>
      <c r="E395" s="77"/>
    </row>
    <row r="396" spans="1:5" x14ac:dyDescent="0.25">
      <c r="A396" s="77"/>
      <c r="B396" s="9"/>
      <c r="C396" s="77"/>
      <c r="D396" s="77"/>
      <c r="E396" s="77"/>
    </row>
    <row r="397" spans="1:5" x14ac:dyDescent="0.25">
      <c r="A397" s="77"/>
      <c r="B397" s="9"/>
      <c r="C397" s="77"/>
      <c r="D397" s="77"/>
      <c r="E397" s="77"/>
    </row>
    <row r="398" spans="1:5" x14ac:dyDescent="0.25">
      <c r="A398" s="77"/>
      <c r="B398" s="9"/>
      <c r="C398" s="77"/>
      <c r="D398" s="77"/>
      <c r="E398" s="77"/>
    </row>
    <row r="399" spans="1:5" x14ac:dyDescent="0.25">
      <c r="A399" s="77"/>
      <c r="B399" s="9"/>
      <c r="C399" s="77"/>
      <c r="D399" s="77"/>
      <c r="E399" s="77"/>
    </row>
    <row r="400" spans="1:5" x14ac:dyDescent="0.25">
      <c r="A400" s="77"/>
      <c r="B400" s="9"/>
      <c r="C400" s="77"/>
      <c r="D400" s="77"/>
      <c r="E400" s="77"/>
    </row>
    <row r="401" spans="1:5" x14ac:dyDescent="0.25">
      <c r="A401" s="77"/>
      <c r="B401" s="9"/>
      <c r="C401" s="77"/>
      <c r="D401" s="77"/>
      <c r="E401" s="77"/>
    </row>
    <row r="402" spans="1:5" x14ac:dyDescent="0.25">
      <c r="A402" s="77"/>
      <c r="B402" s="9"/>
      <c r="C402" s="77"/>
      <c r="D402" s="77"/>
      <c r="E402" s="77"/>
    </row>
    <row r="403" spans="1:5" x14ac:dyDescent="0.25">
      <c r="A403" s="77"/>
      <c r="B403" s="9"/>
      <c r="C403" s="77"/>
      <c r="D403" s="77"/>
      <c r="E403" s="77"/>
    </row>
    <row r="404" spans="1:5" x14ac:dyDescent="0.25">
      <c r="A404" s="77"/>
      <c r="B404" s="9"/>
      <c r="C404" s="77"/>
      <c r="D404" s="77"/>
      <c r="E404" s="77"/>
    </row>
    <row r="405" spans="1:5" x14ac:dyDescent="0.25">
      <c r="A405" s="77"/>
      <c r="B405" s="9"/>
      <c r="C405" s="77"/>
      <c r="D405" s="77"/>
      <c r="E405" s="77"/>
    </row>
    <row r="406" spans="1:5" x14ac:dyDescent="0.25">
      <c r="A406" s="77"/>
      <c r="B406" s="9"/>
      <c r="C406" s="77"/>
      <c r="D406" s="77"/>
      <c r="E406" s="77"/>
    </row>
    <row r="407" spans="1:5" x14ac:dyDescent="0.25">
      <c r="A407" s="77"/>
      <c r="B407" s="9"/>
      <c r="C407" s="77"/>
      <c r="D407" s="77"/>
      <c r="E407" s="77"/>
    </row>
    <row r="408" spans="1:5" x14ac:dyDescent="0.25">
      <c r="A408" s="77"/>
      <c r="B408" s="9"/>
      <c r="C408" s="77"/>
      <c r="D408" s="77"/>
      <c r="E408" s="77"/>
    </row>
    <row r="409" spans="1:5" x14ac:dyDescent="0.25">
      <c r="A409" s="77"/>
      <c r="B409" s="9"/>
      <c r="C409" s="77"/>
      <c r="D409" s="77"/>
      <c r="E409" s="77"/>
    </row>
    <row r="410" spans="1:5" x14ac:dyDescent="0.25">
      <c r="A410" s="77"/>
      <c r="B410" s="9"/>
      <c r="C410" s="77"/>
      <c r="D410" s="77"/>
      <c r="E410" s="77"/>
    </row>
    <row r="411" spans="1:5" x14ac:dyDescent="0.25">
      <c r="A411" s="77"/>
      <c r="B411" s="9"/>
      <c r="C411" s="77"/>
      <c r="D411" s="77"/>
      <c r="E411" s="77"/>
    </row>
    <row r="412" spans="1:5" x14ac:dyDescent="0.25">
      <c r="A412" s="77"/>
      <c r="B412" s="9"/>
      <c r="C412" s="77"/>
      <c r="D412" s="77"/>
      <c r="E412" s="77"/>
    </row>
    <row r="413" spans="1:5" x14ac:dyDescent="0.25">
      <c r="A413" s="77"/>
      <c r="B413" s="9"/>
      <c r="C413" s="77"/>
      <c r="D413" s="77"/>
      <c r="E413" s="77"/>
    </row>
    <row r="414" spans="1:5" x14ac:dyDescent="0.25">
      <c r="A414" s="77"/>
      <c r="B414" s="9"/>
      <c r="C414" s="77"/>
      <c r="D414" s="77"/>
      <c r="E414" s="77"/>
    </row>
    <row r="415" spans="1:5" x14ac:dyDescent="0.25">
      <c r="A415" s="77"/>
      <c r="B415" s="9"/>
      <c r="C415" s="77"/>
      <c r="D415" s="77"/>
      <c r="E415" s="77"/>
    </row>
    <row r="416" spans="1:5" x14ac:dyDescent="0.25">
      <c r="A416" s="77"/>
      <c r="B416" s="9"/>
      <c r="C416" s="77"/>
      <c r="D416" s="77"/>
      <c r="E416" s="77"/>
    </row>
    <row r="417" spans="1:5" x14ac:dyDescent="0.25">
      <c r="A417" s="77"/>
      <c r="B417" s="9"/>
      <c r="C417" s="77"/>
      <c r="D417" s="77"/>
      <c r="E417" s="77"/>
    </row>
    <row r="418" spans="1:5" x14ac:dyDescent="0.25">
      <c r="A418" s="77"/>
      <c r="B418" s="9"/>
      <c r="C418" s="77"/>
      <c r="D418" s="77"/>
      <c r="E418" s="77"/>
    </row>
    <row r="419" spans="1:5" x14ac:dyDescent="0.25">
      <c r="A419" s="77"/>
      <c r="B419" s="9"/>
      <c r="C419" s="77"/>
      <c r="D419" s="77"/>
      <c r="E419" s="77"/>
    </row>
    <row r="420" spans="1:5" x14ac:dyDescent="0.25">
      <c r="A420" s="77"/>
      <c r="B420" s="9"/>
      <c r="C420" s="77"/>
      <c r="D420" s="77"/>
      <c r="E420" s="77"/>
    </row>
    <row r="421" spans="1:5" x14ac:dyDescent="0.25">
      <c r="A421" s="77"/>
      <c r="B421" s="9"/>
      <c r="C421" s="77"/>
      <c r="D421" s="77"/>
      <c r="E421" s="77"/>
    </row>
    <row r="422" spans="1:5" x14ac:dyDescent="0.25">
      <c r="A422" s="77"/>
      <c r="B422" s="9"/>
      <c r="C422" s="77"/>
      <c r="D422" s="77"/>
      <c r="E422" s="77"/>
    </row>
    <row r="423" spans="1:5" x14ac:dyDescent="0.25">
      <c r="A423" s="77"/>
      <c r="B423" s="9"/>
      <c r="C423" s="77"/>
      <c r="D423" s="77"/>
      <c r="E423" s="77"/>
    </row>
    <row r="424" spans="1:5" x14ac:dyDescent="0.25">
      <c r="A424" s="77"/>
      <c r="B424" s="9"/>
      <c r="C424" s="77"/>
      <c r="D424" s="77"/>
      <c r="E424" s="77"/>
    </row>
    <row r="425" spans="1:5" x14ac:dyDescent="0.25">
      <c r="A425" s="77"/>
      <c r="B425" s="9"/>
      <c r="C425" s="77"/>
      <c r="D425" s="77"/>
      <c r="E425" s="77"/>
    </row>
    <row r="426" spans="1:5" x14ac:dyDescent="0.25">
      <c r="A426" s="77"/>
      <c r="B426" s="9"/>
      <c r="C426" s="77"/>
      <c r="D426" s="77"/>
      <c r="E426" s="77"/>
    </row>
    <row r="427" spans="1:5" x14ac:dyDescent="0.25">
      <c r="A427" s="77"/>
      <c r="B427" s="9"/>
      <c r="C427" s="77"/>
      <c r="D427" s="77"/>
      <c r="E427" s="77"/>
    </row>
    <row r="428" spans="1:5" x14ac:dyDescent="0.25">
      <c r="A428" s="77"/>
      <c r="B428" s="9"/>
      <c r="C428" s="77"/>
      <c r="D428" s="77"/>
      <c r="E428" s="77"/>
    </row>
    <row r="429" spans="1:5" x14ac:dyDescent="0.25">
      <c r="A429" s="77"/>
      <c r="B429" s="9"/>
      <c r="C429" s="77"/>
      <c r="D429" s="77"/>
      <c r="E429" s="77"/>
    </row>
    <row r="430" spans="1:5" x14ac:dyDescent="0.25">
      <c r="A430" s="77"/>
      <c r="B430" s="9"/>
      <c r="C430" s="77"/>
      <c r="D430" s="77"/>
      <c r="E430" s="77"/>
    </row>
    <row r="431" spans="1:5" x14ac:dyDescent="0.25">
      <c r="A431" s="77"/>
      <c r="B431" s="9"/>
      <c r="C431" s="77"/>
      <c r="D431" s="77"/>
      <c r="E431" s="77"/>
    </row>
    <row r="432" spans="1:5" x14ac:dyDescent="0.25">
      <c r="A432" s="77"/>
      <c r="B432" s="9"/>
      <c r="C432" s="77"/>
      <c r="D432" s="77"/>
      <c r="E432" s="77"/>
    </row>
    <row r="433" spans="1:5" x14ac:dyDescent="0.25">
      <c r="A433" s="77"/>
      <c r="B433" s="9"/>
      <c r="C433" s="77"/>
      <c r="D433" s="77"/>
      <c r="E433" s="77"/>
    </row>
    <row r="434" spans="1:5" x14ac:dyDescent="0.25">
      <c r="A434" s="77"/>
      <c r="B434" s="9"/>
      <c r="C434" s="77"/>
      <c r="D434" s="77"/>
      <c r="E434" s="77"/>
    </row>
    <row r="435" spans="1:5" x14ac:dyDescent="0.25">
      <c r="A435" s="77"/>
      <c r="B435" s="9"/>
      <c r="C435" s="77"/>
      <c r="D435" s="77"/>
      <c r="E435" s="77"/>
    </row>
    <row r="436" spans="1:5" x14ac:dyDescent="0.25">
      <c r="A436" s="77"/>
      <c r="B436" s="9"/>
      <c r="C436" s="77"/>
      <c r="D436" s="77"/>
      <c r="E436" s="77"/>
    </row>
    <row r="437" spans="1:5" x14ac:dyDescent="0.25">
      <c r="A437" s="77"/>
      <c r="B437" s="9"/>
      <c r="C437" s="77"/>
      <c r="D437" s="77"/>
      <c r="E437" s="77"/>
    </row>
    <row r="438" spans="1:5" x14ac:dyDescent="0.25">
      <c r="A438" s="77"/>
      <c r="B438" s="9"/>
      <c r="C438" s="77"/>
      <c r="D438" s="77"/>
      <c r="E438" s="77"/>
    </row>
    <row r="439" spans="1:5" x14ac:dyDescent="0.25">
      <c r="A439" s="77"/>
      <c r="B439" s="9"/>
      <c r="C439" s="77"/>
      <c r="D439" s="77"/>
      <c r="E439" s="77"/>
    </row>
    <row r="440" spans="1:5" x14ac:dyDescent="0.25">
      <c r="A440" s="77"/>
      <c r="B440" s="9"/>
      <c r="C440" s="77"/>
      <c r="D440" s="77"/>
      <c r="E440" s="77"/>
    </row>
    <row r="441" spans="1:5" x14ac:dyDescent="0.25">
      <c r="A441" s="77"/>
      <c r="B441" s="9"/>
      <c r="C441" s="77"/>
      <c r="D441" s="77"/>
      <c r="E441" s="77"/>
    </row>
    <row r="442" spans="1:5" x14ac:dyDescent="0.25">
      <c r="A442" s="77"/>
      <c r="B442" s="9"/>
      <c r="C442" s="77"/>
      <c r="D442" s="77"/>
      <c r="E442" s="77"/>
    </row>
    <row r="443" spans="1:5" x14ac:dyDescent="0.25">
      <c r="A443" s="77"/>
      <c r="B443" s="9"/>
      <c r="C443" s="77"/>
      <c r="D443" s="77"/>
      <c r="E443" s="77"/>
    </row>
    <row r="444" spans="1:5" x14ac:dyDescent="0.25">
      <c r="A444" s="77"/>
      <c r="B444" s="9"/>
      <c r="C444" s="77"/>
      <c r="D444" s="77"/>
      <c r="E444" s="77"/>
    </row>
    <row r="445" spans="1:5" x14ac:dyDescent="0.25">
      <c r="A445" s="77"/>
      <c r="B445" s="9"/>
      <c r="C445" s="77"/>
      <c r="D445" s="77"/>
      <c r="E445" s="77"/>
    </row>
    <row r="446" spans="1:5" x14ac:dyDescent="0.25">
      <c r="A446" s="77"/>
      <c r="B446" s="9"/>
      <c r="C446" s="77"/>
      <c r="D446" s="77"/>
      <c r="E446" s="77"/>
    </row>
    <row r="447" spans="1:5" x14ac:dyDescent="0.25">
      <c r="A447" s="77"/>
      <c r="B447" s="9"/>
      <c r="C447" s="77"/>
      <c r="D447" s="77"/>
      <c r="E447" s="77"/>
    </row>
    <row r="448" spans="1:5" x14ac:dyDescent="0.25">
      <c r="A448" s="77"/>
      <c r="B448" s="9"/>
      <c r="C448" s="77"/>
      <c r="D448" s="77"/>
      <c r="E448" s="77"/>
    </row>
    <row r="449" spans="1:5" x14ac:dyDescent="0.25">
      <c r="A449" s="77"/>
      <c r="B449" s="9"/>
      <c r="C449" s="77"/>
      <c r="D449" s="77"/>
      <c r="E449" s="77"/>
    </row>
    <row r="450" spans="1:5" x14ac:dyDescent="0.25">
      <c r="A450" s="77"/>
      <c r="B450" s="9"/>
      <c r="C450" s="77"/>
      <c r="D450" s="77"/>
      <c r="E450" s="77"/>
    </row>
    <row r="451" spans="1:5" x14ac:dyDescent="0.25">
      <c r="A451" s="77"/>
      <c r="B451" s="9"/>
      <c r="C451" s="77"/>
      <c r="D451" s="77"/>
      <c r="E451" s="77"/>
    </row>
    <row r="452" spans="1:5" x14ac:dyDescent="0.25">
      <c r="A452" s="77"/>
      <c r="B452" s="9"/>
      <c r="C452" s="77"/>
      <c r="D452" s="77"/>
      <c r="E452" s="77"/>
    </row>
    <row r="453" spans="1:5" x14ac:dyDescent="0.25">
      <c r="A453" s="77"/>
      <c r="B453" s="9"/>
      <c r="C453" s="77"/>
      <c r="D453" s="77"/>
      <c r="E453" s="77"/>
    </row>
    <row r="454" spans="1:5" x14ac:dyDescent="0.25">
      <c r="A454" s="77"/>
      <c r="B454" s="9"/>
      <c r="C454" s="77"/>
      <c r="D454" s="77"/>
      <c r="E454" s="77"/>
    </row>
    <row r="455" spans="1:5" x14ac:dyDescent="0.25">
      <c r="A455" s="77"/>
      <c r="B455" s="9"/>
      <c r="C455" s="77"/>
      <c r="D455" s="77"/>
      <c r="E455" s="77"/>
    </row>
    <row r="456" spans="1:5" x14ac:dyDescent="0.25">
      <c r="A456" s="77"/>
      <c r="B456" s="9"/>
      <c r="C456" s="77"/>
      <c r="D456" s="77"/>
      <c r="E456" s="77"/>
    </row>
    <row r="457" spans="1:5" x14ac:dyDescent="0.25">
      <c r="A457" s="77"/>
      <c r="B457" s="9"/>
      <c r="C457" s="77"/>
      <c r="D457" s="77"/>
      <c r="E457" s="77"/>
    </row>
    <row r="458" spans="1:5" x14ac:dyDescent="0.25">
      <c r="A458" s="77"/>
      <c r="B458" s="9"/>
      <c r="C458" s="77"/>
      <c r="D458" s="77"/>
      <c r="E458" s="77"/>
    </row>
    <row r="459" spans="1:5" x14ac:dyDescent="0.25">
      <c r="A459" s="77"/>
      <c r="B459" s="9"/>
      <c r="C459" s="77"/>
      <c r="D459" s="77"/>
      <c r="E459" s="77"/>
    </row>
    <row r="460" spans="1:5" x14ac:dyDescent="0.25">
      <c r="A460" s="77"/>
      <c r="B460" s="9"/>
      <c r="C460" s="77"/>
      <c r="D460" s="77"/>
      <c r="E460" s="77"/>
    </row>
    <row r="461" spans="1:5" x14ac:dyDescent="0.25">
      <c r="A461" s="77"/>
      <c r="B461" s="9"/>
      <c r="C461" s="77"/>
      <c r="D461" s="77"/>
      <c r="E461" s="77"/>
    </row>
    <row r="462" spans="1:5" x14ac:dyDescent="0.25">
      <c r="A462" s="77"/>
      <c r="B462" s="9"/>
      <c r="C462" s="77"/>
      <c r="D462" s="77"/>
      <c r="E462" s="77"/>
    </row>
    <row r="463" spans="1:5" x14ac:dyDescent="0.25">
      <c r="A463" s="77"/>
      <c r="B463" s="9"/>
      <c r="C463" s="77"/>
      <c r="D463" s="77"/>
      <c r="E463" s="77"/>
    </row>
    <row r="464" spans="1:5" x14ac:dyDescent="0.25">
      <c r="A464" s="77"/>
      <c r="B464" s="9"/>
      <c r="C464" s="77"/>
      <c r="D464" s="77"/>
      <c r="E464" s="77"/>
    </row>
    <row r="465" spans="1:5" x14ac:dyDescent="0.25">
      <c r="A465" s="77"/>
      <c r="B465" s="9"/>
      <c r="C465" s="77"/>
      <c r="D465" s="77"/>
      <c r="E465" s="77"/>
    </row>
    <row r="466" spans="1:5" x14ac:dyDescent="0.25">
      <c r="A466" s="77"/>
      <c r="B466" s="9"/>
      <c r="C466" s="77"/>
      <c r="D466" s="77"/>
      <c r="E466" s="77"/>
    </row>
    <row r="467" spans="1:5" x14ac:dyDescent="0.25">
      <c r="A467" s="77"/>
      <c r="B467" s="9"/>
      <c r="C467" s="77"/>
      <c r="D467" s="77"/>
      <c r="E467" s="77"/>
    </row>
    <row r="468" spans="1:5" x14ac:dyDescent="0.25">
      <c r="A468" s="77"/>
      <c r="B468" s="9"/>
      <c r="C468" s="77"/>
      <c r="D468" s="77"/>
      <c r="E468" s="77"/>
    </row>
    <row r="469" spans="1:5" x14ac:dyDescent="0.25">
      <c r="A469" s="77"/>
      <c r="B469" s="9"/>
      <c r="C469" s="77"/>
      <c r="D469" s="77"/>
      <c r="E469" s="77"/>
    </row>
    <row r="470" spans="1:5" x14ac:dyDescent="0.25">
      <c r="A470" s="77"/>
      <c r="B470" s="9"/>
      <c r="C470" s="77"/>
      <c r="D470" s="77"/>
      <c r="E470" s="77"/>
    </row>
    <row r="471" spans="1:5" x14ac:dyDescent="0.25">
      <c r="A471" s="77"/>
      <c r="B471" s="9"/>
      <c r="C471" s="77"/>
      <c r="D471" s="77"/>
      <c r="E471" s="77"/>
    </row>
    <row r="472" spans="1:5" x14ac:dyDescent="0.25">
      <c r="A472" s="77"/>
      <c r="B472" s="9"/>
      <c r="C472" s="77"/>
      <c r="D472" s="77"/>
      <c r="E472" s="77"/>
    </row>
    <row r="473" spans="1:5" x14ac:dyDescent="0.25">
      <c r="A473" s="77"/>
      <c r="B473" s="9"/>
      <c r="C473" s="77"/>
      <c r="D473" s="77"/>
      <c r="E473" s="77"/>
    </row>
    <row r="474" spans="1:5" x14ac:dyDescent="0.25">
      <c r="A474" s="77"/>
      <c r="B474" s="9"/>
      <c r="C474" s="77"/>
      <c r="D474" s="77"/>
      <c r="E474" s="77"/>
    </row>
    <row r="475" spans="1:5" x14ac:dyDescent="0.25">
      <c r="A475" s="77"/>
      <c r="B475" s="9"/>
      <c r="C475" s="77"/>
      <c r="D475" s="77"/>
      <c r="E475" s="77"/>
    </row>
    <row r="476" spans="1:5" x14ac:dyDescent="0.25">
      <c r="A476" s="77"/>
      <c r="B476" s="9"/>
      <c r="C476" s="77"/>
      <c r="D476" s="77"/>
      <c r="E476" s="77"/>
    </row>
    <row r="477" spans="1:5" x14ac:dyDescent="0.25">
      <c r="A477" s="77"/>
      <c r="B477" s="9"/>
      <c r="C477" s="77"/>
      <c r="D477" s="77"/>
      <c r="E477" s="77"/>
    </row>
    <row r="478" spans="1:5" x14ac:dyDescent="0.25">
      <c r="A478" s="77"/>
      <c r="B478" s="9"/>
      <c r="C478" s="77"/>
      <c r="D478" s="77"/>
      <c r="E478" s="77"/>
    </row>
    <row r="479" spans="1:5" x14ac:dyDescent="0.25">
      <c r="A479" s="77"/>
      <c r="B479" s="9"/>
      <c r="C479" s="77"/>
      <c r="D479" s="77"/>
      <c r="E479" s="77"/>
    </row>
    <row r="480" spans="1:5" x14ac:dyDescent="0.25">
      <c r="A480" s="77"/>
      <c r="B480" s="9"/>
      <c r="C480" s="77"/>
      <c r="D480" s="77"/>
      <c r="E480" s="77"/>
    </row>
    <row r="481" spans="1:5" x14ac:dyDescent="0.25">
      <c r="A481" s="77"/>
      <c r="B481" s="9"/>
      <c r="C481" s="77"/>
      <c r="D481" s="77"/>
      <c r="E481" s="77"/>
    </row>
    <row r="482" spans="1:5" x14ac:dyDescent="0.25">
      <c r="A482" s="77"/>
      <c r="B482" s="9"/>
      <c r="C482" s="77"/>
      <c r="D482" s="77"/>
      <c r="E482" s="77"/>
    </row>
    <row r="483" spans="1:5" x14ac:dyDescent="0.25">
      <c r="A483" s="77"/>
      <c r="B483" s="9"/>
      <c r="C483" s="77"/>
      <c r="D483" s="77"/>
      <c r="E483" s="77"/>
    </row>
    <row r="484" spans="1:5" x14ac:dyDescent="0.25">
      <c r="A484" s="77"/>
      <c r="B484" s="9"/>
      <c r="C484" s="77"/>
      <c r="D484" s="77"/>
      <c r="E484" s="77"/>
    </row>
    <row r="485" spans="1:5" x14ac:dyDescent="0.25">
      <c r="A485" s="77"/>
      <c r="B485" s="9"/>
      <c r="C485" s="77"/>
      <c r="D485" s="77"/>
      <c r="E485" s="77"/>
    </row>
    <row r="486" spans="1:5" x14ac:dyDescent="0.25">
      <c r="A486" s="77"/>
      <c r="B486" s="9"/>
      <c r="C486" s="77"/>
      <c r="D486" s="77"/>
      <c r="E486" s="77"/>
    </row>
    <row r="487" spans="1:5" x14ac:dyDescent="0.25">
      <c r="A487" s="77"/>
      <c r="B487" s="9"/>
      <c r="C487" s="77"/>
      <c r="D487" s="77"/>
      <c r="E487" s="77"/>
    </row>
    <row r="488" spans="1:5" x14ac:dyDescent="0.25">
      <c r="A488" s="77"/>
      <c r="B488" s="9"/>
      <c r="C488" s="77"/>
      <c r="D488" s="77"/>
      <c r="E488" s="77"/>
    </row>
    <row r="489" spans="1:5" x14ac:dyDescent="0.25">
      <c r="A489" s="77"/>
      <c r="B489" s="9"/>
      <c r="C489" s="77"/>
      <c r="D489" s="77"/>
      <c r="E489" s="77"/>
    </row>
    <row r="490" spans="1:5" x14ac:dyDescent="0.25">
      <c r="A490" s="77"/>
      <c r="B490" s="9"/>
      <c r="C490" s="77"/>
      <c r="D490" s="77"/>
      <c r="E490" s="77"/>
    </row>
    <row r="491" spans="1:5" x14ac:dyDescent="0.25">
      <c r="A491" s="77"/>
      <c r="B491" s="9"/>
      <c r="C491" s="77"/>
      <c r="D491" s="77"/>
      <c r="E491" s="77"/>
    </row>
    <row r="492" spans="1:5" x14ac:dyDescent="0.25">
      <c r="A492" s="77"/>
      <c r="B492" s="9"/>
      <c r="C492" s="77"/>
      <c r="D492" s="77"/>
      <c r="E492" s="77"/>
    </row>
    <row r="493" spans="1:5" x14ac:dyDescent="0.25">
      <c r="A493" s="77"/>
      <c r="B493" s="9"/>
      <c r="C493" s="77"/>
      <c r="D493" s="77"/>
      <c r="E493" s="77"/>
    </row>
    <row r="494" spans="1:5" x14ac:dyDescent="0.25">
      <c r="A494" s="77"/>
      <c r="B494" s="9"/>
      <c r="C494" s="77"/>
      <c r="D494" s="77"/>
      <c r="E494" s="77"/>
    </row>
    <row r="495" spans="1:5" x14ac:dyDescent="0.25">
      <c r="A495" s="77"/>
      <c r="B495" s="9"/>
      <c r="C495" s="77"/>
      <c r="D495" s="77"/>
      <c r="E495" s="77"/>
    </row>
    <row r="496" spans="1:5" x14ac:dyDescent="0.25">
      <c r="A496" s="77"/>
      <c r="B496" s="9"/>
      <c r="C496" s="77"/>
      <c r="D496" s="77"/>
      <c r="E496" s="77"/>
    </row>
    <row r="497" spans="1:5" x14ac:dyDescent="0.25">
      <c r="A497" s="77"/>
      <c r="B497" s="9"/>
      <c r="C497" s="77"/>
      <c r="D497" s="77"/>
      <c r="E497" s="77"/>
    </row>
    <row r="498" spans="1:5" x14ac:dyDescent="0.25">
      <c r="A498" s="77"/>
      <c r="B498" s="9"/>
      <c r="C498" s="77"/>
      <c r="D498" s="77"/>
      <c r="E498" s="77"/>
    </row>
    <row r="499" spans="1:5" x14ac:dyDescent="0.25">
      <c r="A499" s="77"/>
      <c r="B499" s="9"/>
      <c r="C499" s="77"/>
      <c r="D499" s="77"/>
      <c r="E499" s="77"/>
    </row>
    <row r="500" spans="1:5" x14ac:dyDescent="0.25">
      <c r="A500" s="77"/>
      <c r="B500" s="9"/>
      <c r="C500" s="77"/>
      <c r="D500" s="77"/>
      <c r="E500" s="77"/>
    </row>
    <row r="501" spans="1:5" x14ac:dyDescent="0.25">
      <c r="A501" s="77"/>
      <c r="B501" s="9"/>
      <c r="C501" s="77"/>
      <c r="D501" s="77"/>
      <c r="E501" s="77"/>
    </row>
    <row r="502" spans="1:5" x14ac:dyDescent="0.25">
      <c r="A502" s="77"/>
      <c r="B502" s="9"/>
      <c r="C502" s="77"/>
      <c r="D502" s="77"/>
      <c r="E502" s="77"/>
    </row>
    <row r="503" spans="1:5" x14ac:dyDescent="0.25">
      <c r="A503" s="77"/>
      <c r="B503" s="9"/>
      <c r="C503" s="77"/>
      <c r="D503" s="77"/>
      <c r="E503" s="77"/>
    </row>
    <row r="504" spans="1:5" x14ac:dyDescent="0.25">
      <c r="A504" s="77"/>
      <c r="B504" s="9"/>
      <c r="C504" s="77"/>
      <c r="D504" s="77"/>
      <c r="E504" s="77"/>
    </row>
  </sheetData>
  <sortState xmlns:xlrd2="http://schemas.microsoft.com/office/spreadsheetml/2017/richdata2" ref="A2:E10">
    <sortCondition ref="D2:D10"/>
  </sortState>
  <hyperlinks>
    <hyperlink ref="A14" r:id="rId1" display="https://te.onbmc.com/arsys/servlet/ViewFormServlet?form=CHG%3AInfrastructure+Change&amp;server=onbmc-s&amp;eid=CRQ000000082124" xr:uid="{00000000-0004-0000-0800-000000000000}"/>
    <hyperlink ref="A15" r:id="rId2" display="https://te.onbmc.com/arsys/servlet/ViewFormServlet?form=CHG%3AInfrastructure+Change&amp;server=onbmc-s&amp;eid=CRQ000000081807" xr:uid="{00000000-0004-0000-0800-000001000000}"/>
    <hyperlink ref="A16" r:id="rId3" display="https://te.onbmc.com/arsys/servlet/ViewFormServlet?form=CHG%3AInfrastructure+Change&amp;server=onbmc-s&amp;eid=CRQ000000081693" xr:uid="{00000000-0004-0000-0800-000002000000}"/>
    <hyperlink ref="A59" r:id="rId4" display="https://te.onbmc.com/arsys/servlet/ViewFormServlet?form=CHG%3AInfrastructure+Change&amp;server=onbmc-s&amp;eid=CRQ000000082082" xr:uid="{00000000-0004-0000-0800-000003000000}"/>
  </hyperlinks>
  <pageMargins left="0.7" right="0.7" top="0.75" bottom="0.75" header="0.3" footer="0.3"/>
  <pageSetup paperSize="9" orientation="portrait"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C184"/>
  <sheetViews>
    <sheetView workbookViewId="0">
      <pane ySplit="1" topLeftCell="A167" activePane="bottomLeft" state="frozen"/>
      <selection pane="bottomLeft" activeCell="A183" sqref="A183:XFD183"/>
    </sheetView>
  </sheetViews>
  <sheetFormatPr defaultColWidth="9.140625" defaultRowHeight="15" x14ac:dyDescent="0.25"/>
  <cols>
    <col min="1" max="1" width="25.5703125" style="38" bestFit="1" customWidth="1"/>
    <col min="2" max="2" width="26.140625" style="38" bestFit="1" customWidth="1"/>
    <col min="3" max="3" width="46.28515625" style="38" bestFit="1" customWidth="1"/>
    <col min="4" max="16384" width="9.140625" style="37"/>
  </cols>
  <sheetData>
    <row r="1" spans="1:3" ht="21" x14ac:dyDescent="0.25">
      <c r="A1" s="40" t="s">
        <v>1329</v>
      </c>
      <c r="B1" s="40" t="s">
        <v>1330</v>
      </c>
      <c r="C1" s="40" t="s">
        <v>1331</v>
      </c>
    </row>
    <row r="2" spans="1:3" x14ac:dyDescent="0.25">
      <c r="A2" s="38" t="s">
        <v>1332</v>
      </c>
      <c r="B2" s="38" t="s">
        <v>1333</v>
      </c>
      <c r="C2" s="38" t="s">
        <v>1334</v>
      </c>
    </row>
    <row r="3" spans="1:3" x14ac:dyDescent="0.25">
      <c r="A3" s="38" t="s">
        <v>1335</v>
      </c>
      <c r="B3" s="38" t="s">
        <v>1336</v>
      </c>
      <c r="C3" s="38" t="s">
        <v>1334</v>
      </c>
    </row>
    <row r="4" spans="1:3" x14ac:dyDescent="0.25">
      <c r="A4" s="38" t="s">
        <v>1337</v>
      </c>
      <c r="B4" s="38" t="s">
        <v>1333</v>
      </c>
      <c r="C4" s="38" t="s">
        <v>1334</v>
      </c>
    </row>
    <row r="5" spans="1:3" ht="30" x14ac:dyDescent="0.25">
      <c r="A5" s="38" t="s">
        <v>1338</v>
      </c>
      <c r="B5" s="38" t="s">
        <v>1336</v>
      </c>
      <c r="C5" s="39" t="s">
        <v>1339</v>
      </c>
    </row>
    <row r="6" spans="1:3" x14ac:dyDescent="0.25">
      <c r="A6" s="38" t="s">
        <v>1340</v>
      </c>
      <c r="B6" s="38" t="s">
        <v>1341</v>
      </c>
      <c r="C6" s="38" t="s">
        <v>1341</v>
      </c>
    </row>
    <row r="7" spans="1:3" x14ac:dyDescent="0.25">
      <c r="A7" s="38" t="s">
        <v>1342</v>
      </c>
      <c r="B7" s="38" t="s">
        <v>1341</v>
      </c>
      <c r="C7" s="38" t="s">
        <v>1341</v>
      </c>
    </row>
    <row r="8" spans="1:3" x14ac:dyDescent="0.25">
      <c r="A8" s="38" t="s">
        <v>1343</v>
      </c>
      <c r="B8" s="38" t="s">
        <v>1341</v>
      </c>
      <c r="C8" s="38" t="s">
        <v>1341</v>
      </c>
    </row>
    <row r="9" spans="1:3" x14ac:dyDescent="0.25">
      <c r="A9" s="38" t="s">
        <v>1344</v>
      </c>
      <c r="B9" s="38" t="s">
        <v>1341</v>
      </c>
      <c r="C9" s="38" t="s">
        <v>1341</v>
      </c>
    </row>
    <row r="10" spans="1:3" x14ac:dyDescent="0.25">
      <c r="A10" s="38" t="s">
        <v>1345</v>
      </c>
      <c r="B10" s="38" t="s">
        <v>1341</v>
      </c>
      <c r="C10" s="38" t="s">
        <v>1346</v>
      </c>
    </row>
    <row r="11" spans="1:3" x14ac:dyDescent="0.25">
      <c r="A11" s="38" t="s">
        <v>1347</v>
      </c>
      <c r="B11" s="38" t="s">
        <v>1348</v>
      </c>
      <c r="C11" s="38" t="s">
        <v>1346</v>
      </c>
    </row>
    <row r="12" spans="1:3" ht="225" x14ac:dyDescent="0.25">
      <c r="A12" s="38" t="s">
        <v>1349</v>
      </c>
      <c r="B12" s="39" t="s">
        <v>1350</v>
      </c>
      <c r="C12" s="39" t="s">
        <v>1351</v>
      </c>
    </row>
    <row r="13" spans="1:3" x14ac:dyDescent="0.25">
      <c r="A13" s="38" t="s">
        <v>1352</v>
      </c>
      <c r="B13" s="38" t="s">
        <v>1336</v>
      </c>
      <c r="C13" s="38" t="s">
        <v>1334</v>
      </c>
    </row>
    <row r="14" spans="1:3" x14ac:dyDescent="0.25">
      <c r="A14" s="38" t="s">
        <v>1353</v>
      </c>
      <c r="B14" s="38" t="s">
        <v>1336</v>
      </c>
      <c r="C14" s="38" t="s">
        <v>1334</v>
      </c>
    </row>
    <row r="15" spans="1:3" x14ac:dyDescent="0.25">
      <c r="A15" s="38" t="s">
        <v>1354</v>
      </c>
      <c r="B15" s="38" t="s">
        <v>1355</v>
      </c>
      <c r="C15" s="38" t="s">
        <v>1356</v>
      </c>
    </row>
    <row r="16" spans="1:3" x14ac:dyDescent="0.25">
      <c r="A16" s="38" t="s">
        <v>1357</v>
      </c>
      <c r="B16" s="38" t="s">
        <v>1355</v>
      </c>
      <c r="C16" s="38" t="s">
        <v>1356</v>
      </c>
    </row>
    <row r="17" spans="1:3" x14ac:dyDescent="0.25">
      <c r="A17" s="38" t="s">
        <v>1358</v>
      </c>
      <c r="B17" s="38" t="s">
        <v>1336</v>
      </c>
      <c r="C17" s="38" t="s">
        <v>1334</v>
      </c>
    </row>
    <row r="18" spans="1:3" x14ac:dyDescent="0.25">
      <c r="A18" s="38" t="s">
        <v>1359</v>
      </c>
      <c r="B18" s="38" t="s">
        <v>1341</v>
      </c>
      <c r="C18" s="38" t="s">
        <v>1341</v>
      </c>
    </row>
    <row r="19" spans="1:3" x14ac:dyDescent="0.25">
      <c r="A19" s="38" t="s">
        <v>1360</v>
      </c>
      <c r="B19" s="38" t="s">
        <v>1341</v>
      </c>
      <c r="C19" s="38" t="s">
        <v>1341</v>
      </c>
    </row>
    <row r="20" spans="1:3" x14ac:dyDescent="0.25">
      <c r="A20" s="38" t="s">
        <v>1361</v>
      </c>
      <c r="B20" s="38" t="s">
        <v>1341</v>
      </c>
      <c r="C20" s="38" t="s">
        <v>1341</v>
      </c>
    </row>
    <row r="21" spans="1:3" x14ac:dyDescent="0.25">
      <c r="A21" s="38" t="s">
        <v>1362</v>
      </c>
      <c r="B21" s="38" t="s">
        <v>1341</v>
      </c>
      <c r="C21" s="38" t="s">
        <v>1341</v>
      </c>
    </row>
    <row r="22" spans="1:3" x14ac:dyDescent="0.25">
      <c r="A22" s="38" t="s">
        <v>1363</v>
      </c>
      <c r="B22" s="38" t="s">
        <v>1341</v>
      </c>
      <c r="C22" s="38" t="s">
        <v>1341</v>
      </c>
    </row>
    <row r="23" spans="1:3" x14ac:dyDescent="0.25">
      <c r="A23" s="38" t="s">
        <v>1364</v>
      </c>
      <c r="B23" s="38" t="s">
        <v>1341</v>
      </c>
      <c r="C23" s="38" t="s">
        <v>1341</v>
      </c>
    </row>
    <row r="24" spans="1:3" x14ac:dyDescent="0.25">
      <c r="A24" s="38" t="s">
        <v>1365</v>
      </c>
      <c r="B24" s="38" t="s">
        <v>1341</v>
      </c>
      <c r="C24" s="38" t="s">
        <v>1341</v>
      </c>
    </row>
    <row r="25" spans="1:3" x14ac:dyDescent="0.25">
      <c r="A25" s="38" t="s">
        <v>1366</v>
      </c>
      <c r="B25" s="38" t="s">
        <v>1341</v>
      </c>
      <c r="C25" s="38" t="s">
        <v>1341</v>
      </c>
    </row>
    <row r="26" spans="1:3" x14ac:dyDescent="0.25">
      <c r="A26" s="38" t="s">
        <v>1367</v>
      </c>
      <c r="B26" s="38" t="s">
        <v>1341</v>
      </c>
      <c r="C26" s="38" t="s">
        <v>1341</v>
      </c>
    </row>
    <row r="27" spans="1:3" x14ac:dyDescent="0.25">
      <c r="A27" s="38" t="s">
        <v>1368</v>
      </c>
      <c r="B27" s="38" t="s">
        <v>1341</v>
      </c>
      <c r="C27" s="38" t="s">
        <v>1341</v>
      </c>
    </row>
    <row r="28" spans="1:3" x14ac:dyDescent="0.25">
      <c r="A28" s="38" t="s">
        <v>1369</v>
      </c>
      <c r="B28" s="38" t="s">
        <v>1341</v>
      </c>
      <c r="C28" s="38" t="s">
        <v>1341</v>
      </c>
    </row>
    <row r="29" spans="1:3" x14ac:dyDescent="0.25">
      <c r="A29" s="38" t="s">
        <v>1370</v>
      </c>
      <c r="B29" s="38" t="s">
        <v>1341</v>
      </c>
      <c r="C29" s="38" t="s">
        <v>1341</v>
      </c>
    </row>
    <row r="30" spans="1:3" x14ac:dyDescent="0.25">
      <c r="A30" s="38" t="s">
        <v>1371</v>
      </c>
      <c r="B30" s="38" t="s">
        <v>1341</v>
      </c>
      <c r="C30" s="38" t="s">
        <v>1341</v>
      </c>
    </row>
    <row r="31" spans="1:3" x14ac:dyDescent="0.25">
      <c r="A31" s="38" t="s">
        <v>1372</v>
      </c>
      <c r="B31" s="38" t="s">
        <v>1373</v>
      </c>
      <c r="C31" s="38" t="s">
        <v>1334</v>
      </c>
    </row>
    <row r="32" spans="1:3" x14ac:dyDescent="0.25">
      <c r="A32" s="38" t="s">
        <v>1374</v>
      </c>
      <c r="B32" s="38" t="s">
        <v>1375</v>
      </c>
      <c r="C32" s="38" t="s">
        <v>1356</v>
      </c>
    </row>
    <row r="33" spans="1:3" x14ac:dyDescent="0.25">
      <c r="A33" s="38" t="s">
        <v>1376</v>
      </c>
      <c r="B33" s="38" t="s">
        <v>1341</v>
      </c>
      <c r="C33" s="38" t="s">
        <v>1341</v>
      </c>
    </row>
    <row r="34" spans="1:3" x14ac:dyDescent="0.25">
      <c r="A34" s="38" t="s">
        <v>1377</v>
      </c>
      <c r="B34" s="38" t="s">
        <v>1341</v>
      </c>
      <c r="C34" s="38" t="s">
        <v>1341</v>
      </c>
    </row>
    <row r="35" spans="1:3" x14ac:dyDescent="0.25">
      <c r="A35" s="38" t="s">
        <v>1378</v>
      </c>
      <c r="B35" s="38" t="s">
        <v>1341</v>
      </c>
      <c r="C35" s="38" t="s">
        <v>1341</v>
      </c>
    </row>
    <row r="36" spans="1:3" x14ac:dyDescent="0.25">
      <c r="A36" s="38" t="s">
        <v>1379</v>
      </c>
      <c r="B36" s="38" t="s">
        <v>1341</v>
      </c>
      <c r="C36" s="38" t="s">
        <v>1341</v>
      </c>
    </row>
    <row r="37" spans="1:3" x14ac:dyDescent="0.25">
      <c r="A37" s="38" t="s">
        <v>1380</v>
      </c>
      <c r="B37" s="38" t="s">
        <v>1341</v>
      </c>
      <c r="C37" s="38" t="s">
        <v>1341</v>
      </c>
    </row>
    <row r="38" spans="1:3" x14ac:dyDescent="0.25">
      <c r="A38" s="38" t="s">
        <v>1381</v>
      </c>
      <c r="B38" s="38" t="s">
        <v>1341</v>
      </c>
      <c r="C38" s="38" t="s">
        <v>1341</v>
      </c>
    </row>
    <row r="39" spans="1:3" x14ac:dyDescent="0.25">
      <c r="A39" s="38" t="s">
        <v>1382</v>
      </c>
      <c r="B39" s="38" t="s">
        <v>1341</v>
      </c>
      <c r="C39" s="38" t="s">
        <v>1341</v>
      </c>
    </row>
    <row r="40" spans="1:3" x14ac:dyDescent="0.25">
      <c r="A40" s="38" t="s">
        <v>1383</v>
      </c>
      <c r="B40" s="38" t="s">
        <v>1341</v>
      </c>
      <c r="C40" s="38" t="s">
        <v>1341</v>
      </c>
    </row>
    <row r="41" spans="1:3" x14ac:dyDescent="0.25">
      <c r="A41" s="38" t="s">
        <v>1384</v>
      </c>
      <c r="B41" s="38" t="s">
        <v>1341</v>
      </c>
      <c r="C41" s="38" t="s">
        <v>1341</v>
      </c>
    </row>
    <row r="42" spans="1:3" x14ac:dyDescent="0.25">
      <c r="A42" s="38" t="s">
        <v>1385</v>
      </c>
      <c r="B42" s="38" t="s">
        <v>1341</v>
      </c>
      <c r="C42" s="38" t="s">
        <v>1341</v>
      </c>
    </row>
    <row r="43" spans="1:3" x14ac:dyDescent="0.25">
      <c r="A43" s="38" t="s">
        <v>1386</v>
      </c>
      <c r="B43" s="38" t="s">
        <v>1341</v>
      </c>
      <c r="C43" s="38" t="s">
        <v>1341</v>
      </c>
    </row>
    <row r="44" spans="1:3" x14ac:dyDescent="0.25">
      <c r="A44" s="38" t="s">
        <v>1387</v>
      </c>
      <c r="B44" s="38" t="s">
        <v>1341</v>
      </c>
      <c r="C44" s="38" t="s">
        <v>1341</v>
      </c>
    </row>
    <row r="45" spans="1:3" x14ac:dyDescent="0.25">
      <c r="A45" s="38" t="s">
        <v>1388</v>
      </c>
      <c r="B45" s="38" t="s">
        <v>1341</v>
      </c>
      <c r="C45" s="38" t="s">
        <v>1341</v>
      </c>
    </row>
    <row r="46" spans="1:3" x14ac:dyDescent="0.25">
      <c r="A46" s="38" t="s">
        <v>1389</v>
      </c>
      <c r="C46" s="39" t="s">
        <v>1356</v>
      </c>
    </row>
    <row r="47" spans="1:3" x14ac:dyDescent="0.25">
      <c r="A47" s="38" t="s">
        <v>1390</v>
      </c>
      <c r="C47" s="39" t="s">
        <v>1356</v>
      </c>
    </row>
    <row r="48" spans="1:3" x14ac:dyDescent="0.25">
      <c r="A48" s="38" t="s">
        <v>1391</v>
      </c>
      <c r="C48" s="38" t="s">
        <v>1334</v>
      </c>
    </row>
    <row r="49" spans="1:3" ht="150" x14ac:dyDescent="0.25">
      <c r="A49" s="38" t="s">
        <v>1392</v>
      </c>
      <c r="B49" s="39" t="s">
        <v>1393</v>
      </c>
      <c r="C49" s="39" t="s">
        <v>1356</v>
      </c>
    </row>
    <row r="50" spans="1:3" x14ac:dyDescent="0.25">
      <c r="A50" s="38" t="s">
        <v>1394</v>
      </c>
      <c r="B50" s="38" t="s">
        <v>1341</v>
      </c>
      <c r="C50" s="38" t="s">
        <v>1341</v>
      </c>
    </row>
    <row r="51" spans="1:3" x14ac:dyDescent="0.25">
      <c r="A51" s="38" t="s">
        <v>1395</v>
      </c>
      <c r="B51" s="38" t="s">
        <v>1341</v>
      </c>
      <c r="C51" s="38" t="s">
        <v>1341</v>
      </c>
    </row>
    <row r="52" spans="1:3" x14ac:dyDescent="0.25">
      <c r="A52" s="38" t="s">
        <v>1396</v>
      </c>
      <c r="B52" s="38" t="s">
        <v>1341</v>
      </c>
      <c r="C52" s="38" t="s">
        <v>1341</v>
      </c>
    </row>
    <row r="53" spans="1:3" x14ac:dyDescent="0.25">
      <c r="A53" s="38" t="s">
        <v>1397</v>
      </c>
      <c r="B53" s="38" t="s">
        <v>1341</v>
      </c>
      <c r="C53" s="38" t="s">
        <v>1341</v>
      </c>
    </row>
    <row r="54" spans="1:3" x14ac:dyDescent="0.25">
      <c r="A54" s="38" t="s">
        <v>1398</v>
      </c>
      <c r="B54" s="38" t="s">
        <v>1341</v>
      </c>
      <c r="C54" s="38" t="s">
        <v>1341</v>
      </c>
    </row>
    <row r="55" spans="1:3" x14ac:dyDescent="0.25">
      <c r="A55" s="38" t="s">
        <v>1399</v>
      </c>
      <c r="B55" s="38" t="s">
        <v>1341</v>
      </c>
      <c r="C55" s="38" t="s">
        <v>1341</v>
      </c>
    </row>
    <row r="56" spans="1:3" x14ac:dyDescent="0.25">
      <c r="A56" s="38" t="s">
        <v>1400</v>
      </c>
      <c r="B56" s="38" t="s">
        <v>1341</v>
      </c>
      <c r="C56" s="38" t="s">
        <v>1341</v>
      </c>
    </row>
    <row r="57" spans="1:3" x14ac:dyDescent="0.25">
      <c r="A57" s="38" t="s">
        <v>1401</v>
      </c>
      <c r="B57" s="38" t="s">
        <v>1341</v>
      </c>
      <c r="C57" s="38" t="s">
        <v>1341</v>
      </c>
    </row>
    <row r="58" spans="1:3" x14ac:dyDescent="0.25">
      <c r="A58" s="38" t="s">
        <v>1402</v>
      </c>
      <c r="B58" s="38" t="s">
        <v>1341</v>
      </c>
      <c r="C58" s="38" t="s">
        <v>1341</v>
      </c>
    </row>
    <row r="59" spans="1:3" x14ac:dyDescent="0.25">
      <c r="A59" s="38" t="s">
        <v>1386</v>
      </c>
      <c r="B59" s="38" t="s">
        <v>1341</v>
      </c>
      <c r="C59" s="38" t="s">
        <v>1341</v>
      </c>
    </row>
    <row r="60" spans="1:3" x14ac:dyDescent="0.25">
      <c r="A60" s="38" t="s">
        <v>1403</v>
      </c>
      <c r="B60" s="38" t="s">
        <v>1341</v>
      </c>
      <c r="C60" s="38" t="s">
        <v>1341</v>
      </c>
    </row>
    <row r="61" spans="1:3" x14ac:dyDescent="0.25">
      <c r="A61" s="38" t="s">
        <v>1404</v>
      </c>
      <c r="B61" s="38" t="s">
        <v>1341</v>
      </c>
      <c r="C61" s="38" t="s">
        <v>1341</v>
      </c>
    </row>
    <row r="62" spans="1:3" x14ac:dyDescent="0.25">
      <c r="A62" s="38" t="s">
        <v>1405</v>
      </c>
      <c r="B62" s="38" t="s">
        <v>1341</v>
      </c>
      <c r="C62" s="38" t="s">
        <v>1341</v>
      </c>
    </row>
    <row r="63" spans="1:3" x14ac:dyDescent="0.25">
      <c r="A63" s="38" t="s">
        <v>1406</v>
      </c>
      <c r="B63" s="38" t="s">
        <v>1341</v>
      </c>
      <c r="C63" s="38" t="s">
        <v>1341</v>
      </c>
    </row>
    <row r="64" spans="1:3" x14ac:dyDescent="0.25">
      <c r="A64" s="38" t="s">
        <v>1407</v>
      </c>
      <c r="B64" s="38" t="s">
        <v>1341</v>
      </c>
      <c r="C64" s="38" t="s">
        <v>1341</v>
      </c>
    </row>
    <row r="65" spans="1:3" ht="30" x14ac:dyDescent="0.25">
      <c r="A65" s="38" t="s">
        <v>1408</v>
      </c>
      <c r="B65" s="39" t="s">
        <v>1409</v>
      </c>
      <c r="C65" s="39" t="s">
        <v>1339</v>
      </c>
    </row>
    <row r="66" spans="1:3" ht="30" x14ac:dyDescent="0.25">
      <c r="A66" s="38" t="s">
        <v>1410</v>
      </c>
      <c r="B66" s="39" t="s">
        <v>1411</v>
      </c>
      <c r="C66" s="39" t="s">
        <v>1412</v>
      </c>
    </row>
    <row r="67" spans="1:3" x14ac:dyDescent="0.25">
      <c r="A67" s="38" t="s">
        <v>1413</v>
      </c>
      <c r="B67" s="38" t="s">
        <v>1414</v>
      </c>
      <c r="C67" s="38" t="s">
        <v>1415</v>
      </c>
    </row>
    <row r="68" spans="1:3" x14ac:dyDescent="0.25">
      <c r="A68" s="38" t="s">
        <v>1416</v>
      </c>
      <c r="B68" s="38" t="s">
        <v>1417</v>
      </c>
      <c r="C68" s="38" t="s">
        <v>1346</v>
      </c>
    </row>
    <row r="69" spans="1:3" x14ac:dyDescent="0.25">
      <c r="A69" s="38" t="s">
        <v>1418</v>
      </c>
      <c r="B69" s="38" t="s">
        <v>1414</v>
      </c>
      <c r="C69" s="38" t="s">
        <v>1415</v>
      </c>
    </row>
    <row r="70" spans="1:3" x14ac:dyDescent="0.25">
      <c r="A70" s="38" t="s">
        <v>1419</v>
      </c>
      <c r="B70" s="38" t="s">
        <v>1420</v>
      </c>
      <c r="C70" s="38" t="s">
        <v>1334</v>
      </c>
    </row>
    <row r="71" spans="1:3" x14ac:dyDescent="0.25">
      <c r="A71" s="38" t="s">
        <v>1421</v>
      </c>
      <c r="B71" s="38" t="s">
        <v>1414</v>
      </c>
      <c r="C71" s="38" t="s">
        <v>1356</v>
      </c>
    </row>
    <row r="72" spans="1:3" x14ac:dyDescent="0.25">
      <c r="A72" s="38" t="s">
        <v>1422</v>
      </c>
      <c r="B72" s="38" t="s">
        <v>1423</v>
      </c>
      <c r="C72" s="38" t="s">
        <v>1334</v>
      </c>
    </row>
    <row r="73" spans="1:3" x14ac:dyDescent="0.25">
      <c r="A73" s="38" t="s">
        <v>1424</v>
      </c>
      <c r="B73" s="38" t="s">
        <v>1341</v>
      </c>
      <c r="C73" s="38" t="s">
        <v>1341</v>
      </c>
    </row>
    <row r="74" spans="1:3" x14ac:dyDescent="0.25">
      <c r="A74" s="38" t="s">
        <v>1425</v>
      </c>
      <c r="B74" s="38" t="s">
        <v>1341</v>
      </c>
      <c r="C74" s="38" t="s">
        <v>1341</v>
      </c>
    </row>
    <row r="75" spans="1:3" x14ac:dyDescent="0.25">
      <c r="A75" s="38" t="s">
        <v>1426</v>
      </c>
      <c r="B75" s="38" t="s">
        <v>1341</v>
      </c>
      <c r="C75" s="38" t="s">
        <v>1341</v>
      </c>
    </row>
    <row r="76" spans="1:3" x14ac:dyDescent="0.25">
      <c r="A76" s="38" t="s">
        <v>1427</v>
      </c>
      <c r="B76" s="38" t="s">
        <v>1428</v>
      </c>
      <c r="C76" s="38" t="s">
        <v>1346</v>
      </c>
    </row>
    <row r="77" spans="1:3" x14ac:dyDescent="0.25">
      <c r="A77" s="38" t="s">
        <v>1429</v>
      </c>
      <c r="B77" s="38" t="s">
        <v>1414</v>
      </c>
      <c r="C77" s="38" t="s">
        <v>1356</v>
      </c>
    </row>
    <row r="78" spans="1:3" x14ac:dyDescent="0.25">
      <c r="A78" s="38" t="s">
        <v>1430</v>
      </c>
      <c r="B78" s="38" t="s">
        <v>1431</v>
      </c>
      <c r="C78" s="38" t="s">
        <v>1356</v>
      </c>
    </row>
    <row r="79" spans="1:3" x14ac:dyDescent="0.25">
      <c r="A79" s="38" t="s">
        <v>1432</v>
      </c>
      <c r="B79" s="38" t="s">
        <v>1341</v>
      </c>
      <c r="C79" s="38" t="s">
        <v>1341</v>
      </c>
    </row>
    <row r="80" spans="1:3" x14ac:dyDescent="0.25">
      <c r="A80" s="38" t="s">
        <v>1433</v>
      </c>
      <c r="B80" s="38" t="s">
        <v>1341</v>
      </c>
      <c r="C80" s="38" t="s">
        <v>1341</v>
      </c>
    </row>
    <row r="81" spans="1:3" x14ac:dyDescent="0.25">
      <c r="A81" s="38" t="s">
        <v>1434</v>
      </c>
      <c r="B81" s="38" t="s">
        <v>1341</v>
      </c>
      <c r="C81" s="38" t="s">
        <v>1341</v>
      </c>
    </row>
    <row r="82" spans="1:3" x14ac:dyDescent="0.25">
      <c r="A82" s="38" t="s">
        <v>1435</v>
      </c>
      <c r="B82" s="38" t="s">
        <v>1414</v>
      </c>
      <c r="C82" s="38" t="s">
        <v>1356</v>
      </c>
    </row>
    <row r="83" spans="1:3" x14ac:dyDescent="0.25">
      <c r="A83" s="38" t="s">
        <v>1436</v>
      </c>
      <c r="B83" s="38" t="s">
        <v>1341</v>
      </c>
      <c r="C83" s="38" t="s">
        <v>1341</v>
      </c>
    </row>
    <row r="84" spans="1:3" x14ac:dyDescent="0.25">
      <c r="A84" s="38" t="s">
        <v>1437</v>
      </c>
      <c r="B84" s="38" t="s">
        <v>1341</v>
      </c>
      <c r="C84" s="38" t="s">
        <v>1341</v>
      </c>
    </row>
    <row r="85" spans="1:3" x14ac:dyDescent="0.25">
      <c r="A85" s="39" t="s">
        <v>1438</v>
      </c>
      <c r="B85" s="38" t="s">
        <v>1373</v>
      </c>
      <c r="C85" s="38" t="s">
        <v>1334</v>
      </c>
    </row>
    <row r="86" spans="1:3" x14ac:dyDescent="0.25">
      <c r="A86" s="38" t="s">
        <v>1439</v>
      </c>
      <c r="B86" s="38" t="s">
        <v>1373</v>
      </c>
      <c r="C86" s="38" t="s">
        <v>1334</v>
      </c>
    </row>
    <row r="87" spans="1:3" x14ac:dyDescent="0.25">
      <c r="A87" s="38" t="s">
        <v>1440</v>
      </c>
      <c r="B87" s="38" t="s">
        <v>1441</v>
      </c>
      <c r="C87" s="38" t="s">
        <v>1356</v>
      </c>
    </row>
    <row r="88" spans="1:3" x14ac:dyDescent="0.25">
      <c r="A88" s="38" t="s">
        <v>1442</v>
      </c>
      <c r="B88" s="38" t="s">
        <v>1443</v>
      </c>
      <c r="C88" s="38" t="s">
        <v>1356</v>
      </c>
    </row>
    <row r="89" spans="1:3" ht="45" x14ac:dyDescent="0.25">
      <c r="A89" s="38" t="s">
        <v>1444</v>
      </c>
      <c r="B89" s="39" t="s">
        <v>1445</v>
      </c>
      <c r="C89" s="38" t="s">
        <v>1356</v>
      </c>
    </row>
    <row r="90" spans="1:3" ht="45" x14ac:dyDescent="0.25">
      <c r="A90" s="38" t="s">
        <v>1446</v>
      </c>
      <c r="B90" s="39" t="s">
        <v>1445</v>
      </c>
      <c r="C90" s="38" t="s">
        <v>1356</v>
      </c>
    </row>
    <row r="91" spans="1:3" x14ac:dyDescent="0.25">
      <c r="A91" s="38" t="s">
        <v>1447</v>
      </c>
      <c r="B91" s="39" t="s">
        <v>1341</v>
      </c>
      <c r="C91" s="38" t="s">
        <v>1341</v>
      </c>
    </row>
    <row r="92" spans="1:3" x14ac:dyDescent="0.25">
      <c r="A92" s="38" t="s">
        <v>1448</v>
      </c>
      <c r="B92" s="39" t="s">
        <v>1341</v>
      </c>
      <c r="C92" s="38" t="s">
        <v>1341</v>
      </c>
    </row>
    <row r="93" spans="1:3" x14ac:dyDescent="0.25">
      <c r="A93" s="38" t="s">
        <v>1449</v>
      </c>
      <c r="B93" s="39" t="s">
        <v>1341</v>
      </c>
      <c r="C93" s="38" t="s">
        <v>1341</v>
      </c>
    </row>
    <row r="94" spans="1:3" x14ac:dyDescent="0.25">
      <c r="A94" s="38" t="s">
        <v>1450</v>
      </c>
      <c r="B94" s="39" t="s">
        <v>1341</v>
      </c>
      <c r="C94" s="38" t="s">
        <v>1341</v>
      </c>
    </row>
    <row r="95" spans="1:3" x14ac:dyDescent="0.25">
      <c r="A95" s="38" t="s">
        <v>1451</v>
      </c>
      <c r="B95" s="39" t="s">
        <v>1341</v>
      </c>
      <c r="C95" s="38" t="s">
        <v>1341</v>
      </c>
    </row>
    <row r="96" spans="1:3" x14ac:dyDescent="0.25">
      <c r="A96" s="38" t="s">
        <v>1452</v>
      </c>
      <c r="B96" s="39" t="s">
        <v>1341</v>
      </c>
      <c r="C96" s="38" t="s">
        <v>1341</v>
      </c>
    </row>
    <row r="97" spans="1:3" x14ac:dyDescent="0.25">
      <c r="A97" s="38" t="s">
        <v>1453</v>
      </c>
      <c r="B97" s="39" t="s">
        <v>1341</v>
      </c>
      <c r="C97" s="38" t="s">
        <v>1341</v>
      </c>
    </row>
    <row r="98" spans="1:3" x14ac:dyDescent="0.25">
      <c r="A98" s="38" t="s">
        <v>1454</v>
      </c>
      <c r="B98" s="39" t="s">
        <v>1455</v>
      </c>
      <c r="C98" s="38" t="s">
        <v>1346</v>
      </c>
    </row>
    <row r="99" spans="1:3" x14ac:dyDescent="0.25">
      <c r="A99" s="38" t="s">
        <v>1456</v>
      </c>
      <c r="B99" s="39" t="s">
        <v>1455</v>
      </c>
      <c r="C99" s="38" t="s">
        <v>1346</v>
      </c>
    </row>
    <row r="100" spans="1:3" x14ac:dyDescent="0.25">
      <c r="A100" s="38" t="s">
        <v>1457</v>
      </c>
      <c r="B100" s="39" t="s">
        <v>1341</v>
      </c>
      <c r="C100" s="38" t="s">
        <v>1341</v>
      </c>
    </row>
    <row r="101" spans="1:3" x14ac:dyDescent="0.25">
      <c r="A101" s="38" t="s">
        <v>1458</v>
      </c>
      <c r="B101" s="38" t="s">
        <v>1459</v>
      </c>
      <c r="C101" s="38" t="s">
        <v>1356</v>
      </c>
    </row>
    <row r="102" spans="1:3" x14ac:dyDescent="0.25">
      <c r="A102" s="38" t="s">
        <v>1438</v>
      </c>
      <c r="B102" s="38" t="s">
        <v>1373</v>
      </c>
      <c r="C102" s="38" t="s">
        <v>1334</v>
      </c>
    </row>
    <row r="103" spans="1:3" x14ac:dyDescent="0.25">
      <c r="A103" s="38" t="s">
        <v>1439</v>
      </c>
      <c r="B103" s="38" t="s">
        <v>1373</v>
      </c>
      <c r="C103" s="38" t="s">
        <v>1334</v>
      </c>
    </row>
    <row r="104" spans="1:3" x14ac:dyDescent="0.25">
      <c r="A104" s="38" t="s">
        <v>1440</v>
      </c>
      <c r="B104" s="38" t="s">
        <v>1441</v>
      </c>
      <c r="C104" s="38" t="s">
        <v>1356</v>
      </c>
    </row>
    <row r="105" spans="1:3" x14ac:dyDescent="0.25">
      <c r="A105" s="38" t="s">
        <v>1442</v>
      </c>
      <c r="B105" s="38" t="s">
        <v>1443</v>
      </c>
      <c r="C105" s="38" t="s">
        <v>1356</v>
      </c>
    </row>
    <row r="106" spans="1:3" x14ac:dyDescent="0.25">
      <c r="A106" s="38" t="s">
        <v>1453</v>
      </c>
      <c r="B106" s="39" t="s">
        <v>1341</v>
      </c>
      <c r="C106" s="38" t="s">
        <v>1341</v>
      </c>
    </row>
    <row r="107" spans="1:3" x14ac:dyDescent="0.25">
      <c r="A107" s="38" t="s">
        <v>1460</v>
      </c>
      <c r="B107" s="39" t="s">
        <v>1341</v>
      </c>
      <c r="C107" s="38" t="s">
        <v>1341</v>
      </c>
    </row>
    <row r="108" spans="1:3" x14ac:dyDescent="0.25">
      <c r="A108" s="38" t="s">
        <v>1461</v>
      </c>
      <c r="B108" s="39" t="s">
        <v>1341</v>
      </c>
      <c r="C108" s="38" t="s">
        <v>1341</v>
      </c>
    </row>
    <row r="109" spans="1:3" x14ac:dyDescent="0.25">
      <c r="A109" s="38" t="s">
        <v>1462</v>
      </c>
      <c r="B109" s="39" t="s">
        <v>1341</v>
      </c>
      <c r="C109" s="38" t="s">
        <v>1341</v>
      </c>
    </row>
    <row r="110" spans="1:3" x14ac:dyDescent="0.25">
      <c r="A110" s="38" t="s">
        <v>1463</v>
      </c>
      <c r="B110" s="39" t="s">
        <v>1341</v>
      </c>
      <c r="C110" s="38" t="s">
        <v>1341</v>
      </c>
    </row>
    <row r="111" spans="1:3" x14ac:dyDescent="0.25">
      <c r="A111" s="38" t="s">
        <v>1464</v>
      </c>
      <c r="B111" s="39" t="s">
        <v>1341</v>
      </c>
      <c r="C111" s="38" t="s">
        <v>1341</v>
      </c>
    </row>
    <row r="112" spans="1:3" ht="270" x14ac:dyDescent="0.25">
      <c r="A112" s="39" t="s">
        <v>1465</v>
      </c>
      <c r="B112" s="39" t="s">
        <v>1341</v>
      </c>
      <c r="C112" s="38" t="s">
        <v>1341</v>
      </c>
    </row>
    <row r="113" spans="1:3" x14ac:dyDescent="0.25">
      <c r="A113" s="38" t="s">
        <v>1466</v>
      </c>
      <c r="B113" s="39" t="s">
        <v>1467</v>
      </c>
      <c r="C113" s="38" t="s">
        <v>1356</v>
      </c>
    </row>
    <row r="114" spans="1:3" x14ac:dyDescent="0.25">
      <c r="A114" s="38" t="s">
        <v>1468</v>
      </c>
      <c r="B114" s="38" t="s">
        <v>1469</v>
      </c>
      <c r="C114" s="38" t="s">
        <v>1334</v>
      </c>
    </row>
    <row r="115" spans="1:3" x14ac:dyDescent="0.25">
      <c r="A115" s="38" t="s">
        <v>1470</v>
      </c>
      <c r="B115" s="38" t="s">
        <v>1469</v>
      </c>
      <c r="C115" s="38" t="s">
        <v>1334</v>
      </c>
    </row>
    <row r="116" spans="1:3" x14ac:dyDescent="0.25">
      <c r="A116" s="38" t="s">
        <v>1471</v>
      </c>
      <c r="B116" s="38" t="s">
        <v>1341</v>
      </c>
      <c r="C116" s="38" t="s">
        <v>1341</v>
      </c>
    </row>
    <row r="117" spans="1:3" x14ac:dyDescent="0.25">
      <c r="A117" s="38" t="s">
        <v>1472</v>
      </c>
      <c r="B117" s="38" t="s">
        <v>1341</v>
      </c>
      <c r="C117" s="38" t="s">
        <v>1341</v>
      </c>
    </row>
    <row r="118" spans="1:3" x14ac:dyDescent="0.25">
      <c r="A118" s="38" t="s">
        <v>1335</v>
      </c>
      <c r="B118" s="38" t="s">
        <v>1341</v>
      </c>
      <c r="C118" s="38" t="s">
        <v>1341</v>
      </c>
    </row>
    <row r="119" spans="1:3" x14ac:dyDescent="0.25">
      <c r="A119" s="38" t="s">
        <v>1337</v>
      </c>
      <c r="B119" s="38" t="s">
        <v>1341</v>
      </c>
      <c r="C119" s="38" t="s">
        <v>1341</v>
      </c>
    </row>
    <row r="120" spans="1:3" x14ac:dyDescent="0.25">
      <c r="A120" s="38" t="s">
        <v>1338</v>
      </c>
      <c r="B120" s="38" t="s">
        <v>1341</v>
      </c>
      <c r="C120" s="38" t="s">
        <v>1341</v>
      </c>
    </row>
    <row r="121" spans="1:3" x14ac:dyDescent="0.25">
      <c r="A121" s="38" t="s">
        <v>1473</v>
      </c>
      <c r="B121" s="38" t="s">
        <v>1341</v>
      </c>
      <c r="C121" s="38" t="s">
        <v>1341</v>
      </c>
    </row>
    <row r="122" spans="1:3" x14ac:dyDescent="0.25">
      <c r="A122" s="38" t="s">
        <v>1474</v>
      </c>
      <c r="B122" s="38" t="s">
        <v>1341</v>
      </c>
      <c r="C122" s="38" t="s">
        <v>1341</v>
      </c>
    </row>
    <row r="123" spans="1:3" x14ac:dyDescent="0.25">
      <c r="A123" s="38" t="s">
        <v>1475</v>
      </c>
      <c r="B123" s="38" t="s">
        <v>1341</v>
      </c>
      <c r="C123" s="38" t="s">
        <v>1341</v>
      </c>
    </row>
    <row r="124" spans="1:3" ht="45" x14ac:dyDescent="0.25">
      <c r="A124" s="38" t="s">
        <v>1476</v>
      </c>
      <c r="B124" s="39" t="s">
        <v>1445</v>
      </c>
      <c r="C124" s="38" t="s">
        <v>1356</v>
      </c>
    </row>
    <row r="125" spans="1:3" ht="45" x14ac:dyDescent="0.25">
      <c r="A125" s="38" t="s">
        <v>1477</v>
      </c>
      <c r="B125" s="39" t="s">
        <v>1445</v>
      </c>
      <c r="C125" s="38" t="s">
        <v>1356</v>
      </c>
    </row>
    <row r="126" spans="1:3" x14ac:dyDescent="0.25">
      <c r="A126" s="38" t="s">
        <v>1478</v>
      </c>
      <c r="B126" s="38" t="s">
        <v>1479</v>
      </c>
      <c r="C126" s="38" t="s">
        <v>1356</v>
      </c>
    </row>
    <row r="127" spans="1:3" x14ac:dyDescent="0.25">
      <c r="A127" s="38" t="s">
        <v>1480</v>
      </c>
      <c r="B127" s="38" t="s">
        <v>1341</v>
      </c>
      <c r="C127" s="38" t="s">
        <v>1341</v>
      </c>
    </row>
    <row r="128" spans="1:3" x14ac:dyDescent="0.25">
      <c r="A128" s="38" t="s">
        <v>1481</v>
      </c>
      <c r="B128" s="38" t="s">
        <v>1341</v>
      </c>
      <c r="C128" s="38" t="s">
        <v>1341</v>
      </c>
    </row>
    <row r="129" spans="1:3" x14ac:dyDescent="0.25">
      <c r="A129" s="38" t="s">
        <v>1482</v>
      </c>
      <c r="B129" s="38" t="s">
        <v>1341</v>
      </c>
      <c r="C129" s="38" t="s">
        <v>1341</v>
      </c>
    </row>
    <row r="130" spans="1:3" x14ac:dyDescent="0.25">
      <c r="A130" s="38" t="s">
        <v>1483</v>
      </c>
      <c r="B130" s="38" t="s">
        <v>1341</v>
      </c>
      <c r="C130" s="38" t="s">
        <v>1341</v>
      </c>
    </row>
    <row r="131" spans="1:3" x14ac:dyDescent="0.25">
      <c r="A131" s="38" t="s">
        <v>1484</v>
      </c>
      <c r="B131" s="38" t="s">
        <v>1341</v>
      </c>
      <c r="C131" s="38" t="s">
        <v>1341</v>
      </c>
    </row>
    <row r="132" spans="1:3" x14ac:dyDescent="0.25">
      <c r="A132" s="38" t="s">
        <v>1485</v>
      </c>
      <c r="B132" s="38" t="s">
        <v>1341</v>
      </c>
      <c r="C132" s="38" t="s">
        <v>1341</v>
      </c>
    </row>
    <row r="133" spans="1:3" x14ac:dyDescent="0.25">
      <c r="A133" s="38" t="s">
        <v>1332</v>
      </c>
      <c r="B133" s="38" t="s">
        <v>1341</v>
      </c>
      <c r="C133" s="38" t="s">
        <v>1341</v>
      </c>
    </row>
    <row r="134" spans="1:3" x14ac:dyDescent="0.25">
      <c r="A134" s="38" t="s">
        <v>1335</v>
      </c>
      <c r="B134" s="38" t="s">
        <v>1341</v>
      </c>
      <c r="C134" s="38" t="s">
        <v>1341</v>
      </c>
    </row>
    <row r="135" spans="1:3" x14ac:dyDescent="0.25">
      <c r="A135" s="38" t="s">
        <v>1337</v>
      </c>
      <c r="B135" s="38" t="s">
        <v>1341</v>
      </c>
      <c r="C135" s="38" t="s">
        <v>1341</v>
      </c>
    </row>
    <row r="136" spans="1:3" x14ac:dyDescent="0.25">
      <c r="A136" s="38" t="s">
        <v>1338</v>
      </c>
      <c r="B136" s="38" t="s">
        <v>1341</v>
      </c>
      <c r="C136" s="38" t="s">
        <v>1341</v>
      </c>
    </row>
    <row r="137" spans="1:3" x14ac:dyDescent="0.25">
      <c r="A137" s="38" t="s">
        <v>1486</v>
      </c>
      <c r="B137" s="38" t="s">
        <v>1341</v>
      </c>
      <c r="C137" s="38" t="s">
        <v>1341</v>
      </c>
    </row>
    <row r="138" spans="1:3" x14ac:dyDescent="0.25">
      <c r="A138" s="38" t="s">
        <v>1487</v>
      </c>
      <c r="B138" s="38" t="s">
        <v>1341</v>
      </c>
      <c r="C138" s="38" t="s">
        <v>1341</v>
      </c>
    </row>
    <row r="139" spans="1:3" x14ac:dyDescent="0.25">
      <c r="A139" s="38" t="s">
        <v>1488</v>
      </c>
      <c r="B139" s="38" t="s">
        <v>1341</v>
      </c>
      <c r="C139" s="38" t="s">
        <v>1341</v>
      </c>
    </row>
    <row r="140" spans="1:3" x14ac:dyDescent="0.25">
      <c r="A140" s="38" t="s">
        <v>1489</v>
      </c>
      <c r="B140" s="38" t="s">
        <v>1341</v>
      </c>
      <c r="C140" s="38" t="s">
        <v>1341</v>
      </c>
    </row>
    <row r="141" spans="1:3" ht="30" x14ac:dyDescent="0.25">
      <c r="A141" s="39" t="s">
        <v>1490</v>
      </c>
      <c r="B141" s="39" t="s">
        <v>1491</v>
      </c>
      <c r="C141" s="38" t="s">
        <v>1356</v>
      </c>
    </row>
    <row r="142" spans="1:3" ht="30" x14ac:dyDescent="0.25">
      <c r="A142" s="38" t="s">
        <v>1492</v>
      </c>
      <c r="B142" s="39" t="s">
        <v>1491</v>
      </c>
      <c r="C142" s="38" t="s">
        <v>1356</v>
      </c>
    </row>
    <row r="143" spans="1:3" x14ac:dyDescent="0.25">
      <c r="A143" s="38" t="s">
        <v>1493</v>
      </c>
      <c r="B143" s="38" t="s">
        <v>1494</v>
      </c>
      <c r="C143" s="38" t="s">
        <v>1346</v>
      </c>
    </row>
    <row r="144" spans="1:3" ht="45" x14ac:dyDescent="0.25">
      <c r="A144" s="38" t="s">
        <v>1495</v>
      </c>
      <c r="B144" s="39" t="s">
        <v>1496</v>
      </c>
      <c r="C144" s="38" t="s">
        <v>1334</v>
      </c>
    </row>
    <row r="145" spans="1:3" x14ac:dyDescent="0.25">
      <c r="A145" s="38" t="s">
        <v>1497</v>
      </c>
      <c r="B145" s="38" t="s">
        <v>1341</v>
      </c>
      <c r="C145" s="38" t="s">
        <v>1341</v>
      </c>
    </row>
    <row r="146" spans="1:3" x14ac:dyDescent="0.25">
      <c r="A146" s="38" t="s">
        <v>1498</v>
      </c>
      <c r="B146" s="38" t="s">
        <v>1499</v>
      </c>
      <c r="C146" s="38" t="s">
        <v>1356</v>
      </c>
    </row>
    <row r="147" spans="1:3" x14ac:dyDescent="0.25">
      <c r="A147" s="38" t="s">
        <v>1500</v>
      </c>
      <c r="B147" s="38" t="s">
        <v>1341</v>
      </c>
      <c r="C147" s="38" t="s">
        <v>1341</v>
      </c>
    </row>
    <row r="148" spans="1:3" x14ac:dyDescent="0.25">
      <c r="A148" s="39" t="s">
        <v>1501</v>
      </c>
      <c r="B148" s="38" t="s">
        <v>1502</v>
      </c>
      <c r="C148" s="38" t="s">
        <v>1334</v>
      </c>
    </row>
    <row r="149" spans="1:3" x14ac:dyDescent="0.25">
      <c r="A149" s="39" t="s">
        <v>1503</v>
      </c>
      <c r="B149" s="38" t="s">
        <v>1502</v>
      </c>
      <c r="C149" s="38" t="s">
        <v>1334</v>
      </c>
    </row>
    <row r="150" spans="1:3" x14ac:dyDescent="0.25">
      <c r="A150" s="39" t="s">
        <v>1504</v>
      </c>
      <c r="B150" s="38" t="s">
        <v>1341</v>
      </c>
      <c r="C150" s="38" t="s">
        <v>1341</v>
      </c>
    </row>
    <row r="151" spans="1:3" x14ac:dyDescent="0.25">
      <c r="A151" s="39" t="s">
        <v>1505</v>
      </c>
      <c r="B151" s="38" t="s">
        <v>1341</v>
      </c>
      <c r="C151" s="38" t="s">
        <v>1341</v>
      </c>
    </row>
    <row r="152" spans="1:3" x14ac:dyDescent="0.25">
      <c r="A152" s="39" t="s">
        <v>1506</v>
      </c>
      <c r="B152" s="38" t="s">
        <v>1341</v>
      </c>
      <c r="C152" s="38" t="s">
        <v>1341</v>
      </c>
    </row>
    <row r="153" spans="1:3" x14ac:dyDescent="0.25">
      <c r="A153" s="39" t="s">
        <v>1507</v>
      </c>
      <c r="B153" s="38" t="s">
        <v>1341</v>
      </c>
      <c r="C153" s="38" t="s">
        <v>1341</v>
      </c>
    </row>
    <row r="154" spans="1:3" ht="30" x14ac:dyDescent="0.25">
      <c r="A154" s="38" t="s">
        <v>1486</v>
      </c>
      <c r="B154" s="39" t="s">
        <v>1508</v>
      </c>
      <c r="C154" s="38" t="s">
        <v>1334</v>
      </c>
    </row>
    <row r="155" spans="1:3" x14ac:dyDescent="0.25">
      <c r="A155" s="38" t="s">
        <v>1509</v>
      </c>
      <c r="B155" s="38" t="s">
        <v>1510</v>
      </c>
      <c r="C155" s="38" t="s">
        <v>1334</v>
      </c>
    </row>
    <row r="156" spans="1:3" x14ac:dyDescent="0.25">
      <c r="A156" s="38" t="s">
        <v>1511</v>
      </c>
      <c r="B156" s="38" t="s">
        <v>1479</v>
      </c>
      <c r="C156" s="38" t="s">
        <v>1356</v>
      </c>
    </row>
    <row r="157" spans="1:3" x14ac:dyDescent="0.25">
      <c r="A157" s="38" t="s">
        <v>1512</v>
      </c>
      <c r="B157" s="38" t="s">
        <v>1479</v>
      </c>
      <c r="C157" s="38" t="s">
        <v>1356</v>
      </c>
    </row>
    <row r="158" spans="1:3" x14ac:dyDescent="0.25">
      <c r="A158" s="38" t="s">
        <v>1513</v>
      </c>
      <c r="B158" s="38" t="s">
        <v>1514</v>
      </c>
      <c r="C158" s="38" t="s">
        <v>1334</v>
      </c>
    </row>
    <row r="159" spans="1:3" x14ac:dyDescent="0.25">
      <c r="A159" s="38" t="s">
        <v>1515</v>
      </c>
      <c r="B159" s="38" t="s">
        <v>1341</v>
      </c>
      <c r="C159" s="38" t="s">
        <v>1341</v>
      </c>
    </row>
    <row r="160" spans="1:3" ht="60" x14ac:dyDescent="0.25">
      <c r="A160" s="38" t="s">
        <v>1516</v>
      </c>
      <c r="B160" s="39" t="s">
        <v>1517</v>
      </c>
      <c r="C160" s="38" t="s">
        <v>1334</v>
      </c>
    </row>
    <row r="161" spans="1:3" ht="60" x14ac:dyDescent="0.25">
      <c r="A161" s="38" t="s">
        <v>1518</v>
      </c>
      <c r="B161" s="39" t="s">
        <v>1517</v>
      </c>
      <c r="C161" s="38" t="s">
        <v>1334</v>
      </c>
    </row>
    <row r="162" spans="1:3" x14ac:dyDescent="0.25">
      <c r="A162" s="39" t="s">
        <v>1519</v>
      </c>
      <c r="B162" s="38" t="s">
        <v>1520</v>
      </c>
      <c r="C162" s="38" t="s">
        <v>1356</v>
      </c>
    </row>
    <row r="163" spans="1:3" x14ac:dyDescent="0.25">
      <c r="A163" s="38" t="s">
        <v>1521</v>
      </c>
      <c r="B163" s="38" t="s">
        <v>1520</v>
      </c>
      <c r="C163" s="38" t="s">
        <v>1356</v>
      </c>
    </row>
    <row r="164" spans="1:3" x14ac:dyDescent="0.25">
      <c r="A164" s="38" t="s">
        <v>1522</v>
      </c>
      <c r="B164" s="38" t="s">
        <v>1520</v>
      </c>
      <c r="C164" s="38" t="s">
        <v>1356</v>
      </c>
    </row>
    <row r="165" spans="1:3" x14ac:dyDescent="0.25">
      <c r="A165" s="38" t="s">
        <v>1523</v>
      </c>
      <c r="B165" s="38" t="s">
        <v>1341</v>
      </c>
      <c r="C165" s="38" t="s">
        <v>1341</v>
      </c>
    </row>
    <row r="166" spans="1:3" x14ac:dyDescent="0.25">
      <c r="A166" s="38" t="s">
        <v>1524</v>
      </c>
      <c r="B166" s="38" t="s">
        <v>1341</v>
      </c>
      <c r="C166" s="38" t="s">
        <v>1341</v>
      </c>
    </row>
    <row r="167" spans="1:3" x14ac:dyDescent="0.25">
      <c r="A167" s="38" t="s">
        <v>1525</v>
      </c>
      <c r="B167" s="38" t="s">
        <v>1341</v>
      </c>
      <c r="C167" s="38" t="s">
        <v>1341</v>
      </c>
    </row>
    <row r="168" spans="1:3" x14ac:dyDescent="0.25">
      <c r="A168" s="41" t="s">
        <v>1526</v>
      </c>
      <c r="B168" s="38" t="s">
        <v>1455</v>
      </c>
      <c r="C168" s="38" t="s">
        <v>1346</v>
      </c>
    </row>
    <row r="169" spans="1:3" x14ac:dyDescent="0.25">
      <c r="A169" s="78" t="s">
        <v>1527</v>
      </c>
      <c r="B169" s="38" t="s">
        <v>1455</v>
      </c>
      <c r="C169" s="38" t="s">
        <v>1346</v>
      </c>
    </row>
    <row r="170" spans="1:3" x14ac:dyDescent="0.25">
      <c r="A170" s="78" t="s">
        <v>1528</v>
      </c>
      <c r="B170" s="38" t="s">
        <v>1455</v>
      </c>
      <c r="C170" s="38" t="s">
        <v>1346</v>
      </c>
    </row>
    <row r="171" spans="1:3" x14ac:dyDescent="0.25">
      <c r="A171" s="78" t="s">
        <v>1529</v>
      </c>
      <c r="B171" s="38" t="s">
        <v>1455</v>
      </c>
      <c r="C171" s="38" t="s">
        <v>1346</v>
      </c>
    </row>
    <row r="172" spans="1:3" x14ac:dyDescent="0.25">
      <c r="A172" s="78" t="s">
        <v>1530</v>
      </c>
      <c r="B172" s="38" t="s">
        <v>1455</v>
      </c>
      <c r="C172" s="38" t="s">
        <v>1346</v>
      </c>
    </row>
    <row r="173" spans="1:3" ht="30" x14ac:dyDescent="0.25">
      <c r="A173" s="38" t="s">
        <v>1531</v>
      </c>
      <c r="B173" s="39" t="s">
        <v>1508</v>
      </c>
      <c r="C173" s="38" t="s">
        <v>1334</v>
      </c>
    </row>
    <row r="174" spans="1:3" x14ac:dyDescent="0.25">
      <c r="A174" s="38" t="s">
        <v>1532</v>
      </c>
      <c r="B174" s="39" t="s">
        <v>1533</v>
      </c>
      <c r="C174" s="38" t="s">
        <v>1356</v>
      </c>
    </row>
    <row r="175" spans="1:3" x14ac:dyDescent="0.25">
      <c r="A175" s="38" t="s">
        <v>1534</v>
      </c>
      <c r="B175" s="39" t="s">
        <v>1533</v>
      </c>
      <c r="C175" s="38" t="s">
        <v>1356</v>
      </c>
    </row>
    <row r="176" spans="1:3" x14ac:dyDescent="0.25">
      <c r="A176" s="38" t="s">
        <v>1535</v>
      </c>
      <c r="B176" s="39" t="s">
        <v>1533</v>
      </c>
      <c r="C176" s="38" t="s">
        <v>1356</v>
      </c>
    </row>
    <row r="177" spans="1:3" x14ac:dyDescent="0.25">
      <c r="A177" s="38" t="s">
        <v>1536</v>
      </c>
      <c r="B177" s="39" t="s">
        <v>1533</v>
      </c>
      <c r="C177" s="38" t="s">
        <v>1356</v>
      </c>
    </row>
    <row r="178" spans="1:3" x14ac:dyDescent="0.25">
      <c r="A178" s="38" t="s">
        <v>1537</v>
      </c>
      <c r="B178" s="39" t="s">
        <v>1533</v>
      </c>
      <c r="C178" s="38" t="s">
        <v>1356</v>
      </c>
    </row>
    <row r="179" spans="1:3" x14ac:dyDescent="0.25">
      <c r="A179" s="38" t="s">
        <v>1538</v>
      </c>
      <c r="B179" s="39" t="s">
        <v>1533</v>
      </c>
      <c r="C179" s="38" t="s">
        <v>1356</v>
      </c>
    </row>
    <row r="180" spans="1:3" x14ac:dyDescent="0.25">
      <c r="A180" s="38" t="s">
        <v>1539</v>
      </c>
      <c r="B180" s="38" t="s">
        <v>1341</v>
      </c>
      <c r="C180" s="38" t="s">
        <v>1341</v>
      </c>
    </row>
    <row r="181" spans="1:3" x14ac:dyDescent="0.25">
      <c r="A181" s="38" t="s">
        <v>1540</v>
      </c>
      <c r="B181" s="38" t="s">
        <v>1341</v>
      </c>
      <c r="C181" s="38" t="s">
        <v>1341</v>
      </c>
    </row>
    <row r="182" spans="1:3" x14ac:dyDescent="0.25">
      <c r="A182" s="38" t="s">
        <v>1541</v>
      </c>
      <c r="B182" s="38" t="s">
        <v>1341</v>
      </c>
      <c r="C182" s="38" t="s">
        <v>1341</v>
      </c>
    </row>
    <row r="183" spans="1:3" x14ac:dyDescent="0.25">
      <c r="A183" s="38" t="s">
        <v>1542</v>
      </c>
      <c r="B183" s="38" t="s">
        <v>1341</v>
      </c>
      <c r="C183" s="38" t="s">
        <v>1341</v>
      </c>
    </row>
    <row r="184" spans="1:3" x14ac:dyDescent="0.25">
      <c r="A184" s="38" t="s">
        <v>1543</v>
      </c>
      <c r="B184" s="38" t="s">
        <v>1341</v>
      </c>
      <c r="C184" s="38" t="s">
        <v>1341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Z1088"/>
  <sheetViews>
    <sheetView tabSelected="1" zoomScale="85" zoomScaleNormal="85" workbookViewId="0">
      <pane ySplit="1" topLeftCell="A1055" activePane="bottomLeft" state="frozen"/>
      <selection pane="bottomLeft" activeCell="H1063" sqref="H1063"/>
    </sheetView>
  </sheetViews>
  <sheetFormatPr defaultColWidth="9.140625" defaultRowHeight="40.15" customHeight="1" x14ac:dyDescent="0.25"/>
  <cols>
    <col min="1" max="1" width="11.140625" style="62" customWidth="1"/>
    <col min="2" max="2" width="12.42578125" style="62" customWidth="1"/>
    <col min="3" max="3" width="20" style="62" customWidth="1"/>
    <col min="4" max="5" width="13.28515625" style="62" customWidth="1"/>
    <col min="6" max="6" width="11.28515625" style="62" customWidth="1"/>
    <col min="7" max="7" width="15.7109375" style="62" customWidth="1"/>
    <col min="8" max="8" width="16.7109375" style="62" customWidth="1"/>
    <col min="9" max="9" width="22.28515625" style="62" customWidth="1"/>
    <col min="10" max="12" width="22.7109375" style="62" customWidth="1"/>
    <col min="13" max="13" width="14.85546875" style="62" customWidth="1"/>
    <col min="14" max="14" width="15" style="62" customWidth="1"/>
    <col min="15" max="15" width="13.5703125" style="62" customWidth="1"/>
    <col min="16" max="16" width="26.5703125" style="62" customWidth="1"/>
    <col min="17" max="17" width="42.140625" style="62" customWidth="1"/>
    <col min="18" max="18" width="28.42578125" style="62" bestFit="1" customWidth="1"/>
    <col min="19" max="19" width="16.7109375" style="76" bestFit="1" customWidth="1"/>
    <col min="20" max="20" width="15.7109375" style="76" customWidth="1"/>
    <col min="21" max="21" width="20.28515625" style="76" customWidth="1"/>
    <col min="22" max="22" width="13.42578125" style="76" customWidth="1"/>
    <col min="23" max="23" width="21.5703125" style="76" customWidth="1"/>
    <col min="24" max="26" width="9.140625" style="76"/>
    <col min="27" max="16384" width="9.140625" style="62"/>
  </cols>
  <sheetData>
    <row r="1" spans="1:26" s="86" customFormat="1" ht="27" customHeight="1" x14ac:dyDescent="0.25">
      <c r="A1" s="81" t="s">
        <v>7269</v>
      </c>
      <c r="B1" s="82" t="s">
        <v>0</v>
      </c>
      <c r="C1" s="81" t="s">
        <v>2</v>
      </c>
      <c r="D1" s="82" t="s">
        <v>1544</v>
      </c>
      <c r="E1" s="82" t="s">
        <v>1545</v>
      </c>
      <c r="F1" s="81" t="s">
        <v>82</v>
      </c>
      <c r="G1" s="81" t="s">
        <v>1546</v>
      </c>
      <c r="H1" s="81" t="s">
        <v>6</v>
      </c>
      <c r="I1" s="81" t="s">
        <v>7</v>
      </c>
      <c r="J1" s="81" t="s">
        <v>77</v>
      </c>
      <c r="K1" s="81" t="s">
        <v>1547</v>
      </c>
      <c r="L1" s="81" t="s">
        <v>8</v>
      </c>
      <c r="M1" s="83" t="s">
        <v>10</v>
      </c>
      <c r="N1" s="83" t="s">
        <v>11</v>
      </c>
      <c r="O1" s="81" t="s">
        <v>81</v>
      </c>
      <c r="P1" s="81" t="s">
        <v>1548</v>
      </c>
      <c r="Q1" s="81" t="s">
        <v>12</v>
      </c>
      <c r="R1" s="84" t="s">
        <v>1549</v>
      </c>
      <c r="S1" s="84" t="s">
        <v>1550</v>
      </c>
      <c r="T1" s="84" t="s">
        <v>1551</v>
      </c>
      <c r="U1" s="84" t="s">
        <v>1552</v>
      </c>
      <c r="V1" s="84" t="s">
        <v>1553</v>
      </c>
      <c r="W1" s="85"/>
      <c r="X1" s="85"/>
      <c r="Y1" s="85"/>
    </row>
    <row r="2" spans="1:26" ht="40.15" customHeight="1" x14ac:dyDescent="0.25">
      <c r="A2" s="87">
        <v>52</v>
      </c>
      <c r="B2" s="88" t="s">
        <v>1550</v>
      </c>
      <c r="C2" s="89"/>
      <c r="D2" s="90" t="s">
        <v>1554</v>
      </c>
      <c r="E2" s="90" t="s">
        <v>1555</v>
      </c>
      <c r="F2" s="91" t="s">
        <v>1556</v>
      </c>
      <c r="G2" s="92" t="s">
        <v>1557</v>
      </c>
      <c r="H2" s="93" t="s">
        <v>1558</v>
      </c>
      <c r="I2" s="87" t="s">
        <v>1559</v>
      </c>
      <c r="J2" s="87" t="s">
        <v>1560</v>
      </c>
      <c r="K2" s="87" t="s">
        <v>1561</v>
      </c>
      <c r="L2" s="126" t="s">
        <v>19</v>
      </c>
      <c r="M2" s="94">
        <v>44203.375</v>
      </c>
      <c r="N2" s="94">
        <v>44203.5</v>
      </c>
      <c r="O2" s="95" t="str">
        <f>PROPER(TEXT(Table1[[#This Row],[Fecha Inicio]],"mmmm"))</f>
        <v>Enero</v>
      </c>
      <c r="P2" s="96" t="s">
        <v>1562</v>
      </c>
      <c r="Q2" s="97" t="s">
        <v>1563</v>
      </c>
      <c r="R2" s="76">
        <f t="shared" ref="R2:R65" si="0">LEN(TRIM(P2))-LEN(SUBSTITUTE(TRIM(P2),",",""))+1</f>
        <v>2</v>
      </c>
      <c r="S2" s="76">
        <f t="shared" ref="S2:S65" si="1">IF(B2="CON ÉXITO",R2,"-")</f>
        <v>2</v>
      </c>
      <c r="T2" s="76" t="str">
        <f t="shared" ref="T2:T65" si="2">IF($B2="Éxito con problemas",S2,"-")</f>
        <v>-</v>
      </c>
      <c r="U2" s="76" t="str">
        <f t="shared" ref="U2:U65" si="3">IF($B2="CANCELADO",R2,"-")</f>
        <v>-</v>
      </c>
      <c r="V2" s="76" t="str">
        <f t="shared" ref="V2:V65" si="4">IF($B2="Aplicada marcha atrás",R2,"-")</f>
        <v>-</v>
      </c>
      <c r="Z2" s="62"/>
    </row>
    <row r="3" spans="1:26" ht="40.15" customHeight="1" x14ac:dyDescent="0.25">
      <c r="A3" s="87">
        <v>1</v>
      </c>
      <c r="B3" s="88" t="s">
        <v>1550</v>
      </c>
      <c r="C3" s="89"/>
      <c r="D3" s="90" t="s">
        <v>1554</v>
      </c>
      <c r="E3" s="90" t="s">
        <v>1555</v>
      </c>
      <c r="F3" s="91" t="s">
        <v>1556</v>
      </c>
      <c r="G3" s="92" t="s">
        <v>1557</v>
      </c>
      <c r="H3" s="93" t="s">
        <v>1564</v>
      </c>
      <c r="I3" s="87" t="s">
        <v>1565</v>
      </c>
      <c r="J3" s="87" t="s">
        <v>1566</v>
      </c>
      <c r="K3" s="87" t="s">
        <v>1567</v>
      </c>
      <c r="L3" s="87" t="s">
        <v>52</v>
      </c>
      <c r="M3" s="94">
        <v>44203.375</v>
      </c>
      <c r="N3" s="94">
        <v>44204.791666666664</v>
      </c>
      <c r="O3" s="95" t="str">
        <f>PROPER(TEXT(Table1[[#This Row],[Fecha Inicio]],"mmmm"))</f>
        <v>Enero</v>
      </c>
      <c r="P3" s="96" t="s">
        <v>1568</v>
      </c>
      <c r="Q3" s="97" t="s">
        <v>1569</v>
      </c>
      <c r="R3" s="76">
        <f t="shared" si="0"/>
        <v>2</v>
      </c>
      <c r="S3" s="76">
        <f t="shared" si="1"/>
        <v>2</v>
      </c>
      <c r="T3" s="76" t="str">
        <f t="shared" si="2"/>
        <v>-</v>
      </c>
      <c r="U3" s="76" t="str">
        <f t="shared" si="3"/>
        <v>-</v>
      </c>
      <c r="V3" s="76" t="str">
        <f t="shared" si="4"/>
        <v>-</v>
      </c>
      <c r="Z3" s="62"/>
    </row>
    <row r="4" spans="1:26" ht="40.15" customHeight="1" x14ac:dyDescent="0.25">
      <c r="A4" s="87">
        <v>51</v>
      </c>
      <c r="B4" s="88" t="s">
        <v>1550</v>
      </c>
      <c r="C4" s="89"/>
      <c r="D4" s="89" t="s">
        <v>1570</v>
      </c>
      <c r="E4" s="89" t="s">
        <v>1571</v>
      </c>
      <c r="F4" s="91" t="s">
        <v>1556</v>
      </c>
      <c r="G4" s="92" t="s">
        <v>1557</v>
      </c>
      <c r="H4" s="93" t="s">
        <v>1572</v>
      </c>
      <c r="I4" s="87" t="s">
        <v>1573</v>
      </c>
      <c r="J4" s="91" t="s">
        <v>1574</v>
      </c>
      <c r="K4" s="91" t="s">
        <v>1575</v>
      </c>
      <c r="L4" s="126" t="s">
        <v>19</v>
      </c>
      <c r="M4" s="94">
        <v>44203.916666666664</v>
      </c>
      <c r="N4" s="94">
        <v>44203.958333333336</v>
      </c>
      <c r="O4" s="95" t="str">
        <f>PROPER(TEXT(Table1[[#This Row],[Fecha Inicio]],"mmmm"))</f>
        <v>Enero</v>
      </c>
      <c r="P4" s="87" t="s">
        <v>1576</v>
      </c>
      <c r="Q4" s="97" t="s">
        <v>1577</v>
      </c>
      <c r="R4" s="76">
        <f t="shared" si="0"/>
        <v>5</v>
      </c>
      <c r="S4" s="76">
        <f t="shared" si="1"/>
        <v>5</v>
      </c>
      <c r="T4" s="76" t="str">
        <f t="shared" si="2"/>
        <v>-</v>
      </c>
      <c r="U4" s="76" t="str">
        <f t="shared" si="3"/>
        <v>-</v>
      </c>
      <c r="V4" s="76" t="str">
        <f t="shared" si="4"/>
        <v>-</v>
      </c>
      <c r="Z4" s="62"/>
    </row>
    <row r="5" spans="1:26" ht="40.15" customHeight="1" x14ac:dyDescent="0.25">
      <c r="A5" s="87">
        <v>1</v>
      </c>
      <c r="B5" s="88" t="s">
        <v>1550</v>
      </c>
      <c r="C5" s="89" t="s">
        <v>1578</v>
      </c>
      <c r="D5" s="90" t="s">
        <v>1579</v>
      </c>
      <c r="E5" s="90" t="s">
        <v>1580</v>
      </c>
      <c r="F5" s="91" t="s">
        <v>1556</v>
      </c>
      <c r="G5" s="92" t="s">
        <v>1557</v>
      </c>
      <c r="H5" s="93" t="s">
        <v>1581</v>
      </c>
      <c r="I5" s="87" t="s">
        <v>1582</v>
      </c>
      <c r="J5" s="91" t="s">
        <v>1583</v>
      </c>
      <c r="K5" s="87" t="s">
        <v>1584</v>
      </c>
      <c r="L5" s="89" t="s">
        <v>41</v>
      </c>
      <c r="M5" s="94">
        <v>44203.9375</v>
      </c>
      <c r="N5" s="94">
        <v>44203.979166666664</v>
      </c>
      <c r="O5" s="95" t="str">
        <f>PROPER(TEXT(Table1[[#This Row],[Fecha Inicio]],"mmmm"))</f>
        <v>Enero</v>
      </c>
      <c r="P5" s="96" t="s">
        <v>1585</v>
      </c>
      <c r="Q5" s="97" t="s">
        <v>1586</v>
      </c>
      <c r="R5" s="76">
        <f t="shared" si="0"/>
        <v>1</v>
      </c>
      <c r="S5" s="76">
        <f t="shared" si="1"/>
        <v>1</v>
      </c>
      <c r="T5" s="76" t="str">
        <f t="shared" si="2"/>
        <v>-</v>
      </c>
      <c r="U5" s="76" t="str">
        <f t="shared" si="3"/>
        <v>-</v>
      </c>
      <c r="V5" s="76" t="str">
        <f t="shared" si="4"/>
        <v>-</v>
      </c>
      <c r="Z5" s="62"/>
    </row>
    <row r="6" spans="1:26" ht="40.15" customHeight="1" x14ac:dyDescent="0.25">
      <c r="A6" s="87">
        <v>1</v>
      </c>
      <c r="B6" s="88" t="s">
        <v>1550</v>
      </c>
      <c r="C6" s="89"/>
      <c r="D6" s="90" t="s">
        <v>1554</v>
      </c>
      <c r="E6" s="90" t="s">
        <v>1555</v>
      </c>
      <c r="F6" s="91" t="s">
        <v>1556</v>
      </c>
      <c r="G6" s="92" t="s">
        <v>1557</v>
      </c>
      <c r="H6" s="93" t="s">
        <v>1587</v>
      </c>
      <c r="I6" s="87" t="s">
        <v>1588</v>
      </c>
      <c r="J6" s="87" t="s">
        <v>1589</v>
      </c>
      <c r="K6" s="87" t="s">
        <v>1590</v>
      </c>
      <c r="L6" s="126" t="s">
        <v>19</v>
      </c>
      <c r="M6" s="94">
        <v>44204.0625</v>
      </c>
      <c r="N6" s="94">
        <v>44204.104166666664</v>
      </c>
      <c r="O6" s="95" t="str">
        <f>PROPER(TEXT(Table1[[#This Row],[Fecha Inicio]],"mmmm"))</f>
        <v>Enero</v>
      </c>
      <c r="P6" s="96" t="s">
        <v>1591</v>
      </c>
      <c r="Q6" s="97" t="s">
        <v>1592</v>
      </c>
      <c r="R6" s="76">
        <f t="shared" si="0"/>
        <v>2</v>
      </c>
      <c r="S6" s="76">
        <f t="shared" si="1"/>
        <v>2</v>
      </c>
      <c r="T6" s="76" t="str">
        <f t="shared" si="2"/>
        <v>-</v>
      </c>
      <c r="U6" s="76" t="str">
        <f t="shared" si="3"/>
        <v>-</v>
      </c>
      <c r="V6" s="76" t="str">
        <f t="shared" si="4"/>
        <v>-</v>
      </c>
      <c r="Z6" s="62"/>
    </row>
    <row r="7" spans="1:26" ht="40.15" customHeight="1" x14ac:dyDescent="0.25">
      <c r="A7" s="87">
        <v>51</v>
      </c>
      <c r="B7" s="88" t="s">
        <v>1550</v>
      </c>
      <c r="C7" s="89"/>
      <c r="D7" s="89" t="s">
        <v>1570</v>
      </c>
      <c r="E7" s="89" t="s">
        <v>1571</v>
      </c>
      <c r="F7" s="91" t="s">
        <v>1556</v>
      </c>
      <c r="G7" s="92" t="s">
        <v>1557</v>
      </c>
      <c r="H7" s="93" t="s">
        <v>1593</v>
      </c>
      <c r="I7" s="87" t="s">
        <v>1594</v>
      </c>
      <c r="J7" s="91" t="s">
        <v>1595</v>
      </c>
      <c r="K7" s="91" t="s">
        <v>1596</v>
      </c>
      <c r="L7" s="126" t="s">
        <v>19</v>
      </c>
      <c r="M7" s="94">
        <v>44204.916666666664</v>
      </c>
      <c r="N7" s="94">
        <v>44204.958333333336</v>
      </c>
      <c r="O7" s="95" t="str">
        <f>PROPER(TEXT(Table1[[#This Row],[Fecha Inicio]],"mmmm"))</f>
        <v>Enero</v>
      </c>
      <c r="P7" s="87" t="s">
        <v>1597</v>
      </c>
      <c r="Q7" s="97" t="s">
        <v>1598</v>
      </c>
      <c r="R7" s="76">
        <f t="shared" si="0"/>
        <v>2</v>
      </c>
      <c r="S7" s="76">
        <f t="shared" si="1"/>
        <v>2</v>
      </c>
      <c r="T7" s="76" t="str">
        <f t="shared" si="2"/>
        <v>-</v>
      </c>
      <c r="U7" s="76" t="str">
        <f t="shared" si="3"/>
        <v>-</v>
      </c>
      <c r="V7" s="76" t="str">
        <f t="shared" si="4"/>
        <v>-</v>
      </c>
      <c r="Z7" s="62"/>
    </row>
    <row r="8" spans="1:26" ht="40.15" customHeight="1" x14ac:dyDescent="0.25">
      <c r="A8" s="87">
        <v>51</v>
      </c>
      <c r="B8" s="88" t="s">
        <v>1550</v>
      </c>
      <c r="C8" s="98" t="s">
        <v>1599</v>
      </c>
      <c r="D8" s="89" t="s">
        <v>1570</v>
      </c>
      <c r="E8" s="89" t="s">
        <v>1571</v>
      </c>
      <c r="F8" s="87" t="s">
        <v>1600</v>
      </c>
      <c r="G8" s="92" t="s">
        <v>1557</v>
      </c>
      <c r="H8" s="93" t="s">
        <v>1601</v>
      </c>
      <c r="I8" s="87" t="s">
        <v>1602</v>
      </c>
      <c r="J8" s="91" t="s">
        <v>1603</v>
      </c>
      <c r="K8" s="87" t="s">
        <v>1341</v>
      </c>
      <c r="L8" s="89" t="s">
        <v>25</v>
      </c>
      <c r="M8" s="94">
        <v>44204.958333333336</v>
      </c>
      <c r="N8" s="94">
        <v>44205.25</v>
      </c>
      <c r="O8" s="95" t="str">
        <f>PROPER(TEXT(Table1[[#This Row],[Fecha Inicio]],"mmmm"))</f>
        <v>Enero</v>
      </c>
      <c r="P8" s="96" t="s">
        <v>1604</v>
      </c>
      <c r="Q8" s="97" t="s">
        <v>1605</v>
      </c>
      <c r="R8" s="76">
        <f t="shared" si="0"/>
        <v>24</v>
      </c>
      <c r="S8" s="76">
        <f t="shared" si="1"/>
        <v>24</v>
      </c>
      <c r="T8" s="76" t="str">
        <f t="shared" si="2"/>
        <v>-</v>
      </c>
      <c r="U8" s="76" t="str">
        <f t="shared" si="3"/>
        <v>-</v>
      </c>
      <c r="V8" s="76" t="str">
        <f t="shared" si="4"/>
        <v>-</v>
      </c>
      <c r="Z8" s="62"/>
    </row>
    <row r="9" spans="1:26" ht="40.15" customHeight="1" x14ac:dyDescent="0.25">
      <c r="A9" s="87">
        <v>51</v>
      </c>
      <c r="B9" s="88" t="s">
        <v>1550</v>
      </c>
      <c r="C9" s="98" t="s">
        <v>1599</v>
      </c>
      <c r="D9" s="89" t="s">
        <v>1570</v>
      </c>
      <c r="E9" s="89" t="s">
        <v>1571</v>
      </c>
      <c r="F9" s="87" t="s">
        <v>1600</v>
      </c>
      <c r="G9" s="92" t="s">
        <v>1557</v>
      </c>
      <c r="H9" s="93" t="s">
        <v>1606</v>
      </c>
      <c r="I9" s="87" t="s">
        <v>1607</v>
      </c>
      <c r="J9" s="91" t="s">
        <v>1603</v>
      </c>
      <c r="K9" s="87" t="s">
        <v>1341</v>
      </c>
      <c r="L9" s="89" t="s">
        <v>25</v>
      </c>
      <c r="M9" s="94">
        <v>44205.958333333336</v>
      </c>
      <c r="N9" s="94">
        <v>44206.25</v>
      </c>
      <c r="O9" s="95" t="str">
        <f>PROPER(TEXT(Table1[[#This Row],[Fecha Inicio]],"mmmm"))</f>
        <v>Enero</v>
      </c>
      <c r="P9" s="96" t="s">
        <v>1608</v>
      </c>
      <c r="Q9" s="97" t="s">
        <v>1609</v>
      </c>
      <c r="R9" s="76">
        <f t="shared" si="0"/>
        <v>102</v>
      </c>
      <c r="S9" s="76">
        <f t="shared" si="1"/>
        <v>102</v>
      </c>
      <c r="T9" s="76" t="str">
        <f t="shared" si="2"/>
        <v>-</v>
      </c>
      <c r="U9" s="76" t="str">
        <f t="shared" si="3"/>
        <v>-</v>
      </c>
      <c r="V9" s="76" t="str">
        <f t="shared" si="4"/>
        <v>-</v>
      </c>
      <c r="Z9" s="62"/>
    </row>
    <row r="10" spans="1:26" ht="40.15" customHeight="1" x14ac:dyDescent="0.25">
      <c r="A10" s="87">
        <v>51</v>
      </c>
      <c r="B10" s="88" t="s">
        <v>1550</v>
      </c>
      <c r="C10" s="89"/>
      <c r="D10" s="89" t="s">
        <v>1570</v>
      </c>
      <c r="E10" s="89" t="s">
        <v>1571</v>
      </c>
      <c r="F10" s="91" t="s">
        <v>1556</v>
      </c>
      <c r="G10" s="92" t="s">
        <v>1557</v>
      </c>
      <c r="H10" s="93" t="s">
        <v>1610</v>
      </c>
      <c r="I10" s="87" t="s">
        <v>1611</v>
      </c>
      <c r="J10" s="91" t="s">
        <v>1612</v>
      </c>
      <c r="K10" s="91" t="s">
        <v>1613</v>
      </c>
      <c r="L10" s="126" t="s">
        <v>19</v>
      </c>
      <c r="M10" s="94">
        <v>44207.916666666664</v>
      </c>
      <c r="N10" s="94">
        <v>44207.958333333336</v>
      </c>
      <c r="O10" s="95" t="str">
        <f>PROPER(TEXT(Table1[[#This Row],[Fecha Inicio]],"mmmm"))</f>
        <v>Enero</v>
      </c>
      <c r="P10" s="87" t="s">
        <v>1614</v>
      </c>
      <c r="Q10" s="97" t="s">
        <v>1615</v>
      </c>
      <c r="R10" s="76">
        <f t="shared" si="0"/>
        <v>18</v>
      </c>
      <c r="S10" s="76">
        <f t="shared" si="1"/>
        <v>18</v>
      </c>
      <c r="T10" s="76" t="str">
        <f t="shared" si="2"/>
        <v>-</v>
      </c>
      <c r="U10" s="76" t="str">
        <f t="shared" si="3"/>
        <v>-</v>
      </c>
      <c r="V10" s="76" t="str">
        <f t="shared" si="4"/>
        <v>-</v>
      </c>
      <c r="Z10" s="62"/>
    </row>
    <row r="11" spans="1:26" ht="40.15" customHeight="1" x14ac:dyDescent="0.25">
      <c r="A11" s="87">
        <v>1</v>
      </c>
      <c r="B11" s="88" t="s">
        <v>1550</v>
      </c>
      <c r="C11" s="89"/>
      <c r="D11" s="89" t="s">
        <v>344</v>
      </c>
      <c r="E11" s="89" t="s">
        <v>1616</v>
      </c>
      <c r="F11" s="87" t="s">
        <v>1556</v>
      </c>
      <c r="G11" s="92" t="s">
        <v>1557</v>
      </c>
      <c r="H11" s="93" t="s">
        <v>1617</v>
      </c>
      <c r="I11" s="87" t="s">
        <v>1618</v>
      </c>
      <c r="J11" s="87" t="s">
        <v>1619</v>
      </c>
      <c r="K11" s="87" t="s">
        <v>1620</v>
      </c>
      <c r="L11" s="126" t="s">
        <v>19</v>
      </c>
      <c r="M11" s="94">
        <v>44207.958333333336</v>
      </c>
      <c r="N11" s="94">
        <v>44208.166666666664</v>
      </c>
      <c r="O11" s="95" t="str">
        <f>PROPER(TEXT(Table1[[#This Row],[Fecha Inicio]],"mmmm"))</f>
        <v>Enero</v>
      </c>
      <c r="P11" s="96" t="s">
        <v>1621</v>
      </c>
      <c r="Q11" s="97" t="s">
        <v>1622</v>
      </c>
      <c r="R11" s="76">
        <f t="shared" si="0"/>
        <v>1</v>
      </c>
      <c r="S11" s="76">
        <f t="shared" si="1"/>
        <v>1</v>
      </c>
      <c r="T11" s="76" t="str">
        <f t="shared" si="2"/>
        <v>-</v>
      </c>
      <c r="U11" s="76" t="str">
        <f t="shared" si="3"/>
        <v>-</v>
      </c>
      <c r="V11" s="76" t="str">
        <f t="shared" si="4"/>
        <v>-</v>
      </c>
      <c r="Z11" s="62"/>
    </row>
    <row r="12" spans="1:26" ht="40.15" customHeight="1" x14ac:dyDescent="0.25">
      <c r="A12" s="87">
        <v>2</v>
      </c>
      <c r="B12" s="88" t="s">
        <v>1550</v>
      </c>
      <c r="C12" s="89" t="s">
        <v>1578</v>
      </c>
      <c r="D12" s="90" t="s">
        <v>1623</v>
      </c>
      <c r="E12" s="90" t="s">
        <v>1624</v>
      </c>
      <c r="F12" s="91" t="s">
        <v>1556</v>
      </c>
      <c r="G12" s="92" t="s">
        <v>1557</v>
      </c>
      <c r="H12" s="93" t="s">
        <v>1625</v>
      </c>
      <c r="I12" s="87" t="s">
        <v>1626</v>
      </c>
      <c r="J12" s="87" t="s">
        <v>1627</v>
      </c>
      <c r="K12" s="87" t="s">
        <v>1575</v>
      </c>
      <c r="L12" s="126" t="s">
        <v>19</v>
      </c>
      <c r="M12" s="94">
        <v>44208.333333333336</v>
      </c>
      <c r="N12" s="94">
        <v>44208.458333333336</v>
      </c>
      <c r="O12" s="95" t="str">
        <f>PROPER(TEXT(Table1[[#This Row],[Fecha Inicio]],"mmmm"))</f>
        <v>Enero</v>
      </c>
      <c r="P12" s="96" t="s">
        <v>1628</v>
      </c>
      <c r="Q12" s="97" t="s">
        <v>1629</v>
      </c>
      <c r="R12" s="76">
        <f t="shared" si="0"/>
        <v>2</v>
      </c>
      <c r="S12" s="76">
        <f t="shared" si="1"/>
        <v>2</v>
      </c>
      <c r="T12" s="76" t="str">
        <f t="shared" si="2"/>
        <v>-</v>
      </c>
      <c r="U12" s="76" t="str">
        <f t="shared" si="3"/>
        <v>-</v>
      </c>
      <c r="V12" s="76" t="str">
        <f t="shared" si="4"/>
        <v>-</v>
      </c>
      <c r="Z12" s="62"/>
    </row>
    <row r="13" spans="1:26" ht="40.15" customHeight="1" x14ac:dyDescent="0.25">
      <c r="A13" s="87">
        <v>1</v>
      </c>
      <c r="B13" s="88" t="s">
        <v>1550</v>
      </c>
      <c r="C13" s="89" t="s">
        <v>1630</v>
      </c>
      <c r="D13" s="90" t="s">
        <v>326</v>
      </c>
      <c r="E13" s="90" t="s">
        <v>1631</v>
      </c>
      <c r="F13" s="91" t="s">
        <v>1556</v>
      </c>
      <c r="G13" s="92" t="s">
        <v>1557</v>
      </c>
      <c r="H13" s="93" t="s">
        <v>1632</v>
      </c>
      <c r="I13" s="87" t="s">
        <v>1633</v>
      </c>
      <c r="J13" s="87" t="s">
        <v>1634</v>
      </c>
      <c r="K13" s="87" t="s">
        <v>1635</v>
      </c>
      <c r="L13" s="126" t="s">
        <v>19</v>
      </c>
      <c r="M13" s="94">
        <v>44208.895833333336</v>
      </c>
      <c r="N13" s="94">
        <v>44208.979166666664</v>
      </c>
      <c r="O13" s="95" t="str">
        <f>PROPER(TEXT(Table1[[#This Row],[Fecha Inicio]],"mmmm"))</f>
        <v>Enero</v>
      </c>
      <c r="P13" s="96" t="s">
        <v>1636</v>
      </c>
      <c r="Q13" s="97" t="s">
        <v>1637</v>
      </c>
      <c r="R13" s="76">
        <f t="shared" si="0"/>
        <v>6</v>
      </c>
      <c r="S13" s="76">
        <f t="shared" si="1"/>
        <v>6</v>
      </c>
      <c r="T13" s="76" t="str">
        <f t="shared" si="2"/>
        <v>-</v>
      </c>
      <c r="U13" s="76" t="str">
        <f t="shared" si="3"/>
        <v>-</v>
      </c>
      <c r="V13" s="76" t="str">
        <f t="shared" si="4"/>
        <v>-</v>
      </c>
      <c r="Z13" s="62"/>
    </row>
    <row r="14" spans="1:26" ht="40.15" customHeight="1" x14ac:dyDescent="0.25">
      <c r="A14" s="87">
        <v>51</v>
      </c>
      <c r="B14" s="88" t="s">
        <v>1550</v>
      </c>
      <c r="C14" s="89"/>
      <c r="D14" s="89" t="s">
        <v>1570</v>
      </c>
      <c r="E14" s="89" t="s">
        <v>1571</v>
      </c>
      <c r="F14" s="91" t="s">
        <v>1556</v>
      </c>
      <c r="G14" s="92" t="s">
        <v>1557</v>
      </c>
      <c r="H14" s="93" t="s">
        <v>1638</v>
      </c>
      <c r="I14" s="87" t="s">
        <v>1639</v>
      </c>
      <c r="J14" s="91" t="s">
        <v>1640</v>
      </c>
      <c r="K14" s="91" t="s">
        <v>1641</v>
      </c>
      <c r="L14" s="126" t="s">
        <v>19</v>
      </c>
      <c r="M14" s="94">
        <v>44208.916666666664</v>
      </c>
      <c r="N14" s="94">
        <v>44209</v>
      </c>
      <c r="O14" s="95" t="str">
        <f>PROPER(TEXT(Table1[[#This Row],[Fecha Inicio]],"mmmm"))</f>
        <v>Enero</v>
      </c>
      <c r="P14" s="87" t="s">
        <v>1642</v>
      </c>
      <c r="Q14" s="97" t="s">
        <v>1643</v>
      </c>
      <c r="R14" s="76">
        <f t="shared" si="0"/>
        <v>8</v>
      </c>
      <c r="S14" s="76">
        <f t="shared" si="1"/>
        <v>8</v>
      </c>
      <c r="T14" s="76" t="str">
        <f t="shared" si="2"/>
        <v>-</v>
      </c>
      <c r="U14" s="76" t="str">
        <f t="shared" si="3"/>
        <v>-</v>
      </c>
      <c r="V14" s="76" t="str">
        <f t="shared" si="4"/>
        <v>-</v>
      </c>
      <c r="Z14" s="62"/>
    </row>
    <row r="15" spans="1:26" ht="40.15" customHeight="1" x14ac:dyDescent="0.25">
      <c r="A15" s="87">
        <v>1</v>
      </c>
      <c r="B15" s="88" t="s">
        <v>1550</v>
      </c>
      <c r="C15" s="89"/>
      <c r="D15" s="89" t="s">
        <v>344</v>
      </c>
      <c r="E15" s="89" t="s">
        <v>1616</v>
      </c>
      <c r="F15" s="87" t="s">
        <v>1556</v>
      </c>
      <c r="G15" s="92" t="s">
        <v>1557</v>
      </c>
      <c r="H15" s="93" t="s">
        <v>1644</v>
      </c>
      <c r="I15" s="87" t="s">
        <v>1645</v>
      </c>
      <c r="J15" s="87" t="s">
        <v>1619</v>
      </c>
      <c r="K15" s="87" t="s">
        <v>1620</v>
      </c>
      <c r="L15" s="126" t="s">
        <v>19</v>
      </c>
      <c r="M15" s="94">
        <v>44208.958333333336</v>
      </c>
      <c r="N15" s="94">
        <v>44209.166666666664</v>
      </c>
      <c r="O15" s="95" t="str">
        <f>PROPER(TEXT(Table1[[#This Row],[Fecha Inicio]],"mmmm"))</f>
        <v>Enero</v>
      </c>
      <c r="P15" s="96" t="s">
        <v>1646</v>
      </c>
      <c r="Q15" s="97" t="s">
        <v>1647</v>
      </c>
      <c r="R15" s="76">
        <f t="shared" si="0"/>
        <v>1</v>
      </c>
      <c r="S15" s="76">
        <f t="shared" si="1"/>
        <v>1</v>
      </c>
      <c r="T15" s="76" t="str">
        <f t="shared" si="2"/>
        <v>-</v>
      </c>
      <c r="U15" s="76" t="str">
        <f t="shared" si="3"/>
        <v>-</v>
      </c>
      <c r="V15" s="76" t="str">
        <f t="shared" si="4"/>
        <v>-</v>
      </c>
      <c r="Z15" s="62"/>
    </row>
    <row r="16" spans="1:26" ht="40.15" customHeight="1" x14ac:dyDescent="0.25">
      <c r="A16" s="87">
        <v>2</v>
      </c>
      <c r="B16" s="88" t="s">
        <v>1550</v>
      </c>
      <c r="C16" s="89"/>
      <c r="D16" s="90" t="s">
        <v>344</v>
      </c>
      <c r="E16" s="90" t="s">
        <v>1616</v>
      </c>
      <c r="F16" s="91" t="s">
        <v>1556</v>
      </c>
      <c r="G16" s="92" t="s">
        <v>1557</v>
      </c>
      <c r="H16" s="93" t="s">
        <v>1648</v>
      </c>
      <c r="I16" s="87" t="s">
        <v>1649</v>
      </c>
      <c r="J16" s="87" t="s">
        <v>1560</v>
      </c>
      <c r="K16" s="87" t="s">
        <v>1561</v>
      </c>
      <c r="L16" s="126" t="s">
        <v>19</v>
      </c>
      <c r="M16" s="94">
        <v>44209.416666666664</v>
      </c>
      <c r="N16" s="94">
        <v>44209.583333333336</v>
      </c>
      <c r="O16" s="95" t="str">
        <f>PROPER(TEXT(Table1[[#This Row],[Fecha Inicio]],"mmmm"))</f>
        <v>Enero</v>
      </c>
      <c r="P16" s="96" t="s">
        <v>1650</v>
      </c>
      <c r="Q16" s="97" t="s">
        <v>1651</v>
      </c>
      <c r="R16" s="76">
        <f t="shared" si="0"/>
        <v>1</v>
      </c>
      <c r="S16" s="76">
        <f t="shared" si="1"/>
        <v>1</v>
      </c>
      <c r="T16" s="76" t="str">
        <f t="shared" si="2"/>
        <v>-</v>
      </c>
      <c r="U16" s="76" t="str">
        <f t="shared" si="3"/>
        <v>-</v>
      </c>
      <c r="V16" s="76" t="str">
        <f t="shared" si="4"/>
        <v>-</v>
      </c>
      <c r="Z16" s="62"/>
    </row>
    <row r="17" spans="1:26" ht="40.15" customHeight="1" x14ac:dyDescent="0.25">
      <c r="A17" s="87">
        <v>51</v>
      </c>
      <c r="B17" s="88" t="s">
        <v>1550</v>
      </c>
      <c r="C17" s="89"/>
      <c r="D17" s="89" t="s">
        <v>1570</v>
      </c>
      <c r="E17" s="89" t="s">
        <v>1571</v>
      </c>
      <c r="F17" s="91" t="s">
        <v>1556</v>
      </c>
      <c r="G17" s="92" t="s">
        <v>1557</v>
      </c>
      <c r="H17" s="93" t="s">
        <v>1652</v>
      </c>
      <c r="I17" s="87" t="s">
        <v>1653</v>
      </c>
      <c r="J17" s="91" t="s">
        <v>1654</v>
      </c>
      <c r="K17" s="91" t="s">
        <v>1575</v>
      </c>
      <c r="L17" s="126" t="s">
        <v>19</v>
      </c>
      <c r="M17" s="94">
        <v>44209.583333333336</v>
      </c>
      <c r="N17" s="94">
        <v>44211.375</v>
      </c>
      <c r="O17" s="95" t="str">
        <f>PROPER(TEXT(Table1[[#This Row],[Fecha Inicio]],"mmmm"))</f>
        <v>Enero</v>
      </c>
      <c r="P17" s="96" t="s">
        <v>1655</v>
      </c>
      <c r="Q17" s="97" t="s">
        <v>1656</v>
      </c>
      <c r="R17" s="76">
        <f t="shared" si="0"/>
        <v>7</v>
      </c>
      <c r="S17" s="76">
        <f t="shared" si="1"/>
        <v>7</v>
      </c>
      <c r="T17" s="76" t="str">
        <f t="shared" si="2"/>
        <v>-</v>
      </c>
      <c r="U17" s="76" t="str">
        <f t="shared" si="3"/>
        <v>-</v>
      </c>
      <c r="V17" s="76" t="str">
        <f t="shared" si="4"/>
        <v>-</v>
      </c>
      <c r="Z17" s="62"/>
    </row>
    <row r="18" spans="1:26" ht="40.15" customHeight="1" x14ac:dyDescent="0.25">
      <c r="A18" s="87">
        <v>2</v>
      </c>
      <c r="B18" s="88" t="s">
        <v>1550</v>
      </c>
      <c r="C18" s="89"/>
      <c r="D18" s="90" t="s">
        <v>326</v>
      </c>
      <c r="E18" s="90" t="s">
        <v>1631</v>
      </c>
      <c r="F18" s="87" t="s">
        <v>1556</v>
      </c>
      <c r="G18" s="92" t="s">
        <v>1557</v>
      </c>
      <c r="H18" s="93" t="s">
        <v>1657</v>
      </c>
      <c r="I18" s="87" t="s">
        <v>1658</v>
      </c>
      <c r="J18" s="87" t="s">
        <v>1566</v>
      </c>
      <c r="K18" s="87" t="s">
        <v>1567</v>
      </c>
      <c r="L18" s="126" t="s">
        <v>19</v>
      </c>
      <c r="M18" s="94">
        <v>44209.791666666664</v>
      </c>
      <c r="N18" s="94">
        <v>44209.833333333336</v>
      </c>
      <c r="O18" s="95" t="str">
        <f>PROPER(TEXT(Table1[[#This Row],[Fecha Inicio]],"mmmm"))</f>
        <v>Enero</v>
      </c>
      <c r="P18" s="96" t="s">
        <v>1659</v>
      </c>
      <c r="Q18" s="97" t="s">
        <v>1660</v>
      </c>
      <c r="R18" s="76">
        <f t="shared" si="0"/>
        <v>1</v>
      </c>
      <c r="S18" s="76">
        <f t="shared" si="1"/>
        <v>1</v>
      </c>
      <c r="T18" s="76" t="str">
        <f t="shared" si="2"/>
        <v>-</v>
      </c>
      <c r="U18" s="76" t="str">
        <f t="shared" si="3"/>
        <v>-</v>
      </c>
      <c r="V18" s="76" t="str">
        <f t="shared" si="4"/>
        <v>-</v>
      </c>
      <c r="Z18" s="62"/>
    </row>
    <row r="19" spans="1:26" ht="40.15" customHeight="1" x14ac:dyDescent="0.25">
      <c r="A19" s="87">
        <v>1</v>
      </c>
      <c r="B19" s="88" t="s">
        <v>1550</v>
      </c>
      <c r="C19" s="89"/>
      <c r="D19" s="90" t="s">
        <v>1579</v>
      </c>
      <c r="E19" s="90" t="s">
        <v>1580</v>
      </c>
      <c r="F19" s="91" t="s">
        <v>1556</v>
      </c>
      <c r="G19" s="92" t="s">
        <v>1557</v>
      </c>
      <c r="H19" s="93" t="s">
        <v>1661</v>
      </c>
      <c r="I19" s="87" t="s">
        <v>1662</v>
      </c>
      <c r="J19" s="91" t="s">
        <v>1583</v>
      </c>
      <c r="K19" s="87" t="s">
        <v>1584</v>
      </c>
      <c r="L19" s="89" t="s">
        <v>41</v>
      </c>
      <c r="M19" s="94">
        <v>44209.916666666664</v>
      </c>
      <c r="N19" s="94">
        <v>44210.125</v>
      </c>
      <c r="O19" s="95" t="str">
        <f>PROPER(TEXT(Table1[[#This Row],[Fecha Inicio]],"mmmm"))</f>
        <v>Enero</v>
      </c>
      <c r="P19" s="96" t="s">
        <v>1663</v>
      </c>
      <c r="Q19" s="97" t="s">
        <v>1664</v>
      </c>
      <c r="R19" s="76">
        <f t="shared" si="0"/>
        <v>1</v>
      </c>
      <c r="S19" s="76">
        <f t="shared" si="1"/>
        <v>1</v>
      </c>
      <c r="T19" s="76" t="str">
        <f t="shared" si="2"/>
        <v>-</v>
      </c>
      <c r="U19" s="76" t="str">
        <f t="shared" si="3"/>
        <v>-</v>
      </c>
      <c r="V19" s="76" t="str">
        <f t="shared" si="4"/>
        <v>-</v>
      </c>
      <c r="Z19" s="62"/>
    </row>
    <row r="20" spans="1:26" ht="40.15" customHeight="1" x14ac:dyDescent="0.25">
      <c r="A20" s="87">
        <v>2</v>
      </c>
      <c r="B20" s="88" t="s">
        <v>1550</v>
      </c>
      <c r="C20" s="89"/>
      <c r="D20" s="90" t="s">
        <v>1665</v>
      </c>
      <c r="E20" s="90" t="s">
        <v>1666</v>
      </c>
      <c r="F20" s="91" t="s">
        <v>1556</v>
      </c>
      <c r="G20" s="92" t="s">
        <v>1557</v>
      </c>
      <c r="H20" s="93" t="s">
        <v>1667</v>
      </c>
      <c r="I20" s="87" t="s">
        <v>1668</v>
      </c>
      <c r="J20" s="87" t="s">
        <v>1669</v>
      </c>
      <c r="K20" s="87" t="s">
        <v>1670</v>
      </c>
      <c r="L20" s="126" t="s">
        <v>19</v>
      </c>
      <c r="M20" s="94">
        <v>44209.958333333336</v>
      </c>
      <c r="N20" s="94">
        <v>44210</v>
      </c>
      <c r="O20" s="95" t="str">
        <f>PROPER(TEXT(Table1[[#This Row],[Fecha Inicio]],"mmmm"))</f>
        <v>Enero</v>
      </c>
      <c r="P20" s="96" t="s">
        <v>1671</v>
      </c>
      <c r="Q20" s="97" t="s">
        <v>1672</v>
      </c>
      <c r="R20" s="76">
        <f t="shared" si="0"/>
        <v>1</v>
      </c>
      <c r="S20" s="76">
        <f t="shared" si="1"/>
        <v>1</v>
      </c>
      <c r="T20" s="76" t="str">
        <f t="shared" si="2"/>
        <v>-</v>
      </c>
      <c r="U20" s="76" t="str">
        <f t="shared" si="3"/>
        <v>-</v>
      </c>
      <c r="V20" s="76" t="str">
        <f t="shared" si="4"/>
        <v>-</v>
      </c>
      <c r="Z20" s="62"/>
    </row>
    <row r="21" spans="1:26" ht="40.15" customHeight="1" x14ac:dyDescent="0.25">
      <c r="A21" s="87">
        <v>2</v>
      </c>
      <c r="B21" s="88" t="s">
        <v>1550</v>
      </c>
      <c r="C21" s="89"/>
      <c r="D21" s="90" t="s">
        <v>326</v>
      </c>
      <c r="E21" s="90" t="s">
        <v>1631</v>
      </c>
      <c r="F21" s="91" t="s">
        <v>1556</v>
      </c>
      <c r="G21" s="92" t="s">
        <v>1557</v>
      </c>
      <c r="H21" s="93" t="s">
        <v>1673</v>
      </c>
      <c r="I21" s="87" t="s">
        <v>1674</v>
      </c>
      <c r="J21" s="87" t="s">
        <v>1583</v>
      </c>
      <c r="K21" s="87" t="s">
        <v>1584</v>
      </c>
      <c r="L21" s="126" t="s">
        <v>19</v>
      </c>
      <c r="M21" s="94">
        <v>44209.958333333336</v>
      </c>
      <c r="N21" s="94">
        <v>44210</v>
      </c>
      <c r="O21" s="95" t="str">
        <f>PROPER(TEXT(Table1[[#This Row],[Fecha Inicio]],"mmmm"))</f>
        <v>Enero</v>
      </c>
      <c r="P21" s="96" t="s">
        <v>1675</v>
      </c>
      <c r="Q21" s="97" t="s">
        <v>1676</v>
      </c>
      <c r="R21" s="76">
        <f t="shared" si="0"/>
        <v>2</v>
      </c>
      <c r="S21" s="76">
        <f t="shared" si="1"/>
        <v>2</v>
      </c>
      <c r="T21" s="76" t="str">
        <f t="shared" si="2"/>
        <v>-</v>
      </c>
      <c r="U21" s="76" t="str">
        <f t="shared" si="3"/>
        <v>-</v>
      </c>
      <c r="V21" s="76" t="str">
        <f t="shared" si="4"/>
        <v>-</v>
      </c>
      <c r="Z21" s="62"/>
    </row>
    <row r="22" spans="1:26" ht="40.15" customHeight="1" x14ac:dyDescent="0.25">
      <c r="A22" s="87">
        <v>2</v>
      </c>
      <c r="B22" s="88" t="s">
        <v>1550</v>
      </c>
      <c r="C22" s="89"/>
      <c r="D22" s="90" t="s">
        <v>326</v>
      </c>
      <c r="E22" s="90" t="s">
        <v>1631</v>
      </c>
      <c r="F22" s="91" t="s">
        <v>1556</v>
      </c>
      <c r="G22" s="92" t="s">
        <v>1557</v>
      </c>
      <c r="H22" s="93" t="s">
        <v>1677</v>
      </c>
      <c r="I22" s="87" t="s">
        <v>1678</v>
      </c>
      <c r="J22" s="91" t="s">
        <v>1612</v>
      </c>
      <c r="K22" s="87" t="s">
        <v>1613</v>
      </c>
      <c r="L22" s="87" t="s">
        <v>52</v>
      </c>
      <c r="M22" s="94">
        <v>44209.979166666664</v>
      </c>
      <c r="N22" s="94">
        <v>44210.020833333336</v>
      </c>
      <c r="O22" s="95" t="str">
        <f>PROPER(TEXT(Table1[[#This Row],[Fecha Inicio]],"mmmm"))</f>
        <v>Enero</v>
      </c>
      <c r="P22" s="96" t="s">
        <v>129</v>
      </c>
      <c r="Q22" s="97" t="s">
        <v>1679</v>
      </c>
      <c r="R22" s="76">
        <f t="shared" si="0"/>
        <v>1</v>
      </c>
      <c r="S22" s="76">
        <f t="shared" si="1"/>
        <v>1</v>
      </c>
      <c r="T22" s="76" t="str">
        <f t="shared" si="2"/>
        <v>-</v>
      </c>
      <c r="U22" s="76" t="str">
        <f t="shared" si="3"/>
        <v>-</v>
      </c>
      <c r="V22" s="76" t="str">
        <f t="shared" si="4"/>
        <v>-</v>
      </c>
      <c r="Z22" s="62"/>
    </row>
    <row r="23" spans="1:26" ht="40.15" customHeight="1" x14ac:dyDescent="0.25">
      <c r="A23" s="87">
        <v>2</v>
      </c>
      <c r="B23" s="88" t="s">
        <v>1550</v>
      </c>
      <c r="C23" s="89"/>
      <c r="D23" s="90" t="s">
        <v>344</v>
      </c>
      <c r="E23" s="90" t="s">
        <v>1616</v>
      </c>
      <c r="F23" s="91" t="s">
        <v>1556</v>
      </c>
      <c r="G23" s="92" t="s">
        <v>1557</v>
      </c>
      <c r="H23" s="93" t="s">
        <v>1680</v>
      </c>
      <c r="I23" s="87" t="s">
        <v>1681</v>
      </c>
      <c r="J23" s="87" t="s">
        <v>1560</v>
      </c>
      <c r="K23" s="87" t="s">
        <v>1561</v>
      </c>
      <c r="L23" s="126" t="s">
        <v>19</v>
      </c>
      <c r="M23" s="94">
        <v>44210.416666666664</v>
      </c>
      <c r="N23" s="94">
        <v>44210.583333333336</v>
      </c>
      <c r="O23" s="95" t="str">
        <f>PROPER(TEXT(Table1[[#This Row],[Fecha Inicio]],"mmmm"))</f>
        <v>Enero</v>
      </c>
      <c r="P23" s="96" t="s">
        <v>1682</v>
      </c>
      <c r="Q23" s="97" t="s">
        <v>1683</v>
      </c>
      <c r="R23" s="76">
        <f t="shared" si="0"/>
        <v>1</v>
      </c>
      <c r="S23" s="76">
        <f t="shared" si="1"/>
        <v>1</v>
      </c>
      <c r="T23" s="76" t="str">
        <f t="shared" si="2"/>
        <v>-</v>
      </c>
      <c r="U23" s="76" t="str">
        <f t="shared" si="3"/>
        <v>-</v>
      </c>
      <c r="V23" s="76" t="str">
        <f t="shared" si="4"/>
        <v>-</v>
      </c>
      <c r="Z23" s="62"/>
    </row>
    <row r="24" spans="1:26" ht="40.15" customHeight="1" x14ac:dyDescent="0.25">
      <c r="A24" s="87">
        <v>2</v>
      </c>
      <c r="B24" s="88" t="s">
        <v>1550</v>
      </c>
      <c r="C24" s="89"/>
      <c r="D24" s="90" t="s">
        <v>1623</v>
      </c>
      <c r="E24" s="90" t="s">
        <v>1624</v>
      </c>
      <c r="F24" s="91" t="s">
        <v>1556</v>
      </c>
      <c r="G24" s="92" t="s">
        <v>1557</v>
      </c>
      <c r="H24" s="93" t="s">
        <v>1684</v>
      </c>
      <c r="I24" s="87" t="s">
        <v>1685</v>
      </c>
      <c r="J24" s="87" t="s">
        <v>1627</v>
      </c>
      <c r="K24" s="87" t="s">
        <v>1575</v>
      </c>
      <c r="L24" s="126" t="s">
        <v>19</v>
      </c>
      <c r="M24" s="94">
        <v>44210.5</v>
      </c>
      <c r="N24" s="94">
        <v>44211.625</v>
      </c>
      <c r="O24" s="95" t="str">
        <f>PROPER(TEXT(Table1[[#This Row],[Fecha Inicio]],"mmmm"))</f>
        <v>Enero</v>
      </c>
      <c r="P24" s="96" t="s">
        <v>1686</v>
      </c>
      <c r="Q24" s="97" t="s">
        <v>1687</v>
      </c>
      <c r="R24" s="76">
        <f t="shared" si="0"/>
        <v>2</v>
      </c>
      <c r="S24" s="76">
        <f t="shared" si="1"/>
        <v>2</v>
      </c>
      <c r="T24" s="76" t="str">
        <f t="shared" si="2"/>
        <v>-</v>
      </c>
      <c r="U24" s="76" t="str">
        <f t="shared" si="3"/>
        <v>-</v>
      </c>
      <c r="V24" s="76" t="str">
        <f t="shared" si="4"/>
        <v>-</v>
      </c>
      <c r="Z24" s="62"/>
    </row>
    <row r="25" spans="1:26" ht="40.15" customHeight="1" x14ac:dyDescent="0.25">
      <c r="A25" s="87">
        <v>51</v>
      </c>
      <c r="B25" s="88" t="s">
        <v>1550</v>
      </c>
      <c r="C25" s="89"/>
      <c r="D25" s="89" t="s">
        <v>1570</v>
      </c>
      <c r="E25" s="89" t="s">
        <v>1571</v>
      </c>
      <c r="F25" s="91" t="s">
        <v>1556</v>
      </c>
      <c r="G25" s="92" t="s">
        <v>1557</v>
      </c>
      <c r="H25" s="93" t="s">
        <v>1692</v>
      </c>
      <c r="I25" s="87" t="s">
        <v>1693</v>
      </c>
      <c r="J25" s="91" t="s">
        <v>1694</v>
      </c>
      <c r="K25" s="91" t="s">
        <v>1695</v>
      </c>
      <c r="L25" s="126" t="s">
        <v>19</v>
      </c>
      <c r="M25" s="94">
        <v>44210.916666666664</v>
      </c>
      <c r="N25" s="94">
        <v>44211</v>
      </c>
      <c r="O25" s="95" t="str">
        <f>PROPER(TEXT(Table1[[#This Row],[Fecha Inicio]],"mmmm"))</f>
        <v>Enero</v>
      </c>
      <c r="P25" s="87" t="s">
        <v>1696</v>
      </c>
      <c r="Q25" s="97" t="s">
        <v>1697</v>
      </c>
      <c r="R25" s="76">
        <f t="shared" si="0"/>
        <v>1</v>
      </c>
      <c r="S25" s="76">
        <f t="shared" si="1"/>
        <v>1</v>
      </c>
      <c r="T25" s="76" t="str">
        <f t="shared" si="2"/>
        <v>-</v>
      </c>
      <c r="U25" s="76" t="str">
        <f t="shared" si="3"/>
        <v>-</v>
      </c>
      <c r="V25" s="76" t="str">
        <f t="shared" si="4"/>
        <v>-</v>
      </c>
      <c r="Z25" s="62"/>
    </row>
    <row r="26" spans="1:26" ht="40.15" customHeight="1" x14ac:dyDescent="0.25">
      <c r="A26" s="87">
        <v>1</v>
      </c>
      <c r="B26" s="88" t="s">
        <v>1550</v>
      </c>
      <c r="C26" s="89" t="s">
        <v>1630</v>
      </c>
      <c r="D26" s="90" t="s">
        <v>326</v>
      </c>
      <c r="E26" s="90" t="s">
        <v>1631</v>
      </c>
      <c r="F26" s="91" t="s">
        <v>1556</v>
      </c>
      <c r="G26" s="92" t="s">
        <v>1557</v>
      </c>
      <c r="H26" s="93" t="s">
        <v>1688</v>
      </c>
      <c r="I26" s="87" t="s">
        <v>1689</v>
      </c>
      <c r="J26" s="87" t="s">
        <v>1634</v>
      </c>
      <c r="K26" s="87" t="s">
        <v>1635</v>
      </c>
      <c r="L26" s="126" t="s">
        <v>19</v>
      </c>
      <c r="M26" s="94">
        <v>44210.916666666664</v>
      </c>
      <c r="N26" s="94">
        <v>44211.083333333336</v>
      </c>
      <c r="O26" s="95" t="str">
        <f>PROPER(TEXT(Table1[[#This Row],[Fecha Inicio]],"mmmm"))</f>
        <v>Enero</v>
      </c>
      <c r="P26" s="96" t="s">
        <v>1690</v>
      </c>
      <c r="Q26" s="97" t="s">
        <v>1691</v>
      </c>
      <c r="R26" s="76">
        <f t="shared" si="0"/>
        <v>23</v>
      </c>
      <c r="S26" s="76">
        <f t="shared" si="1"/>
        <v>23</v>
      </c>
      <c r="T26" s="76" t="str">
        <f t="shared" si="2"/>
        <v>-</v>
      </c>
      <c r="U26" s="76" t="str">
        <f t="shared" si="3"/>
        <v>-</v>
      </c>
      <c r="V26" s="76" t="str">
        <f t="shared" si="4"/>
        <v>-</v>
      </c>
      <c r="Z26" s="62"/>
    </row>
    <row r="27" spans="1:26" ht="40.15" customHeight="1" x14ac:dyDescent="0.25">
      <c r="A27" s="87">
        <v>2</v>
      </c>
      <c r="B27" s="88" t="s">
        <v>1550</v>
      </c>
      <c r="C27" s="89"/>
      <c r="D27" s="90" t="s">
        <v>326</v>
      </c>
      <c r="E27" s="90" t="s">
        <v>1631</v>
      </c>
      <c r="F27" s="91" t="s">
        <v>1556</v>
      </c>
      <c r="G27" s="92" t="s">
        <v>1557</v>
      </c>
      <c r="H27" s="93" t="s">
        <v>1702</v>
      </c>
      <c r="I27" s="87" t="s">
        <v>1703</v>
      </c>
      <c r="J27" s="87" t="s">
        <v>1583</v>
      </c>
      <c r="K27" s="87" t="s">
        <v>1584</v>
      </c>
      <c r="L27" s="126" t="s">
        <v>19</v>
      </c>
      <c r="M27" s="94">
        <v>44210.958333333336</v>
      </c>
      <c r="N27" s="94">
        <v>44211</v>
      </c>
      <c r="O27" s="95" t="str">
        <f>PROPER(TEXT(Table1[[#This Row],[Fecha Inicio]],"mmmm"))</f>
        <v>Enero</v>
      </c>
      <c r="P27" s="96" t="s">
        <v>1704</v>
      </c>
      <c r="Q27" s="97" t="s">
        <v>1705</v>
      </c>
      <c r="R27" s="76">
        <f t="shared" si="0"/>
        <v>2</v>
      </c>
      <c r="S27" s="76">
        <f t="shared" si="1"/>
        <v>2</v>
      </c>
      <c r="T27" s="76" t="str">
        <f t="shared" si="2"/>
        <v>-</v>
      </c>
      <c r="U27" s="76" t="str">
        <f t="shared" si="3"/>
        <v>-</v>
      </c>
      <c r="V27" s="76" t="str">
        <f t="shared" si="4"/>
        <v>-</v>
      </c>
      <c r="Z27" s="62"/>
    </row>
    <row r="28" spans="1:26" ht="40.15" customHeight="1" x14ac:dyDescent="0.25">
      <c r="A28" s="87">
        <v>2</v>
      </c>
      <c r="B28" s="88" t="s">
        <v>1550</v>
      </c>
      <c r="C28" s="89"/>
      <c r="D28" s="90" t="s">
        <v>326</v>
      </c>
      <c r="E28" s="90" t="s">
        <v>1631</v>
      </c>
      <c r="F28" s="91" t="s">
        <v>1556</v>
      </c>
      <c r="G28" s="92" t="s">
        <v>1557</v>
      </c>
      <c r="H28" s="93" t="s">
        <v>1698</v>
      </c>
      <c r="I28" s="87" t="s">
        <v>1699</v>
      </c>
      <c r="J28" s="87" t="s">
        <v>1583</v>
      </c>
      <c r="K28" s="87" t="s">
        <v>1584</v>
      </c>
      <c r="L28" s="87" t="s">
        <v>41</v>
      </c>
      <c r="M28" s="94">
        <v>44210.958333333336</v>
      </c>
      <c r="N28" s="94">
        <v>44211.333333333336</v>
      </c>
      <c r="O28" s="95" t="str">
        <f>PROPER(TEXT(Table1[[#This Row],[Fecha Inicio]],"mmmm"))</f>
        <v>Enero</v>
      </c>
      <c r="P28" s="96" t="s">
        <v>1700</v>
      </c>
      <c r="Q28" s="97" t="s">
        <v>1701</v>
      </c>
      <c r="R28" s="76">
        <f t="shared" si="0"/>
        <v>1</v>
      </c>
      <c r="S28" s="76">
        <f t="shared" si="1"/>
        <v>1</v>
      </c>
      <c r="T28" s="76" t="str">
        <f t="shared" si="2"/>
        <v>-</v>
      </c>
      <c r="U28" s="76" t="str">
        <f t="shared" si="3"/>
        <v>-</v>
      </c>
      <c r="V28" s="76" t="str">
        <f t="shared" si="4"/>
        <v>-</v>
      </c>
      <c r="Z28" s="62"/>
    </row>
    <row r="29" spans="1:26" ht="40.15" customHeight="1" x14ac:dyDescent="0.25">
      <c r="A29" s="87">
        <v>51</v>
      </c>
      <c r="B29" s="88" t="s">
        <v>1550</v>
      </c>
      <c r="C29" s="89"/>
      <c r="D29" s="89" t="s">
        <v>1570</v>
      </c>
      <c r="E29" s="89" t="s">
        <v>1571</v>
      </c>
      <c r="F29" s="91" t="s">
        <v>1556</v>
      </c>
      <c r="G29" s="92" t="s">
        <v>1557</v>
      </c>
      <c r="H29" s="93" t="s">
        <v>1706</v>
      </c>
      <c r="I29" s="87" t="s">
        <v>1707</v>
      </c>
      <c r="J29" s="91" t="s">
        <v>1708</v>
      </c>
      <c r="K29" s="91" t="s">
        <v>1709</v>
      </c>
      <c r="L29" s="126" t="s">
        <v>19</v>
      </c>
      <c r="M29" s="94">
        <v>44211.916666666664</v>
      </c>
      <c r="N29" s="94">
        <v>44211.958333333336</v>
      </c>
      <c r="O29" s="95" t="str">
        <f>PROPER(TEXT(Table1[[#This Row],[Fecha Inicio]],"mmmm"))</f>
        <v>Enero</v>
      </c>
      <c r="P29" s="87" t="s">
        <v>1710</v>
      </c>
      <c r="Q29" s="97" t="s">
        <v>1711</v>
      </c>
      <c r="R29" s="76">
        <f t="shared" si="0"/>
        <v>15</v>
      </c>
      <c r="S29" s="76">
        <f t="shared" si="1"/>
        <v>15</v>
      </c>
      <c r="T29" s="76" t="str">
        <f t="shared" si="2"/>
        <v>-</v>
      </c>
      <c r="U29" s="76" t="str">
        <f t="shared" si="3"/>
        <v>-</v>
      </c>
      <c r="V29" s="76" t="str">
        <f t="shared" si="4"/>
        <v>-</v>
      </c>
      <c r="Z29" s="62"/>
    </row>
    <row r="30" spans="1:26" ht="40.15" customHeight="1" x14ac:dyDescent="0.25">
      <c r="A30" s="87">
        <v>2</v>
      </c>
      <c r="B30" s="88" t="s">
        <v>1550</v>
      </c>
      <c r="C30" s="89" t="s">
        <v>1578</v>
      </c>
      <c r="D30" s="90" t="s">
        <v>326</v>
      </c>
      <c r="E30" s="90" t="s">
        <v>1631</v>
      </c>
      <c r="F30" s="91" t="s">
        <v>1556</v>
      </c>
      <c r="G30" s="92" t="s">
        <v>1557</v>
      </c>
      <c r="H30" s="93" t="s">
        <v>1712</v>
      </c>
      <c r="I30" s="87" t="s">
        <v>1713</v>
      </c>
      <c r="J30" s="87" t="s">
        <v>1583</v>
      </c>
      <c r="K30" s="87" t="s">
        <v>1584</v>
      </c>
      <c r="L30" s="126" t="s">
        <v>19</v>
      </c>
      <c r="M30" s="94">
        <v>44211.958333333336</v>
      </c>
      <c r="N30" s="94">
        <v>44212.041666666664</v>
      </c>
      <c r="O30" s="95" t="str">
        <f>PROPER(TEXT(Table1[[#This Row],[Fecha Inicio]],"mmmm"))</f>
        <v>Enero</v>
      </c>
      <c r="P30" s="96" t="s">
        <v>1714</v>
      </c>
      <c r="Q30" s="97" t="s">
        <v>1715</v>
      </c>
      <c r="R30" s="76">
        <f t="shared" si="0"/>
        <v>4</v>
      </c>
      <c r="S30" s="76">
        <f t="shared" si="1"/>
        <v>4</v>
      </c>
      <c r="T30" s="76" t="str">
        <f t="shared" si="2"/>
        <v>-</v>
      </c>
      <c r="U30" s="76" t="str">
        <f t="shared" si="3"/>
        <v>-</v>
      </c>
      <c r="V30" s="76" t="str">
        <f t="shared" si="4"/>
        <v>-</v>
      </c>
      <c r="Z30" s="62"/>
    </row>
    <row r="31" spans="1:26" ht="40.15" customHeight="1" x14ac:dyDescent="0.25">
      <c r="A31" s="87">
        <v>1</v>
      </c>
      <c r="B31" s="88" t="s">
        <v>1550</v>
      </c>
      <c r="C31" s="89" t="s">
        <v>1716</v>
      </c>
      <c r="D31" s="90" t="s">
        <v>326</v>
      </c>
      <c r="E31" s="90" t="s">
        <v>1631</v>
      </c>
      <c r="F31" s="91" t="s">
        <v>1556</v>
      </c>
      <c r="G31" s="92" t="s">
        <v>1557</v>
      </c>
      <c r="H31" s="93" t="s">
        <v>1717</v>
      </c>
      <c r="I31" s="87" t="s">
        <v>1718</v>
      </c>
      <c r="J31" s="87" t="s">
        <v>1719</v>
      </c>
      <c r="K31" s="91" t="s">
        <v>1575</v>
      </c>
      <c r="L31" s="126" t="s">
        <v>19</v>
      </c>
      <c r="M31" s="94">
        <v>44213</v>
      </c>
      <c r="N31" s="94">
        <v>44213.25</v>
      </c>
      <c r="O31" s="95" t="str">
        <f>PROPER(TEXT(Table1[[#This Row],[Fecha Inicio]],"mmmm"))</f>
        <v>Enero</v>
      </c>
      <c r="P31" s="96" t="s">
        <v>1720</v>
      </c>
      <c r="Q31" s="97" t="s">
        <v>1721</v>
      </c>
      <c r="R31" s="76">
        <f t="shared" si="0"/>
        <v>15</v>
      </c>
      <c r="S31" s="76">
        <f t="shared" si="1"/>
        <v>15</v>
      </c>
      <c r="T31" s="76" t="str">
        <f t="shared" si="2"/>
        <v>-</v>
      </c>
      <c r="U31" s="76" t="str">
        <f t="shared" si="3"/>
        <v>-</v>
      </c>
      <c r="V31" s="76" t="str">
        <f t="shared" si="4"/>
        <v>-</v>
      </c>
      <c r="Z31" s="62"/>
    </row>
    <row r="32" spans="1:26" ht="40.15" customHeight="1" x14ac:dyDescent="0.25">
      <c r="A32" s="87">
        <v>51</v>
      </c>
      <c r="B32" s="88" t="s">
        <v>1550</v>
      </c>
      <c r="C32" s="89"/>
      <c r="D32" s="89" t="s">
        <v>1570</v>
      </c>
      <c r="E32" s="89" t="s">
        <v>1571</v>
      </c>
      <c r="F32" s="91" t="s">
        <v>1556</v>
      </c>
      <c r="G32" s="92" t="s">
        <v>1557</v>
      </c>
      <c r="H32" s="93" t="s">
        <v>1722</v>
      </c>
      <c r="I32" s="87" t="s">
        <v>1723</v>
      </c>
      <c r="J32" s="91" t="s">
        <v>1724</v>
      </c>
      <c r="K32" s="91" t="s">
        <v>1575</v>
      </c>
      <c r="L32" s="126" t="s">
        <v>19</v>
      </c>
      <c r="M32" s="94">
        <v>44213.375</v>
      </c>
      <c r="N32" s="94">
        <v>44213.458333333336</v>
      </c>
      <c r="O32" s="95" t="str">
        <f>PROPER(TEXT(Table1[[#This Row],[Fecha Inicio]],"mmmm"))</f>
        <v>Enero</v>
      </c>
      <c r="P32" s="87" t="s">
        <v>1725</v>
      </c>
      <c r="Q32" s="97" t="s">
        <v>1726</v>
      </c>
      <c r="R32" s="76">
        <f t="shared" si="0"/>
        <v>13</v>
      </c>
      <c r="S32" s="76">
        <f t="shared" si="1"/>
        <v>13</v>
      </c>
      <c r="T32" s="76" t="str">
        <f t="shared" si="2"/>
        <v>-</v>
      </c>
      <c r="U32" s="76" t="str">
        <f t="shared" si="3"/>
        <v>-</v>
      </c>
      <c r="V32" s="76" t="str">
        <f t="shared" si="4"/>
        <v>-</v>
      </c>
      <c r="Z32" s="62"/>
    </row>
    <row r="33" spans="1:26" ht="40.15" customHeight="1" x14ac:dyDescent="0.25">
      <c r="A33" s="87">
        <v>1</v>
      </c>
      <c r="B33" s="88" t="s">
        <v>1550</v>
      </c>
      <c r="C33" s="89" t="s">
        <v>1716</v>
      </c>
      <c r="D33" s="90" t="s">
        <v>326</v>
      </c>
      <c r="E33" s="90" t="s">
        <v>1631</v>
      </c>
      <c r="F33" s="91" t="s">
        <v>1556</v>
      </c>
      <c r="G33" s="92" t="s">
        <v>1557</v>
      </c>
      <c r="H33" s="93" t="s">
        <v>1727</v>
      </c>
      <c r="I33" s="87" t="s">
        <v>1728</v>
      </c>
      <c r="J33" s="87" t="s">
        <v>1729</v>
      </c>
      <c r="K33" s="87" t="s">
        <v>1575</v>
      </c>
      <c r="L33" s="126" t="s">
        <v>19</v>
      </c>
      <c r="M33" s="94">
        <v>44214.25</v>
      </c>
      <c r="N33" s="94">
        <v>44214.333333333336</v>
      </c>
      <c r="O33" s="95" t="str">
        <f>PROPER(TEXT(Table1[[#This Row],[Fecha Inicio]],"mmmm"))</f>
        <v>Enero</v>
      </c>
      <c r="P33" s="96" t="s">
        <v>1730</v>
      </c>
      <c r="Q33" s="97" t="s">
        <v>1731</v>
      </c>
      <c r="R33" s="76">
        <f t="shared" si="0"/>
        <v>5</v>
      </c>
      <c r="S33" s="76">
        <f t="shared" si="1"/>
        <v>5</v>
      </c>
      <c r="T33" s="76" t="str">
        <f t="shared" si="2"/>
        <v>-</v>
      </c>
      <c r="U33" s="76" t="str">
        <f t="shared" si="3"/>
        <v>-</v>
      </c>
      <c r="V33" s="76" t="str">
        <f t="shared" si="4"/>
        <v>-</v>
      </c>
      <c r="Z33" s="62"/>
    </row>
    <row r="34" spans="1:26" ht="40.15" customHeight="1" x14ac:dyDescent="0.25">
      <c r="A34" s="87">
        <v>1</v>
      </c>
      <c r="B34" s="88" t="s">
        <v>1550</v>
      </c>
      <c r="C34" s="89" t="s">
        <v>1716</v>
      </c>
      <c r="D34" s="90" t="s">
        <v>326</v>
      </c>
      <c r="E34" s="90" t="s">
        <v>1631</v>
      </c>
      <c r="F34" s="91" t="s">
        <v>1556</v>
      </c>
      <c r="G34" s="92" t="s">
        <v>1557</v>
      </c>
      <c r="H34" s="93" t="s">
        <v>1732</v>
      </c>
      <c r="I34" s="87" t="s">
        <v>1733</v>
      </c>
      <c r="J34" s="87" t="s">
        <v>1734</v>
      </c>
      <c r="K34" s="87" t="s">
        <v>1735</v>
      </c>
      <c r="L34" s="126" t="s">
        <v>19</v>
      </c>
      <c r="M34" s="94">
        <v>44214.291666666664</v>
      </c>
      <c r="N34" s="94">
        <v>44214.333333333336</v>
      </c>
      <c r="O34" s="95" t="str">
        <f>PROPER(TEXT(Table1[[#This Row],[Fecha Inicio]],"mmmm"))</f>
        <v>Enero</v>
      </c>
      <c r="P34" s="96" t="s">
        <v>277</v>
      </c>
      <c r="Q34" s="97" t="s">
        <v>1736</v>
      </c>
      <c r="R34" s="76">
        <f t="shared" si="0"/>
        <v>1</v>
      </c>
      <c r="S34" s="76">
        <f t="shared" si="1"/>
        <v>1</v>
      </c>
      <c r="T34" s="76" t="str">
        <f t="shared" si="2"/>
        <v>-</v>
      </c>
      <c r="U34" s="76" t="str">
        <f t="shared" si="3"/>
        <v>-</v>
      </c>
      <c r="V34" s="76" t="str">
        <f t="shared" si="4"/>
        <v>-</v>
      </c>
      <c r="Z34" s="62"/>
    </row>
    <row r="35" spans="1:26" ht="40.15" customHeight="1" x14ac:dyDescent="0.25">
      <c r="A35" s="87">
        <v>2</v>
      </c>
      <c r="B35" s="88" t="s">
        <v>1550</v>
      </c>
      <c r="C35" s="89"/>
      <c r="D35" s="90" t="s">
        <v>326</v>
      </c>
      <c r="E35" s="89" t="s">
        <v>1742</v>
      </c>
      <c r="F35" s="91" t="s">
        <v>1556</v>
      </c>
      <c r="G35" s="92" t="s">
        <v>1557</v>
      </c>
      <c r="H35" s="93" t="s">
        <v>1743</v>
      </c>
      <c r="I35" s="87" t="s">
        <v>1744</v>
      </c>
      <c r="J35" s="87" t="s">
        <v>1583</v>
      </c>
      <c r="K35" s="87" t="s">
        <v>1584</v>
      </c>
      <c r="L35" s="87" t="s">
        <v>52</v>
      </c>
      <c r="M35" s="94">
        <v>44214.375</v>
      </c>
      <c r="N35" s="94">
        <v>44214.583333333336</v>
      </c>
      <c r="O35" s="95" t="str">
        <f>PROPER(TEXT(Table1[[#This Row],[Fecha Inicio]],"mmmm"))</f>
        <v>Enero</v>
      </c>
      <c r="P35" s="96" t="s">
        <v>1745</v>
      </c>
      <c r="Q35" s="97" t="s">
        <v>1746</v>
      </c>
      <c r="R35" s="76">
        <f t="shared" si="0"/>
        <v>3</v>
      </c>
      <c r="S35" s="76">
        <f t="shared" si="1"/>
        <v>3</v>
      </c>
      <c r="T35" s="76" t="str">
        <f t="shared" si="2"/>
        <v>-</v>
      </c>
      <c r="U35" s="76" t="str">
        <f t="shared" si="3"/>
        <v>-</v>
      </c>
      <c r="V35" s="76" t="str">
        <f t="shared" si="4"/>
        <v>-</v>
      </c>
      <c r="Z35" s="62"/>
    </row>
    <row r="36" spans="1:26" ht="40.15" customHeight="1" x14ac:dyDescent="0.25">
      <c r="A36" s="91">
        <v>53</v>
      </c>
      <c r="B36" s="88" t="s">
        <v>1550</v>
      </c>
      <c r="C36" s="99" t="s">
        <v>1737</v>
      </c>
      <c r="D36" s="90" t="s">
        <v>1554</v>
      </c>
      <c r="E36" s="90" t="s">
        <v>1555</v>
      </c>
      <c r="F36" s="87" t="s">
        <v>1600</v>
      </c>
      <c r="G36" s="92" t="s">
        <v>1557</v>
      </c>
      <c r="H36" s="93" t="s">
        <v>1738</v>
      </c>
      <c r="I36" s="87" t="s">
        <v>1739</v>
      </c>
      <c r="J36" s="91" t="s">
        <v>1603</v>
      </c>
      <c r="K36" s="87" t="s">
        <v>1341</v>
      </c>
      <c r="L36" s="89" t="s">
        <v>52</v>
      </c>
      <c r="M36" s="94">
        <v>44214.375</v>
      </c>
      <c r="N36" s="94">
        <v>44215.791666666664</v>
      </c>
      <c r="O36" s="95" t="str">
        <f>PROPER(TEXT(Table1[[#This Row],[Fecha Inicio]],"mmmm"))</f>
        <v>Enero</v>
      </c>
      <c r="P36" s="96" t="s">
        <v>1740</v>
      </c>
      <c r="Q36" s="97" t="s">
        <v>1741</v>
      </c>
      <c r="R36" s="76">
        <f t="shared" si="0"/>
        <v>1</v>
      </c>
      <c r="S36" s="76">
        <f t="shared" si="1"/>
        <v>1</v>
      </c>
      <c r="T36" s="76" t="str">
        <f t="shared" si="2"/>
        <v>-</v>
      </c>
      <c r="U36" s="76" t="str">
        <f t="shared" si="3"/>
        <v>-</v>
      </c>
      <c r="V36" s="76" t="str">
        <f t="shared" si="4"/>
        <v>-</v>
      </c>
      <c r="Z36" s="62"/>
    </row>
    <row r="37" spans="1:26" ht="40.15" customHeight="1" x14ac:dyDescent="0.25">
      <c r="A37" s="87">
        <v>3</v>
      </c>
      <c r="B37" s="88" t="s">
        <v>1550</v>
      </c>
      <c r="C37" s="89" t="s">
        <v>1578</v>
      </c>
      <c r="D37" s="90" t="s">
        <v>1623</v>
      </c>
      <c r="E37" s="90" t="s">
        <v>1624</v>
      </c>
      <c r="F37" s="91" t="s">
        <v>1556</v>
      </c>
      <c r="G37" s="92" t="s">
        <v>1557</v>
      </c>
      <c r="H37" s="93" t="s">
        <v>1747</v>
      </c>
      <c r="I37" s="87" t="s">
        <v>1626</v>
      </c>
      <c r="J37" s="87" t="s">
        <v>1627</v>
      </c>
      <c r="K37" s="87" t="s">
        <v>1575</v>
      </c>
      <c r="L37" s="126" t="s">
        <v>19</v>
      </c>
      <c r="M37" s="94">
        <v>44214.5</v>
      </c>
      <c r="N37" s="94">
        <v>44214.625</v>
      </c>
      <c r="O37" s="95" t="str">
        <f>PROPER(TEXT(Table1[[#This Row],[Fecha Inicio]],"mmmm"))</f>
        <v>Enero</v>
      </c>
      <c r="P37" s="96" t="s">
        <v>1628</v>
      </c>
      <c r="Q37" s="97" t="s">
        <v>1748</v>
      </c>
      <c r="R37" s="76">
        <f t="shared" si="0"/>
        <v>2</v>
      </c>
      <c r="S37" s="76">
        <f t="shared" si="1"/>
        <v>2</v>
      </c>
      <c r="T37" s="76" t="str">
        <f t="shared" si="2"/>
        <v>-</v>
      </c>
      <c r="U37" s="76" t="str">
        <f t="shared" si="3"/>
        <v>-</v>
      </c>
      <c r="V37" s="76" t="str">
        <f t="shared" si="4"/>
        <v>-</v>
      </c>
      <c r="Z37" s="62"/>
    </row>
    <row r="38" spans="1:26" ht="40.15" customHeight="1" x14ac:dyDescent="0.25">
      <c r="A38" s="87">
        <v>1</v>
      </c>
      <c r="B38" s="88" t="s">
        <v>1550</v>
      </c>
      <c r="C38" s="89" t="s">
        <v>1716</v>
      </c>
      <c r="D38" s="90" t="s">
        <v>326</v>
      </c>
      <c r="E38" s="90" t="s">
        <v>1631</v>
      </c>
      <c r="F38" s="91" t="s">
        <v>1556</v>
      </c>
      <c r="G38" s="92" t="s">
        <v>1557</v>
      </c>
      <c r="H38" s="93" t="s">
        <v>1749</v>
      </c>
      <c r="I38" s="87" t="s">
        <v>1750</v>
      </c>
      <c r="J38" s="87" t="s">
        <v>1560</v>
      </c>
      <c r="K38" s="87" t="s">
        <v>1561</v>
      </c>
      <c r="L38" s="126" t="s">
        <v>19</v>
      </c>
      <c r="M38" s="94">
        <v>44214.791666666664</v>
      </c>
      <c r="N38" s="94">
        <v>44215.291666666664</v>
      </c>
      <c r="O38" s="95" t="str">
        <f>PROPER(TEXT(Table1[[#This Row],[Fecha Inicio]],"mmmm"))</f>
        <v>Enero</v>
      </c>
      <c r="P38" s="96" t="s">
        <v>1751</v>
      </c>
      <c r="Q38" s="97" t="s">
        <v>1752</v>
      </c>
      <c r="R38" s="76">
        <f t="shared" si="0"/>
        <v>4</v>
      </c>
      <c r="S38" s="76">
        <f t="shared" si="1"/>
        <v>4</v>
      </c>
      <c r="T38" s="76" t="str">
        <f t="shared" si="2"/>
        <v>-</v>
      </c>
      <c r="U38" s="76" t="str">
        <f t="shared" si="3"/>
        <v>-</v>
      </c>
      <c r="V38" s="76" t="str">
        <f t="shared" si="4"/>
        <v>-</v>
      </c>
      <c r="Z38" s="62"/>
    </row>
    <row r="39" spans="1:26" ht="40.15" customHeight="1" x14ac:dyDescent="0.25">
      <c r="A39" s="87">
        <v>51</v>
      </c>
      <c r="B39" s="88" t="s">
        <v>1550</v>
      </c>
      <c r="C39" s="89"/>
      <c r="D39" s="89" t="s">
        <v>1570</v>
      </c>
      <c r="E39" s="89" t="s">
        <v>1571</v>
      </c>
      <c r="F39" s="91" t="s">
        <v>1556</v>
      </c>
      <c r="G39" s="92" t="s">
        <v>1557</v>
      </c>
      <c r="H39" s="93" t="s">
        <v>1753</v>
      </c>
      <c r="I39" s="87" t="s">
        <v>1754</v>
      </c>
      <c r="J39" s="91" t="s">
        <v>1755</v>
      </c>
      <c r="K39" s="91" t="s">
        <v>1590</v>
      </c>
      <c r="L39" s="126" t="s">
        <v>19</v>
      </c>
      <c r="M39" s="94">
        <v>44214.916666666664</v>
      </c>
      <c r="N39" s="94">
        <v>44214.958333333336</v>
      </c>
      <c r="O39" s="95" t="str">
        <f>PROPER(TEXT(Table1[[#This Row],[Fecha Inicio]],"mmmm"))</f>
        <v>Enero</v>
      </c>
      <c r="P39" s="87" t="s">
        <v>1756</v>
      </c>
      <c r="Q39" s="97" t="s">
        <v>1757</v>
      </c>
      <c r="R39" s="76">
        <f t="shared" si="0"/>
        <v>1</v>
      </c>
      <c r="S39" s="76">
        <f t="shared" si="1"/>
        <v>1</v>
      </c>
      <c r="T39" s="76" t="str">
        <f t="shared" si="2"/>
        <v>-</v>
      </c>
      <c r="U39" s="76" t="str">
        <f t="shared" si="3"/>
        <v>-</v>
      </c>
      <c r="V39" s="76" t="str">
        <f t="shared" si="4"/>
        <v>-</v>
      </c>
      <c r="Z39" s="62"/>
    </row>
    <row r="40" spans="1:26" ht="40.15" customHeight="1" x14ac:dyDescent="0.25">
      <c r="A40" s="87">
        <v>1</v>
      </c>
      <c r="B40" s="88" t="s">
        <v>1550</v>
      </c>
      <c r="C40" s="89" t="s">
        <v>1716</v>
      </c>
      <c r="D40" s="90" t="s">
        <v>326</v>
      </c>
      <c r="E40" s="90" t="s">
        <v>1631</v>
      </c>
      <c r="F40" s="91" t="s">
        <v>1556</v>
      </c>
      <c r="G40" s="92" t="s">
        <v>1557</v>
      </c>
      <c r="H40" s="93" t="s">
        <v>1758</v>
      </c>
      <c r="I40" s="87" t="s">
        <v>1759</v>
      </c>
      <c r="J40" s="87" t="s">
        <v>1760</v>
      </c>
      <c r="K40" s="87" t="s">
        <v>1761</v>
      </c>
      <c r="L40" s="126" t="s">
        <v>19</v>
      </c>
      <c r="M40" s="94">
        <v>44214.916666666664</v>
      </c>
      <c r="N40" s="94">
        <v>44215.041666666664</v>
      </c>
      <c r="O40" s="95" t="str">
        <f>PROPER(TEXT(Table1[[#This Row],[Fecha Inicio]],"mmmm"))</f>
        <v>Enero</v>
      </c>
      <c r="P40" s="96" t="s">
        <v>1762</v>
      </c>
      <c r="Q40" s="97" t="s">
        <v>1763</v>
      </c>
      <c r="R40" s="76">
        <f t="shared" si="0"/>
        <v>9</v>
      </c>
      <c r="S40" s="76">
        <f t="shared" si="1"/>
        <v>9</v>
      </c>
      <c r="T40" s="76" t="str">
        <f t="shared" si="2"/>
        <v>-</v>
      </c>
      <c r="U40" s="76" t="str">
        <f t="shared" si="3"/>
        <v>-</v>
      </c>
      <c r="V40" s="76" t="str">
        <f t="shared" si="4"/>
        <v>-</v>
      </c>
      <c r="Z40" s="62"/>
    </row>
    <row r="41" spans="1:26" ht="40.15" customHeight="1" x14ac:dyDescent="0.25">
      <c r="A41" s="87">
        <v>2</v>
      </c>
      <c r="B41" s="88" t="s">
        <v>1550</v>
      </c>
      <c r="C41" s="89"/>
      <c r="D41" s="89" t="s">
        <v>344</v>
      </c>
      <c r="E41" s="89" t="s">
        <v>1616</v>
      </c>
      <c r="F41" s="87" t="s">
        <v>1556</v>
      </c>
      <c r="G41" s="92" t="s">
        <v>1557</v>
      </c>
      <c r="H41" s="93" t="s">
        <v>1764</v>
      </c>
      <c r="I41" s="87" t="s">
        <v>1765</v>
      </c>
      <c r="J41" s="87" t="s">
        <v>1766</v>
      </c>
      <c r="K41" s="93" t="s">
        <v>1575</v>
      </c>
      <c r="L41" s="126" t="s">
        <v>19</v>
      </c>
      <c r="M41" s="94">
        <v>44214.958333333336</v>
      </c>
      <c r="N41" s="94">
        <v>44215.166666666664</v>
      </c>
      <c r="O41" s="95" t="str">
        <f>PROPER(TEXT(Table1[[#This Row],[Fecha Inicio]],"mmmm"))</f>
        <v>Enero</v>
      </c>
      <c r="P41" s="96" t="s">
        <v>1767</v>
      </c>
      <c r="Q41" s="97" t="s">
        <v>1768</v>
      </c>
      <c r="R41" s="76">
        <f t="shared" si="0"/>
        <v>1</v>
      </c>
      <c r="S41" s="76">
        <f t="shared" si="1"/>
        <v>1</v>
      </c>
      <c r="T41" s="76" t="str">
        <f t="shared" si="2"/>
        <v>-</v>
      </c>
      <c r="U41" s="76" t="str">
        <f t="shared" si="3"/>
        <v>-</v>
      </c>
      <c r="V41" s="76" t="str">
        <f t="shared" si="4"/>
        <v>-</v>
      </c>
      <c r="Z41" s="62"/>
    </row>
    <row r="42" spans="1:26" ht="40.15" customHeight="1" x14ac:dyDescent="0.25">
      <c r="A42" s="87">
        <v>2</v>
      </c>
      <c r="B42" s="88" t="s">
        <v>1550</v>
      </c>
      <c r="C42" s="89"/>
      <c r="D42" s="90" t="s">
        <v>1623</v>
      </c>
      <c r="E42" s="90" t="s">
        <v>1624</v>
      </c>
      <c r="F42" s="91" t="s">
        <v>1556</v>
      </c>
      <c r="G42" s="92" t="s">
        <v>1557</v>
      </c>
      <c r="H42" s="93" t="s">
        <v>1769</v>
      </c>
      <c r="I42" s="87" t="s">
        <v>1770</v>
      </c>
      <c r="J42" s="87" t="s">
        <v>1771</v>
      </c>
      <c r="K42" s="87" t="s">
        <v>1575</v>
      </c>
      <c r="L42" s="126" t="s">
        <v>19</v>
      </c>
      <c r="M42" s="94">
        <v>44215.291666666664</v>
      </c>
      <c r="N42" s="94">
        <v>44215.5</v>
      </c>
      <c r="O42" s="95" t="str">
        <f>PROPER(TEXT(Table1[[#This Row],[Fecha Inicio]],"mmmm"))</f>
        <v>Enero</v>
      </c>
      <c r="P42" s="96" t="s">
        <v>1772</v>
      </c>
      <c r="Q42" s="97" t="s">
        <v>1773</v>
      </c>
      <c r="R42" s="76">
        <f t="shared" si="0"/>
        <v>2</v>
      </c>
      <c r="S42" s="76">
        <f t="shared" si="1"/>
        <v>2</v>
      </c>
      <c r="T42" s="76" t="str">
        <f t="shared" si="2"/>
        <v>-</v>
      </c>
      <c r="U42" s="76" t="str">
        <f t="shared" si="3"/>
        <v>-</v>
      </c>
      <c r="V42" s="76" t="str">
        <f t="shared" si="4"/>
        <v>-</v>
      </c>
      <c r="Z42" s="62"/>
    </row>
    <row r="43" spans="1:26" ht="40.15" customHeight="1" x14ac:dyDescent="0.25">
      <c r="A43" s="87">
        <v>1</v>
      </c>
      <c r="B43" s="88" t="s">
        <v>1550</v>
      </c>
      <c r="C43" s="89" t="s">
        <v>1716</v>
      </c>
      <c r="D43" s="90" t="s">
        <v>326</v>
      </c>
      <c r="E43" s="90" t="s">
        <v>1631</v>
      </c>
      <c r="F43" s="91" t="s">
        <v>1556</v>
      </c>
      <c r="G43" s="92" t="s">
        <v>1557</v>
      </c>
      <c r="H43" s="93" t="s">
        <v>1774</v>
      </c>
      <c r="I43" s="87" t="s">
        <v>1775</v>
      </c>
      <c r="J43" s="87" t="s">
        <v>1776</v>
      </c>
      <c r="K43" s="87" t="s">
        <v>1575</v>
      </c>
      <c r="L43" s="126" t="s">
        <v>19</v>
      </c>
      <c r="M43" s="94">
        <v>44215.666666666664</v>
      </c>
      <c r="N43" s="94">
        <v>44215.75</v>
      </c>
      <c r="O43" s="95" t="str">
        <f>PROPER(TEXT(Table1[[#This Row],[Fecha Inicio]],"mmmm"))</f>
        <v>Enero</v>
      </c>
      <c r="P43" s="96" t="s">
        <v>1777</v>
      </c>
      <c r="Q43" s="97" t="s">
        <v>1778</v>
      </c>
      <c r="R43" s="76">
        <f t="shared" si="0"/>
        <v>2</v>
      </c>
      <c r="S43" s="76">
        <f t="shared" si="1"/>
        <v>2</v>
      </c>
      <c r="T43" s="76" t="str">
        <f t="shared" si="2"/>
        <v>-</v>
      </c>
      <c r="U43" s="76" t="str">
        <f t="shared" si="3"/>
        <v>-</v>
      </c>
      <c r="V43" s="76" t="str">
        <f t="shared" si="4"/>
        <v>-</v>
      </c>
      <c r="Z43" s="62"/>
    </row>
    <row r="44" spans="1:26" ht="40.15" customHeight="1" x14ac:dyDescent="0.25">
      <c r="A44" s="87">
        <v>1</v>
      </c>
      <c r="B44" s="88" t="s">
        <v>1550</v>
      </c>
      <c r="C44" s="89" t="s">
        <v>1716</v>
      </c>
      <c r="D44" s="90" t="s">
        <v>326</v>
      </c>
      <c r="E44" s="90" t="s">
        <v>1631</v>
      </c>
      <c r="F44" s="91" t="s">
        <v>1556</v>
      </c>
      <c r="G44" s="92" t="s">
        <v>1557</v>
      </c>
      <c r="H44" s="93" t="s">
        <v>1779</v>
      </c>
      <c r="I44" s="91" t="s">
        <v>1780</v>
      </c>
      <c r="J44" s="91" t="s">
        <v>1781</v>
      </c>
      <c r="K44" s="91" t="s">
        <v>1575</v>
      </c>
      <c r="L44" s="126" t="s">
        <v>19</v>
      </c>
      <c r="M44" s="94">
        <v>44215.708333333336</v>
      </c>
      <c r="N44" s="94">
        <v>44215.791666666664</v>
      </c>
      <c r="O44" s="95" t="str">
        <f>PROPER(TEXT(Table1[[#This Row],[Fecha Inicio]],"mmmm"))</f>
        <v>Enero</v>
      </c>
      <c r="P44" s="96" t="s">
        <v>1782</v>
      </c>
      <c r="Q44" s="97" t="s">
        <v>1783</v>
      </c>
      <c r="R44" s="76">
        <f t="shared" si="0"/>
        <v>7</v>
      </c>
      <c r="S44" s="76">
        <f t="shared" si="1"/>
        <v>7</v>
      </c>
      <c r="T44" s="76" t="str">
        <f t="shared" si="2"/>
        <v>-</v>
      </c>
      <c r="U44" s="76" t="str">
        <f t="shared" si="3"/>
        <v>-</v>
      </c>
      <c r="V44" s="76" t="str">
        <f t="shared" si="4"/>
        <v>-</v>
      </c>
      <c r="Z44" s="62"/>
    </row>
    <row r="45" spans="1:26" ht="40.15" customHeight="1" x14ac:dyDescent="0.25">
      <c r="A45" s="87">
        <v>1</v>
      </c>
      <c r="B45" s="88" t="s">
        <v>1550</v>
      </c>
      <c r="C45" s="89" t="s">
        <v>1716</v>
      </c>
      <c r="D45" s="90" t="s">
        <v>326</v>
      </c>
      <c r="E45" s="90" t="s">
        <v>1631</v>
      </c>
      <c r="F45" s="91" t="s">
        <v>1556</v>
      </c>
      <c r="G45" s="92" t="s">
        <v>1557</v>
      </c>
      <c r="H45" s="93" t="s">
        <v>1784</v>
      </c>
      <c r="I45" s="87" t="s">
        <v>1785</v>
      </c>
      <c r="J45" s="87" t="s">
        <v>1786</v>
      </c>
      <c r="K45" s="87" t="s">
        <v>1590</v>
      </c>
      <c r="L45" s="126" t="s">
        <v>19</v>
      </c>
      <c r="M45" s="94">
        <v>44215.833333333336</v>
      </c>
      <c r="N45" s="94">
        <v>44215.875</v>
      </c>
      <c r="O45" s="95" t="str">
        <f>PROPER(TEXT(Table1[[#This Row],[Fecha Inicio]],"mmmm"))</f>
        <v>Enero</v>
      </c>
      <c r="P45" s="96" t="s">
        <v>250</v>
      </c>
      <c r="Q45" s="97" t="s">
        <v>1787</v>
      </c>
      <c r="R45" s="76">
        <f t="shared" si="0"/>
        <v>1</v>
      </c>
      <c r="S45" s="76">
        <f t="shared" si="1"/>
        <v>1</v>
      </c>
      <c r="T45" s="76" t="str">
        <f t="shared" si="2"/>
        <v>-</v>
      </c>
      <c r="U45" s="76" t="str">
        <f t="shared" si="3"/>
        <v>-</v>
      </c>
      <c r="V45" s="76" t="str">
        <f t="shared" si="4"/>
        <v>-</v>
      </c>
      <c r="Z45" s="62"/>
    </row>
    <row r="46" spans="1:26" ht="40.15" customHeight="1" x14ac:dyDescent="0.25">
      <c r="A46" s="87">
        <v>51</v>
      </c>
      <c r="B46" s="88" t="s">
        <v>1550</v>
      </c>
      <c r="C46" s="89"/>
      <c r="D46" s="89" t="s">
        <v>1570</v>
      </c>
      <c r="E46" s="89" t="s">
        <v>1571</v>
      </c>
      <c r="F46" s="91" t="s">
        <v>1556</v>
      </c>
      <c r="G46" s="92" t="s">
        <v>1557</v>
      </c>
      <c r="H46" s="93" t="s">
        <v>1788</v>
      </c>
      <c r="I46" s="87" t="s">
        <v>1789</v>
      </c>
      <c r="J46" s="91" t="s">
        <v>1790</v>
      </c>
      <c r="K46" s="91" t="s">
        <v>1791</v>
      </c>
      <c r="L46" s="126" t="s">
        <v>19</v>
      </c>
      <c r="M46" s="94">
        <v>44215.875</v>
      </c>
      <c r="N46" s="94">
        <v>44216</v>
      </c>
      <c r="O46" s="95" t="str">
        <f>PROPER(TEXT(Table1[[#This Row],[Fecha Inicio]],"mmmm"))</f>
        <v>Enero</v>
      </c>
      <c r="P46" s="87" t="s">
        <v>1792</v>
      </c>
      <c r="Q46" s="97" t="s">
        <v>1793</v>
      </c>
      <c r="R46" s="76">
        <f t="shared" si="0"/>
        <v>113</v>
      </c>
      <c r="S46" s="76">
        <f t="shared" si="1"/>
        <v>113</v>
      </c>
      <c r="T46" s="76" t="str">
        <f t="shared" si="2"/>
        <v>-</v>
      </c>
      <c r="U46" s="76" t="str">
        <f t="shared" si="3"/>
        <v>-</v>
      </c>
      <c r="V46" s="76" t="str">
        <f t="shared" si="4"/>
        <v>-</v>
      </c>
      <c r="Z46" s="62"/>
    </row>
    <row r="47" spans="1:26" ht="40.15" customHeight="1" x14ac:dyDescent="0.25">
      <c r="A47" s="87">
        <v>3</v>
      </c>
      <c r="B47" s="100" t="s">
        <v>1551</v>
      </c>
      <c r="C47" s="89" t="s">
        <v>1794</v>
      </c>
      <c r="D47" s="90" t="s">
        <v>1554</v>
      </c>
      <c r="E47" s="90" t="s">
        <v>1555</v>
      </c>
      <c r="F47" s="87" t="s">
        <v>1556</v>
      </c>
      <c r="G47" s="92" t="s">
        <v>1557</v>
      </c>
      <c r="H47" s="93" t="s">
        <v>1795</v>
      </c>
      <c r="I47" s="87" t="s">
        <v>1796</v>
      </c>
      <c r="J47" s="87" t="s">
        <v>1566</v>
      </c>
      <c r="K47" s="87" t="s">
        <v>1567</v>
      </c>
      <c r="L47" s="126" t="s">
        <v>19</v>
      </c>
      <c r="M47" s="94">
        <v>44215.916666666664</v>
      </c>
      <c r="N47" s="94">
        <v>44216</v>
      </c>
      <c r="O47" s="95" t="str">
        <f>PROPER(TEXT(Table1[[#This Row],[Fecha Inicio]],"mmmm"))</f>
        <v>Enero</v>
      </c>
      <c r="P47" s="96" t="s">
        <v>1797</v>
      </c>
      <c r="Q47" s="97" t="s">
        <v>1798</v>
      </c>
      <c r="R47" s="76">
        <f t="shared" si="0"/>
        <v>3</v>
      </c>
      <c r="S47" s="76" t="str">
        <f t="shared" si="1"/>
        <v>-</v>
      </c>
      <c r="T47" s="76" t="str">
        <f t="shared" si="2"/>
        <v>-</v>
      </c>
      <c r="U47" s="76" t="str">
        <f t="shared" si="3"/>
        <v>-</v>
      </c>
      <c r="V47" s="76" t="str">
        <f t="shared" si="4"/>
        <v>-</v>
      </c>
      <c r="Z47" s="62"/>
    </row>
    <row r="48" spans="1:26" ht="40.15" customHeight="1" x14ac:dyDescent="0.25">
      <c r="A48" s="87">
        <v>2</v>
      </c>
      <c r="B48" s="88" t="s">
        <v>1550</v>
      </c>
      <c r="C48" s="89"/>
      <c r="D48" s="90" t="s">
        <v>344</v>
      </c>
      <c r="E48" s="90" t="s">
        <v>1799</v>
      </c>
      <c r="F48" s="87" t="s">
        <v>1556</v>
      </c>
      <c r="G48" s="92" t="s">
        <v>1557</v>
      </c>
      <c r="H48" s="93" t="s">
        <v>1800</v>
      </c>
      <c r="I48" s="87" t="s">
        <v>1801</v>
      </c>
      <c r="J48" s="87" t="s">
        <v>1802</v>
      </c>
      <c r="K48" s="87" t="s">
        <v>1596</v>
      </c>
      <c r="L48" s="126" t="s">
        <v>19</v>
      </c>
      <c r="M48" s="94">
        <v>44215.958333333336</v>
      </c>
      <c r="N48" s="94">
        <v>44216.125</v>
      </c>
      <c r="O48" s="95" t="str">
        <f>PROPER(TEXT(Table1[[#This Row],[Fecha Inicio]],"mmmm"))</f>
        <v>Enero</v>
      </c>
      <c r="P48" s="96" t="s">
        <v>1803</v>
      </c>
      <c r="Q48" s="97" t="s">
        <v>1804</v>
      </c>
      <c r="R48" s="76">
        <f t="shared" si="0"/>
        <v>2</v>
      </c>
      <c r="S48" s="76">
        <f t="shared" si="1"/>
        <v>2</v>
      </c>
      <c r="T48" s="76" t="str">
        <f t="shared" si="2"/>
        <v>-</v>
      </c>
      <c r="U48" s="76" t="str">
        <f t="shared" si="3"/>
        <v>-</v>
      </c>
      <c r="V48" s="76" t="str">
        <f t="shared" si="4"/>
        <v>-</v>
      </c>
      <c r="Z48" s="62"/>
    </row>
    <row r="49" spans="1:26" ht="40.15" customHeight="1" x14ac:dyDescent="0.25">
      <c r="A49" s="87">
        <v>2</v>
      </c>
      <c r="B49" s="88" t="s">
        <v>1550</v>
      </c>
      <c r="C49" s="89"/>
      <c r="D49" s="89" t="s">
        <v>344</v>
      </c>
      <c r="E49" s="89" t="s">
        <v>1616</v>
      </c>
      <c r="F49" s="87" t="s">
        <v>1556</v>
      </c>
      <c r="G49" s="92" t="s">
        <v>1557</v>
      </c>
      <c r="H49" s="93" t="s">
        <v>1805</v>
      </c>
      <c r="I49" s="87" t="s">
        <v>1806</v>
      </c>
      <c r="J49" s="87" t="s">
        <v>1766</v>
      </c>
      <c r="K49" s="93" t="s">
        <v>1575</v>
      </c>
      <c r="L49" s="126" t="s">
        <v>19</v>
      </c>
      <c r="M49" s="94">
        <v>44215.958333333336</v>
      </c>
      <c r="N49" s="94">
        <v>44216.166666666664</v>
      </c>
      <c r="O49" s="95" t="str">
        <f>PROPER(TEXT(Table1[[#This Row],[Fecha Inicio]],"mmmm"))</f>
        <v>Enero</v>
      </c>
      <c r="P49" s="96" t="s">
        <v>1807</v>
      </c>
      <c r="Q49" s="97" t="s">
        <v>1808</v>
      </c>
      <c r="R49" s="76">
        <f t="shared" si="0"/>
        <v>1</v>
      </c>
      <c r="S49" s="76">
        <f t="shared" si="1"/>
        <v>1</v>
      </c>
      <c r="T49" s="76" t="str">
        <f t="shared" si="2"/>
        <v>-</v>
      </c>
      <c r="U49" s="76" t="str">
        <f t="shared" si="3"/>
        <v>-</v>
      </c>
      <c r="V49" s="76" t="str">
        <f t="shared" si="4"/>
        <v>-</v>
      </c>
      <c r="Z49" s="62"/>
    </row>
    <row r="50" spans="1:26" ht="40.15" customHeight="1" x14ac:dyDescent="0.25">
      <c r="A50" s="87">
        <v>1</v>
      </c>
      <c r="B50" s="88" t="s">
        <v>1550</v>
      </c>
      <c r="C50" s="89" t="s">
        <v>1716</v>
      </c>
      <c r="D50" s="90" t="s">
        <v>326</v>
      </c>
      <c r="E50" s="90" t="s">
        <v>1631</v>
      </c>
      <c r="F50" s="91" t="s">
        <v>1556</v>
      </c>
      <c r="G50" s="92" t="s">
        <v>1557</v>
      </c>
      <c r="H50" s="93" t="s">
        <v>1809</v>
      </c>
      <c r="I50" s="87" t="s">
        <v>1759</v>
      </c>
      <c r="J50" s="87" t="s">
        <v>1760</v>
      </c>
      <c r="K50" s="87" t="s">
        <v>1761</v>
      </c>
      <c r="L50" s="126" t="s">
        <v>19</v>
      </c>
      <c r="M50" s="94">
        <v>44216.041666666664</v>
      </c>
      <c r="N50" s="94">
        <v>44216.166666666664</v>
      </c>
      <c r="O50" s="95" t="str">
        <f>PROPER(TEXT(Table1[[#This Row],[Fecha Inicio]],"mmmm"))</f>
        <v>Enero</v>
      </c>
      <c r="P50" s="96" t="s">
        <v>1810</v>
      </c>
      <c r="Q50" s="97" t="s">
        <v>1811</v>
      </c>
      <c r="R50" s="76">
        <f t="shared" si="0"/>
        <v>8</v>
      </c>
      <c r="S50" s="76">
        <f t="shared" si="1"/>
        <v>8</v>
      </c>
      <c r="T50" s="76" t="str">
        <f t="shared" si="2"/>
        <v>-</v>
      </c>
      <c r="U50" s="76" t="str">
        <f t="shared" si="3"/>
        <v>-</v>
      </c>
      <c r="V50" s="76" t="str">
        <f t="shared" si="4"/>
        <v>-</v>
      </c>
      <c r="Z50" s="62"/>
    </row>
    <row r="51" spans="1:26" ht="40.15" customHeight="1" x14ac:dyDescent="0.25">
      <c r="A51" s="87">
        <v>1</v>
      </c>
      <c r="B51" s="88" t="s">
        <v>1550</v>
      </c>
      <c r="C51" s="89" t="s">
        <v>1716</v>
      </c>
      <c r="D51" s="90" t="s">
        <v>326</v>
      </c>
      <c r="E51" s="90" t="s">
        <v>1631</v>
      </c>
      <c r="F51" s="91" t="s">
        <v>1556</v>
      </c>
      <c r="G51" s="92" t="s">
        <v>1557</v>
      </c>
      <c r="H51" s="93" t="s">
        <v>1812</v>
      </c>
      <c r="I51" s="87" t="s">
        <v>1813</v>
      </c>
      <c r="J51" s="91" t="s">
        <v>1814</v>
      </c>
      <c r="K51" s="91" t="s">
        <v>1761</v>
      </c>
      <c r="L51" s="126" t="s">
        <v>19</v>
      </c>
      <c r="M51" s="94">
        <v>44216.291666666664</v>
      </c>
      <c r="N51" s="94">
        <v>44216.333333333336</v>
      </c>
      <c r="O51" s="95" t="str">
        <f>PROPER(TEXT(Table1[[#This Row],[Fecha Inicio]],"mmmm"))</f>
        <v>Enero</v>
      </c>
      <c r="P51" s="96" t="s">
        <v>109</v>
      </c>
      <c r="Q51" s="97" t="s">
        <v>1815</v>
      </c>
      <c r="R51" s="76">
        <f t="shared" si="0"/>
        <v>1</v>
      </c>
      <c r="S51" s="76">
        <f t="shared" si="1"/>
        <v>1</v>
      </c>
      <c r="T51" s="76" t="str">
        <f t="shared" si="2"/>
        <v>-</v>
      </c>
      <c r="U51" s="76" t="str">
        <f t="shared" si="3"/>
        <v>-</v>
      </c>
      <c r="V51" s="76" t="str">
        <f t="shared" si="4"/>
        <v>-</v>
      </c>
      <c r="Z51" s="62"/>
    </row>
    <row r="52" spans="1:26" ht="40.15" customHeight="1" x14ac:dyDescent="0.25">
      <c r="A52" s="87">
        <v>1</v>
      </c>
      <c r="B52" s="88" t="s">
        <v>1550</v>
      </c>
      <c r="C52" s="89" t="s">
        <v>1716</v>
      </c>
      <c r="D52" s="90" t="s">
        <v>326</v>
      </c>
      <c r="E52" s="90" t="s">
        <v>1631</v>
      </c>
      <c r="F52" s="91" t="s">
        <v>1556</v>
      </c>
      <c r="G52" s="92" t="s">
        <v>1557</v>
      </c>
      <c r="H52" s="93" t="s">
        <v>1816</v>
      </c>
      <c r="I52" s="87" t="s">
        <v>1733</v>
      </c>
      <c r="J52" s="87" t="s">
        <v>1734</v>
      </c>
      <c r="K52" s="87" t="s">
        <v>1735</v>
      </c>
      <c r="L52" s="126" t="s">
        <v>19</v>
      </c>
      <c r="M52" s="94">
        <v>44216.291666666664</v>
      </c>
      <c r="N52" s="94">
        <v>44216.333333333336</v>
      </c>
      <c r="O52" s="95" t="str">
        <f>PROPER(TEXT(Table1[[#This Row],[Fecha Inicio]],"mmmm"))</f>
        <v>Enero</v>
      </c>
      <c r="P52" s="96" t="s">
        <v>111</v>
      </c>
      <c r="Q52" s="97" t="s">
        <v>1817</v>
      </c>
      <c r="R52" s="76">
        <f t="shared" si="0"/>
        <v>1</v>
      </c>
      <c r="S52" s="76">
        <f t="shared" si="1"/>
        <v>1</v>
      </c>
      <c r="T52" s="76" t="str">
        <f t="shared" si="2"/>
        <v>-</v>
      </c>
      <c r="U52" s="76" t="str">
        <f t="shared" si="3"/>
        <v>-</v>
      </c>
      <c r="V52" s="76" t="str">
        <f t="shared" si="4"/>
        <v>-</v>
      </c>
      <c r="Z52" s="62"/>
    </row>
    <row r="53" spans="1:26" ht="40.15" customHeight="1" x14ac:dyDescent="0.25">
      <c r="A53" s="87">
        <v>3</v>
      </c>
      <c r="B53" s="88" t="s">
        <v>1550</v>
      </c>
      <c r="C53" s="89"/>
      <c r="D53" s="90" t="s">
        <v>1554</v>
      </c>
      <c r="E53" s="90" t="s">
        <v>1555</v>
      </c>
      <c r="F53" s="87" t="s">
        <v>1556</v>
      </c>
      <c r="G53" s="92" t="s">
        <v>1557</v>
      </c>
      <c r="H53" s="93" t="s">
        <v>1818</v>
      </c>
      <c r="I53" s="87" t="s">
        <v>1819</v>
      </c>
      <c r="J53" s="91" t="s">
        <v>1583</v>
      </c>
      <c r="K53" s="87" t="s">
        <v>1584</v>
      </c>
      <c r="L53" s="87" t="s">
        <v>52</v>
      </c>
      <c r="M53" s="94">
        <v>44216.375</v>
      </c>
      <c r="N53" s="94">
        <v>44217.791666666664</v>
      </c>
      <c r="O53" s="95" t="str">
        <f>PROPER(TEXT(Table1[[#This Row],[Fecha Inicio]],"mmmm"))</f>
        <v>Enero</v>
      </c>
      <c r="P53" s="96" t="s">
        <v>1820</v>
      </c>
      <c r="Q53" s="97" t="s">
        <v>1821</v>
      </c>
      <c r="R53" s="76">
        <f t="shared" si="0"/>
        <v>9</v>
      </c>
      <c r="S53" s="76">
        <f t="shared" si="1"/>
        <v>9</v>
      </c>
      <c r="T53" s="76" t="str">
        <f t="shared" si="2"/>
        <v>-</v>
      </c>
      <c r="U53" s="76" t="str">
        <f t="shared" si="3"/>
        <v>-</v>
      </c>
      <c r="V53" s="76" t="str">
        <f t="shared" si="4"/>
        <v>-</v>
      </c>
      <c r="Z53" s="62"/>
    </row>
    <row r="54" spans="1:26" ht="40.15" customHeight="1" x14ac:dyDescent="0.25">
      <c r="A54" s="87">
        <v>2</v>
      </c>
      <c r="B54" s="88" t="s">
        <v>1550</v>
      </c>
      <c r="C54" s="89"/>
      <c r="D54" s="89" t="s">
        <v>344</v>
      </c>
      <c r="E54" s="89" t="s">
        <v>1616</v>
      </c>
      <c r="F54" s="91" t="s">
        <v>1556</v>
      </c>
      <c r="G54" s="92" t="s">
        <v>1557</v>
      </c>
      <c r="H54" s="93" t="s">
        <v>1822</v>
      </c>
      <c r="I54" s="87" t="s">
        <v>1823</v>
      </c>
      <c r="J54" s="87" t="s">
        <v>1824</v>
      </c>
      <c r="K54" s="87" t="s">
        <v>1825</v>
      </c>
      <c r="L54" s="126" t="s">
        <v>19</v>
      </c>
      <c r="M54" s="94">
        <v>44216.416666666664</v>
      </c>
      <c r="N54" s="94">
        <v>44216.583333333336</v>
      </c>
      <c r="O54" s="95" t="str">
        <f>PROPER(TEXT(Table1[[#This Row],[Fecha Inicio]],"mmmm"))</f>
        <v>Enero</v>
      </c>
      <c r="P54" s="96" t="s">
        <v>1826</v>
      </c>
      <c r="Q54" s="97" t="s">
        <v>1827</v>
      </c>
      <c r="R54" s="76">
        <f t="shared" si="0"/>
        <v>2</v>
      </c>
      <c r="S54" s="76">
        <f t="shared" si="1"/>
        <v>2</v>
      </c>
      <c r="T54" s="76" t="str">
        <f t="shared" si="2"/>
        <v>-</v>
      </c>
      <c r="U54" s="76" t="str">
        <f t="shared" si="3"/>
        <v>-</v>
      </c>
      <c r="V54" s="76" t="str">
        <f t="shared" si="4"/>
        <v>-</v>
      </c>
      <c r="Z54" s="62"/>
    </row>
    <row r="55" spans="1:26" ht="40.15" customHeight="1" x14ac:dyDescent="0.25">
      <c r="A55" s="87">
        <v>2</v>
      </c>
      <c r="B55" s="88" t="s">
        <v>1550</v>
      </c>
      <c r="C55" s="89"/>
      <c r="D55" s="90" t="s">
        <v>344</v>
      </c>
      <c r="E55" s="90" t="s">
        <v>1799</v>
      </c>
      <c r="F55" s="87" t="s">
        <v>1556</v>
      </c>
      <c r="G55" s="92" t="s">
        <v>1557</v>
      </c>
      <c r="H55" s="93" t="s">
        <v>1828</v>
      </c>
      <c r="I55" s="87" t="s">
        <v>1829</v>
      </c>
      <c r="J55" s="87" t="s">
        <v>1560</v>
      </c>
      <c r="K55" s="87" t="s">
        <v>1561</v>
      </c>
      <c r="L55" s="126" t="s">
        <v>19</v>
      </c>
      <c r="M55" s="94">
        <v>44216.666666666664</v>
      </c>
      <c r="N55" s="94">
        <v>44216.833333333336</v>
      </c>
      <c r="O55" s="95" t="str">
        <f>PROPER(TEXT(Table1[[#This Row],[Fecha Inicio]],"mmmm"))</f>
        <v>Enero</v>
      </c>
      <c r="P55" s="96" t="s">
        <v>1830</v>
      </c>
      <c r="Q55" s="97" t="s">
        <v>1831</v>
      </c>
      <c r="R55" s="76">
        <f t="shared" si="0"/>
        <v>1</v>
      </c>
      <c r="S55" s="76">
        <f t="shared" si="1"/>
        <v>1</v>
      </c>
      <c r="T55" s="76" t="str">
        <f t="shared" si="2"/>
        <v>-</v>
      </c>
      <c r="U55" s="76" t="str">
        <f t="shared" si="3"/>
        <v>-</v>
      </c>
      <c r="V55" s="76" t="str">
        <f t="shared" si="4"/>
        <v>-</v>
      </c>
      <c r="Z55" s="62"/>
    </row>
    <row r="56" spans="1:26" ht="40.15" customHeight="1" x14ac:dyDescent="0.25">
      <c r="A56" s="87">
        <v>1</v>
      </c>
      <c r="B56" s="88" t="s">
        <v>1550</v>
      </c>
      <c r="C56" s="89" t="s">
        <v>1716</v>
      </c>
      <c r="D56" s="90" t="s">
        <v>326</v>
      </c>
      <c r="E56" s="90" t="s">
        <v>1631</v>
      </c>
      <c r="F56" s="91" t="s">
        <v>1556</v>
      </c>
      <c r="G56" s="92" t="s">
        <v>1557</v>
      </c>
      <c r="H56" s="93" t="s">
        <v>1832</v>
      </c>
      <c r="I56" s="87" t="s">
        <v>1833</v>
      </c>
      <c r="J56" s="87" t="s">
        <v>1834</v>
      </c>
      <c r="K56" s="87" t="s">
        <v>1596</v>
      </c>
      <c r="L56" s="126" t="s">
        <v>19</v>
      </c>
      <c r="M56" s="94">
        <v>44216.916666666664</v>
      </c>
      <c r="N56" s="94">
        <v>44216.958333333336</v>
      </c>
      <c r="O56" s="95" t="str">
        <f>PROPER(TEXT(Table1[[#This Row],[Fecha Inicio]],"mmmm"))</f>
        <v>Enero</v>
      </c>
      <c r="P56" s="96" t="s">
        <v>1835</v>
      </c>
      <c r="Q56" s="97" t="s">
        <v>1836</v>
      </c>
      <c r="R56" s="76">
        <f t="shared" si="0"/>
        <v>2</v>
      </c>
      <c r="S56" s="76">
        <f t="shared" si="1"/>
        <v>2</v>
      </c>
      <c r="T56" s="76" t="str">
        <f t="shared" si="2"/>
        <v>-</v>
      </c>
      <c r="U56" s="76" t="str">
        <f t="shared" si="3"/>
        <v>-</v>
      </c>
      <c r="V56" s="76" t="str">
        <f t="shared" si="4"/>
        <v>-</v>
      </c>
      <c r="Z56" s="62"/>
    </row>
    <row r="57" spans="1:26" ht="40.15" customHeight="1" x14ac:dyDescent="0.25">
      <c r="A57" s="87">
        <v>1</v>
      </c>
      <c r="B57" s="88" t="s">
        <v>1550</v>
      </c>
      <c r="C57" s="89" t="s">
        <v>1716</v>
      </c>
      <c r="D57" s="90" t="s">
        <v>326</v>
      </c>
      <c r="E57" s="90" t="s">
        <v>1631</v>
      </c>
      <c r="F57" s="91" t="s">
        <v>1556</v>
      </c>
      <c r="G57" s="92" t="s">
        <v>1557</v>
      </c>
      <c r="H57" s="93" t="s">
        <v>1837</v>
      </c>
      <c r="I57" s="91" t="s">
        <v>1838</v>
      </c>
      <c r="J57" s="91" t="s">
        <v>1839</v>
      </c>
      <c r="K57" s="91" t="s">
        <v>1575</v>
      </c>
      <c r="L57" s="126" t="s">
        <v>19</v>
      </c>
      <c r="M57" s="94">
        <v>44216.916666666664</v>
      </c>
      <c r="N57" s="94">
        <v>44216.958333333336</v>
      </c>
      <c r="O57" s="95" t="str">
        <f>PROPER(TEXT(Table1[[#This Row],[Fecha Inicio]],"mmmm"))</f>
        <v>Enero</v>
      </c>
      <c r="P57" s="96" t="s">
        <v>194</v>
      </c>
      <c r="Q57" s="97" t="s">
        <v>1840</v>
      </c>
      <c r="R57" s="76">
        <f t="shared" si="0"/>
        <v>1</v>
      </c>
      <c r="S57" s="76">
        <f t="shared" si="1"/>
        <v>1</v>
      </c>
      <c r="T57" s="76" t="str">
        <f t="shared" si="2"/>
        <v>-</v>
      </c>
      <c r="U57" s="76" t="str">
        <f t="shared" si="3"/>
        <v>-</v>
      </c>
      <c r="V57" s="76" t="str">
        <f t="shared" si="4"/>
        <v>-</v>
      </c>
      <c r="Z57" s="62"/>
    </row>
    <row r="58" spans="1:26" ht="40.15" customHeight="1" x14ac:dyDescent="0.25">
      <c r="A58" s="87">
        <v>1</v>
      </c>
      <c r="B58" s="88" t="s">
        <v>1550</v>
      </c>
      <c r="C58" s="89" t="s">
        <v>1716</v>
      </c>
      <c r="D58" s="90" t="s">
        <v>326</v>
      </c>
      <c r="E58" s="90" t="s">
        <v>1631</v>
      </c>
      <c r="F58" s="91" t="s">
        <v>1556</v>
      </c>
      <c r="G58" s="92" t="s">
        <v>1557</v>
      </c>
      <c r="H58" s="93" t="s">
        <v>1841</v>
      </c>
      <c r="I58" s="87" t="s">
        <v>1842</v>
      </c>
      <c r="J58" s="91" t="s">
        <v>1612</v>
      </c>
      <c r="K58" s="87" t="s">
        <v>1613</v>
      </c>
      <c r="L58" s="126" t="s">
        <v>19</v>
      </c>
      <c r="M58" s="94">
        <v>44216.9375</v>
      </c>
      <c r="N58" s="94">
        <v>44217.229166666664</v>
      </c>
      <c r="O58" s="95" t="str">
        <f>PROPER(TEXT(Table1[[#This Row],[Fecha Inicio]],"mmmm"))</f>
        <v>Enero</v>
      </c>
      <c r="P58" s="96" t="s">
        <v>1843</v>
      </c>
      <c r="Q58" s="97" t="s">
        <v>1844</v>
      </c>
      <c r="R58" s="76">
        <f t="shared" si="0"/>
        <v>19</v>
      </c>
      <c r="S58" s="76">
        <f t="shared" si="1"/>
        <v>19</v>
      </c>
      <c r="T58" s="76" t="str">
        <f t="shared" si="2"/>
        <v>-</v>
      </c>
      <c r="U58" s="76" t="str">
        <f t="shared" si="3"/>
        <v>-</v>
      </c>
      <c r="V58" s="76" t="str">
        <f t="shared" si="4"/>
        <v>-</v>
      </c>
      <c r="Z58" s="62"/>
    </row>
    <row r="59" spans="1:26" ht="40.15" customHeight="1" x14ac:dyDescent="0.25">
      <c r="A59" s="87">
        <v>1</v>
      </c>
      <c r="B59" s="88" t="s">
        <v>1550</v>
      </c>
      <c r="C59" s="89" t="s">
        <v>1716</v>
      </c>
      <c r="D59" s="90" t="s">
        <v>326</v>
      </c>
      <c r="E59" s="90" t="s">
        <v>1631</v>
      </c>
      <c r="F59" s="91" t="s">
        <v>1556</v>
      </c>
      <c r="G59" s="92" t="s">
        <v>1557</v>
      </c>
      <c r="H59" s="93" t="s">
        <v>1845</v>
      </c>
      <c r="I59" s="87" t="s">
        <v>1846</v>
      </c>
      <c r="J59" s="87" t="s">
        <v>1560</v>
      </c>
      <c r="K59" s="87" t="s">
        <v>1561</v>
      </c>
      <c r="L59" s="126" t="s">
        <v>19</v>
      </c>
      <c r="M59" s="94">
        <v>44216.958333333336</v>
      </c>
      <c r="N59" s="94">
        <v>44217.291666666664</v>
      </c>
      <c r="O59" s="95" t="str">
        <f>PROPER(TEXT(Table1[[#This Row],[Fecha Inicio]],"mmmm"))</f>
        <v>Enero</v>
      </c>
      <c r="P59" s="96" t="s">
        <v>1847</v>
      </c>
      <c r="Q59" s="97" t="s">
        <v>1848</v>
      </c>
      <c r="R59" s="76">
        <f t="shared" si="0"/>
        <v>14</v>
      </c>
      <c r="S59" s="76">
        <f t="shared" si="1"/>
        <v>14</v>
      </c>
      <c r="T59" s="76" t="str">
        <f t="shared" si="2"/>
        <v>-</v>
      </c>
      <c r="U59" s="76" t="str">
        <f t="shared" si="3"/>
        <v>-</v>
      </c>
      <c r="V59" s="76" t="str">
        <f t="shared" si="4"/>
        <v>-</v>
      </c>
      <c r="Z59" s="62"/>
    </row>
    <row r="60" spans="1:26" ht="40.15" customHeight="1" x14ac:dyDescent="0.25">
      <c r="A60" s="87">
        <v>1</v>
      </c>
      <c r="B60" s="88" t="s">
        <v>1550</v>
      </c>
      <c r="C60" s="89" t="s">
        <v>1716</v>
      </c>
      <c r="D60" s="90" t="s">
        <v>326</v>
      </c>
      <c r="E60" s="90" t="s">
        <v>1631</v>
      </c>
      <c r="F60" s="91" t="s">
        <v>1556</v>
      </c>
      <c r="G60" s="92" t="s">
        <v>1557</v>
      </c>
      <c r="H60" s="93" t="s">
        <v>1849</v>
      </c>
      <c r="I60" s="87" t="s">
        <v>1850</v>
      </c>
      <c r="J60" s="87" t="s">
        <v>1771</v>
      </c>
      <c r="K60" s="87" t="s">
        <v>1575</v>
      </c>
      <c r="L60" s="126" t="s">
        <v>19</v>
      </c>
      <c r="M60" s="94">
        <v>44217.291666666664</v>
      </c>
      <c r="N60" s="94">
        <v>44217.333333333336</v>
      </c>
      <c r="O60" s="95" t="str">
        <f>PROPER(TEXT(Table1[[#This Row],[Fecha Inicio]],"mmmm"))</f>
        <v>Enero</v>
      </c>
      <c r="P60" s="96" t="s">
        <v>1772</v>
      </c>
      <c r="Q60" s="97" t="s">
        <v>1851</v>
      </c>
      <c r="R60" s="76">
        <f t="shared" si="0"/>
        <v>2</v>
      </c>
      <c r="S60" s="76">
        <f t="shared" si="1"/>
        <v>2</v>
      </c>
      <c r="T60" s="76" t="str">
        <f t="shared" si="2"/>
        <v>-</v>
      </c>
      <c r="U60" s="76" t="str">
        <f t="shared" si="3"/>
        <v>-</v>
      </c>
      <c r="V60" s="76" t="str">
        <f t="shared" si="4"/>
        <v>-</v>
      </c>
      <c r="Z60" s="62"/>
    </row>
    <row r="61" spans="1:26" ht="40.15" customHeight="1" x14ac:dyDescent="0.25">
      <c r="A61" s="87">
        <v>1</v>
      </c>
      <c r="B61" s="88" t="s">
        <v>1550</v>
      </c>
      <c r="C61" s="89" t="s">
        <v>1716</v>
      </c>
      <c r="D61" s="90" t="s">
        <v>326</v>
      </c>
      <c r="E61" s="90" t="s">
        <v>1631</v>
      </c>
      <c r="F61" s="91" t="s">
        <v>1556</v>
      </c>
      <c r="G61" s="92" t="s">
        <v>1557</v>
      </c>
      <c r="H61" s="93" t="s">
        <v>1852</v>
      </c>
      <c r="I61" s="87" t="s">
        <v>1853</v>
      </c>
      <c r="J61" s="87" t="s">
        <v>1854</v>
      </c>
      <c r="K61" s="87" t="s">
        <v>1575</v>
      </c>
      <c r="L61" s="126" t="s">
        <v>19</v>
      </c>
      <c r="M61" s="94">
        <v>44217.333333333336</v>
      </c>
      <c r="N61" s="94">
        <v>44217.5</v>
      </c>
      <c r="O61" s="95" t="str">
        <f>PROPER(TEXT(Table1[[#This Row],[Fecha Inicio]],"mmmm"))</f>
        <v>Enero</v>
      </c>
      <c r="P61" s="96" t="s">
        <v>1855</v>
      </c>
      <c r="Q61" s="97" t="s">
        <v>1856</v>
      </c>
      <c r="R61" s="76">
        <f t="shared" si="0"/>
        <v>4</v>
      </c>
      <c r="S61" s="76">
        <f t="shared" si="1"/>
        <v>4</v>
      </c>
      <c r="T61" s="76" t="str">
        <f t="shared" si="2"/>
        <v>-</v>
      </c>
      <c r="U61" s="76" t="str">
        <f t="shared" si="3"/>
        <v>-</v>
      </c>
      <c r="V61" s="76" t="str">
        <f t="shared" si="4"/>
        <v>-</v>
      </c>
      <c r="Z61" s="62"/>
    </row>
    <row r="62" spans="1:26" ht="40.15" customHeight="1" x14ac:dyDescent="0.25">
      <c r="A62" s="87">
        <v>3</v>
      </c>
      <c r="B62" s="88" t="s">
        <v>1550</v>
      </c>
      <c r="C62" s="89"/>
      <c r="D62" s="90" t="s">
        <v>326</v>
      </c>
      <c r="E62" s="90" t="s">
        <v>1742</v>
      </c>
      <c r="F62" s="87" t="s">
        <v>1556</v>
      </c>
      <c r="G62" s="92" t="s">
        <v>1557</v>
      </c>
      <c r="H62" s="93" t="s">
        <v>1857</v>
      </c>
      <c r="I62" s="87" t="s">
        <v>1858</v>
      </c>
      <c r="J62" s="87" t="s">
        <v>1859</v>
      </c>
      <c r="K62" s="87" t="s">
        <v>1860</v>
      </c>
      <c r="L62" s="87" t="s">
        <v>52</v>
      </c>
      <c r="M62" s="94">
        <v>44217.375</v>
      </c>
      <c r="N62" s="94">
        <v>44217.583333333336</v>
      </c>
      <c r="O62" s="95" t="str">
        <f>PROPER(TEXT(Table1[[#This Row],[Fecha Inicio]],"mmmm"))</f>
        <v>Enero</v>
      </c>
      <c r="P62" s="96" t="s">
        <v>1861</v>
      </c>
      <c r="Q62" s="97" t="s">
        <v>1862</v>
      </c>
      <c r="R62" s="76">
        <f t="shared" si="0"/>
        <v>8</v>
      </c>
      <c r="S62" s="76">
        <f t="shared" si="1"/>
        <v>8</v>
      </c>
      <c r="T62" s="76" t="str">
        <f t="shared" si="2"/>
        <v>-</v>
      </c>
      <c r="U62" s="76" t="str">
        <f t="shared" si="3"/>
        <v>-</v>
      </c>
      <c r="V62" s="76" t="str">
        <f t="shared" si="4"/>
        <v>-</v>
      </c>
      <c r="Z62" s="62"/>
    </row>
    <row r="63" spans="1:26" ht="40.15" customHeight="1" x14ac:dyDescent="0.25">
      <c r="A63" s="87">
        <v>3</v>
      </c>
      <c r="B63" s="88" t="s">
        <v>1550</v>
      </c>
      <c r="C63" s="89"/>
      <c r="D63" s="90" t="s">
        <v>1554</v>
      </c>
      <c r="E63" s="90" t="s">
        <v>1555</v>
      </c>
      <c r="F63" s="87" t="s">
        <v>1556</v>
      </c>
      <c r="G63" s="92" t="s">
        <v>1557</v>
      </c>
      <c r="H63" s="93" t="s">
        <v>1863</v>
      </c>
      <c r="I63" s="87" t="s">
        <v>1858</v>
      </c>
      <c r="J63" s="87" t="s">
        <v>1859</v>
      </c>
      <c r="K63" s="87" t="s">
        <v>1860</v>
      </c>
      <c r="L63" s="87" t="s">
        <v>52</v>
      </c>
      <c r="M63" s="94">
        <v>44217.375</v>
      </c>
      <c r="N63" s="94">
        <v>44218.791666666664</v>
      </c>
      <c r="O63" s="95" t="str">
        <f>PROPER(TEXT(Table1[[#This Row],[Fecha Inicio]],"mmmm"))</f>
        <v>Enero</v>
      </c>
      <c r="P63" s="96" t="s">
        <v>1864</v>
      </c>
      <c r="Q63" s="97" t="s">
        <v>1865</v>
      </c>
      <c r="R63" s="76">
        <f t="shared" si="0"/>
        <v>3</v>
      </c>
      <c r="S63" s="76">
        <f t="shared" si="1"/>
        <v>3</v>
      </c>
      <c r="T63" s="76" t="str">
        <f t="shared" si="2"/>
        <v>-</v>
      </c>
      <c r="U63" s="76" t="str">
        <f t="shared" si="3"/>
        <v>-</v>
      </c>
      <c r="V63" s="76" t="str">
        <f t="shared" si="4"/>
        <v>-</v>
      </c>
      <c r="Z63" s="62"/>
    </row>
    <row r="64" spans="1:26" ht="40.15" customHeight="1" x14ac:dyDescent="0.25">
      <c r="A64" s="87">
        <v>3</v>
      </c>
      <c r="B64" s="88" t="s">
        <v>1550</v>
      </c>
      <c r="C64" s="89"/>
      <c r="D64" s="90" t="s">
        <v>1554</v>
      </c>
      <c r="E64" s="90" t="s">
        <v>1555</v>
      </c>
      <c r="F64" s="87" t="s">
        <v>1556</v>
      </c>
      <c r="G64" s="92" t="s">
        <v>1557</v>
      </c>
      <c r="H64" s="93" t="s">
        <v>1866</v>
      </c>
      <c r="I64" s="87" t="s">
        <v>1867</v>
      </c>
      <c r="J64" s="87" t="s">
        <v>1566</v>
      </c>
      <c r="K64" s="87" t="s">
        <v>1567</v>
      </c>
      <c r="L64" s="87" t="s">
        <v>52</v>
      </c>
      <c r="M64" s="94">
        <v>44217.375</v>
      </c>
      <c r="N64" s="94">
        <v>44218.791666666664</v>
      </c>
      <c r="O64" s="95" t="str">
        <f>PROPER(TEXT(Table1[[#This Row],[Fecha Inicio]],"mmmm"))</f>
        <v>Enero</v>
      </c>
      <c r="P64" s="96" t="s">
        <v>1868</v>
      </c>
      <c r="Q64" s="97" t="s">
        <v>1869</v>
      </c>
      <c r="R64" s="76">
        <f t="shared" si="0"/>
        <v>1</v>
      </c>
      <c r="S64" s="76">
        <f t="shared" si="1"/>
        <v>1</v>
      </c>
      <c r="T64" s="76" t="str">
        <f t="shared" si="2"/>
        <v>-</v>
      </c>
      <c r="U64" s="76" t="str">
        <f t="shared" si="3"/>
        <v>-</v>
      </c>
      <c r="V64" s="76" t="str">
        <f t="shared" si="4"/>
        <v>-</v>
      </c>
      <c r="Z64" s="62"/>
    </row>
    <row r="65" spans="1:26" ht="40.15" customHeight="1" x14ac:dyDescent="0.25">
      <c r="A65" s="87">
        <v>2</v>
      </c>
      <c r="B65" s="88" t="s">
        <v>1550</v>
      </c>
      <c r="C65" s="89"/>
      <c r="D65" s="89" t="s">
        <v>344</v>
      </c>
      <c r="E65" s="89" t="s">
        <v>1616</v>
      </c>
      <c r="F65" s="91" t="s">
        <v>1556</v>
      </c>
      <c r="G65" s="92" t="s">
        <v>1557</v>
      </c>
      <c r="H65" s="93" t="s">
        <v>1870</v>
      </c>
      <c r="I65" s="87" t="s">
        <v>1871</v>
      </c>
      <c r="J65" s="87" t="s">
        <v>1824</v>
      </c>
      <c r="K65" s="87" t="s">
        <v>1825</v>
      </c>
      <c r="L65" s="126" t="s">
        <v>19</v>
      </c>
      <c r="M65" s="94">
        <v>44217.416666666664</v>
      </c>
      <c r="N65" s="94">
        <v>44217.583333333336</v>
      </c>
      <c r="O65" s="95" t="str">
        <f>PROPER(TEXT(Table1[[#This Row],[Fecha Inicio]],"mmmm"))</f>
        <v>Enero</v>
      </c>
      <c r="P65" s="96" t="s">
        <v>1872</v>
      </c>
      <c r="Q65" s="97" t="s">
        <v>1873</v>
      </c>
      <c r="R65" s="76">
        <f t="shared" si="0"/>
        <v>2</v>
      </c>
      <c r="S65" s="76">
        <f t="shared" si="1"/>
        <v>2</v>
      </c>
      <c r="T65" s="76" t="str">
        <f t="shared" si="2"/>
        <v>-</v>
      </c>
      <c r="U65" s="76" t="str">
        <f t="shared" si="3"/>
        <v>-</v>
      </c>
      <c r="V65" s="76" t="str">
        <f t="shared" si="4"/>
        <v>-</v>
      </c>
      <c r="Z65" s="62"/>
    </row>
    <row r="66" spans="1:26" ht="40.15" customHeight="1" x14ac:dyDescent="0.25">
      <c r="A66" s="87">
        <v>3</v>
      </c>
      <c r="B66" s="88" t="s">
        <v>1550</v>
      </c>
      <c r="C66" s="89" t="s">
        <v>1578</v>
      </c>
      <c r="D66" s="90" t="s">
        <v>1623</v>
      </c>
      <c r="E66" s="90" t="s">
        <v>1624</v>
      </c>
      <c r="F66" s="91" t="s">
        <v>1556</v>
      </c>
      <c r="G66" s="92" t="s">
        <v>1557</v>
      </c>
      <c r="H66" s="93" t="s">
        <v>1874</v>
      </c>
      <c r="I66" s="87" t="s">
        <v>1685</v>
      </c>
      <c r="J66" s="87" t="s">
        <v>1627</v>
      </c>
      <c r="K66" s="87" t="s">
        <v>1575</v>
      </c>
      <c r="L66" s="126" t="s">
        <v>19</v>
      </c>
      <c r="M66" s="94">
        <v>44217.5</v>
      </c>
      <c r="N66" s="94">
        <v>44217.625</v>
      </c>
      <c r="O66" s="95" t="str">
        <f>PROPER(TEXT(Table1[[#This Row],[Fecha Inicio]],"mmmm"))</f>
        <v>Enero</v>
      </c>
      <c r="P66" s="96" t="s">
        <v>1686</v>
      </c>
      <c r="Q66" s="97" t="s">
        <v>1875</v>
      </c>
      <c r="R66" s="76">
        <f t="shared" ref="R66:R129" si="5">LEN(TRIM(P66))-LEN(SUBSTITUTE(TRIM(P66),",",""))+1</f>
        <v>2</v>
      </c>
      <c r="S66" s="76">
        <f t="shared" ref="S66:S129" si="6">IF(B66="CON ÉXITO",R66,"-")</f>
        <v>2</v>
      </c>
      <c r="T66" s="76" t="str">
        <f t="shared" ref="T66:T129" si="7">IF($B66="Éxito con problemas",S66,"-")</f>
        <v>-</v>
      </c>
      <c r="U66" s="76" t="str">
        <f t="shared" ref="U66:U129" si="8">IF($B66="CANCELADO",R66,"-")</f>
        <v>-</v>
      </c>
      <c r="V66" s="76" t="str">
        <f t="shared" ref="V66:V129" si="9">IF($B66="Aplicada marcha atrás",R66,"-")</f>
        <v>-</v>
      </c>
      <c r="Z66" s="62"/>
    </row>
    <row r="67" spans="1:26" ht="40.15" customHeight="1" x14ac:dyDescent="0.25">
      <c r="A67" s="87">
        <v>1</v>
      </c>
      <c r="B67" s="88" t="s">
        <v>1550</v>
      </c>
      <c r="C67" s="89" t="s">
        <v>1716</v>
      </c>
      <c r="D67" s="90" t="s">
        <v>326</v>
      </c>
      <c r="E67" s="90" t="s">
        <v>1631</v>
      </c>
      <c r="F67" s="91" t="s">
        <v>1556</v>
      </c>
      <c r="G67" s="92" t="s">
        <v>1557</v>
      </c>
      <c r="H67" s="93" t="s">
        <v>1876</v>
      </c>
      <c r="I67" s="87" t="s">
        <v>1759</v>
      </c>
      <c r="J67" s="87" t="s">
        <v>1760</v>
      </c>
      <c r="K67" s="87" t="s">
        <v>1761</v>
      </c>
      <c r="L67" s="126" t="s">
        <v>19</v>
      </c>
      <c r="M67" s="94">
        <v>44217.75</v>
      </c>
      <c r="N67" s="94">
        <v>44217.875</v>
      </c>
      <c r="O67" s="95" t="str">
        <f>PROPER(TEXT(Table1[[#This Row],[Fecha Inicio]],"mmmm"))</f>
        <v>Enero</v>
      </c>
      <c r="P67" s="96" t="s">
        <v>1877</v>
      </c>
      <c r="Q67" s="97" t="s">
        <v>1878</v>
      </c>
      <c r="R67" s="76">
        <f t="shared" si="5"/>
        <v>6</v>
      </c>
      <c r="S67" s="76">
        <f t="shared" si="6"/>
        <v>6</v>
      </c>
      <c r="T67" s="76" t="str">
        <f t="shared" si="7"/>
        <v>-</v>
      </c>
      <c r="U67" s="76" t="str">
        <f t="shared" si="8"/>
        <v>-</v>
      </c>
      <c r="V67" s="76" t="str">
        <f t="shared" si="9"/>
        <v>-</v>
      </c>
      <c r="Z67" s="62"/>
    </row>
    <row r="68" spans="1:26" ht="40.15" customHeight="1" x14ac:dyDescent="0.25">
      <c r="A68" s="87">
        <v>1</v>
      </c>
      <c r="B68" s="88" t="s">
        <v>1550</v>
      </c>
      <c r="C68" s="89" t="s">
        <v>1716</v>
      </c>
      <c r="D68" s="90" t="s">
        <v>326</v>
      </c>
      <c r="E68" s="90" t="s">
        <v>1631</v>
      </c>
      <c r="F68" s="91" t="s">
        <v>1556</v>
      </c>
      <c r="G68" s="92" t="s">
        <v>1557</v>
      </c>
      <c r="H68" s="93" t="s">
        <v>1879</v>
      </c>
      <c r="I68" s="87" t="s">
        <v>1880</v>
      </c>
      <c r="J68" s="87" t="s">
        <v>1881</v>
      </c>
      <c r="K68" s="87" t="s">
        <v>1575</v>
      </c>
      <c r="L68" s="126" t="s">
        <v>19</v>
      </c>
      <c r="M68" s="94">
        <v>44217.84375</v>
      </c>
      <c r="N68" s="94">
        <v>44217.927083333336</v>
      </c>
      <c r="O68" s="95" t="str">
        <f>PROPER(TEXT(Table1[[#This Row],[Fecha Inicio]],"mmmm"))</f>
        <v>Enero</v>
      </c>
      <c r="P68" s="96" t="s">
        <v>1882</v>
      </c>
      <c r="Q68" s="97" t="s">
        <v>1883</v>
      </c>
      <c r="R68" s="76">
        <f t="shared" si="5"/>
        <v>6</v>
      </c>
      <c r="S68" s="76">
        <f t="shared" si="6"/>
        <v>6</v>
      </c>
      <c r="T68" s="76" t="str">
        <f t="shared" si="7"/>
        <v>-</v>
      </c>
      <c r="U68" s="76" t="str">
        <f t="shared" si="8"/>
        <v>-</v>
      </c>
      <c r="V68" s="76" t="str">
        <f t="shared" si="9"/>
        <v>-</v>
      </c>
      <c r="Z68" s="62"/>
    </row>
    <row r="69" spans="1:26" ht="40.15" customHeight="1" x14ac:dyDescent="0.25">
      <c r="A69" s="87">
        <v>1</v>
      </c>
      <c r="B69" s="88" t="s">
        <v>1550</v>
      </c>
      <c r="C69" s="89" t="s">
        <v>1716</v>
      </c>
      <c r="D69" s="90" t="s">
        <v>326</v>
      </c>
      <c r="E69" s="90" t="s">
        <v>1631</v>
      </c>
      <c r="F69" s="91" t="s">
        <v>1556</v>
      </c>
      <c r="G69" s="92" t="s">
        <v>1557</v>
      </c>
      <c r="H69" s="93" t="s">
        <v>1888</v>
      </c>
      <c r="I69" s="87" t="s">
        <v>1889</v>
      </c>
      <c r="J69" s="87" t="s">
        <v>1890</v>
      </c>
      <c r="K69" s="87" t="s">
        <v>1575</v>
      </c>
      <c r="L69" s="126" t="s">
        <v>19</v>
      </c>
      <c r="M69" s="94">
        <v>44217.916666666664</v>
      </c>
      <c r="N69" s="94">
        <v>44217.958333333336</v>
      </c>
      <c r="O69" s="95" t="str">
        <f>PROPER(TEXT(Table1[[#This Row],[Fecha Inicio]],"mmmm"))</f>
        <v>Enero</v>
      </c>
      <c r="P69" s="96" t="s">
        <v>164</v>
      </c>
      <c r="Q69" s="97" t="s">
        <v>1891</v>
      </c>
      <c r="R69" s="76">
        <f t="shared" si="5"/>
        <v>1</v>
      </c>
      <c r="S69" s="76">
        <f t="shared" si="6"/>
        <v>1</v>
      </c>
      <c r="T69" s="76" t="str">
        <f t="shared" si="7"/>
        <v>-</v>
      </c>
      <c r="U69" s="76" t="str">
        <f t="shared" si="8"/>
        <v>-</v>
      </c>
      <c r="V69" s="76" t="str">
        <f t="shared" si="9"/>
        <v>-</v>
      </c>
      <c r="Z69" s="62"/>
    </row>
    <row r="70" spans="1:26" ht="40.15" customHeight="1" x14ac:dyDescent="0.25">
      <c r="A70" s="87">
        <v>3</v>
      </c>
      <c r="B70" s="88" t="s">
        <v>1550</v>
      </c>
      <c r="C70" s="89"/>
      <c r="D70" s="90" t="s">
        <v>1554</v>
      </c>
      <c r="E70" s="90" t="s">
        <v>1555</v>
      </c>
      <c r="F70" s="87" t="s">
        <v>1556</v>
      </c>
      <c r="G70" s="92" t="s">
        <v>1557</v>
      </c>
      <c r="H70" s="93" t="s">
        <v>1884</v>
      </c>
      <c r="I70" s="87" t="s">
        <v>1885</v>
      </c>
      <c r="J70" s="87" t="s">
        <v>1719</v>
      </c>
      <c r="K70" s="91" t="s">
        <v>1575</v>
      </c>
      <c r="L70" s="126" t="s">
        <v>19</v>
      </c>
      <c r="M70" s="94">
        <v>44217.916666666664</v>
      </c>
      <c r="N70" s="94">
        <v>44218.159722222219</v>
      </c>
      <c r="O70" s="95" t="str">
        <f>PROPER(TEXT(Table1[[#This Row],[Fecha Inicio]],"mmmm"))</f>
        <v>Enero</v>
      </c>
      <c r="P70" s="96" t="s">
        <v>1886</v>
      </c>
      <c r="Q70" s="97" t="s">
        <v>1887</v>
      </c>
      <c r="R70" s="76">
        <f t="shared" si="5"/>
        <v>15</v>
      </c>
      <c r="S70" s="76">
        <f t="shared" si="6"/>
        <v>15</v>
      </c>
      <c r="T70" s="76" t="str">
        <f t="shared" si="7"/>
        <v>-</v>
      </c>
      <c r="U70" s="76" t="str">
        <f t="shared" si="8"/>
        <v>-</v>
      </c>
      <c r="V70" s="76" t="str">
        <f t="shared" si="9"/>
        <v>-</v>
      </c>
      <c r="Z70" s="62"/>
    </row>
    <row r="71" spans="1:26" ht="40.15" customHeight="1" x14ac:dyDescent="0.25">
      <c r="A71" s="87">
        <v>3</v>
      </c>
      <c r="B71" s="88" t="s">
        <v>1550</v>
      </c>
      <c r="C71" s="89"/>
      <c r="D71" s="90" t="s">
        <v>1579</v>
      </c>
      <c r="E71" s="90" t="s">
        <v>1580</v>
      </c>
      <c r="F71" s="91" t="s">
        <v>1556</v>
      </c>
      <c r="G71" s="92" t="s">
        <v>1557</v>
      </c>
      <c r="H71" s="93" t="s">
        <v>1892</v>
      </c>
      <c r="I71" s="87" t="s">
        <v>1893</v>
      </c>
      <c r="J71" s="91" t="s">
        <v>1583</v>
      </c>
      <c r="K71" s="87" t="s">
        <v>1584</v>
      </c>
      <c r="L71" s="87" t="s">
        <v>41</v>
      </c>
      <c r="M71" s="94">
        <v>44217.9375</v>
      </c>
      <c r="N71" s="94">
        <v>44218.1875</v>
      </c>
      <c r="O71" s="95" t="str">
        <f>PROPER(TEXT(Table1[[#This Row],[Fecha Inicio]],"mmmm"))</f>
        <v>Enero</v>
      </c>
      <c r="P71" s="96" t="s">
        <v>1894</v>
      </c>
      <c r="Q71" s="97" t="s">
        <v>1895</v>
      </c>
      <c r="R71" s="76">
        <f t="shared" si="5"/>
        <v>1</v>
      </c>
      <c r="S71" s="76">
        <f t="shared" si="6"/>
        <v>1</v>
      </c>
      <c r="T71" s="76" t="str">
        <f t="shared" si="7"/>
        <v>-</v>
      </c>
      <c r="U71" s="76" t="str">
        <f t="shared" si="8"/>
        <v>-</v>
      </c>
      <c r="V71" s="76" t="str">
        <f t="shared" si="9"/>
        <v>-</v>
      </c>
      <c r="Z71" s="62"/>
    </row>
    <row r="72" spans="1:26" ht="40.15" customHeight="1" x14ac:dyDescent="0.25">
      <c r="A72" s="87">
        <v>1</v>
      </c>
      <c r="B72" s="88" t="s">
        <v>1550</v>
      </c>
      <c r="C72" s="89" t="s">
        <v>1716</v>
      </c>
      <c r="D72" s="90" t="s">
        <v>326</v>
      </c>
      <c r="E72" s="90" t="s">
        <v>1631</v>
      </c>
      <c r="F72" s="91" t="s">
        <v>1556</v>
      </c>
      <c r="G72" s="92" t="s">
        <v>1557</v>
      </c>
      <c r="H72" s="93" t="s">
        <v>1896</v>
      </c>
      <c r="I72" s="87" t="s">
        <v>1897</v>
      </c>
      <c r="J72" s="87" t="s">
        <v>1898</v>
      </c>
      <c r="K72" s="87" t="s">
        <v>1575</v>
      </c>
      <c r="L72" s="126" t="s">
        <v>19</v>
      </c>
      <c r="M72" s="94">
        <v>44218.291666666664</v>
      </c>
      <c r="N72" s="94">
        <v>44218.458333333336</v>
      </c>
      <c r="O72" s="95" t="str">
        <f>PROPER(TEXT(Table1[[#This Row],[Fecha Inicio]],"mmmm"))</f>
        <v>Enero</v>
      </c>
      <c r="P72" s="96" t="s">
        <v>166</v>
      </c>
      <c r="Q72" s="97" t="s">
        <v>1899</v>
      </c>
      <c r="R72" s="76">
        <f t="shared" si="5"/>
        <v>1</v>
      </c>
      <c r="S72" s="76">
        <f t="shared" si="6"/>
        <v>1</v>
      </c>
      <c r="T72" s="76" t="str">
        <f t="shared" si="7"/>
        <v>-</v>
      </c>
      <c r="U72" s="76" t="str">
        <f t="shared" si="8"/>
        <v>-</v>
      </c>
      <c r="V72" s="76" t="str">
        <f t="shared" si="9"/>
        <v>-</v>
      </c>
      <c r="Z72" s="62"/>
    </row>
    <row r="73" spans="1:26" ht="40.15" customHeight="1" x14ac:dyDescent="0.25">
      <c r="A73" s="87">
        <v>1</v>
      </c>
      <c r="B73" s="88" t="s">
        <v>1550</v>
      </c>
      <c r="C73" s="89" t="s">
        <v>1716</v>
      </c>
      <c r="D73" s="90" t="s">
        <v>326</v>
      </c>
      <c r="E73" s="90" t="s">
        <v>1631</v>
      </c>
      <c r="F73" s="91" t="s">
        <v>1556</v>
      </c>
      <c r="G73" s="92" t="s">
        <v>1557</v>
      </c>
      <c r="H73" s="93" t="s">
        <v>1900</v>
      </c>
      <c r="I73" s="87" t="s">
        <v>1901</v>
      </c>
      <c r="J73" s="87" t="s">
        <v>1902</v>
      </c>
      <c r="K73" s="87" t="s">
        <v>1575</v>
      </c>
      <c r="L73" s="126" t="s">
        <v>19</v>
      </c>
      <c r="M73" s="94">
        <v>44218.791666666664</v>
      </c>
      <c r="N73" s="94">
        <v>44218.875</v>
      </c>
      <c r="O73" s="95" t="str">
        <f>PROPER(TEXT(Table1[[#This Row],[Fecha Inicio]],"mmmm"))</f>
        <v>Enero</v>
      </c>
      <c r="P73" s="96" t="s">
        <v>1903</v>
      </c>
      <c r="Q73" s="97" t="s">
        <v>1904</v>
      </c>
      <c r="R73" s="76">
        <f t="shared" si="5"/>
        <v>2</v>
      </c>
      <c r="S73" s="76">
        <f t="shared" si="6"/>
        <v>2</v>
      </c>
      <c r="T73" s="76" t="str">
        <f t="shared" si="7"/>
        <v>-</v>
      </c>
      <c r="U73" s="76" t="str">
        <f t="shared" si="8"/>
        <v>-</v>
      </c>
      <c r="V73" s="76" t="str">
        <f t="shared" si="9"/>
        <v>-</v>
      </c>
      <c r="Z73" s="62"/>
    </row>
    <row r="74" spans="1:26" ht="40.15" customHeight="1" x14ac:dyDescent="0.25">
      <c r="A74" s="87">
        <v>1</v>
      </c>
      <c r="B74" s="88" t="s">
        <v>1550</v>
      </c>
      <c r="C74" s="89" t="s">
        <v>1716</v>
      </c>
      <c r="D74" s="90" t="s">
        <v>326</v>
      </c>
      <c r="E74" s="90" t="s">
        <v>1631</v>
      </c>
      <c r="F74" s="91" t="s">
        <v>1556</v>
      </c>
      <c r="G74" s="92" t="s">
        <v>1557</v>
      </c>
      <c r="H74" s="93" t="s">
        <v>1905</v>
      </c>
      <c r="I74" s="87" t="s">
        <v>1906</v>
      </c>
      <c r="J74" s="87" t="s">
        <v>1907</v>
      </c>
      <c r="K74" s="87" t="s">
        <v>1575</v>
      </c>
      <c r="L74" s="126" t="s">
        <v>19</v>
      </c>
      <c r="M74" s="94">
        <v>44218.791666666664</v>
      </c>
      <c r="N74" s="94">
        <v>44218.875</v>
      </c>
      <c r="O74" s="95" t="str">
        <f>PROPER(TEXT(Table1[[#This Row],[Fecha Inicio]],"mmmm"))</f>
        <v>Enero</v>
      </c>
      <c r="P74" s="96" t="s">
        <v>171</v>
      </c>
      <c r="Q74" s="97" t="s">
        <v>1908</v>
      </c>
      <c r="R74" s="76">
        <f t="shared" si="5"/>
        <v>1</v>
      </c>
      <c r="S74" s="76">
        <f t="shared" si="6"/>
        <v>1</v>
      </c>
      <c r="T74" s="76" t="str">
        <f t="shared" si="7"/>
        <v>-</v>
      </c>
      <c r="U74" s="76" t="str">
        <f t="shared" si="8"/>
        <v>-</v>
      </c>
      <c r="V74" s="76" t="str">
        <f t="shared" si="9"/>
        <v>-</v>
      </c>
      <c r="Z74" s="62"/>
    </row>
    <row r="75" spans="1:26" ht="40.15" customHeight="1" x14ac:dyDescent="0.25">
      <c r="A75" s="87">
        <v>1</v>
      </c>
      <c r="B75" s="88" t="s">
        <v>1550</v>
      </c>
      <c r="C75" s="89" t="s">
        <v>1716</v>
      </c>
      <c r="D75" s="90" t="s">
        <v>326</v>
      </c>
      <c r="E75" s="90" t="s">
        <v>1631</v>
      </c>
      <c r="F75" s="91" t="s">
        <v>1556</v>
      </c>
      <c r="G75" s="92" t="s">
        <v>1557</v>
      </c>
      <c r="H75" s="93" t="s">
        <v>1909</v>
      </c>
      <c r="I75" s="87" t="s">
        <v>1910</v>
      </c>
      <c r="J75" s="87" t="s">
        <v>1911</v>
      </c>
      <c r="K75" s="87" t="s">
        <v>1575</v>
      </c>
      <c r="L75" s="126" t="s">
        <v>19</v>
      </c>
      <c r="M75" s="94">
        <v>44218.833333333336</v>
      </c>
      <c r="N75" s="94">
        <v>44218.875</v>
      </c>
      <c r="O75" s="95" t="str">
        <f>PROPER(TEXT(Table1[[#This Row],[Fecha Inicio]],"mmmm"))</f>
        <v>Enero</v>
      </c>
      <c r="P75" s="96" t="s">
        <v>1912</v>
      </c>
      <c r="Q75" s="97" t="s">
        <v>1913</v>
      </c>
      <c r="R75" s="76">
        <f t="shared" si="5"/>
        <v>1</v>
      </c>
      <c r="S75" s="76">
        <f t="shared" si="6"/>
        <v>1</v>
      </c>
      <c r="T75" s="76" t="str">
        <f t="shared" si="7"/>
        <v>-</v>
      </c>
      <c r="U75" s="76" t="str">
        <f t="shared" si="8"/>
        <v>-</v>
      </c>
      <c r="V75" s="76" t="str">
        <f t="shared" si="9"/>
        <v>-</v>
      </c>
      <c r="Z75" s="62"/>
    </row>
    <row r="76" spans="1:26" ht="40.15" customHeight="1" x14ac:dyDescent="0.25">
      <c r="A76" s="87">
        <v>1</v>
      </c>
      <c r="B76" s="88" t="s">
        <v>1550</v>
      </c>
      <c r="C76" s="89" t="s">
        <v>1716</v>
      </c>
      <c r="D76" s="90" t="s">
        <v>326</v>
      </c>
      <c r="E76" s="90" t="s">
        <v>1631</v>
      </c>
      <c r="F76" s="91" t="s">
        <v>1556</v>
      </c>
      <c r="G76" s="92" t="s">
        <v>1557</v>
      </c>
      <c r="H76" s="93" t="s">
        <v>1914</v>
      </c>
      <c r="I76" s="87" t="s">
        <v>1759</v>
      </c>
      <c r="J76" s="87" t="s">
        <v>1760</v>
      </c>
      <c r="K76" s="87" t="s">
        <v>1761</v>
      </c>
      <c r="L76" s="126" t="s">
        <v>19</v>
      </c>
      <c r="M76" s="94">
        <v>44219.875</v>
      </c>
      <c r="N76" s="94">
        <v>44220.041666666664</v>
      </c>
      <c r="O76" s="95" t="str">
        <f>PROPER(TEXT(Table1[[#This Row],[Fecha Inicio]],"mmmm"))</f>
        <v>Enero</v>
      </c>
      <c r="P76" s="96" t="s">
        <v>1915</v>
      </c>
      <c r="Q76" s="97" t="s">
        <v>1916</v>
      </c>
      <c r="R76" s="76">
        <f t="shared" si="5"/>
        <v>6</v>
      </c>
      <c r="S76" s="76">
        <f t="shared" si="6"/>
        <v>6</v>
      </c>
      <c r="T76" s="76" t="str">
        <f t="shared" si="7"/>
        <v>-</v>
      </c>
      <c r="U76" s="76" t="str">
        <f t="shared" si="8"/>
        <v>-</v>
      </c>
      <c r="V76" s="76" t="str">
        <f t="shared" si="9"/>
        <v>-</v>
      </c>
      <c r="Z76" s="62"/>
    </row>
    <row r="77" spans="1:26" ht="40.15" customHeight="1" x14ac:dyDescent="0.25">
      <c r="A77" s="87">
        <v>1</v>
      </c>
      <c r="B77" s="100" t="s">
        <v>1551</v>
      </c>
      <c r="C77" s="89" t="s">
        <v>1917</v>
      </c>
      <c r="D77" s="90" t="s">
        <v>326</v>
      </c>
      <c r="E77" s="90" t="s">
        <v>1631</v>
      </c>
      <c r="F77" s="91" t="s">
        <v>1556</v>
      </c>
      <c r="G77" s="92" t="s">
        <v>1557</v>
      </c>
      <c r="H77" s="93" t="s">
        <v>1918</v>
      </c>
      <c r="I77" s="87" t="s">
        <v>1919</v>
      </c>
      <c r="J77" s="91" t="s">
        <v>1920</v>
      </c>
      <c r="K77" s="87" t="s">
        <v>1921</v>
      </c>
      <c r="L77" s="126" t="s">
        <v>19</v>
      </c>
      <c r="M77" s="94">
        <v>44220</v>
      </c>
      <c r="N77" s="94">
        <v>44220.25</v>
      </c>
      <c r="O77" s="95" t="str">
        <f>PROPER(TEXT(Table1[[#This Row],[Fecha Inicio]],"mmmm"))</f>
        <v>Enero</v>
      </c>
      <c r="P77" s="96" t="s">
        <v>1922</v>
      </c>
      <c r="Q77" s="97" t="s">
        <v>1923</v>
      </c>
      <c r="R77" s="76">
        <f t="shared" si="5"/>
        <v>11</v>
      </c>
      <c r="S77" s="76" t="str">
        <f t="shared" si="6"/>
        <v>-</v>
      </c>
      <c r="T77" s="76" t="str">
        <f t="shared" si="7"/>
        <v>-</v>
      </c>
      <c r="U77" s="76" t="str">
        <f t="shared" si="8"/>
        <v>-</v>
      </c>
      <c r="V77" s="76" t="str">
        <f t="shared" si="9"/>
        <v>-</v>
      </c>
      <c r="Z77" s="62"/>
    </row>
    <row r="78" spans="1:26" ht="40.15" customHeight="1" x14ac:dyDescent="0.25">
      <c r="A78" s="87">
        <v>1</v>
      </c>
      <c r="B78" s="88" t="s">
        <v>1550</v>
      </c>
      <c r="C78" s="89" t="s">
        <v>1716</v>
      </c>
      <c r="D78" s="90" t="s">
        <v>326</v>
      </c>
      <c r="E78" s="90" t="s">
        <v>1631</v>
      </c>
      <c r="F78" s="91" t="s">
        <v>1556</v>
      </c>
      <c r="G78" s="92" t="s">
        <v>1557</v>
      </c>
      <c r="H78" s="93" t="s">
        <v>1924</v>
      </c>
      <c r="I78" s="87" t="s">
        <v>1925</v>
      </c>
      <c r="J78" s="87" t="s">
        <v>1926</v>
      </c>
      <c r="K78" s="87" t="s">
        <v>1575</v>
      </c>
      <c r="L78" s="126" t="s">
        <v>19</v>
      </c>
      <c r="M78" s="94">
        <v>44221.041666666664</v>
      </c>
      <c r="N78" s="94">
        <v>44221.166666666664</v>
      </c>
      <c r="O78" s="95" t="str">
        <f>PROPER(TEXT(Table1[[#This Row],[Fecha Inicio]],"mmmm"))</f>
        <v>Enero</v>
      </c>
      <c r="P78" s="96" t="s">
        <v>1927</v>
      </c>
      <c r="Q78" s="97" t="s">
        <v>1928</v>
      </c>
      <c r="R78" s="76">
        <f t="shared" si="5"/>
        <v>2</v>
      </c>
      <c r="S78" s="76">
        <f t="shared" si="6"/>
        <v>2</v>
      </c>
      <c r="T78" s="76" t="str">
        <f t="shared" si="7"/>
        <v>-</v>
      </c>
      <c r="U78" s="76" t="str">
        <f t="shared" si="8"/>
        <v>-</v>
      </c>
      <c r="V78" s="76" t="str">
        <f t="shared" si="9"/>
        <v>-</v>
      </c>
      <c r="Z78" s="62"/>
    </row>
    <row r="79" spans="1:26" ht="40.15" customHeight="1" x14ac:dyDescent="0.25">
      <c r="A79" s="87">
        <v>3</v>
      </c>
      <c r="B79" s="88" t="s">
        <v>1550</v>
      </c>
      <c r="C79" s="89"/>
      <c r="D79" s="90" t="s">
        <v>1623</v>
      </c>
      <c r="E79" s="90" t="s">
        <v>1624</v>
      </c>
      <c r="F79" s="87" t="s">
        <v>1556</v>
      </c>
      <c r="G79" s="92" t="s">
        <v>1557</v>
      </c>
      <c r="H79" s="93" t="s">
        <v>1929</v>
      </c>
      <c r="I79" s="87" t="s">
        <v>1930</v>
      </c>
      <c r="J79" s="87" t="s">
        <v>1931</v>
      </c>
      <c r="K79" s="87" t="s">
        <v>1921</v>
      </c>
      <c r="L79" s="126" t="s">
        <v>19</v>
      </c>
      <c r="M79" s="94">
        <v>44221.3125</v>
      </c>
      <c r="N79" s="94">
        <v>44221.4375</v>
      </c>
      <c r="O79" s="95" t="str">
        <f>PROPER(TEXT(Table1[[#This Row],[Fecha Inicio]],"mmmm"))</f>
        <v>Enero</v>
      </c>
      <c r="P79" s="96" t="s">
        <v>1932</v>
      </c>
      <c r="Q79" s="97" t="s">
        <v>1933</v>
      </c>
      <c r="R79" s="76">
        <f t="shared" si="5"/>
        <v>1</v>
      </c>
      <c r="S79" s="76">
        <f t="shared" si="6"/>
        <v>1</v>
      </c>
      <c r="T79" s="76" t="str">
        <f t="shared" si="7"/>
        <v>-</v>
      </c>
      <c r="U79" s="76" t="str">
        <f t="shared" si="8"/>
        <v>-</v>
      </c>
      <c r="V79" s="76" t="str">
        <f t="shared" si="9"/>
        <v>-</v>
      </c>
      <c r="Z79" s="62"/>
    </row>
    <row r="80" spans="1:26" ht="40.15" customHeight="1" x14ac:dyDescent="0.25">
      <c r="A80" s="87">
        <v>3</v>
      </c>
      <c r="B80" s="88" t="s">
        <v>1550</v>
      </c>
      <c r="C80" s="89"/>
      <c r="D80" s="90" t="s">
        <v>1623</v>
      </c>
      <c r="E80" s="90" t="s">
        <v>1624</v>
      </c>
      <c r="F80" s="87" t="s">
        <v>1556</v>
      </c>
      <c r="G80" s="92" t="s">
        <v>1557</v>
      </c>
      <c r="H80" s="93" t="s">
        <v>1934</v>
      </c>
      <c r="I80" s="87" t="s">
        <v>1935</v>
      </c>
      <c r="J80" s="91" t="s">
        <v>1583</v>
      </c>
      <c r="K80" s="87" t="s">
        <v>1584</v>
      </c>
      <c r="L80" s="126" t="s">
        <v>19</v>
      </c>
      <c r="M80" s="94">
        <v>44221.333333333336</v>
      </c>
      <c r="N80" s="94">
        <v>44221.458333333336</v>
      </c>
      <c r="O80" s="95" t="str">
        <f>PROPER(TEXT(Table1[[#This Row],[Fecha Inicio]],"mmmm"))</f>
        <v>Enero</v>
      </c>
      <c r="P80" s="96" t="s">
        <v>1936</v>
      </c>
      <c r="Q80" s="97" t="s">
        <v>1937</v>
      </c>
      <c r="R80" s="76">
        <f t="shared" si="5"/>
        <v>1</v>
      </c>
      <c r="S80" s="76">
        <f t="shared" si="6"/>
        <v>1</v>
      </c>
      <c r="T80" s="76" t="str">
        <f t="shared" si="7"/>
        <v>-</v>
      </c>
      <c r="U80" s="76" t="str">
        <f t="shared" si="8"/>
        <v>-</v>
      </c>
      <c r="V80" s="76" t="str">
        <f t="shared" si="9"/>
        <v>-</v>
      </c>
      <c r="Z80" s="62"/>
    </row>
    <row r="81" spans="1:26" ht="40.15" customHeight="1" x14ac:dyDescent="0.25">
      <c r="A81" s="87">
        <v>3</v>
      </c>
      <c r="B81" s="88" t="s">
        <v>1550</v>
      </c>
      <c r="C81" s="89"/>
      <c r="D81" s="90" t="s">
        <v>326</v>
      </c>
      <c r="E81" s="90" t="s">
        <v>1742</v>
      </c>
      <c r="F81" s="87" t="s">
        <v>1556</v>
      </c>
      <c r="G81" s="92" t="s">
        <v>1557</v>
      </c>
      <c r="H81" s="93" t="s">
        <v>1938</v>
      </c>
      <c r="I81" s="87" t="s">
        <v>1858</v>
      </c>
      <c r="J81" s="87" t="s">
        <v>1859</v>
      </c>
      <c r="K81" s="87" t="s">
        <v>1860</v>
      </c>
      <c r="L81" s="87" t="s">
        <v>52</v>
      </c>
      <c r="M81" s="94">
        <v>44221.375</v>
      </c>
      <c r="N81" s="94">
        <v>44221.583333333336</v>
      </c>
      <c r="O81" s="95" t="str">
        <f>PROPER(TEXT(Table1[[#This Row],[Fecha Inicio]],"mmmm"))</f>
        <v>Enero</v>
      </c>
      <c r="P81" s="96" t="s">
        <v>1939</v>
      </c>
      <c r="Q81" s="97" t="s">
        <v>1940</v>
      </c>
      <c r="R81" s="76">
        <f t="shared" si="5"/>
        <v>3</v>
      </c>
      <c r="S81" s="76">
        <f t="shared" si="6"/>
        <v>3</v>
      </c>
      <c r="T81" s="76" t="str">
        <f t="shared" si="7"/>
        <v>-</v>
      </c>
      <c r="U81" s="76" t="str">
        <f t="shared" si="8"/>
        <v>-</v>
      </c>
      <c r="V81" s="76" t="str">
        <f t="shared" si="9"/>
        <v>-</v>
      </c>
      <c r="Z81" s="62"/>
    </row>
    <row r="82" spans="1:26" ht="40.15" customHeight="1" x14ac:dyDescent="0.25">
      <c r="A82" s="87">
        <v>2</v>
      </c>
      <c r="B82" s="88" t="s">
        <v>1550</v>
      </c>
      <c r="C82" s="89"/>
      <c r="D82" s="90" t="s">
        <v>344</v>
      </c>
      <c r="E82" s="90" t="s">
        <v>1616</v>
      </c>
      <c r="F82" s="91" t="s">
        <v>1556</v>
      </c>
      <c r="G82" s="92" t="s">
        <v>1557</v>
      </c>
      <c r="H82" s="93" t="s">
        <v>1941</v>
      </c>
      <c r="I82" s="87" t="s">
        <v>1942</v>
      </c>
      <c r="J82" s="91" t="s">
        <v>1583</v>
      </c>
      <c r="K82" s="87" t="s">
        <v>1584</v>
      </c>
      <c r="L82" s="126" t="s">
        <v>19</v>
      </c>
      <c r="M82" s="94">
        <v>44221.416666666664</v>
      </c>
      <c r="N82" s="94">
        <v>44221.708333333336</v>
      </c>
      <c r="O82" s="95" t="str">
        <f>PROPER(TEXT(Table1[[#This Row],[Fecha Inicio]],"mmmm"))</f>
        <v>Enero</v>
      </c>
      <c r="P82" s="96" t="s">
        <v>1943</v>
      </c>
      <c r="Q82" s="97" t="s">
        <v>1944</v>
      </c>
      <c r="R82" s="76">
        <f t="shared" si="5"/>
        <v>3</v>
      </c>
      <c r="S82" s="76">
        <f t="shared" si="6"/>
        <v>3</v>
      </c>
      <c r="T82" s="76" t="str">
        <f t="shared" si="7"/>
        <v>-</v>
      </c>
      <c r="U82" s="76" t="str">
        <f t="shared" si="8"/>
        <v>-</v>
      </c>
      <c r="V82" s="76" t="str">
        <f t="shared" si="9"/>
        <v>-</v>
      </c>
      <c r="Z82" s="62"/>
    </row>
    <row r="83" spans="1:26" ht="40.15" customHeight="1" x14ac:dyDescent="0.25">
      <c r="A83" s="87">
        <v>4</v>
      </c>
      <c r="B83" s="88" t="s">
        <v>1550</v>
      </c>
      <c r="C83" s="89" t="s">
        <v>1578</v>
      </c>
      <c r="D83" s="90" t="s">
        <v>1579</v>
      </c>
      <c r="E83" s="90" t="s">
        <v>1580</v>
      </c>
      <c r="F83" s="87" t="s">
        <v>1556</v>
      </c>
      <c r="G83" s="92" t="s">
        <v>1557</v>
      </c>
      <c r="H83" s="93" t="s">
        <v>1945</v>
      </c>
      <c r="I83" s="87" t="s">
        <v>1946</v>
      </c>
      <c r="J83" s="91" t="s">
        <v>1583</v>
      </c>
      <c r="K83" s="87" t="s">
        <v>1584</v>
      </c>
      <c r="L83" s="87" t="s">
        <v>41</v>
      </c>
      <c r="M83" s="94">
        <v>44221.9375</v>
      </c>
      <c r="N83" s="94">
        <v>44221.979166666664</v>
      </c>
      <c r="O83" s="95" t="str">
        <f>PROPER(TEXT(Table1[[#This Row],[Fecha Inicio]],"mmmm"))</f>
        <v>Enero</v>
      </c>
      <c r="P83" s="96" t="s">
        <v>1663</v>
      </c>
      <c r="Q83" s="97" t="s">
        <v>1947</v>
      </c>
      <c r="R83" s="76">
        <f t="shared" si="5"/>
        <v>1</v>
      </c>
      <c r="S83" s="76">
        <f t="shared" si="6"/>
        <v>1</v>
      </c>
      <c r="T83" s="76" t="str">
        <f t="shared" si="7"/>
        <v>-</v>
      </c>
      <c r="U83" s="76" t="str">
        <f t="shared" si="8"/>
        <v>-</v>
      </c>
      <c r="V83" s="76" t="str">
        <f t="shared" si="9"/>
        <v>-</v>
      </c>
      <c r="Z83" s="62"/>
    </row>
    <row r="84" spans="1:26" ht="40.15" customHeight="1" x14ac:dyDescent="0.25">
      <c r="A84" s="87">
        <v>4</v>
      </c>
      <c r="B84" s="88" t="s">
        <v>1550</v>
      </c>
      <c r="C84" s="89" t="s">
        <v>1948</v>
      </c>
      <c r="D84" s="90" t="s">
        <v>326</v>
      </c>
      <c r="E84" s="90" t="s">
        <v>1631</v>
      </c>
      <c r="F84" s="87" t="s">
        <v>1556</v>
      </c>
      <c r="G84" s="92" t="s">
        <v>1557</v>
      </c>
      <c r="H84" s="93" t="s">
        <v>1949</v>
      </c>
      <c r="I84" s="87" t="s">
        <v>1950</v>
      </c>
      <c r="J84" s="87" t="s">
        <v>1951</v>
      </c>
      <c r="K84" s="87" t="s">
        <v>1575</v>
      </c>
      <c r="L84" s="87" t="s">
        <v>41</v>
      </c>
      <c r="M84" s="94">
        <v>44222</v>
      </c>
      <c r="N84" s="94">
        <v>44222.208333333336</v>
      </c>
      <c r="O84" s="95" t="str">
        <f>PROPER(TEXT(Table1[[#This Row],[Fecha Inicio]],"mmmm"))</f>
        <v>Enero</v>
      </c>
      <c r="P84" s="96" t="s">
        <v>1952</v>
      </c>
      <c r="Q84" s="97" t="s">
        <v>1953</v>
      </c>
      <c r="R84" s="76">
        <f t="shared" si="5"/>
        <v>7</v>
      </c>
      <c r="S84" s="76">
        <f t="shared" si="6"/>
        <v>7</v>
      </c>
      <c r="T84" s="76" t="str">
        <f t="shared" si="7"/>
        <v>-</v>
      </c>
      <c r="U84" s="76" t="str">
        <f t="shared" si="8"/>
        <v>-</v>
      </c>
      <c r="V84" s="76" t="str">
        <f t="shared" si="9"/>
        <v>-</v>
      </c>
      <c r="Z84" s="62"/>
    </row>
    <row r="85" spans="1:26" ht="40.15" customHeight="1" x14ac:dyDescent="0.25">
      <c r="A85" s="87">
        <v>3</v>
      </c>
      <c r="B85" s="88" t="s">
        <v>1550</v>
      </c>
      <c r="C85" s="89"/>
      <c r="D85" s="90" t="s">
        <v>326</v>
      </c>
      <c r="E85" s="89" t="s">
        <v>1742</v>
      </c>
      <c r="F85" s="91" t="s">
        <v>1556</v>
      </c>
      <c r="G85" s="92" t="s">
        <v>1557</v>
      </c>
      <c r="H85" s="93" t="s">
        <v>1954</v>
      </c>
      <c r="I85" s="87" t="s">
        <v>1819</v>
      </c>
      <c r="J85" s="91" t="s">
        <v>1583</v>
      </c>
      <c r="K85" s="87" t="s">
        <v>1584</v>
      </c>
      <c r="L85" s="87" t="s">
        <v>52</v>
      </c>
      <c r="M85" s="94">
        <v>44222.375</v>
      </c>
      <c r="N85" s="94">
        <v>44222.583333333336</v>
      </c>
      <c r="O85" s="95" t="str">
        <f>PROPER(TEXT(Table1[[#This Row],[Fecha Inicio]],"mmmm"))</f>
        <v>Enero</v>
      </c>
      <c r="P85" s="96" t="s">
        <v>1955</v>
      </c>
      <c r="Q85" s="97" t="s">
        <v>1956</v>
      </c>
      <c r="R85" s="76">
        <f t="shared" si="5"/>
        <v>4</v>
      </c>
      <c r="S85" s="76">
        <f t="shared" si="6"/>
        <v>4</v>
      </c>
      <c r="T85" s="76" t="str">
        <f t="shared" si="7"/>
        <v>-</v>
      </c>
      <c r="U85" s="76" t="str">
        <f t="shared" si="8"/>
        <v>-</v>
      </c>
      <c r="V85" s="76" t="str">
        <f t="shared" si="9"/>
        <v>-</v>
      </c>
      <c r="Z85" s="62"/>
    </row>
    <row r="86" spans="1:26" ht="40.15" customHeight="1" x14ac:dyDescent="0.25">
      <c r="A86" s="87">
        <v>2</v>
      </c>
      <c r="B86" s="88" t="s">
        <v>1550</v>
      </c>
      <c r="C86" s="89"/>
      <c r="D86" s="90" t="s">
        <v>344</v>
      </c>
      <c r="E86" s="90" t="s">
        <v>1616</v>
      </c>
      <c r="F86" s="91" t="s">
        <v>1556</v>
      </c>
      <c r="G86" s="92" t="s">
        <v>1557</v>
      </c>
      <c r="H86" s="93" t="s">
        <v>1957</v>
      </c>
      <c r="I86" s="87" t="s">
        <v>1942</v>
      </c>
      <c r="J86" s="91" t="s">
        <v>1583</v>
      </c>
      <c r="K86" s="87" t="s">
        <v>1584</v>
      </c>
      <c r="L86" s="126" t="s">
        <v>19</v>
      </c>
      <c r="M86" s="94">
        <v>44222.416666666664</v>
      </c>
      <c r="N86" s="94">
        <v>44222.708333333336</v>
      </c>
      <c r="O86" s="95" t="str">
        <f>PROPER(TEXT(Table1[[#This Row],[Fecha Inicio]],"mmmm"))</f>
        <v>Enero</v>
      </c>
      <c r="P86" s="96" t="s">
        <v>1958</v>
      </c>
      <c r="Q86" s="97" t="s">
        <v>1959</v>
      </c>
      <c r="R86" s="76">
        <f t="shared" si="5"/>
        <v>2</v>
      </c>
      <c r="S86" s="76">
        <f t="shared" si="6"/>
        <v>2</v>
      </c>
      <c r="T86" s="76" t="str">
        <f t="shared" si="7"/>
        <v>-</v>
      </c>
      <c r="U86" s="76" t="str">
        <f t="shared" si="8"/>
        <v>-</v>
      </c>
      <c r="V86" s="76" t="str">
        <f t="shared" si="9"/>
        <v>-</v>
      </c>
      <c r="Z86" s="62"/>
    </row>
    <row r="87" spans="1:26" ht="40.15" customHeight="1" x14ac:dyDescent="0.25">
      <c r="A87" s="87">
        <v>1</v>
      </c>
      <c r="B87" s="88" t="s">
        <v>1550</v>
      </c>
      <c r="C87" s="89" t="s">
        <v>1716</v>
      </c>
      <c r="D87" s="90" t="s">
        <v>326</v>
      </c>
      <c r="E87" s="90" t="s">
        <v>1631</v>
      </c>
      <c r="F87" s="91" t="s">
        <v>1556</v>
      </c>
      <c r="G87" s="92" t="s">
        <v>1557</v>
      </c>
      <c r="H87" s="93" t="s">
        <v>1960</v>
      </c>
      <c r="I87" s="87" t="s">
        <v>1961</v>
      </c>
      <c r="J87" s="87" t="s">
        <v>1962</v>
      </c>
      <c r="K87" s="87" t="s">
        <v>1575</v>
      </c>
      <c r="L87" s="126" t="s">
        <v>19</v>
      </c>
      <c r="M87" s="94">
        <v>44222.833333333336</v>
      </c>
      <c r="N87" s="94">
        <v>44222.875</v>
      </c>
      <c r="O87" s="95" t="str">
        <f>PROPER(TEXT(Table1[[#This Row],[Fecha Inicio]],"mmmm"))</f>
        <v>Enero</v>
      </c>
      <c r="P87" s="96" t="s">
        <v>207</v>
      </c>
      <c r="Q87" s="97" t="s">
        <v>1963</v>
      </c>
      <c r="R87" s="76">
        <f t="shared" si="5"/>
        <v>1</v>
      </c>
      <c r="S87" s="76">
        <f t="shared" si="6"/>
        <v>1</v>
      </c>
      <c r="T87" s="76" t="str">
        <f t="shared" si="7"/>
        <v>-</v>
      </c>
      <c r="U87" s="76" t="str">
        <f t="shared" si="8"/>
        <v>-</v>
      </c>
      <c r="V87" s="76" t="str">
        <f t="shared" si="9"/>
        <v>-</v>
      </c>
      <c r="Z87" s="62"/>
    </row>
    <row r="88" spans="1:26" ht="40.15" customHeight="1" x14ac:dyDescent="0.25">
      <c r="A88" s="87">
        <v>4</v>
      </c>
      <c r="B88" s="100" t="s">
        <v>1552</v>
      </c>
      <c r="C88" s="89" t="s">
        <v>1964</v>
      </c>
      <c r="D88" s="90" t="s">
        <v>1579</v>
      </c>
      <c r="E88" s="90" t="s">
        <v>1580</v>
      </c>
      <c r="F88" s="87" t="s">
        <v>1556</v>
      </c>
      <c r="G88" s="92" t="s">
        <v>1965</v>
      </c>
      <c r="H88" s="93" t="s">
        <v>1966</v>
      </c>
      <c r="I88" s="87" t="s">
        <v>1967</v>
      </c>
      <c r="J88" s="87" t="s">
        <v>1566</v>
      </c>
      <c r="K88" s="87" t="s">
        <v>1567</v>
      </c>
      <c r="L88" s="126" t="s">
        <v>19</v>
      </c>
      <c r="M88" s="94">
        <v>44222.916666666664</v>
      </c>
      <c r="N88" s="94">
        <v>44223.041666666664</v>
      </c>
      <c r="O88" s="95" t="str">
        <f>PROPER(TEXT(Table1[[#This Row],[Fecha Inicio]],"mmmm"))</f>
        <v>Enero</v>
      </c>
      <c r="P88" s="96" t="s">
        <v>1968</v>
      </c>
      <c r="Q88" s="97" t="s">
        <v>1969</v>
      </c>
      <c r="R88" s="76">
        <f t="shared" si="5"/>
        <v>1</v>
      </c>
      <c r="S88" s="76" t="str">
        <f t="shared" si="6"/>
        <v>-</v>
      </c>
      <c r="T88" s="76" t="str">
        <f t="shared" si="7"/>
        <v>-</v>
      </c>
      <c r="U88" s="76">
        <f t="shared" si="8"/>
        <v>1</v>
      </c>
      <c r="V88" s="76" t="str">
        <f t="shared" si="9"/>
        <v>-</v>
      </c>
      <c r="Z88" s="62"/>
    </row>
    <row r="89" spans="1:26" ht="40.15" customHeight="1" x14ac:dyDescent="0.25">
      <c r="A89" s="87">
        <v>4</v>
      </c>
      <c r="B89" s="88" t="s">
        <v>1550</v>
      </c>
      <c r="C89" s="89" t="s">
        <v>1578</v>
      </c>
      <c r="D89" s="90" t="s">
        <v>1579</v>
      </c>
      <c r="E89" s="90" t="s">
        <v>1580</v>
      </c>
      <c r="F89" s="87" t="s">
        <v>1556</v>
      </c>
      <c r="G89" s="92" t="s">
        <v>1557</v>
      </c>
      <c r="H89" s="93" t="s">
        <v>1970</v>
      </c>
      <c r="I89" s="87" t="s">
        <v>1971</v>
      </c>
      <c r="J89" s="91" t="s">
        <v>1583</v>
      </c>
      <c r="K89" s="87" t="s">
        <v>1584</v>
      </c>
      <c r="L89" s="87" t="s">
        <v>41</v>
      </c>
      <c r="M89" s="94">
        <v>44222.9375</v>
      </c>
      <c r="N89" s="94">
        <v>44222.979166666664</v>
      </c>
      <c r="O89" s="95" t="str">
        <f>PROPER(TEXT(Table1[[#This Row],[Fecha Inicio]],"mmmm"))</f>
        <v>Enero</v>
      </c>
      <c r="P89" s="96" t="s">
        <v>1972</v>
      </c>
      <c r="Q89" s="97" t="s">
        <v>1973</v>
      </c>
      <c r="R89" s="76">
        <f t="shared" si="5"/>
        <v>1</v>
      </c>
      <c r="S89" s="76">
        <f t="shared" si="6"/>
        <v>1</v>
      </c>
      <c r="T89" s="76" t="str">
        <f t="shared" si="7"/>
        <v>-</v>
      </c>
      <c r="U89" s="76" t="str">
        <f t="shared" si="8"/>
        <v>-</v>
      </c>
      <c r="V89" s="76" t="str">
        <f t="shared" si="9"/>
        <v>-</v>
      </c>
      <c r="Z89" s="62"/>
    </row>
    <row r="90" spans="1:26" ht="40.15" customHeight="1" x14ac:dyDescent="0.25">
      <c r="A90" s="87">
        <v>1</v>
      </c>
      <c r="B90" s="88" t="s">
        <v>1550</v>
      </c>
      <c r="C90" s="89" t="s">
        <v>1716</v>
      </c>
      <c r="D90" s="90" t="s">
        <v>326</v>
      </c>
      <c r="E90" s="90" t="s">
        <v>1631</v>
      </c>
      <c r="F90" s="91" t="s">
        <v>1556</v>
      </c>
      <c r="G90" s="92" t="s">
        <v>1557</v>
      </c>
      <c r="H90" s="93" t="s">
        <v>1978</v>
      </c>
      <c r="I90" s="87" t="s">
        <v>1979</v>
      </c>
      <c r="J90" s="87" t="s">
        <v>1980</v>
      </c>
      <c r="K90" s="87" t="s">
        <v>1575</v>
      </c>
      <c r="L90" s="126" t="s">
        <v>19</v>
      </c>
      <c r="M90" s="94">
        <v>44223.333333333336</v>
      </c>
      <c r="N90" s="94">
        <v>44223.395833333336</v>
      </c>
      <c r="O90" s="95" t="str">
        <f>PROPER(TEXT(Table1[[#This Row],[Fecha Inicio]],"mmmm"))</f>
        <v>Enero</v>
      </c>
      <c r="P90" s="96" t="s">
        <v>1981</v>
      </c>
      <c r="Q90" s="97" t="s">
        <v>1982</v>
      </c>
      <c r="R90" s="76">
        <f t="shared" si="5"/>
        <v>2</v>
      </c>
      <c r="S90" s="76">
        <f t="shared" si="6"/>
        <v>2</v>
      </c>
      <c r="T90" s="76" t="str">
        <f t="shared" si="7"/>
        <v>-</v>
      </c>
      <c r="U90" s="76" t="str">
        <f t="shared" si="8"/>
        <v>-</v>
      </c>
      <c r="V90" s="76" t="str">
        <f t="shared" si="9"/>
        <v>-</v>
      </c>
      <c r="Z90" s="62"/>
    </row>
    <row r="91" spans="1:26" ht="40.15" customHeight="1" x14ac:dyDescent="0.25">
      <c r="A91" s="87">
        <v>4</v>
      </c>
      <c r="B91" s="88" t="s">
        <v>1550</v>
      </c>
      <c r="C91" s="89"/>
      <c r="D91" s="90" t="s">
        <v>1623</v>
      </c>
      <c r="E91" s="90" t="s">
        <v>1624</v>
      </c>
      <c r="F91" s="87" t="s">
        <v>1556</v>
      </c>
      <c r="G91" s="92" t="s">
        <v>1557</v>
      </c>
      <c r="H91" s="93" t="s">
        <v>1974</v>
      </c>
      <c r="I91" s="87" t="s">
        <v>1975</v>
      </c>
      <c r="J91" s="91" t="s">
        <v>1583</v>
      </c>
      <c r="K91" s="87" t="s">
        <v>1584</v>
      </c>
      <c r="L91" s="126" t="s">
        <v>19</v>
      </c>
      <c r="M91" s="94">
        <v>44223.333333333336</v>
      </c>
      <c r="N91" s="94">
        <v>44223.458333333336</v>
      </c>
      <c r="O91" s="95" t="str">
        <f>PROPER(TEXT(Table1[[#This Row],[Fecha Inicio]],"mmmm"))</f>
        <v>Enero</v>
      </c>
      <c r="P91" s="96" t="s">
        <v>1976</v>
      </c>
      <c r="Q91" s="97" t="s">
        <v>1977</v>
      </c>
      <c r="R91" s="76">
        <f t="shared" si="5"/>
        <v>1</v>
      </c>
      <c r="S91" s="76">
        <f t="shared" si="6"/>
        <v>1</v>
      </c>
      <c r="T91" s="76" t="str">
        <f t="shared" si="7"/>
        <v>-</v>
      </c>
      <c r="U91" s="76" t="str">
        <f t="shared" si="8"/>
        <v>-</v>
      </c>
      <c r="V91" s="76" t="str">
        <f t="shared" si="9"/>
        <v>-</v>
      </c>
      <c r="Z91" s="62"/>
    </row>
    <row r="92" spans="1:26" ht="40.15" customHeight="1" x14ac:dyDescent="0.25">
      <c r="A92" s="87">
        <v>4</v>
      </c>
      <c r="B92" s="88" t="s">
        <v>1550</v>
      </c>
      <c r="C92" s="89"/>
      <c r="D92" s="90" t="s">
        <v>326</v>
      </c>
      <c r="E92" s="90" t="s">
        <v>1742</v>
      </c>
      <c r="F92" s="87" t="s">
        <v>1556</v>
      </c>
      <c r="G92" s="92" t="s">
        <v>1557</v>
      </c>
      <c r="H92" s="93" t="s">
        <v>1983</v>
      </c>
      <c r="I92" s="87" t="s">
        <v>1858</v>
      </c>
      <c r="J92" s="87" t="s">
        <v>1859</v>
      </c>
      <c r="K92" s="87" t="s">
        <v>1860</v>
      </c>
      <c r="L92" s="87" t="s">
        <v>52</v>
      </c>
      <c r="M92" s="94">
        <v>44223.375</v>
      </c>
      <c r="N92" s="94">
        <v>44223.583333333336</v>
      </c>
      <c r="O92" s="95" t="str">
        <f>PROPER(TEXT(Table1[[#This Row],[Fecha Inicio]],"mmmm"))</f>
        <v>Enero</v>
      </c>
      <c r="P92" s="96" t="s">
        <v>1984</v>
      </c>
      <c r="Q92" s="97" t="s">
        <v>1985</v>
      </c>
      <c r="R92" s="76">
        <f t="shared" si="5"/>
        <v>21</v>
      </c>
      <c r="S92" s="76">
        <f t="shared" si="6"/>
        <v>21</v>
      </c>
      <c r="T92" s="76" t="str">
        <f t="shared" si="7"/>
        <v>-</v>
      </c>
      <c r="U92" s="76" t="str">
        <f t="shared" si="8"/>
        <v>-</v>
      </c>
      <c r="V92" s="76" t="str">
        <f t="shared" si="9"/>
        <v>-</v>
      </c>
      <c r="Z92" s="62"/>
    </row>
    <row r="93" spans="1:26" ht="40.15" customHeight="1" x14ac:dyDescent="0.25">
      <c r="A93" s="87">
        <v>1</v>
      </c>
      <c r="B93" s="88" t="s">
        <v>1550</v>
      </c>
      <c r="C93" s="89" t="s">
        <v>1716</v>
      </c>
      <c r="D93" s="90" t="s">
        <v>326</v>
      </c>
      <c r="E93" s="90" t="s">
        <v>1631</v>
      </c>
      <c r="F93" s="91" t="s">
        <v>1556</v>
      </c>
      <c r="G93" s="92" t="s">
        <v>1557</v>
      </c>
      <c r="H93" s="93" t="s">
        <v>1986</v>
      </c>
      <c r="I93" s="87" t="s">
        <v>1987</v>
      </c>
      <c r="J93" s="91" t="s">
        <v>1988</v>
      </c>
      <c r="K93" s="91" t="s">
        <v>1575</v>
      </c>
      <c r="L93" s="126" t="s">
        <v>19</v>
      </c>
      <c r="M93" s="94">
        <v>44223.604166666664</v>
      </c>
      <c r="N93" s="94">
        <v>44223.729166666664</v>
      </c>
      <c r="O93" s="95" t="str">
        <f>PROPER(TEXT(Table1[[#This Row],[Fecha Inicio]],"mmmm"))</f>
        <v>Enero</v>
      </c>
      <c r="P93" s="96" t="s">
        <v>1989</v>
      </c>
      <c r="Q93" s="97" t="s">
        <v>1990</v>
      </c>
      <c r="R93" s="76">
        <f t="shared" si="5"/>
        <v>4</v>
      </c>
      <c r="S93" s="76">
        <f t="shared" si="6"/>
        <v>4</v>
      </c>
      <c r="T93" s="76" t="str">
        <f t="shared" si="7"/>
        <v>-</v>
      </c>
      <c r="U93" s="76" t="str">
        <f t="shared" si="8"/>
        <v>-</v>
      </c>
      <c r="V93" s="76" t="str">
        <f t="shared" si="9"/>
        <v>-</v>
      </c>
      <c r="Z93" s="62"/>
    </row>
    <row r="94" spans="1:26" ht="40.15" customHeight="1" x14ac:dyDescent="0.25">
      <c r="A94" s="87">
        <v>4</v>
      </c>
      <c r="B94" s="88" t="s">
        <v>1550</v>
      </c>
      <c r="C94" s="89" t="s">
        <v>1578</v>
      </c>
      <c r="D94" s="90" t="s">
        <v>1579</v>
      </c>
      <c r="E94" s="90" t="s">
        <v>1580</v>
      </c>
      <c r="F94" s="87" t="s">
        <v>1556</v>
      </c>
      <c r="G94" s="92" t="s">
        <v>1557</v>
      </c>
      <c r="H94" s="93" t="s">
        <v>1991</v>
      </c>
      <c r="I94" s="87" t="s">
        <v>1992</v>
      </c>
      <c r="J94" s="91" t="s">
        <v>1583</v>
      </c>
      <c r="K94" s="87" t="s">
        <v>1584</v>
      </c>
      <c r="L94" s="87" t="s">
        <v>41</v>
      </c>
      <c r="M94" s="94">
        <v>44223.9375</v>
      </c>
      <c r="N94" s="94">
        <v>44223.979166666664</v>
      </c>
      <c r="O94" s="95" t="str">
        <f>PROPER(TEXT(Table1[[#This Row],[Fecha Inicio]],"mmmm"))</f>
        <v>Enero</v>
      </c>
      <c r="P94" s="96" t="s">
        <v>1993</v>
      </c>
      <c r="Q94" s="97" t="s">
        <v>1994</v>
      </c>
      <c r="R94" s="76">
        <f t="shared" si="5"/>
        <v>1</v>
      </c>
      <c r="S94" s="76">
        <f t="shared" si="6"/>
        <v>1</v>
      </c>
      <c r="T94" s="76" t="str">
        <f t="shared" si="7"/>
        <v>-</v>
      </c>
      <c r="U94" s="76" t="str">
        <f t="shared" si="8"/>
        <v>-</v>
      </c>
      <c r="V94" s="76" t="str">
        <f t="shared" si="9"/>
        <v>-</v>
      </c>
      <c r="Z94" s="62"/>
    </row>
    <row r="95" spans="1:26" ht="40.15" customHeight="1" x14ac:dyDescent="0.25">
      <c r="A95" s="87">
        <v>4</v>
      </c>
      <c r="B95" s="100" t="s">
        <v>1552</v>
      </c>
      <c r="C95" s="89" t="s">
        <v>1995</v>
      </c>
      <c r="D95" s="90" t="s">
        <v>1579</v>
      </c>
      <c r="E95" s="90" t="s">
        <v>1580</v>
      </c>
      <c r="F95" s="87" t="s">
        <v>1556</v>
      </c>
      <c r="G95" s="92" t="s">
        <v>1965</v>
      </c>
      <c r="H95" s="93" t="s">
        <v>1996</v>
      </c>
      <c r="I95" s="87" t="s">
        <v>1997</v>
      </c>
      <c r="J95" s="91" t="s">
        <v>1583</v>
      </c>
      <c r="K95" s="87" t="s">
        <v>1584</v>
      </c>
      <c r="L95" s="87" t="s">
        <v>41</v>
      </c>
      <c r="M95" s="94">
        <v>44223.9375</v>
      </c>
      <c r="N95" s="94">
        <v>44224.1875</v>
      </c>
      <c r="O95" s="95" t="str">
        <f>PROPER(TEXT(Table1[[#This Row],[Fecha Inicio]],"mmmm"))</f>
        <v>Enero</v>
      </c>
      <c r="P95" s="96" t="s">
        <v>1993</v>
      </c>
      <c r="Q95" s="97" t="s">
        <v>1998</v>
      </c>
      <c r="R95" s="76">
        <f t="shared" si="5"/>
        <v>1</v>
      </c>
      <c r="S95" s="76" t="str">
        <f t="shared" si="6"/>
        <v>-</v>
      </c>
      <c r="T95" s="76" t="str">
        <f t="shared" si="7"/>
        <v>-</v>
      </c>
      <c r="U95" s="76">
        <f t="shared" si="8"/>
        <v>1</v>
      </c>
      <c r="V95" s="76" t="str">
        <f t="shared" si="9"/>
        <v>-</v>
      </c>
      <c r="Z95" s="62"/>
    </row>
    <row r="96" spans="1:26" ht="40.15" customHeight="1" x14ac:dyDescent="0.25">
      <c r="A96" s="87">
        <v>4</v>
      </c>
      <c r="B96" s="88" t="s">
        <v>1550</v>
      </c>
      <c r="C96" s="89" t="s">
        <v>1578</v>
      </c>
      <c r="D96" s="90" t="s">
        <v>326</v>
      </c>
      <c r="E96" s="90" t="s">
        <v>1631</v>
      </c>
      <c r="F96" s="91" t="s">
        <v>1556</v>
      </c>
      <c r="G96" s="92" t="s">
        <v>1557</v>
      </c>
      <c r="H96" s="93" t="s">
        <v>1999</v>
      </c>
      <c r="I96" s="87" t="s">
        <v>2000</v>
      </c>
      <c r="J96" s="87" t="s">
        <v>1583</v>
      </c>
      <c r="K96" s="87" t="s">
        <v>2001</v>
      </c>
      <c r="L96" s="87" t="s">
        <v>41</v>
      </c>
      <c r="M96" s="94">
        <v>44223.958333333336</v>
      </c>
      <c r="N96" s="94">
        <v>44224.041666666664</v>
      </c>
      <c r="O96" s="95" t="str">
        <f>PROPER(TEXT(Table1[[#This Row],[Fecha Inicio]],"mmmm"))</f>
        <v>Enero</v>
      </c>
      <c r="P96" s="96" t="s">
        <v>2002</v>
      </c>
      <c r="Q96" s="97" t="s">
        <v>2003</v>
      </c>
      <c r="R96" s="76">
        <f t="shared" si="5"/>
        <v>2</v>
      </c>
      <c r="S96" s="76">
        <f t="shared" si="6"/>
        <v>2</v>
      </c>
      <c r="T96" s="76" t="str">
        <f t="shared" si="7"/>
        <v>-</v>
      </c>
      <c r="U96" s="76" t="str">
        <f t="shared" si="8"/>
        <v>-</v>
      </c>
      <c r="V96" s="76" t="str">
        <f t="shared" si="9"/>
        <v>-</v>
      </c>
      <c r="Z96" s="62"/>
    </row>
    <row r="97" spans="1:26" ht="40.15" customHeight="1" x14ac:dyDescent="0.25">
      <c r="A97" s="87">
        <v>4</v>
      </c>
      <c r="B97" s="88" t="s">
        <v>1550</v>
      </c>
      <c r="C97" s="89"/>
      <c r="D97" s="90" t="s">
        <v>326</v>
      </c>
      <c r="E97" s="90" t="s">
        <v>1742</v>
      </c>
      <c r="F97" s="87" t="s">
        <v>1556</v>
      </c>
      <c r="G97" s="92" t="s">
        <v>1557</v>
      </c>
      <c r="H97" s="93" t="s">
        <v>2004</v>
      </c>
      <c r="I97" s="87" t="s">
        <v>1858</v>
      </c>
      <c r="J97" s="87" t="s">
        <v>1859</v>
      </c>
      <c r="K97" s="87" t="s">
        <v>1860</v>
      </c>
      <c r="L97" s="87" t="s">
        <v>52</v>
      </c>
      <c r="M97" s="94">
        <v>44224.375</v>
      </c>
      <c r="N97" s="94">
        <v>44224.583333333336</v>
      </c>
      <c r="O97" s="95" t="str">
        <f>PROPER(TEXT(Table1[[#This Row],[Fecha Inicio]],"mmmm"))</f>
        <v>Enero</v>
      </c>
      <c r="P97" s="96" t="s">
        <v>2005</v>
      </c>
      <c r="Q97" s="97" t="s">
        <v>2006</v>
      </c>
      <c r="R97" s="76">
        <f t="shared" si="5"/>
        <v>16</v>
      </c>
      <c r="S97" s="76">
        <f t="shared" si="6"/>
        <v>16</v>
      </c>
      <c r="T97" s="76" t="str">
        <f t="shared" si="7"/>
        <v>-</v>
      </c>
      <c r="U97" s="76" t="str">
        <f t="shared" si="8"/>
        <v>-</v>
      </c>
      <c r="V97" s="76" t="str">
        <f t="shared" si="9"/>
        <v>-</v>
      </c>
      <c r="Z97" s="62"/>
    </row>
    <row r="98" spans="1:26" ht="40.15" customHeight="1" x14ac:dyDescent="0.25">
      <c r="A98" s="87">
        <v>4</v>
      </c>
      <c r="B98" s="88" t="s">
        <v>1550</v>
      </c>
      <c r="C98" s="89"/>
      <c r="D98" s="90" t="s">
        <v>1623</v>
      </c>
      <c r="E98" s="90" t="s">
        <v>1624</v>
      </c>
      <c r="F98" s="91" t="s">
        <v>1556</v>
      </c>
      <c r="G98" s="92" t="s">
        <v>1557</v>
      </c>
      <c r="H98" s="93" t="s">
        <v>2007</v>
      </c>
      <c r="I98" s="87" t="s">
        <v>1685</v>
      </c>
      <c r="J98" s="87" t="s">
        <v>1627</v>
      </c>
      <c r="K98" s="87" t="s">
        <v>1575</v>
      </c>
      <c r="L98" s="126" t="s">
        <v>19</v>
      </c>
      <c r="M98" s="94">
        <v>44224.5</v>
      </c>
      <c r="N98" s="94">
        <v>44224.625</v>
      </c>
      <c r="O98" s="95" t="str">
        <f>PROPER(TEXT(Table1[[#This Row],[Fecha Inicio]],"mmmm"))</f>
        <v>Enero</v>
      </c>
      <c r="P98" s="96" t="s">
        <v>1686</v>
      </c>
      <c r="Q98" s="97" t="s">
        <v>2008</v>
      </c>
      <c r="R98" s="76">
        <f t="shared" si="5"/>
        <v>2</v>
      </c>
      <c r="S98" s="76">
        <f t="shared" si="6"/>
        <v>2</v>
      </c>
      <c r="T98" s="76" t="str">
        <f t="shared" si="7"/>
        <v>-</v>
      </c>
      <c r="U98" s="76" t="str">
        <f t="shared" si="8"/>
        <v>-</v>
      </c>
      <c r="V98" s="76" t="str">
        <f t="shared" si="9"/>
        <v>-</v>
      </c>
      <c r="Z98" s="62"/>
    </row>
    <row r="99" spans="1:26" ht="40.15" customHeight="1" x14ac:dyDescent="0.25">
      <c r="A99" s="87">
        <v>4</v>
      </c>
      <c r="B99" s="88" t="s">
        <v>1550</v>
      </c>
      <c r="C99" s="89" t="s">
        <v>1578</v>
      </c>
      <c r="D99" s="90" t="s">
        <v>1579</v>
      </c>
      <c r="E99" s="90" t="s">
        <v>1580</v>
      </c>
      <c r="F99" s="87" t="s">
        <v>1556</v>
      </c>
      <c r="G99" s="92" t="s">
        <v>1557</v>
      </c>
      <c r="H99" s="93" t="s">
        <v>2009</v>
      </c>
      <c r="I99" s="87" t="s">
        <v>2010</v>
      </c>
      <c r="J99" s="87" t="s">
        <v>1719</v>
      </c>
      <c r="K99" s="91" t="s">
        <v>1575</v>
      </c>
      <c r="L99" s="87" t="s">
        <v>52</v>
      </c>
      <c r="M99" s="94">
        <v>44224.875</v>
      </c>
      <c r="N99" s="94">
        <v>44224.916666666664</v>
      </c>
      <c r="O99" s="95" t="str">
        <f>PROPER(TEXT(Table1[[#This Row],[Fecha Inicio]],"mmmm"))</f>
        <v>Enero</v>
      </c>
      <c r="P99" s="96" t="s">
        <v>266</v>
      </c>
      <c r="Q99" s="97" t="s">
        <v>2011</v>
      </c>
      <c r="R99" s="76">
        <f t="shared" si="5"/>
        <v>1</v>
      </c>
      <c r="S99" s="76">
        <f t="shared" si="6"/>
        <v>1</v>
      </c>
      <c r="T99" s="76" t="str">
        <f t="shared" si="7"/>
        <v>-</v>
      </c>
      <c r="U99" s="76" t="str">
        <f t="shared" si="8"/>
        <v>-</v>
      </c>
      <c r="V99" s="76" t="str">
        <f t="shared" si="9"/>
        <v>-</v>
      </c>
      <c r="Z99" s="62"/>
    </row>
    <row r="100" spans="1:26" ht="40.15" customHeight="1" x14ac:dyDescent="0.25">
      <c r="A100" s="87">
        <v>1</v>
      </c>
      <c r="B100" s="88" t="s">
        <v>1550</v>
      </c>
      <c r="C100" s="89" t="s">
        <v>1716</v>
      </c>
      <c r="D100" s="90" t="s">
        <v>326</v>
      </c>
      <c r="E100" s="90" t="s">
        <v>1631</v>
      </c>
      <c r="F100" s="91" t="s">
        <v>1556</v>
      </c>
      <c r="G100" s="92" t="s">
        <v>1557</v>
      </c>
      <c r="H100" s="93" t="s">
        <v>2012</v>
      </c>
      <c r="I100" s="87" t="s">
        <v>2013</v>
      </c>
      <c r="J100" s="87" t="s">
        <v>2014</v>
      </c>
      <c r="K100" s="87" t="s">
        <v>1575</v>
      </c>
      <c r="L100" s="126" t="s">
        <v>19</v>
      </c>
      <c r="M100" s="94">
        <v>44225.791666666664</v>
      </c>
      <c r="N100" s="94">
        <v>44225.875</v>
      </c>
      <c r="O100" s="95" t="str">
        <f>PROPER(TEXT(Table1[[#This Row],[Fecha Inicio]],"mmmm"))</f>
        <v>Enero</v>
      </c>
      <c r="P100" s="96" t="s">
        <v>2015</v>
      </c>
      <c r="Q100" s="97" t="s">
        <v>2016</v>
      </c>
      <c r="R100" s="76">
        <f t="shared" si="5"/>
        <v>9</v>
      </c>
      <c r="S100" s="76">
        <f t="shared" si="6"/>
        <v>9</v>
      </c>
      <c r="T100" s="76" t="str">
        <f t="shared" si="7"/>
        <v>-</v>
      </c>
      <c r="U100" s="76" t="str">
        <f t="shared" si="8"/>
        <v>-</v>
      </c>
      <c r="V100" s="76" t="str">
        <f t="shared" si="9"/>
        <v>-</v>
      </c>
      <c r="Z100" s="62"/>
    </row>
    <row r="101" spans="1:26" ht="40.15" customHeight="1" x14ac:dyDescent="0.25">
      <c r="A101" s="87">
        <v>1</v>
      </c>
      <c r="B101" s="88" t="s">
        <v>1550</v>
      </c>
      <c r="C101" s="89" t="s">
        <v>1716</v>
      </c>
      <c r="D101" s="90" t="s">
        <v>326</v>
      </c>
      <c r="E101" s="90" t="s">
        <v>1631</v>
      </c>
      <c r="F101" s="91" t="s">
        <v>1556</v>
      </c>
      <c r="G101" s="92" t="s">
        <v>1557</v>
      </c>
      <c r="H101" s="93" t="s">
        <v>2017</v>
      </c>
      <c r="I101" s="87" t="s">
        <v>2013</v>
      </c>
      <c r="J101" s="87" t="s">
        <v>2014</v>
      </c>
      <c r="K101" s="87" t="s">
        <v>1575</v>
      </c>
      <c r="L101" s="126" t="s">
        <v>19</v>
      </c>
      <c r="M101" s="94">
        <v>44225.833333333336</v>
      </c>
      <c r="N101" s="94">
        <v>44225.875</v>
      </c>
      <c r="O101" s="95" t="str">
        <f>PROPER(TEXT(Table1[[#This Row],[Fecha Inicio]],"mmmm"))</f>
        <v>Enero</v>
      </c>
      <c r="P101" s="96" t="s">
        <v>219</v>
      </c>
      <c r="Q101" s="97" t="s">
        <v>2018</v>
      </c>
      <c r="R101" s="76">
        <f t="shared" si="5"/>
        <v>1</v>
      </c>
      <c r="S101" s="76">
        <f t="shared" si="6"/>
        <v>1</v>
      </c>
      <c r="T101" s="76" t="str">
        <f t="shared" si="7"/>
        <v>-</v>
      </c>
      <c r="U101" s="76" t="str">
        <f t="shared" si="8"/>
        <v>-</v>
      </c>
      <c r="V101" s="76" t="str">
        <f t="shared" si="9"/>
        <v>-</v>
      </c>
      <c r="Z101" s="62"/>
    </row>
    <row r="102" spans="1:26" ht="40.15" customHeight="1" x14ac:dyDescent="0.25">
      <c r="A102" s="87">
        <v>1</v>
      </c>
      <c r="B102" s="88" t="s">
        <v>1550</v>
      </c>
      <c r="C102" s="89" t="s">
        <v>1716</v>
      </c>
      <c r="D102" s="90" t="s">
        <v>326</v>
      </c>
      <c r="E102" s="90" t="s">
        <v>1631</v>
      </c>
      <c r="F102" s="91" t="s">
        <v>1556</v>
      </c>
      <c r="G102" s="92" t="s">
        <v>1557</v>
      </c>
      <c r="H102" s="93" t="s">
        <v>2019</v>
      </c>
      <c r="I102" s="87" t="s">
        <v>1919</v>
      </c>
      <c r="J102" s="91" t="s">
        <v>1920</v>
      </c>
      <c r="K102" s="87" t="s">
        <v>1921</v>
      </c>
      <c r="L102" s="126" t="s">
        <v>19</v>
      </c>
      <c r="M102" s="94">
        <v>44227</v>
      </c>
      <c r="N102" s="94">
        <v>44227.25</v>
      </c>
      <c r="O102" s="95" t="str">
        <f>PROPER(TEXT(Table1[[#This Row],[Fecha Inicio]],"mmmm"))</f>
        <v>Enero</v>
      </c>
      <c r="P102" s="96" t="s">
        <v>2020</v>
      </c>
      <c r="Q102" s="97" t="s">
        <v>2021</v>
      </c>
      <c r="R102" s="76">
        <f t="shared" si="5"/>
        <v>18</v>
      </c>
      <c r="S102" s="76">
        <f t="shared" si="6"/>
        <v>18</v>
      </c>
      <c r="T102" s="76" t="str">
        <f t="shared" si="7"/>
        <v>-</v>
      </c>
      <c r="U102" s="76" t="str">
        <f t="shared" si="8"/>
        <v>-</v>
      </c>
      <c r="V102" s="76" t="str">
        <f t="shared" si="9"/>
        <v>-</v>
      </c>
      <c r="Z102" s="62"/>
    </row>
    <row r="103" spans="1:26" ht="40.15" customHeight="1" x14ac:dyDescent="0.25">
      <c r="A103" s="87">
        <v>4</v>
      </c>
      <c r="B103" s="88" t="s">
        <v>1550</v>
      </c>
      <c r="C103" s="99" t="s">
        <v>2022</v>
      </c>
      <c r="D103" s="90" t="s">
        <v>1570</v>
      </c>
      <c r="E103" s="90" t="s">
        <v>1571</v>
      </c>
      <c r="F103" s="87" t="s">
        <v>1600</v>
      </c>
      <c r="G103" s="92" t="s">
        <v>1557</v>
      </c>
      <c r="H103" s="93" t="s">
        <v>2023</v>
      </c>
      <c r="I103" s="91" t="s">
        <v>2024</v>
      </c>
      <c r="J103" s="87" t="s">
        <v>2025</v>
      </c>
      <c r="K103" s="87" t="s">
        <v>1341</v>
      </c>
      <c r="L103" s="126" t="s">
        <v>19</v>
      </c>
      <c r="M103" s="94">
        <v>44227.958333333336</v>
      </c>
      <c r="N103" s="94">
        <v>44228.416666666664</v>
      </c>
      <c r="O103" s="95" t="str">
        <f>PROPER(TEXT(Table1[[#This Row],[Fecha Inicio]],"mmmm"))</f>
        <v>Enero</v>
      </c>
      <c r="P103" s="96" t="s">
        <v>2026</v>
      </c>
      <c r="Q103" s="97" t="s">
        <v>2027</v>
      </c>
      <c r="R103" s="76">
        <f t="shared" si="5"/>
        <v>2</v>
      </c>
      <c r="S103" s="76">
        <f t="shared" si="6"/>
        <v>2</v>
      </c>
      <c r="T103" s="76" t="str">
        <f t="shared" si="7"/>
        <v>-</v>
      </c>
      <c r="U103" s="76" t="str">
        <f t="shared" si="8"/>
        <v>-</v>
      </c>
      <c r="V103" s="76" t="str">
        <f t="shared" si="9"/>
        <v>-</v>
      </c>
      <c r="Z103" s="62"/>
    </row>
    <row r="104" spans="1:26" ht="40.15" customHeight="1" x14ac:dyDescent="0.25">
      <c r="A104" s="87">
        <v>4</v>
      </c>
      <c r="B104" s="88" t="s">
        <v>1550</v>
      </c>
      <c r="C104" s="89" t="s">
        <v>1716</v>
      </c>
      <c r="D104" s="90" t="s">
        <v>326</v>
      </c>
      <c r="E104" s="90" t="s">
        <v>1631</v>
      </c>
      <c r="F104" s="91" t="s">
        <v>1556</v>
      </c>
      <c r="G104" s="92" t="s">
        <v>1557</v>
      </c>
      <c r="H104" s="93" t="s">
        <v>2028</v>
      </c>
      <c r="I104" s="87" t="s">
        <v>1728</v>
      </c>
      <c r="J104" s="87" t="s">
        <v>1729</v>
      </c>
      <c r="K104" s="87" t="s">
        <v>1575</v>
      </c>
      <c r="L104" s="126" t="s">
        <v>19</v>
      </c>
      <c r="M104" s="94">
        <v>44228.25</v>
      </c>
      <c r="N104" s="94">
        <v>44228.333333333336</v>
      </c>
      <c r="O104" s="95" t="str">
        <f>PROPER(TEXT(Table1[[#This Row],[Fecha Inicio]],"mmmm"))</f>
        <v>Febrero</v>
      </c>
      <c r="P104" s="96" t="s">
        <v>276</v>
      </c>
      <c r="Q104" s="97" t="s">
        <v>2029</v>
      </c>
      <c r="R104" s="76">
        <f t="shared" si="5"/>
        <v>1</v>
      </c>
      <c r="S104" s="76">
        <f t="shared" si="6"/>
        <v>1</v>
      </c>
      <c r="T104" s="76" t="str">
        <f t="shared" si="7"/>
        <v>-</v>
      </c>
      <c r="U104" s="76" t="str">
        <f t="shared" si="8"/>
        <v>-</v>
      </c>
      <c r="V104" s="76" t="str">
        <f t="shared" si="9"/>
        <v>-</v>
      </c>
      <c r="Z104" s="62"/>
    </row>
    <row r="105" spans="1:26" ht="40.15" customHeight="1" x14ac:dyDescent="0.25">
      <c r="A105" s="87">
        <v>3</v>
      </c>
      <c r="B105" s="88" t="s">
        <v>1550</v>
      </c>
      <c r="C105" s="99" t="s">
        <v>2030</v>
      </c>
      <c r="D105" s="90" t="s">
        <v>1623</v>
      </c>
      <c r="E105" s="90" t="s">
        <v>1624</v>
      </c>
      <c r="F105" s="87" t="s">
        <v>1600</v>
      </c>
      <c r="G105" s="92" t="s">
        <v>1557</v>
      </c>
      <c r="H105" s="93" t="s">
        <v>2031</v>
      </c>
      <c r="I105" s="87" t="s">
        <v>2032</v>
      </c>
      <c r="J105" s="87" t="s">
        <v>1603</v>
      </c>
      <c r="K105" s="87" t="s">
        <v>1341</v>
      </c>
      <c r="L105" s="126" t="s">
        <v>19</v>
      </c>
      <c r="M105" s="94">
        <v>44228.333333333336</v>
      </c>
      <c r="N105" s="94">
        <v>44228.541666666664</v>
      </c>
      <c r="O105" s="95" t="str">
        <f>PROPER(TEXT(Table1[[#This Row],[Fecha Inicio]],"mmmm"))</f>
        <v>Febrero</v>
      </c>
      <c r="P105" s="96" t="s">
        <v>2033</v>
      </c>
      <c r="Q105" s="97" t="s">
        <v>2034</v>
      </c>
      <c r="R105" s="76">
        <f t="shared" si="5"/>
        <v>2</v>
      </c>
      <c r="S105" s="76">
        <f t="shared" si="6"/>
        <v>2</v>
      </c>
      <c r="T105" s="76" t="str">
        <f t="shared" si="7"/>
        <v>-</v>
      </c>
      <c r="U105" s="76" t="str">
        <f t="shared" si="8"/>
        <v>-</v>
      </c>
      <c r="V105" s="76" t="str">
        <f t="shared" si="9"/>
        <v>-</v>
      </c>
      <c r="Z105" s="62"/>
    </row>
    <row r="106" spans="1:26" ht="40.15" customHeight="1" x14ac:dyDescent="0.25">
      <c r="A106" s="87">
        <v>4</v>
      </c>
      <c r="B106" s="88" t="s">
        <v>1550</v>
      </c>
      <c r="C106" s="89"/>
      <c r="D106" s="90" t="s">
        <v>344</v>
      </c>
      <c r="E106" s="90" t="s">
        <v>1616</v>
      </c>
      <c r="F106" s="87" t="s">
        <v>1556</v>
      </c>
      <c r="G106" s="92" t="s">
        <v>1557</v>
      </c>
      <c r="H106" s="93" t="s">
        <v>2035</v>
      </c>
      <c r="I106" s="87" t="s">
        <v>2036</v>
      </c>
      <c r="J106" s="87" t="s">
        <v>1802</v>
      </c>
      <c r="K106" s="87" t="s">
        <v>1596</v>
      </c>
      <c r="L106" s="126" t="s">
        <v>19</v>
      </c>
      <c r="M106" s="94">
        <v>44228.958333333336</v>
      </c>
      <c r="N106" s="94">
        <v>44229.208333333336</v>
      </c>
      <c r="O106" s="95" t="str">
        <f>PROPER(TEXT(Table1[[#This Row],[Fecha Inicio]],"mmmm"))</f>
        <v>Febrero</v>
      </c>
      <c r="P106" s="96" t="s">
        <v>2037</v>
      </c>
      <c r="Q106" s="97" t="s">
        <v>2038</v>
      </c>
      <c r="R106" s="76">
        <f t="shared" si="5"/>
        <v>3</v>
      </c>
      <c r="S106" s="76">
        <f t="shared" si="6"/>
        <v>3</v>
      </c>
      <c r="T106" s="76" t="str">
        <f t="shared" si="7"/>
        <v>-</v>
      </c>
      <c r="U106" s="76" t="str">
        <f t="shared" si="8"/>
        <v>-</v>
      </c>
      <c r="V106" s="76" t="str">
        <f t="shared" si="9"/>
        <v>-</v>
      </c>
      <c r="Z106" s="62"/>
    </row>
    <row r="107" spans="1:26" ht="40.15" customHeight="1" x14ac:dyDescent="0.25">
      <c r="A107" s="87">
        <v>4</v>
      </c>
      <c r="B107" s="88" t="s">
        <v>1550</v>
      </c>
      <c r="C107" s="89"/>
      <c r="D107" s="90" t="s">
        <v>1623</v>
      </c>
      <c r="E107" s="90" t="s">
        <v>1624</v>
      </c>
      <c r="F107" s="91" t="s">
        <v>1556</v>
      </c>
      <c r="G107" s="92" t="s">
        <v>1557</v>
      </c>
      <c r="H107" s="93" t="s">
        <v>2039</v>
      </c>
      <c r="I107" s="87" t="s">
        <v>2040</v>
      </c>
      <c r="J107" s="87" t="s">
        <v>1771</v>
      </c>
      <c r="K107" s="87" t="s">
        <v>1575</v>
      </c>
      <c r="L107" s="126" t="s">
        <v>19</v>
      </c>
      <c r="M107" s="94">
        <v>44229.291666666664</v>
      </c>
      <c r="N107" s="94">
        <v>44229.541666666664</v>
      </c>
      <c r="O107" s="95" t="str">
        <f>PROPER(TEXT(Table1[[#This Row],[Fecha Inicio]],"mmmm"))</f>
        <v>Febrero</v>
      </c>
      <c r="P107" s="96" t="s">
        <v>1772</v>
      </c>
      <c r="Q107" s="97" t="s">
        <v>2041</v>
      </c>
      <c r="R107" s="76">
        <f t="shared" si="5"/>
        <v>2</v>
      </c>
      <c r="S107" s="76">
        <f t="shared" si="6"/>
        <v>2</v>
      </c>
      <c r="T107" s="76" t="str">
        <f t="shared" si="7"/>
        <v>-</v>
      </c>
      <c r="U107" s="76" t="str">
        <f t="shared" si="8"/>
        <v>-</v>
      </c>
      <c r="V107" s="76" t="str">
        <f t="shared" si="9"/>
        <v>-</v>
      </c>
      <c r="Z107" s="62"/>
    </row>
    <row r="108" spans="1:26" ht="40.15" customHeight="1" x14ac:dyDescent="0.25">
      <c r="A108" s="87">
        <v>4</v>
      </c>
      <c r="B108" s="100" t="s">
        <v>2046</v>
      </c>
      <c r="C108" s="89" t="s">
        <v>2047</v>
      </c>
      <c r="D108" s="90" t="s">
        <v>326</v>
      </c>
      <c r="E108" s="90" t="s">
        <v>1742</v>
      </c>
      <c r="F108" s="87" t="s">
        <v>1556</v>
      </c>
      <c r="G108" s="92" t="s">
        <v>1557</v>
      </c>
      <c r="H108" s="93" t="s">
        <v>2048</v>
      </c>
      <c r="I108" s="87" t="s">
        <v>2049</v>
      </c>
      <c r="J108" s="87" t="s">
        <v>1560</v>
      </c>
      <c r="K108" s="87" t="s">
        <v>1561</v>
      </c>
      <c r="L108" s="87" t="s">
        <v>52</v>
      </c>
      <c r="M108" s="94">
        <v>44229.375</v>
      </c>
      <c r="N108" s="94">
        <v>44229.416666666664</v>
      </c>
      <c r="O108" s="95" t="str">
        <f>PROPER(TEXT(Table1[[#This Row],[Fecha Inicio]],"mmmm"))</f>
        <v>Febrero</v>
      </c>
      <c r="P108" s="96" t="s">
        <v>2050</v>
      </c>
      <c r="Q108" s="97" t="s">
        <v>2051</v>
      </c>
      <c r="R108" s="76">
        <f t="shared" si="5"/>
        <v>1</v>
      </c>
      <c r="S108" s="76" t="str">
        <f t="shared" si="6"/>
        <v>-</v>
      </c>
      <c r="T108" s="76" t="str">
        <f t="shared" si="7"/>
        <v>-</v>
      </c>
      <c r="U108" s="76" t="str">
        <f t="shared" si="8"/>
        <v>-</v>
      </c>
      <c r="V108" s="76" t="str">
        <f t="shared" si="9"/>
        <v>-</v>
      </c>
      <c r="Z108" s="62"/>
    </row>
    <row r="109" spans="1:26" ht="40.15" customHeight="1" x14ac:dyDescent="0.25">
      <c r="A109" s="87">
        <v>2</v>
      </c>
      <c r="B109" s="88" t="s">
        <v>1550</v>
      </c>
      <c r="C109" s="99" t="s">
        <v>2030</v>
      </c>
      <c r="D109" s="90" t="s">
        <v>1554</v>
      </c>
      <c r="E109" s="90" t="s">
        <v>1555</v>
      </c>
      <c r="F109" s="87" t="s">
        <v>1600</v>
      </c>
      <c r="G109" s="92" t="s">
        <v>1557</v>
      </c>
      <c r="H109" s="93" t="s">
        <v>2042</v>
      </c>
      <c r="I109" s="87" t="s">
        <v>2043</v>
      </c>
      <c r="J109" s="87" t="s">
        <v>1603</v>
      </c>
      <c r="K109" s="87" t="s">
        <v>1341</v>
      </c>
      <c r="L109" s="87" t="s">
        <v>52</v>
      </c>
      <c r="M109" s="94">
        <v>44229.375</v>
      </c>
      <c r="N109" s="94">
        <v>44230.875</v>
      </c>
      <c r="O109" s="95" t="str">
        <f>PROPER(TEXT(Table1[[#This Row],[Fecha Inicio]],"mmmm"))</f>
        <v>Febrero</v>
      </c>
      <c r="P109" s="96" t="s">
        <v>2044</v>
      </c>
      <c r="Q109" s="97" t="s">
        <v>2045</v>
      </c>
      <c r="R109" s="76">
        <f t="shared" si="5"/>
        <v>3</v>
      </c>
      <c r="S109" s="76">
        <f t="shared" si="6"/>
        <v>3</v>
      </c>
      <c r="T109" s="76" t="str">
        <f t="shared" si="7"/>
        <v>-</v>
      </c>
      <c r="U109" s="76" t="str">
        <f t="shared" si="8"/>
        <v>-</v>
      </c>
      <c r="V109" s="76" t="str">
        <f t="shared" si="9"/>
        <v>-</v>
      </c>
      <c r="Z109" s="62"/>
    </row>
    <row r="110" spans="1:26" ht="40.15" customHeight="1" x14ac:dyDescent="0.25">
      <c r="A110" s="87">
        <v>5</v>
      </c>
      <c r="B110" s="88" t="s">
        <v>1550</v>
      </c>
      <c r="C110" s="89" t="s">
        <v>1578</v>
      </c>
      <c r="D110" s="90" t="s">
        <v>326</v>
      </c>
      <c r="E110" s="90" t="s">
        <v>1742</v>
      </c>
      <c r="F110" s="87" t="s">
        <v>1556</v>
      </c>
      <c r="G110" s="92" t="s">
        <v>1557</v>
      </c>
      <c r="H110" s="93" t="s">
        <v>2052</v>
      </c>
      <c r="I110" s="87" t="s">
        <v>2053</v>
      </c>
      <c r="J110" s="87" t="s">
        <v>2054</v>
      </c>
      <c r="K110" s="87" t="s">
        <v>2055</v>
      </c>
      <c r="L110" s="87" t="s">
        <v>52</v>
      </c>
      <c r="M110" s="94">
        <v>44229.416666666664</v>
      </c>
      <c r="N110" s="94">
        <v>44229.458333333336</v>
      </c>
      <c r="O110" s="95" t="str">
        <f>PROPER(TEXT(Table1[[#This Row],[Fecha Inicio]],"mmmm"))</f>
        <v>Febrero</v>
      </c>
      <c r="P110" s="96" t="s">
        <v>2056</v>
      </c>
      <c r="Q110" s="97" t="s">
        <v>2057</v>
      </c>
      <c r="R110" s="76">
        <f t="shared" si="5"/>
        <v>4</v>
      </c>
      <c r="S110" s="76">
        <f t="shared" si="6"/>
        <v>4</v>
      </c>
      <c r="T110" s="76" t="str">
        <f t="shared" si="7"/>
        <v>-</v>
      </c>
      <c r="U110" s="76" t="str">
        <f t="shared" si="8"/>
        <v>-</v>
      </c>
      <c r="V110" s="76" t="str">
        <f t="shared" si="9"/>
        <v>-</v>
      </c>
      <c r="Z110" s="62"/>
    </row>
    <row r="111" spans="1:26" ht="40.15" customHeight="1" x14ac:dyDescent="0.25">
      <c r="A111" s="87">
        <v>5</v>
      </c>
      <c r="B111" s="88" t="s">
        <v>1550</v>
      </c>
      <c r="C111" s="89" t="s">
        <v>1578</v>
      </c>
      <c r="D111" s="90" t="s">
        <v>1665</v>
      </c>
      <c r="E111" s="90" t="s">
        <v>1666</v>
      </c>
      <c r="F111" s="87" t="s">
        <v>1556</v>
      </c>
      <c r="G111" s="92" t="s">
        <v>1557</v>
      </c>
      <c r="H111" s="93" t="s">
        <v>2058</v>
      </c>
      <c r="I111" s="87" t="s">
        <v>2059</v>
      </c>
      <c r="J111" s="87" t="s">
        <v>1669</v>
      </c>
      <c r="K111" s="87" t="s">
        <v>1670</v>
      </c>
      <c r="L111" s="126" t="s">
        <v>19</v>
      </c>
      <c r="M111" s="94">
        <v>44229.541666666664</v>
      </c>
      <c r="N111" s="94">
        <v>44229.628472222219</v>
      </c>
      <c r="O111" s="95" t="str">
        <f>PROPER(TEXT(Table1[[#This Row],[Fecha Inicio]],"mmmm"))</f>
        <v>Febrero</v>
      </c>
      <c r="P111" s="96" t="s">
        <v>2060</v>
      </c>
      <c r="Q111" s="97" t="s">
        <v>2061</v>
      </c>
      <c r="R111" s="76">
        <f t="shared" si="5"/>
        <v>1</v>
      </c>
      <c r="S111" s="76">
        <f t="shared" si="6"/>
        <v>1</v>
      </c>
      <c r="T111" s="76" t="str">
        <f t="shared" si="7"/>
        <v>-</v>
      </c>
      <c r="U111" s="76" t="str">
        <f t="shared" si="8"/>
        <v>-</v>
      </c>
      <c r="V111" s="76" t="str">
        <f t="shared" si="9"/>
        <v>-</v>
      </c>
      <c r="Z111" s="62"/>
    </row>
    <row r="112" spans="1:26" ht="40.15" customHeight="1" x14ac:dyDescent="0.25">
      <c r="A112" s="87">
        <v>5</v>
      </c>
      <c r="B112" s="88" t="s">
        <v>1550</v>
      </c>
      <c r="C112" s="89" t="s">
        <v>1578</v>
      </c>
      <c r="D112" s="90" t="s">
        <v>1579</v>
      </c>
      <c r="E112" s="90" t="s">
        <v>1580</v>
      </c>
      <c r="F112" s="87" t="s">
        <v>1556</v>
      </c>
      <c r="G112" s="92" t="s">
        <v>1557</v>
      </c>
      <c r="H112" s="93" t="s">
        <v>2062</v>
      </c>
      <c r="I112" s="87" t="s">
        <v>2063</v>
      </c>
      <c r="J112" s="91" t="s">
        <v>1583</v>
      </c>
      <c r="K112" s="87" t="s">
        <v>1584</v>
      </c>
      <c r="L112" s="87" t="s">
        <v>41</v>
      </c>
      <c r="M112" s="94">
        <v>44229.9375</v>
      </c>
      <c r="N112" s="94">
        <v>44230.1875</v>
      </c>
      <c r="O112" s="95" t="str">
        <f>PROPER(TEXT(Table1[[#This Row],[Fecha Inicio]],"mmmm"))</f>
        <v>Febrero</v>
      </c>
      <c r="P112" s="96" t="s">
        <v>2064</v>
      </c>
      <c r="Q112" s="97" t="s">
        <v>2065</v>
      </c>
      <c r="R112" s="76">
        <f t="shared" si="5"/>
        <v>1</v>
      </c>
      <c r="S112" s="76">
        <f t="shared" si="6"/>
        <v>1</v>
      </c>
      <c r="T112" s="76" t="str">
        <f t="shared" si="7"/>
        <v>-</v>
      </c>
      <c r="U112" s="76" t="str">
        <f t="shared" si="8"/>
        <v>-</v>
      </c>
      <c r="V112" s="76" t="str">
        <f t="shared" si="9"/>
        <v>-</v>
      </c>
      <c r="Z112" s="62"/>
    </row>
    <row r="113" spans="1:26" ht="40.15" customHeight="1" x14ac:dyDescent="0.25">
      <c r="A113" s="87">
        <v>5</v>
      </c>
      <c r="B113" s="88" t="s">
        <v>1550</v>
      </c>
      <c r="C113" s="89" t="s">
        <v>1578</v>
      </c>
      <c r="D113" s="90" t="s">
        <v>1623</v>
      </c>
      <c r="E113" s="90" t="s">
        <v>1624</v>
      </c>
      <c r="F113" s="91" t="s">
        <v>1556</v>
      </c>
      <c r="G113" s="92" t="s">
        <v>1557</v>
      </c>
      <c r="H113" s="93" t="s">
        <v>2070</v>
      </c>
      <c r="I113" s="87" t="s">
        <v>2071</v>
      </c>
      <c r="J113" s="87" t="s">
        <v>2072</v>
      </c>
      <c r="K113" s="87" t="s">
        <v>1575</v>
      </c>
      <c r="L113" s="126" t="s">
        <v>19</v>
      </c>
      <c r="M113" s="94">
        <v>44229.958333333336</v>
      </c>
      <c r="N113" s="94">
        <v>44230.041666666664</v>
      </c>
      <c r="O113" s="95" t="str">
        <f>PROPER(TEXT(Table1[[#This Row],[Fecha Inicio]],"mmmm"))</f>
        <v>Febrero</v>
      </c>
      <c r="P113" s="96" t="s">
        <v>2073</v>
      </c>
      <c r="Q113" s="97" t="s">
        <v>2074</v>
      </c>
      <c r="R113" s="76">
        <f t="shared" si="5"/>
        <v>1</v>
      </c>
      <c r="S113" s="76">
        <f t="shared" si="6"/>
        <v>1</v>
      </c>
      <c r="T113" s="76" t="str">
        <f t="shared" si="7"/>
        <v>-</v>
      </c>
      <c r="U113" s="76" t="str">
        <f t="shared" si="8"/>
        <v>-</v>
      </c>
      <c r="V113" s="76" t="str">
        <f t="shared" si="9"/>
        <v>-</v>
      </c>
      <c r="Z113" s="62"/>
    </row>
    <row r="114" spans="1:26" ht="40.15" customHeight="1" x14ac:dyDescent="0.25">
      <c r="A114" s="87">
        <v>4</v>
      </c>
      <c r="B114" s="88" t="s">
        <v>1550</v>
      </c>
      <c r="C114" s="89"/>
      <c r="D114" s="90" t="s">
        <v>344</v>
      </c>
      <c r="E114" s="90" t="s">
        <v>1616</v>
      </c>
      <c r="F114" s="87" t="s">
        <v>1556</v>
      </c>
      <c r="G114" s="92" t="s">
        <v>1557</v>
      </c>
      <c r="H114" s="93" t="s">
        <v>2066</v>
      </c>
      <c r="I114" s="87" t="s">
        <v>2067</v>
      </c>
      <c r="J114" s="87" t="s">
        <v>1802</v>
      </c>
      <c r="K114" s="87" t="s">
        <v>1596</v>
      </c>
      <c r="L114" s="126" t="s">
        <v>19</v>
      </c>
      <c r="M114" s="94">
        <v>44229.958333333336</v>
      </c>
      <c r="N114" s="94">
        <v>44230.208333333336</v>
      </c>
      <c r="O114" s="95" t="str">
        <f>PROPER(TEXT(Table1[[#This Row],[Fecha Inicio]],"mmmm"))</f>
        <v>Febrero</v>
      </c>
      <c r="P114" s="96" t="s">
        <v>2068</v>
      </c>
      <c r="Q114" s="97" t="s">
        <v>2069</v>
      </c>
      <c r="R114" s="76">
        <f t="shared" si="5"/>
        <v>3</v>
      </c>
      <c r="S114" s="76">
        <f t="shared" si="6"/>
        <v>3</v>
      </c>
      <c r="T114" s="76" t="str">
        <f t="shared" si="7"/>
        <v>-</v>
      </c>
      <c r="U114" s="76" t="str">
        <f t="shared" si="8"/>
        <v>-</v>
      </c>
      <c r="V114" s="76" t="str">
        <f t="shared" si="9"/>
        <v>-</v>
      </c>
      <c r="Z114" s="62"/>
    </row>
    <row r="115" spans="1:26" ht="40.15" customHeight="1" x14ac:dyDescent="0.25">
      <c r="A115" s="87">
        <v>5</v>
      </c>
      <c r="B115" s="88" t="s">
        <v>1550</v>
      </c>
      <c r="C115" s="89"/>
      <c r="D115" s="90" t="s">
        <v>326</v>
      </c>
      <c r="E115" s="90" t="s">
        <v>1631</v>
      </c>
      <c r="F115" s="87" t="s">
        <v>1556</v>
      </c>
      <c r="G115" s="92" t="s">
        <v>1557</v>
      </c>
      <c r="H115" s="93" t="s">
        <v>2075</v>
      </c>
      <c r="I115" s="87" t="s">
        <v>2076</v>
      </c>
      <c r="J115" s="87" t="s">
        <v>1859</v>
      </c>
      <c r="K115" s="87" t="s">
        <v>1860</v>
      </c>
      <c r="L115" s="87" t="s">
        <v>52</v>
      </c>
      <c r="M115" s="94">
        <v>44230.375</v>
      </c>
      <c r="N115" s="94">
        <v>44231.791666666664</v>
      </c>
      <c r="O115" s="95" t="str">
        <f>PROPER(TEXT(Table1[[#This Row],[Fecha Inicio]],"mmmm"))</f>
        <v>Febrero</v>
      </c>
      <c r="P115" s="96" t="s">
        <v>2077</v>
      </c>
      <c r="Q115" s="97" t="s">
        <v>2078</v>
      </c>
      <c r="R115" s="76">
        <f t="shared" si="5"/>
        <v>2</v>
      </c>
      <c r="S115" s="76">
        <f t="shared" si="6"/>
        <v>2</v>
      </c>
      <c r="T115" s="76" t="str">
        <f t="shared" si="7"/>
        <v>-</v>
      </c>
      <c r="U115" s="76" t="str">
        <f t="shared" si="8"/>
        <v>-</v>
      </c>
      <c r="V115" s="76" t="str">
        <f t="shared" si="9"/>
        <v>-</v>
      </c>
      <c r="Z115" s="62"/>
    </row>
    <row r="116" spans="1:26" ht="40.15" customHeight="1" x14ac:dyDescent="0.25">
      <c r="A116" s="87">
        <v>4</v>
      </c>
      <c r="B116" s="88" t="s">
        <v>1550</v>
      </c>
      <c r="C116" s="89" t="s">
        <v>1578</v>
      </c>
      <c r="D116" s="90" t="s">
        <v>326</v>
      </c>
      <c r="E116" s="90" t="s">
        <v>1742</v>
      </c>
      <c r="F116" s="87" t="s">
        <v>1556</v>
      </c>
      <c r="G116" s="92" t="s">
        <v>1557</v>
      </c>
      <c r="H116" s="93" t="s">
        <v>2079</v>
      </c>
      <c r="I116" s="87" t="s">
        <v>2080</v>
      </c>
      <c r="J116" s="87" t="s">
        <v>1566</v>
      </c>
      <c r="K116" s="87" t="s">
        <v>1567</v>
      </c>
      <c r="L116" s="87" t="s">
        <v>52</v>
      </c>
      <c r="M116" s="94">
        <v>44230.416666666664</v>
      </c>
      <c r="N116" s="94">
        <v>44230.458333333336</v>
      </c>
      <c r="O116" s="95" t="str">
        <f>PROPER(TEXT(Table1[[#This Row],[Fecha Inicio]],"mmmm"))</f>
        <v>Febrero</v>
      </c>
      <c r="P116" s="96" t="s">
        <v>2081</v>
      </c>
      <c r="Q116" s="97" t="s">
        <v>2082</v>
      </c>
      <c r="R116" s="76">
        <f t="shared" si="5"/>
        <v>5</v>
      </c>
      <c r="S116" s="76">
        <f t="shared" si="6"/>
        <v>5</v>
      </c>
      <c r="T116" s="76" t="str">
        <f t="shared" si="7"/>
        <v>-</v>
      </c>
      <c r="U116" s="76" t="str">
        <f t="shared" si="8"/>
        <v>-</v>
      </c>
      <c r="V116" s="76" t="str">
        <f t="shared" si="9"/>
        <v>-</v>
      </c>
      <c r="Z116" s="62"/>
    </row>
    <row r="117" spans="1:26" ht="40.15" customHeight="1" x14ac:dyDescent="0.25">
      <c r="A117" s="87">
        <v>5</v>
      </c>
      <c r="B117" s="88" t="s">
        <v>1550</v>
      </c>
      <c r="C117" s="89" t="s">
        <v>1578</v>
      </c>
      <c r="D117" s="90" t="s">
        <v>326</v>
      </c>
      <c r="E117" s="90" t="s">
        <v>1742</v>
      </c>
      <c r="F117" s="87" t="s">
        <v>1556</v>
      </c>
      <c r="G117" s="92" t="s">
        <v>1557</v>
      </c>
      <c r="H117" s="93" t="s">
        <v>2083</v>
      </c>
      <c r="I117" s="87" t="s">
        <v>2084</v>
      </c>
      <c r="J117" s="87" t="s">
        <v>2085</v>
      </c>
      <c r="K117" s="87" t="s">
        <v>1575</v>
      </c>
      <c r="L117" s="87" t="s">
        <v>52</v>
      </c>
      <c r="M117" s="94">
        <v>44230.458333333336</v>
      </c>
      <c r="N117" s="94">
        <v>44230.5</v>
      </c>
      <c r="O117" s="95" t="str">
        <f>PROPER(TEXT(Table1[[#This Row],[Fecha Inicio]],"mmmm"))</f>
        <v>Febrero</v>
      </c>
      <c r="P117" s="96" t="s">
        <v>2086</v>
      </c>
      <c r="Q117" s="97" t="s">
        <v>2087</v>
      </c>
      <c r="R117" s="76">
        <f t="shared" si="5"/>
        <v>24</v>
      </c>
      <c r="S117" s="76">
        <f t="shared" si="6"/>
        <v>24</v>
      </c>
      <c r="T117" s="76" t="str">
        <f t="shared" si="7"/>
        <v>-</v>
      </c>
      <c r="U117" s="76" t="str">
        <f t="shared" si="8"/>
        <v>-</v>
      </c>
      <c r="V117" s="76" t="str">
        <f t="shared" si="9"/>
        <v>-</v>
      </c>
      <c r="Z117" s="62"/>
    </row>
    <row r="118" spans="1:26" ht="40.15" customHeight="1" x14ac:dyDescent="0.25">
      <c r="A118" s="87">
        <v>5</v>
      </c>
      <c r="B118" s="88" t="s">
        <v>1550</v>
      </c>
      <c r="C118" s="89" t="s">
        <v>1578</v>
      </c>
      <c r="D118" s="90" t="s">
        <v>326</v>
      </c>
      <c r="E118" s="90" t="s">
        <v>1742</v>
      </c>
      <c r="F118" s="87" t="s">
        <v>1556</v>
      </c>
      <c r="G118" s="92" t="s">
        <v>1557</v>
      </c>
      <c r="H118" s="93" t="s">
        <v>2088</v>
      </c>
      <c r="I118" s="87" t="s">
        <v>2089</v>
      </c>
      <c r="J118" s="87" t="s">
        <v>2090</v>
      </c>
      <c r="K118" s="87" t="s">
        <v>1575</v>
      </c>
      <c r="L118" s="87" t="s">
        <v>52</v>
      </c>
      <c r="M118" s="94">
        <v>44230.458333333336</v>
      </c>
      <c r="N118" s="94">
        <v>44230.5</v>
      </c>
      <c r="O118" s="95" t="str">
        <f>PROPER(TEXT(Table1[[#This Row],[Fecha Inicio]],"mmmm"))</f>
        <v>Febrero</v>
      </c>
      <c r="P118" s="96" t="s">
        <v>2091</v>
      </c>
      <c r="Q118" s="97" t="s">
        <v>2092</v>
      </c>
      <c r="R118" s="76">
        <f t="shared" si="5"/>
        <v>2</v>
      </c>
      <c r="S118" s="76">
        <f t="shared" si="6"/>
        <v>2</v>
      </c>
      <c r="T118" s="76" t="str">
        <f t="shared" si="7"/>
        <v>-</v>
      </c>
      <c r="U118" s="76" t="str">
        <f t="shared" si="8"/>
        <v>-</v>
      </c>
      <c r="V118" s="76" t="str">
        <f t="shared" si="9"/>
        <v>-</v>
      </c>
      <c r="Z118" s="62"/>
    </row>
    <row r="119" spans="1:26" ht="40.15" customHeight="1" x14ac:dyDescent="0.25">
      <c r="A119" s="87">
        <v>4</v>
      </c>
      <c r="B119" s="88" t="s">
        <v>1550</v>
      </c>
      <c r="C119" s="89"/>
      <c r="D119" s="89" t="s">
        <v>1570</v>
      </c>
      <c r="E119" s="89" t="s">
        <v>1571</v>
      </c>
      <c r="F119" s="91" t="s">
        <v>1556</v>
      </c>
      <c r="G119" s="92" t="s">
        <v>1557</v>
      </c>
      <c r="H119" s="93" t="s">
        <v>2093</v>
      </c>
      <c r="I119" s="87" t="s">
        <v>2094</v>
      </c>
      <c r="J119" s="91" t="s">
        <v>1654</v>
      </c>
      <c r="K119" s="91" t="s">
        <v>1575</v>
      </c>
      <c r="L119" s="126" t="s">
        <v>19</v>
      </c>
      <c r="M119" s="94">
        <v>44230.666666666664</v>
      </c>
      <c r="N119" s="94">
        <v>44232.375</v>
      </c>
      <c r="O119" s="95" t="str">
        <f>PROPER(TEXT(Table1[[#This Row],[Fecha Inicio]],"mmmm"))</f>
        <v>Febrero</v>
      </c>
      <c r="P119" s="96" t="s">
        <v>2095</v>
      </c>
      <c r="Q119" s="97" t="s">
        <v>2096</v>
      </c>
      <c r="R119" s="76">
        <f t="shared" si="5"/>
        <v>8</v>
      </c>
      <c r="S119" s="76">
        <f t="shared" si="6"/>
        <v>8</v>
      </c>
      <c r="T119" s="76" t="str">
        <f t="shared" si="7"/>
        <v>-</v>
      </c>
      <c r="U119" s="76" t="str">
        <f t="shared" si="8"/>
        <v>-</v>
      </c>
      <c r="V119" s="76" t="str">
        <f t="shared" si="9"/>
        <v>-</v>
      </c>
      <c r="Z119" s="62"/>
    </row>
    <row r="120" spans="1:26" ht="40.15" customHeight="1" x14ac:dyDescent="0.25">
      <c r="A120" s="87">
        <v>5</v>
      </c>
      <c r="B120" s="88" t="s">
        <v>1550</v>
      </c>
      <c r="C120" s="89"/>
      <c r="D120" s="90" t="s">
        <v>326</v>
      </c>
      <c r="E120" s="90" t="s">
        <v>1742</v>
      </c>
      <c r="F120" s="87" t="s">
        <v>1556</v>
      </c>
      <c r="G120" s="92" t="s">
        <v>1557</v>
      </c>
      <c r="H120" s="93" t="s">
        <v>2101</v>
      </c>
      <c r="I120" s="87" t="s">
        <v>2102</v>
      </c>
      <c r="J120" s="87" t="s">
        <v>1560</v>
      </c>
      <c r="K120" s="87" t="s">
        <v>1561</v>
      </c>
      <c r="L120" s="87" t="s">
        <v>52</v>
      </c>
      <c r="M120" s="94">
        <v>44231.375</v>
      </c>
      <c r="N120" s="94">
        <v>44231.416666666664</v>
      </c>
      <c r="O120" s="95" t="str">
        <f>PROPER(TEXT(Table1[[#This Row],[Fecha Inicio]],"mmmm"))</f>
        <v>Febrero</v>
      </c>
      <c r="P120" s="96" t="s">
        <v>2103</v>
      </c>
      <c r="Q120" s="97" t="s">
        <v>2104</v>
      </c>
      <c r="R120" s="76">
        <f t="shared" si="5"/>
        <v>1</v>
      </c>
      <c r="S120" s="76">
        <f t="shared" si="6"/>
        <v>1</v>
      </c>
      <c r="T120" s="76" t="str">
        <f t="shared" si="7"/>
        <v>-</v>
      </c>
      <c r="U120" s="76" t="str">
        <f t="shared" si="8"/>
        <v>-</v>
      </c>
      <c r="V120" s="76" t="str">
        <f t="shared" si="9"/>
        <v>-</v>
      </c>
      <c r="Z120" s="62"/>
    </row>
    <row r="121" spans="1:26" ht="40.15" customHeight="1" x14ac:dyDescent="0.25">
      <c r="A121" s="87">
        <v>5</v>
      </c>
      <c r="B121" s="88" t="s">
        <v>1550</v>
      </c>
      <c r="C121" s="89"/>
      <c r="D121" s="90" t="s">
        <v>326</v>
      </c>
      <c r="E121" s="90" t="s">
        <v>1742</v>
      </c>
      <c r="F121" s="87" t="s">
        <v>1556</v>
      </c>
      <c r="G121" s="92" t="s">
        <v>1557</v>
      </c>
      <c r="H121" s="93" t="s">
        <v>2097</v>
      </c>
      <c r="I121" s="87" t="s">
        <v>2098</v>
      </c>
      <c r="J121" s="87" t="s">
        <v>1859</v>
      </c>
      <c r="K121" s="87" t="s">
        <v>1860</v>
      </c>
      <c r="L121" s="87" t="s">
        <v>52</v>
      </c>
      <c r="M121" s="94">
        <v>44231.375</v>
      </c>
      <c r="N121" s="94">
        <v>44231.583333333336</v>
      </c>
      <c r="O121" s="95" t="str">
        <f>PROPER(TEXT(Table1[[#This Row],[Fecha Inicio]],"mmmm"))</f>
        <v>Febrero</v>
      </c>
      <c r="P121" s="96" t="s">
        <v>2099</v>
      </c>
      <c r="Q121" s="97" t="s">
        <v>2100</v>
      </c>
      <c r="R121" s="76">
        <f t="shared" si="5"/>
        <v>1</v>
      </c>
      <c r="S121" s="76">
        <f t="shared" si="6"/>
        <v>1</v>
      </c>
      <c r="T121" s="76" t="str">
        <f t="shared" si="7"/>
        <v>-</v>
      </c>
      <c r="U121" s="76" t="str">
        <f t="shared" si="8"/>
        <v>-</v>
      </c>
      <c r="V121" s="76" t="str">
        <f t="shared" si="9"/>
        <v>-</v>
      </c>
      <c r="Z121" s="62"/>
    </row>
    <row r="122" spans="1:26" ht="40.15" customHeight="1" x14ac:dyDescent="0.25">
      <c r="A122" s="87">
        <v>5</v>
      </c>
      <c r="B122" s="88" t="s">
        <v>1550</v>
      </c>
      <c r="C122" s="89" t="s">
        <v>1578</v>
      </c>
      <c r="D122" s="90" t="s">
        <v>1665</v>
      </c>
      <c r="E122" s="90" t="s">
        <v>1666</v>
      </c>
      <c r="F122" s="87" t="s">
        <v>1556</v>
      </c>
      <c r="G122" s="92" t="s">
        <v>1557</v>
      </c>
      <c r="H122" s="93" t="s">
        <v>2105</v>
      </c>
      <c r="I122" s="87" t="s">
        <v>2106</v>
      </c>
      <c r="J122" s="87" t="s">
        <v>1669</v>
      </c>
      <c r="K122" s="87" t="s">
        <v>1670</v>
      </c>
      <c r="L122" s="126" t="s">
        <v>19</v>
      </c>
      <c r="M122" s="94">
        <v>44231.479166666664</v>
      </c>
      <c r="N122" s="94">
        <v>44231.645833333336</v>
      </c>
      <c r="O122" s="95" t="str">
        <f>PROPER(TEXT(Table1[[#This Row],[Fecha Inicio]],"mmmm"))</f>
        <v>Febrero</v>
      </c>
      <c r="P122" s="96" t="s">
        <v>2107</v>
      </c>
      <c r="Q122" s="97" t="s">
        <v>2108</v>
      </c>
      <c r="R122" s="76">
        <f t="shared" si="5"/>
        <v>1</v>
      </c>
      <c r="S122" s="76">
        <f t="shared" si="6"/>
        <v>1</v>
      </c>
      <c r="T122" s="76" t="str">
        <f t="shared" si="7"/>
        <v>-</v>
      </c>
      <c r="U122" s="76" t="str">
        <f t="shared" si="8"/>
        <v>-</v>
      </c>
      <c r="V122" s="76" t="str">
        <f t="shared" si="9"/>
        <v>-</v>
      </c>
      <c r="Z122" s="62"/>
    </row>
    <row r="123" spans="1:26" ht="40.15" customHeight="1" x14ac:dyDescent="0.25">
      <c r="A123" s="87">
        <v>5</v>
      </c>
      <c r="B123" s="88" t="s">
        <v>1550</v>
      </c>
      <c r="C123" s="89" t="s">
        <v>1578</v>
      </c>
      <c r="D123" s="90" t="s">
        <v>1623</v>
      </c>
      <c r="E123" s="90" t="s">
        <v>1624</v>
      </c>
      <c r="F123" s="91" t="s">
        <v>1556</v>
      </c>
      <c r="G123" s="92" t="s">
        <v>1557</v>
      </c>
      <c r="H123" s="93" t="s">
        <v>2109</v>
      </c>
      <c r="I123" s="87" t="s">
        <v>1685</v>
      </c>
      <c r="J123" s="87" t="s">
        <v>1627</v>
      </c>
      <c r="K123" s="87" t="s">
        <v>1575</v>
      </c>
      <c r="L123" s="126" t="s">
        <v>19</v>
      </c>
      <c r="M123" s="94">
        <v>44231.5</v>
      </c>
      <c r="N123" s="94">
        <v>44231.625</v>
      </c>
      <c r="O123" s="95" t="str">
        <f>PROPER(TEXT(Table1[[#This Row],[Fecha Inicio]],"mmmm"))</f>
        <v>Febrero</v>
      </c>
      <c r="P123" s="96" t="s">
        <v>1686</v>
      </c>
      <c r="Q123" s="97" t="s">
        <v>2110</v>
      </c>
      <c r="R123" s="76">
        <f t="shared" si="5"/>
        <v>2</v>
      </c>
      <c r="S123" s="76">
        <f t="shared" si="6"/>
        <v>2</v>
      </c>
      <c r="T123" s="76" t="str">
        <f t="shared" si="7"/>
        <v>-</v>
      </c>
      <c r="U123" s="76" t="str">
        <f t="shared" si="8"/>
        <v>-</v>
      </c>
      <c r="V123" s="76" t="str">
        <f t="shared" si="9"/>
        <v>-</v>
      </c>
      <c r="Z123" s="62"/>
    </row>
    <row r="124" spans="1:26" ht="40.15" customHeight="1" x14ac:dyDescent="0.25">
      <c r="A124" s="87">
        <v>5</v>
      </c>
      <c r="B124" s="100" t="s">
        <v>1551</v>
      </c>
      <c r="C124" s="89" t="s">
        <v>2111</v>
      </c>
      <c r="D124" s="90" t="s">
        <v>1623</v>
      </c>
      <c r="E124" s="90" t="s">
        <v>1624</v>
      </c>
      <c r="F124" s="87" t="s">
        <v>1556</v>
      </c>
      <c r="G124" s="92" t="s">
        <v>1557</v>
      </c>
      <c r="H124" s="93" t="s">
        <v>2112</v>
      </c>
      <c r="I124" s="87" t="s">
        <v>2113</v>
      </c>
      <c r="J124" s="87" t="s">
        <v>2085</v>
      </c>
      <c r="K124" s="87" t="s">
        <v>1575</v>
      </c>
      <c r="L124" s="87" t="s">
        <v>52</v>
      </c>
      <c r="M124" s="94">
        <v>44231.625</v>
      </c>
      <c r="N124" s="94">
        <v>44231.791666666664</v>
      </c>
      <c r="O124" s="95" t="str">
        <f>PROPER(TEXT(Table1[[#This Row],[Fecha Inicio]],"mmmm"))</f>
        <v>Febrero</v>
      </c>
      <c r="P124" s="96" t="s">
        <v>2114</v>
      </c>
      <c r="Q124" s="97" t="s">
        <v>2115</v>
      </c>
      <c r="R124" s="76">
        <f t="shared" si="5"/>
        <v>2</v>
      </c>
      <c r="S124" s="76" t="str">
        <f t="shared" si="6"/>
        <v>-</v>
      </c>
      <c r="T124" s="76" t="str">
        <f t="shared" si="7"/>
        <v>-</v>
      </c>
      <c r="U124" s="76" t="str">
        <f t="shared" si="8"/>
        <v>-</v>
      </c>
      <c r="V124" s="76" t="str">
        <f t="shared" si="9"/>
        <v>-</v>
      </c>
      <c r="Z124" s="62"/>
    </row>
    <row r="125" spans="1:26" ht="40.15" customHeight="1" x14ac:dyDescent="0.25">
      <c r="A125" s="87">
        <v>5</v>
      </c>
      <c r="B125" s="88" t="s">
        <v>1550</v>
      </c>
      <c r="C125" s="89" t="s">
        <v>1578</v>
      </c>
      <c r="D125" s="90" t="s">
        <v>1579</v>
      </c>
      <c r="E125" s="90" t="s">
        <v>1580</v>
      </c>
      <c r="F125" s="87" t="s">
        <v>1556</v>
      </c>
      <c r="G125" s="92" t="s">
        <v>1557</v>
      </c>
      <c r="H125" s="93" t="s">
        <v>2116</v>
      </c>
      <c r="I125" s="87" t="s">
        <v>1997</v>
      </c>
      <c r="J125" s="91" t="s">
        <v>1583</v>
      </c>
      <c r="K125" s="87" t="s">
        <v>1584</v>
      </c>
      <c r="L125" s="87" t="s">
        <v>41</v>
      </c>
      <c r="M125" s="94">
        <v>44231.9375</v>
      </c>
      <c r="N125" s="94">
        <v>44232.1875</v>
      </c>
      <c r="O125" s="95" t="str">
        <f>PROPER(TEXT(Table1[[#This Row],[Fecha Inicio]],"mmmm"))</f>
        <v>Febrero</v>
      </c>
      <c r="P125" s="96" t="s">
        <v>1993</v>
      </c>
      <c r="Q125" s="97" t="s">
        <v>2117</v>
      </c>
      <c r="R125" s="76">
        <f t="shared" si="5"/>
        <v>1</v>
      </c>
      <c r="S125" s="76">
        <f t="shared" si="6"/>
        <v>1</v>
      </c>
      <c r="T125" s="76" t="str">
        <f t="shared" si="7"/>
        <v>-</v>
      </c>
      <c r="U125" s="76" t="str">
        <f t="shared" si="8"/>
        <v>-</v>
      </c>
      <c r="V125" s="76" t="str">
        <f t="shared" si="9"/>
        <v>-</v>
      </c>
      <c r="Z125" s="62"/>
    </row>
    <row r="126" spans="1:26" ht="40.15" customHeight="1" x14ac:dyDescent="0.25">
      <c r="A126" s="87">
        <v>53</v>
      </c>
      <c r="B126" s="88" t="s">
        <v>1550</v>
      </c>
      <c r="C126" s="98" t="s">
        <v>1599</v>
      </c>
      <c r="D126" s="89" t="s">
        <v>1570</v>
      </c>
      <c r="E126" s="89" t="s">
        <v>1571</v>
      </c>
      <c r="F126" s="87" t="s">
        <v>1600</v>
      </c>
      <c r="G126" s="92" t="s">
        <v>1557</v>
      </c>
      <c r="H126" s="93" t="s">
        <v>2118</v>
      </c>
      <c r="I126" s="87" t="s">
        <v>1602</v>
      </c>
      <c r="J126" s="87" t="s">
        <v>1603</v>
      </c>
      <c r="K126" s="87" t="s">
        <v>1341</v>
      </c>
      <c r="L126" s="89" t="s">
        <v>25</v>
      </c>
      <c r="M126" s="94">
        <v>44232.958333333336</v>
      </c>
      <c r="N126" s="94">
        <v>44233.25</v>
      </c>
      <c r="O126" s="95" t="str">
        <f>PROPER(TEXT(Table1[[#This Row],[Fecha Inicio]],"mmmm"))</f>
        <v>Febrero</v>
      </c>
      <c r="P126" s="96" t="s">
        <v>1604</v>
      </c>
      <c r="Q126" s="97" t="s">
        <v>2119</v>
      </c>
      <c r="R126" s="76">
        <f t="shared" si="5"/>
        <v>24</v>
      </c>
      <c r="S126" s="76">
        <f t="shared" si="6"/>
        <v>24</v>
      </c>
      <c r="T126" s="76" t="str">
        <f t="shared" si="7"/>
        <v>-</v>
      </c>
      <c r="U126" s="76" t="str">
        <f t="shared" si="8"/>
        <v>-</v>
      </c>
      <c r="V126" s="76" t="str">
        <f t="shared" si="9"/>
        <v>-</v>
      </c>
      <c r="Z126" s="62"/>
    </row>
    <row r="127" spans="1:26" ht="40.15" customHeight="1" x14ac:dyDescent="0.25">
      <c r="A127" s="87">
        <v>53</v>
      </c>
      <c r="B127" s="88" t="s">
        <v>1550</v>
      </c>
      <c r="C127" s="98" t="s">
        <v>1599</v>
      </c>
      <c r="D127" s="89" t="s">
        <v>1570</v>
      </c>
      <c r="E127" s="89" t="s">
        <v>1571</v>
      </c>
      <c r="F127" s="87" t="s">
        <v>1600</v>
      </c>
      <c r="G127" s="92" t="s">
        <v>1557</v>
      </c>
      <c r="H127" s="93" t="s">
        <v>2120</v>
      </c>
      <c r="I127" s="87" t="s">
        <v>1607</v>
      </c>
      <c r="J127" s="87" t="s">
        <v>1603</v>
      </c>
      <c r="K127" s="87" t="s">
        <v>1341</v>
      </c>
      <c r="L127" s="89" t="s">
        <v>25</v>
      </c>
      <c r="M127" s="94">
        <v>44233.958333333336</v>
      </c>
      <c r="N127" s="94">
        <v>44234.25</v>
      </c>
      <c r="O127" s="95" t="str">
        <f>PROPER(TEXT(Table1[[#This Row],[Fecha Inicio]],"mmmm"))</f>
        <v>Febrero</v>
      </c>
      <c r="P127" s="96" t="s">
        <v>2121</v>
      </c>
      <c r="Q127" s="97" t="s">
        <v>2122</v>
      </c>
      <c r="R127" s="76">
        <f t="shared" si="5"/>
        <v>103</v>
      </c>
      <c r="S127" s="76">
        <f t="shared" si="6"/>
        <v>103</v>
      </c>
      <c r="T127" s="76" t="str">
        <f t="shared" si="7"/>
        <v>-</v>
      </c>
      <c r="U127" s="76" t="str">
        <f t="shared" si="8"/>
        <v>-</v>
      </c>
      <c r="V127" s="76" t="str">
        <f t="shared" si="9"/>
        <v>-</v>
      </c>
      <c r="Z127" s="62"/>
    </row>
    <row r="128" spans="1:26" ht="40.15" customHeight="1" x14ac:dyDescent="0.25">
      <c r="A128" s="87">
        <v>5</v>
      </c>
      <c r="B128" s="88" t="s">
        <v>1550</v>
      </c>
      <c r="C128" s="89" t="s">
        <v>2022</v>
      </c>
      <c r="D128" s="90" t="s">
        <v>1570</v>
      </c>
      <c r="E128" s="90" t="s">
        <v>1571</v>
      </c>
      <c r="F128" s="87" t="s">
        <v>1600</v>
      </c>
      <c r="G128" s="92" t="s">
        <v>1557</v>
      </c>
      <c r="H128" s="93" t="s">
        <v>2123</v>
      </c>
      <c r="I128" s="91" t="s">
        <v>2124</v>
      </c>
      <c r="J128" s="87" t="s">
        <v>2025</v>
      </c>
      <c r="K128" s="87" t="s">
        <v>1341</v>
      </c>
      <c r="L128" s="126" t="s">
        <v>19</v>
      </c>
      <c r="M128" s="94">
        <v>44234.958333333336</v>
      </c>
      <c r="N128" s="94">
        <v>44235.416666666664</v>
      </c>
      <c r="O128" s="95" t="str">
        <f>PROPER(TEXT(Table1[[#This Row],[Fecha Inicio]],"mmmm"))</f>
        <v>Febrero</v>
      </c>
      <c r="P128" s="96" t="s">
        <v>2026</v>
      </c>
      <c r="Q128" s="97" t="s">
        <v>2125</v>
      </c>
      <c r="R128" s="76">
        <f t="shared" si="5"/>
        <v>2</v>
      </c>
      <c r="S128" s="76">
        <f t="shared" si="6"/>
        <v>2</v>
      </c>
      <c r="T128" s="76" t="str">
        <f t="shared" si="7"/>
        <v>-</v>
      </c>
      <c r="U128" s="76" t="str">
        <f t="shared" si="8"/>
        <v>-</v>
      </c>
      <c r="V128" s="76" t="str">
        <f t="shared" si="9"/>
        <v>-</v>
      </c>
      <c r="Z128" s="62"/>
    </row>
    <row r="129" spans="1:26" ht="40.15" customHeight="1" x14ac:dyDescent="0.25">
      <c r="A129" s="87">
        <v>5</v>
      </c>
      <c r="B129" s="88" t="s">
        <v>1550</v>
      </c>
      <c r="C129" s="89"/>
      <c r="D129" s="90" t="s">
        <v>1623</v>
      </c>
      <c r="E129" s="90" t="s">
        <v>1624</v>
      </c>
      <c r="F129" s="91" t="s">
        <v>1556</v>
      </c>
      <c r="G129" s="92" t="s">
        <v>1557</v>
      </c>
      <c r="H129" s="93" t="s">
        <v>2126</v>
      </c>
      <c r="I129" s="87" t="s">
        <v>2127</v>
      </c>
      <c r="J129" s="87" t="s">
        <v>1771</v>
      </c>
      <c r="K129" s="87" t="s">
        <v>1575</v>
      </c>
      <c r="L129" s="126" t="s">
        <v>19</v>
      </c>
      <c r="M129" s="94">
        <v>44235.291666666664</v>
      </c>
      <c r="N129" s="94">
        <v>44235.5</v>
      </c>
      <c r="O129" s="95" t="str">
        <f>PROPER(TEXT(Table1[[#This Row],[Fecha Inicio]],"mmmm"))</f>
        <v>Febrero</v>
      </c>
      <c r="P129" s="96" t="s">
        <v>1772</v>
      </c>
      <c r="Q129" s="97" t="s">
        <v>2128</v>
      </c>
      <c r="R129" s="76">
        <f t="shared" si="5"/>
        <v>2</v>
      </c>
      <c r="S129" s="76">
        <f t="shared" si="6"/>
        <v>2</v>
      </c>
      <c r="T129" s="76" t="str">
        <f t="shared" si="7"/>
        <v>-</v>
      </c>
      <c r="U129" s="76" t="str">
        <f t="shared" si="8"/>
        <v>-</v>
      </c>
      <c r="V129" s="76" t="str">
        <f t="shared" si="9"/>
        <v>-</v>
      </c>
      <c r="Z129" s="62"/>
    </row>
    <row r="130" spans="1:26" ht="40.15" customHeight="1" x14ac:dyDescent="0.25">
      <c r="A130" s="87">
        <v>5</v>
      </c>
      <c r="B130" s="88" t="s">
        <v>1550</v>
      </c>
      <c r="C130" s="89"/>
      <c r="D130" s="90" t="s">
        <v>1623</v>
      </c>
      <c r="E130" s="90" t="s">
        <v>1624</v>
      </c>
      <c r="F130" s="87" t="s">
        <v>1556</v>
      </c>
      <c r="G130" s="92" t="s">
        <v>1557</v>
      </c>
      <c r="H130" s="93" t="s">
        <v>2129</v>
      </c>
      <c r="I130" s="87" t="s">
        <v>2130</v>
      </c>
      <c r="J130" s="91" t="s">
        <v>1583</v>
      </c>
      <c r="K130" s="87" t="s">
        <v>1584</v>
      </c>
      <c r="L130" s="87" t="s">
        <v>52</v>
      </c>
      <c r="M130" s="94">
        <v>44235.333333333336</v>
      </c>
      <c r="N130" s="94">
        <v>44235.5</v>
      </c>
      <c r="O130" s="95" t="str">
        <f>PROPER(TEXT(Table1[[#This Row],[Fecha Inicio]],"mmmm"))</f>
        <v>Febrero</v>
      </c>
      <c r="P130" s="96" t="s">
        <v>2131</v>
      </c>
      <c r="Q130" s="97" t="s">
        <v>2132</v>
      </c>
      <c r="R130" s="76">
        <f t="shared" ref="R130:R193" si="10">LEN(TRIM(P130))-LEN(SUBSTITUTE(TRIM(P130),",",""))+1</f>
        <v>1</v>
      </c>
      <c r="S130" s="76">
        <f t="shared" ref="S130:S193" si="11">IF(B130="CON ÉXITO",R130,"-")</f>
        <v>1</v>
      </c>
      <c r="T130" s="76" t="str">
        <f t="shared" ref="T130:T193" si="12">IF($B130="Éxito con problemas",S130,"-")</f>
        <v>-</v>
      </c>
      <c r="U130" s="76" t="str">
        <f t="shared" ref="U130:U193" si="13">IF($B130="CANCELADO",R130,"-")</f>
        <v>-</v>
      </c>
      <c r="V130" s="76" t="str">
        <f t="shared" ref="V130:V193" si="14">IF($B130="Aplicada marcha atrás",R130,"-")</f>
        <v>-</v>
      </c>
      <c r="Z130" s="62"/>
    </row>
    <row r="131" spans="1:26" ht="40.15" customHeight="1" x14ac:dyDescent="0.25">
      <c r="A131" s="87">
        <v>6</v>
      </c>
      <c r="B131" s="88" t="s">
        <v>1550</v>
      </c>
      <c r="C131" s="89"/>
      <c r="D131" s="90" t="s">
        <v>1623</v>
      </c>
      <c r="E131" s="90" t="s">
        <v>1624</v>
      </c>
      <c r="F131" s="87" t="s">
        <v>1556</v>
      </c>
      <c r="G131" s="92" t="s">
        <v>1557</v>
      </c>
      <c r="H131" s="93" t="s">
        <v>2139</v>
      </c>
      <c r="I131" s="87" t="s">
        <v>2140</v>
      </c>
      <c r="J131" s="91" t="s">
        <v>1583</v>
      </c>
      <c r="K131" s="87" t="s">
        <v>1584</v>
      </c>
      <c r="L131" s="87" t="s">
        <v>41</v>
      </c>
      <c r="M131" s="94">
        <v>44235.375</v>
      </c>
      <c r="N131" s="94">
        <v>44235.5</v>
      </c>
      <c r="O131" s="95" t="str">
        <f>PROPER(TEXT(Table1[[#This Row],[Fecha Inicio]],"mmmm"))</f>
        <v>Febrero</v>
      </c>
      <c r="P131" s="96" t="s">
        <v>2141</v>
      </c>
      <c r="Q131" s="97" t="s">
        <v>2142</v>
      </c>
      <c r="R131" s="76">
        <f t="shared" si="10"/>
        <v>1</v>
      </c>
      <c r="S131" s="76">
        <f t="shared" si="11"/>
        <v>1</v>
      </c>
      <c r="T131" s="76" t="str">
        <f t="shared" si="12"/>
        <v>-</v>
      </c>
      <c r="U131" s="76" t="str">
        <f t="shared" si="13"/>
        <v>-</v>
      </c>
      <c r="V131" s="76" t="str">
        <f t="shared" si="14"/>
        <v>-</v>
      </c>
      <c r="Z131" s="62"/>
    </row>
    <row r="132" spans="1:26" ht="40.15" customHeight="1" x14ac:dyDescent="0.25">
      <c r="A132" s="87">
        <v>5</v>
      </c>
      <c r="B132" s="88" t="s">
        <v>1550</v>
      </c>
      <c r="C132" s="89"/>
      <c r="D132" s="90" t="s">
        <v>326</v>
      </c>
      <c r="E132" s="90" t="s">
        <v>1631</v>
      </c>
      <c r="F132" s="87" t="s">
        <v>1556</v>
      </c>
      <c r="G132" s="92" t="s">
        <v>1557</v>
      </c>
      <c r="H132" s="93" t="s">
        <v>2133</v>
      </c>
      <c r="I132" s="87" t="s">
        <v>2134</v>
      </c>
      <c r="J132" s="87" t="s">
        <v>2135</v>
      </c>
      <c r="K132" s="87" t="s">
        <v>2136</v>
      </c>
      <c r="L132" s="87" t="s">
        <v>52</v>
      </c>
      <c r="M132" s="94">
        <v>44235.375</v>
      </c>
      <c r="N132" s="94">
        <v>44236.791666666664</v>
      </c>
      <c r="O132" s="95" t="str">
        <f>PROPER(TEXT(Table1[[#This Row],[Fecha Inicio]],"mmmm"))</f>
        <v>Febrero</v>
      </c>
      <c r="P132" s="96" t="s">
        <v>2137</v>
      </c>
      <c r="Q132" s="97" t="s">
        <v>2138</v>
      </c>
      <c r="R132" s="76">
        <f t="shared" si="10"/>
        <v>2</v>
      </c>
      <c r="S132" s="76">
        <f t="shared" si="11"/>
        <v>2</v>
      </c>
      <c r="T132" s="76" t="str">
        <f t="shared" si="12"/>
        <v>-</v>
      </c>
      <c r="U132" s="76" t="str">
        <f t="shared" si="13"/>
        <v>-</v>
      </c>
      <c r="V132" s="76" t="str">
        <f t="shared" si="14"/>
        <v>-</v>
      </c>
      <c r="Z132" s="62"/>
    </row>
    <row r="133" spans="1:26" ht="40.15" customHeight="1" x14ac:dyDescent="0.25">
      <c r="A133" s="87">
        <v>5</v>
      </c>
      <c r="B133" s="88" t="s">
        <v>1550</v>
      </c>
      <c r="C133" s="89" t="s">
        <v>1578</v>
      </c>
      <c r="D133" s="90" t="s">
        <v>326</v>
      </c>
      <c r="E133" s="90" t="s">
        <v>1742</v>
      </c>
      <c r="F133" s="87" t="s">
        <v>1556</v>
      </c>
      <c r="G133" s="92" t="s">
        <v>1557</v>
      </c>
      <c r="H133" s="93" t="s">
        <v>2143</v>
      </c>
      <c r="I133" s="87" t="s">
        <v>2144</v>
      </c>
      <c r="J133" s="91" t="s">
        <v>1583</v>
      </c>
      <c r="K133" s="87" t="s">
        <v>1584</v>
      </c>
      <c r="L133" s="87" t="s">
        <v>52</v>
      </c>
      <c r="M133" s="94">
        <v>44235.625</v>
      </c>
      <c r="N133" s="94">
        <v>44235.708333333336</v>
      </c>
      <c r="O133" s="95" t="str">
        <f>PROPER(TEXT(Table1[[#This Row],[Fecha Inicio]],"mmmm"))</f>
        <v>Febrero</v>
      </c>
      <c r="P133" s="87" t="s">
        <v>2145</v>
      </c>
      <c r="Q133" s="97" t="s">
        <v>2146</v>
      </c>
      <c r="R133" s="76">
        <f t="shared" si="10"/>
        <v>1</v>
      </c>
      <c r="S133" s="76">
        <f t="shared" si="11"/>
        <v>1</v>
      </c>
      <c r="T133" s="76" t="str">
        <f t="shared" si="12"/>
        <v>-</v>
      </c>
      <c r="U133" s="76" t="str">
        <f t="shared" si="13"/>
        <v>-</v>
      </c>
      <c r="V133" s="76" t="str">
        <f t="shared" si="14"/>
        <v>-</v>
      </c>
      <c r="Z133" s="62"/>
    </row>
    <row r="134" spans="1:26" ht="40.15" customHeight="1" x14ac:dyDescent="0.25">
      <c r="A134" s="87">
        <v>4</v>
      </c>
      <c r="B134" s="88" t="s">
        <v>1550</v>
      </c>
      <c r="C134" s="89"/>
      <c r="D134" s="89" t="s">
        <v>1570</v>
      </c>
      <c r="E134" s="89" t="s">
        <v>1571</v>
      </c>
      <c r="F134" s="91" t="s">
        <v>1556</v>
      </c>
      <c r="G134" s="92" t="s">
        <v>1557</v>
      </c>
      <c r="H134" s="93" t="s">
        <v>2147</v>
      </c>
      <c r="I134" s="87" t="s">
        <v>2148</v>
      </c>
      <c r="J134" s="91" t="s">
        <v>1755</v>
      </c>
      <c r="K134" s="91" t="s">
        <v>1590</v>
      </c>
      <c r="L134" s="126" t="s">
        <v>19</v>
      </c>
      <c r="M134" s="94">
        <v>44235.916666666664</v>
      </c>
      <c r="N134" s="94">
        <v>44235.958333333336</v>
      </c>
      <c r="O134" s="95" t="str">
        <f>PROPER(TEXT(Table1[[#This Row],[Fecha Inicio]],"mmmm"))</f>
        <v>Febrero</v>
      </c>
      <c r="P134" s="96" t="s">
        <v>1756</v>
      </c>
      <c r="Q134" s="97" t="s">
        <v>2149</v>
      </c>
      <c r="R134" s="76">
        <f t="shared" si="10"/>
        <v>1</v>
      </c>
      <c r="S134" s="76">
        <f t="shared" si="11"/>
        <v>1</v>
      </c>
      <c r="T134" s="76" t="str">
        <f t="shared" si="12"/>
        <v>-</v>
      </c>
      <c r="U134" s="76" t="str">
        <f t="shared" si="13"/>
        <v>-</v>
      </c>
      <c r="V134" s="76" t="str">
        <f t="shared" si="14"/>
        <v>-</v>
      </c>
      <c r="Z134" s="62"/>
    </row>
    <row r="135" spans="1:26" ht="40.15" customHeight="1" x14ac:dyDescent="0.25">
      <c r="A135" s="87">
        <v>5</v>
      </c>
      <c r="B135" s="88" t="s">
        <v>1550</v>
      </c>
      <c r="C135" s="89"/>
      <c r="D135" s="90" t="s">
        <v>1554</v>
      </c>
      <c r="E135" s="90" t="s">
        <v>1555</v>
      </c>
      <c r="F135" s="87" t="s">
        <v>1556</v>
      </c>
      <c r="G135" s="92" t="s">
        <v>1557</v>
      </c>
      <c r="H135" s="93" t="s">
        <v>2150</v>
      </c>
      <c r="I135" s="87" t="s">
        <v>2151</v>
      </c>
      <c r="J135" s="87" t="s">
        <v>2152</v>
      </c>
      <c r="K135" s="87" t="s">
        <v>1575</v>
      </c>
      <c r="L135" s="126" t="s">
        <v>19</v>
      </c>
      <c r="M135" s="94">
        <v>44235.916666666664</v>
      </c>
      <c r="N135" s="94">
        <v>44236</v>
      </c>
      <c r="O135" s="95" t="str">
        <f>PROPER(TEXT(Table1[[#This Row],[Fecha Inicio]],"mmmm"))</f>
        <v>Febrero</v>
      </c>
      <c r="P135" s="96" t="s">
        <v>2153</v>
      </c>
      <c r="Q135" s="97" t="s">
        <v>2154</v>
      </c>
      <c r="R135" s="76">
        <f t="shared" si="10"/>
        <v>1</v>
      </c>
      <c r="S135" s="76">
        <f t="shared" si="11"/>
        <v>1</v>
      </c>
      <c r="T135" s="76" t="str">
        <f t="shared" si="12"/>
        <v>-</v>
      </c>
      <c r="U135" s="76" t="str">
        <f t="shared" si="13"/>
        <v>-</v>
      </c>
      <c r="V135" s="76" t="str">
        <f t="shared" si="14"/>
        <v>-</v>
      </c>
      <c r="Z135" s="62"/>
    </row>
    <row r="136" spans="1:26" ht="40.15" customHeight="1" x14ac:dyDescent="0.25">
      <c r="A136" s="87">
        <v>5</v>
      </c>
      <c r="B136" s="88" t="s">
        <v>1550</v>
      </c>
      <c r="C136" s="89"/>
      <c r="D136" s="89" t="s">
        <v>344</v>
      </c>
      <c r="E136" s="89" t="s">
        <v>1616</v>
      </c>
      <c r="F136" s="87" t="s">
        <v>1556</v>
      </c>
      <c r="G136" s="92" t="s">
        <v>1557</v>
      </c>
      <c r="H136" s="93" t="s">
        <v>2155</v>
      </c>
      <c r="I136" s="89" t="s">
        <v>2156</v>
      </c>
      <c r="J136" s="89" t="s">
        <v>2157</v>
      </c>
      <c r="K136" s="89" t="s">
        <v>2158</v>
      </c>
      <c r="L136" s="126" t="s">
        <v>19</v>
      </c>
      <c r="M136" s="94">
        <v>44236.291666666664</v>
      </c>
      <c r="N136" s="94">
        <v>44236.375</v>
      </c>
      <c r="O136" s="95" t="str">
        <f>PROPER(TEXT(Table1[[#This Row],[Fecha Inicio]],"mmmm"))</f>
        <v>Febrero</v>
      </c>
      <c r="P136" s="96" t="s">
        <v>2159</v>
      </c>
      <c r="Q136" s="97" t="s">
        <v>2160</v>
      </c>
      <c r="R136" s="76">
        <f t="shared" si="10"/>
        <v>8</v>
      </c>
      <c r="S136" s="76">
        <f t="shared" si="11"/>
        <v>8</v>
      </c>
      <c r="T136" s="76" t="str">
        <f t="shared" si="12"/>
        <v>-</v>
      </c>
      <c r="U136" s="76" t="str">
        <f t="shared" si="13"/>
        <v>-</v>
      </c>
      <c r="V136" s="76" t="str">
        <f t="shared" si="14"/>
        <v>-</v>
      </c>
      <c r="Z136" s="62"/>
    </row>
    <row r="137" spans="1:26" ht="40.15" customHeight="1" x14ac:dyDescent="0.25">
      <c r="A137" s="87">
        <v>6</v>
      </c>
      <c r="B137" s="88" t="s">
        <v>1550</v>
      </c>
      <c r="C137" s="89"/>
      <c r="D137" s="90" t="s">
        <v>326</v>
      </c>
      <c r="E137" s="90" t="s">
        <v>1631</v>
      </c>
      <c r="F137" s="91" t="s">
        <v>1556</v>
      </c>
      <c r="G137" s="92" t="s">
        <v>1557</v>
      </c>
      <c r="H137" s="93" t="s">
        <v>2161</v>
      </c>
      <c r="I137" s="87" t="s">
        <v>2162</v>
      </c>
      <c r="J137" s="87" t="s">
        <v>1760</v>
      </c>
      <c r="K137" s="87" t="s">
        <v>1761</v>
      </c>
      <c r="L137" s="126" t="s">
        <v>19</v>
      </c>
      <c r="M137" s="94">
        <v>44236.3125</v>
      </c>
      <c r="N137" s="94">
        <v>44236.354166666664</v>
      </c>
      <c r="O137" s="95" t="str">
        <f>PROPER(TEXT(Table1[[#This Row],[Fecha Inicio]],"mmmm"))</f>
        <v>Febrero</v>
      </c>
      <c r="P137" s="96" t="s">
        <v>2163</v>
      </c>
      <c r="Q137" s="97" t="s">
        <v>2164</v>
      </c>
      <c r="R137" s="76">
        <f t="shared" si="10"/>
        <v>1</v>
      </c>
      <c r="S137" s="76">
        <f t="shared" si="11"/>
        <v>1</v>
      </c>
      <c r="T137" s="76" t="str">
        <f t="shared" si="12"/>
        <v>-</v>
      </c>
      <c r="U137" s="76" t="str">
        <f t="shared" si="13"/>
        <v>-</v>
      </c>
      <c r="V137" s="76" t="str">
        <f t="shared" si="14"/>
        <v>-</v>
      </c>
      <c r="Z137" s="62"/>
    </row>
    <row r="138" spans="1:26" ht="40.15" customHeight="1" x14ac:dyDescent="0.25">
      <c r="A138" s="87">
        <v>6</v>
      </c>
      <c r="B138" s="88" t="s">
        <v>1550</v>
      </c>
      <c r="C138" s="89"/>
      <c r="D138" s="90" t="s">
        <v>326</v>
      </c>
      <c r="E138" s="90" t="s">
        <v>1742</v>
      </c>
      <c r="F138" s="87" t="s">
        <v>1556</v>
      </c>
      <c r="G138" s="92" t="s">
        <v>1557</v>
      </c>
      <c r="H138" s="93" t="s">
        <v>2165</v>
      </c>
      <c r="I138" s="87" t="s">
        <v>2166</v>
      </c>
      <c r="J138" s="87" t="s">
        <v>1560</v>
      </c>
      <c r="K138" s="87" t="s">
        <v>1561</v>
      </c>
      <c r="L138" s="87" t="s">
        <v>52</v>
      </c>
      <c r="M138" s="94">
        <v>44236.375</v>
      </c>
      <c r="N138" s="94">
        <v>44236.583333333336</v>
      </c>
      <c r="O138" s="95" t="str">
        <f>PROPER(TEXT(Table1[[#This Row],[Fecha Inicio]],"mmmm"))</f>
        <v>Febrero</v>
      </c>
      <c r="P138" s="96" t="s">
        <v>2167</v>
      </c>
      <c r="Q138" s="97" t="s">
        <v>2168</v>
      </c>
      <c r="R138" s="76">
        <f t="shared" si="10"/>
        <v>8</v>
      </c>
      <c r="S138" s="76">
        <f t="shared" si="11"/>
        <v>8</v>
      </c>
      <c r="T138" s="76" t="str">
        <f t="shared" si="12"/>
        <v>-</v>
      </c>
      <c r="U138" s="76" t="str">
        <f t="shared" si="13"/>
        <v>-</v>
      </c>
      <c r="V138" s="76" t="str">
        <f t="shared" si="14"/>
        <v>-</v>
      </c>
      <c r="Z138" s="62"/>
    </row>
    <row r="139" spans="1:26" ht="40.15" customHeight="1" x14ac:dyDescent="0.25">
      <c r="A139" s="87">
        <v>6</v>
      </c>
      <c r="B139" s="88" t="s">
        <v>1550</v>
      </c>
      <c r="C139" s="89"/>
      <c r="D139" s="90" t="s">
        <v>326</v>
      </c>
      <c r="E139" s="90" t="s">
        <v>1742</v>
      </c>
      <c r="F139" s="87" t="s">
        <v>1556</v>
      </c>
      <c r="G139" s="92" t="s">
        <v>1557</v>
      </c>
      <c r="H139" s="93" t="s">
        <v>2169</v>
      </c>
      <c r="I139" s="87" t="s">
        <v>2170</v>
      </c>
      <c r="J139" s="87" t="s">
        <v>2171</v>
      </c>
      <c r="K139" s="87" t="s">
        <v>1575</v>
      </c>
      <c r="L139" s="87" t="s">
        <v>52</v>
      </c>
      <c r="M139" s="94">
        <v>44236.395833333336</v>
      </c>
      <c r="N139" s="94">
        <v>44236.520833333336</v>
      </c>
      <c r="O139" s="95" t="str">
        <f>PROPER(TEXT(Table1[[#This Row],[Fecha Inicio]],"mmmm"))</f>
        <v>Febrero</v>
      </c>
      <c r="P139" s="96" t="s">
        <v>2172</v>
      </c>
      <c r="Q139" s="97" t="s">
        <v>2173</v>
      </c>
      <c r="R139" s="76">
        <f t="shared" si="10"/>
        <v>5</v>
      </c>
      <c r="S139" s="76">
        <f t="shared" si="11"/>
        <v>5</v>
      </c>
      <c r="T139" s="76" t="str">
        <f t="shared" si="12"/>
        <v>-</v>
      </c>
      <c r="U139" s="76" t="str">
        <f t="shared" si="13"/>
        <v>-</v>
      </c>
      <c r="V139" s="76" t="str">
        <f t="shared" si="14"/>
        <v>-</v>
      </c>
      <c r="Z139" s="62"/>
    </row>
    <row r="140" spans="1:26" ht="40.15" customHeight="1" x14ac:dyDescent="0.25">
      <c r="A140" s="87">
        <v>6</v>
      </c>
      <c r="B140" s="88" t="s">
        <v>1550</v>
      </c>
      <c r="C140" s="89"/>
      <c r="D140" s="90" t="s">
        <v>326</v>
      </c>
      <c r="E140" s="90" t="s">
        <v>1742</v>
      </c>
      <c r="F140" s="87" t="s">
        <v>1556</v>
      </c>
      <c r="G140" s="92" t="s">
        <v>1557</v>
      </c>
      <c r="H140" s="93" t="s">
        <v>2174</v>
      </c>
      <c r="I140" s="87" t="s">
        <v>2175</v>
      </c>
      <c r="J140" s="87" t="s">
        <v>2176</v>
      </c>
      <c r="K140" s="87" t="s">
        <v>1575</v>
      </c>
      <c r="L140" s="87" t="s">
        <v>52</v>
      </c>
      <c r="M140" s="94">
        <v>44236.395833333336</v>
      </c>
      <c r="N140" s="94">
        <v>44236.520833333336</v>
      </c>
      <c r="O140" s="95" t="str">
        <f>PROPER(TEXT(Table1[[#This Row],[Fecha Inicio]],"mmmm"))</f>
        <v>Febrero</v>
      </c>
      <c r="P140" s="96" t="s">
        <v>2177</v>
      </c>
      <c r="Q140" s="97" t="s">
        <v>2178</v>
      </c>
      <c r="R140" s="76">
        <f t="shared" si="10"/>
        <v>11</v>
      </c>
      <c r="S140" s="76">
        <f t="shared" si="11"/>
        <v>11</v>
      </c>
      <c r="T140" s="76" t="str">
        <f t="shared" si="12"/>
        <v>-</v>
      </c>
      <c r="U140" s="76" t="str">
        <f t="shared" si="13"/>
        <v>-</v>
      </c>
      <c r="V140" s="76" t="str">
        <f t="shared" si="14"/>
        <v>-</v>
      </c>
      <c r="Z140" s="62"/>
    </row>
    <row r="141" spans="1:26" ht="40.15" customHeight="1" x14ac:dyDescent="0.25">
      <c r="A141" s="87">
        <v>6</v>
      </c>
      <c r="B141" s="88" t="s">
        <v>1550</v>
      </c>
      <c r="C141" s="89"/>
      <c r="D141" s="90" t="s">
        <v>326</v>
      </c>
      <c r="E141" s="90" t="s">
        <v>1742</v>
      </c>
      <c r="F141" s="87" t="s">
        <v>1556</v>
      </c>
      <c r="G141" s="92" t="s">
        <v>1557</v>
      </c>
      <c r="H141" s="93" t="s">
        <v>2179</v>
      </c>
      <c r="I141" s="87" t="s">
        <v>2180</v>
      </c>
      <c r="J141" s="87" t="s">
        <v>2181</v>
      </c>
      <c r="K141" s="87" t="s">
        <v>1575</v>
      </c>
      <c r="L141" s="87" t="s">
        <v>52</v>
      </c>
      <c r="M141" s="94">
        <v>44236.395833333336</v>
      </c>
      <c r="N141" s="94">
        <v>44236.520833333336</v>
      </c>
      <c r="O141" s="95" t="str">
        <f>PROPER(TEXT(Table1[[#This Row],[Fecha Inicio]],"mmmm"))</f>
        <v>Febrero</v>
      </c>
      <c r="P141" s="96" t="s">
        <v>2182</v>
      </c>
      <c r="Q141" s="97" t="s">
        <v>2183</v>
      </c>
      <c r="R141" s="76">
        <f t="shared" si="10"/>
        <v>2</v>
      </c>
      <c r="S141" s="76">
        <f t="shared" si="11"/>
        <v>2</v>
      </c>
      <c r="T141" s="76" t="str">
        <f t="shared" si="12"/>
        <v>-</v>
      </c>
      <c r="U141" s="76" t="str">
        <f t="shared" si="13"/>
        <v>-</v>
      </c>
      <c r="V141" s="76" t="str">
        <f t="shared" si="14"/>
        <v>-</v>
      </c>
      <c r="Z141" s="62"/>
    </row>
    <row r="142" spans="1:26" ht="40.15" customHeight="1" x14ac:dyDescent="0.25">
      <c r="A142" s="87">
        <v>5</v>
      </c>
      <c r="B142" s="88" t="s">
        <v>1550</v>
      </c>
      <c r="C142" s="89" t="s">
        <v>1716</v>
      </c>
      <c r="D142" s="90" t="s">
        <v>326</v>
      </c>
      <c r="E142" s="90" t="s">
        <v>1631</v>
      </c>
      <c r="F142" s="91" t="s">
        <v>1556</v>
      </c>
      <c r="G142" s="92" t="s">
        <v>1557</v>
      </c>
      <c r="H142" s="93" t="s">
        <v>2184</v>
      </c>
      <c r="I142" s="87" t="s">
        <v>1633</v>
      </c>
      <c r="J142" s="87" t="s">
        <v>1634</v>
      </c>
      <c r="K142" s="87" t="s">
        <v>1635</v>
      </c>
      <c r="L142" s="126" t="s">
        <v>19</v>
      </c>
      <c r="M142" s="94">
        <v>44236.895833333336</v>
      </c>
      <c r="N142" s="94">
        <v>44236.979166666664</v>
      </c>
      <c r="O142" s="95" t="str">
        <f>PROPER(TEXT(Table1[[#This Row],[Fecha Inicio]],"mmmm"))</f>
        <v>Febrero</v>
      </c>
      <c r="P142" s="96" t="s">
        <v>1636</v>
      </c>
      <c r="Q142" s="97" t="s">
        <v>2185</v>
      </c>
      <c r="R142" s="76">
        <f t="shared" si="10"/>
        <v>6</v>
      </c>
      <c r="S142" s="76">
        <f t="shared" si="11"/>
        <v>6</v>
      </c>
      <c r="T142" s="76" t="str">
        <f t="shared" si="12"/>
        <v>-</v>
      </c>
      <c r="U142" s="76" t="str">
        <f t="shared" si="13"/>
        <v>-</v>
      </c>
      <c r="V142" s="76" t="str">
        <f t="shared" si="14"/>
        <v>-</v>
      </c>
      <c r="Z142" s="62"/>
    </row>
    <row r="143" spans="1:26" ht="40.15" customHeight="1" x14ac:dyDescent="0.25">
      <c r="A143" s="87">
        <v>4</v>
      </c>
      <c r="B143" s="88" t="s">
        <v>1550</v>
      </c>
      <c r="C143" s="89"/>
      <c r="D143" s="89" t="s">
        <v>1570</v>
      </c>
      <c r="E143" s="89" t="s">
        <v>1571</v>
      </c>
      <c r="F143" s="91" t="s">
        <v>1556</v>
      </c>
      <c r="G143" s="92" t="s">
        <v>1557</v>
      </c>
      <c r="H143" s="93" t="s">
        <v>2186</v>
      </c>
      <c r="I143" s="87" t="s">
        <v>2187</v>
      </c>
      <c r="J143" s="91" t="s">
        <v>1595</v>
      </c>
      <c r="K143" s="91" t="s">
        <v>1596</v>
      </c>
      <c r="L143" s="126" t="s">
        <v>19</v>
      </c>
      <c r="M143" s="94">
        <v>44236.916666666664</v>
      </c>
      <c r="N143" s="94">
        <v>44236.958333333336</v>
      </c>
      <c r="O143" s="95" t="str">
        <f>PROPER(TEXT(Table1[[#This Row],[Fecha Inicio]],"mmmm"))</f>
        <v>Febrero</v>
      </c>
      <c r="P143" s="96" t="s">
        <v>1597</v>
      </c>
      <c r="Q143" s="97" t="s">
        <v>2188</v>
      </c>
      <c r="R143" s="76">
        <f t="shared" si="10"/>
        <v>2</v>
      </c>
      <c r="S143" s="76">
        <f t="shared" si="11"/>
        <v>2</v>
      </c>
      <c r="T143" s="76" t="str">
        <f t="shared" si="12"/>
        <v>-</v>
      </c>
      <c r="U143" s="76" t="str">
        <f t="shared" si="13"/>
        <v>-</v>
      </c>
      <c r="V143" s="76" t="str">
        <f t="shared" si="14"/>
        <v>-</v>
      </c>
      <c r="Z143" s="62"/>
    </row>
    <row r="144" spans="1:26" ht="40.15" customHeight="1" x14ac:dyDescent="0.25">
      <c r="A144" s="87">
        <v>5</v>
      </c>
      <c r="B144" s="88" t="s">
        <v>1550</v>
      </c>
      <c r="C144" s="89"/>
      <c r="D144" s="90" t="s">
        <v>1579</v>
      </c>
      <c r="E144" s="90" t="s">
        <v>1580</v>
      </c>
      <c r="F144" s="87" t="s">
        <v>1556</v>
      </c>
      <c r="G144" s="92" t="s">
        <v>1557</v>
      </c>
      <c r="H144" s="93" t="s">
        <v>2189</v>
      </c>
      <c r="I144" s="87" t="s">
        <v>2190</v>
      </c>
      <c r="J144" s="91" t="s">
        <v>1583</v>
      </c>
      <c r="K144" s="87" t="s">
        <v>1584</v>
      </c>
      <c r="L144" s="87" t="s">
        <v>41</v>
      </c>
      <c r="M144" s="94">
        <v>44236.9375</v>
      </c>
      <c r="N144" s="94">
        <v>44237.1875</v>
      </c>
      <c r="O144" s="95" t="str">
        <f>PROPER(TEXT(Table1[[#This Row],[Fecha Inicio]],"mmmm"))</f>
        <v>Febrero</v>
      </c>
      <c r="P144" s="96" t="s">
        <v>1663</v>
      </c>
      <c r="Q144" s="97" t="s">
        <v>2191</v>
      </c>
      <c r="R144" s="76">
        <f t="shared" si="10"/>
        <v>1</v>
      </c>
      <c r="S144" s="76">
        <f t="shared" si="11"/>
        <v>1</v>
      </c>
      <c r="T144" s="76" t="str">
        <f t="shared" si="12"/>
        <v>-</v>
      </c>
      <c r="U144" s="76" t="str">
        <f t="shared" si="13"/>
        <v>-</v>
      </c>
      <c r="V144" s="76" t="str">
        <f t="shared" si="14"/>
        <v>-</v>
      </c>
      <c r="Z144" s="62"/>
    </row>
    <row r="145" spans="1:26" ht="40.15" customHeight="1" x14ac:dyDescent="0.25">
      <c r="A145" s="87">
        <v>5</v>
      </c>
      <c r="B145" s="88" t="s">
        <v>1550</v>
      </c>
      <c r="C145" s="89"/>
      <c r="D145" s="90" t="s">
        <v>1665</v>
      </c>
      <c r="E145" s="90" t="s">
        <v>2192</v>
      </c>
      <c r="F145" s="87" t="s">
        <v>1556</v>
      </c>
      <c r="G145" s="92" t="s">
        <v>1557</v>
      </c>
      <c r="H145" s="93" t="s">
        <v>2193</v>
      </c>
      <c r="I145" s="87" t="s">
        <v>2194</v>
      </c>
      <c r="J145" s="87" t="s">
        <v>1669</v>
      </c>
      <c r="K145" s="87" t="s">
        <v>1670</v>
      </c>
      <c r="L145" s="126" t="s">
        <v>19</v>
      </c>
      <c r="M145" s="94">
        <v>44236.972222222219</v>
      </c>
      <c r="N145" s="94">
        <v>44237.055555555555</v>
      </c>
      <c r="O145" s="95" t="str">
        <f>PROPER(TEXT(Table1[[#This Row],[Fecha Inicio]],"mmmm"))</f>
        <v>Febrero</v>
      </c>
      <c r="P145" s="96" t="s">
        <v>2107</v>
      </c>
      <c r="Q145" s="97" t="s">
        <v>2195</v>
      </c>
      <c r="R145" s="76">
        <f t="shared" si="10"/>
        <v>1</v>
      </c>
      <c r="S145" s="76">
        <f t="shared" si="11"/>
        <v>1</v>
      </c>
      <c r="T145" s="76" t="str">
        <f t="shared" si="12"/>
        <v>-</v>
      </c>
      <c r="U145" s="76" t="str">
        <f t="shared" si="13"/>
        <v>-</v>
      </c>
      <c r="V145" s="76" t="str">
        <f t="shared" si="14"/>
        <v>-</v>
      </c>
      <c r="Z145" s="62"/>
    </row>
    <row r="146" spans="1:26" ht="40.15" customHeight="1" x14ac:dyDescent="0.25">
      <c r="A146" s="87">
        <v>4</v>
      </c>
      <c r="B146" s="88" t="s">
        <v>1550</v>
      </c>
      <c r="C146" s="89"/>
      <c r="D146" s="90" t="s">
        <v>326</v>
      </c>
      <c r="E146" s="90" t="s">
        <v>1742</v>
      </c>
      <c r="F146" s="87" t="s">
        <v>1556</v>
      </c>
      <c r="G146" s="92" t="s">
        <v>1557</v>
      </c>
      <c r="H146" s="93" t="s">
        <v>2196</v>
      </c>
      <c r="I146" s="87" t="s">
        <v>2197</v>
      </c>
      <c r="J146" s="87" t="s">
        <v>1859</v>
      </c>
      <c r="K146" s="87" t="s">
        <v>1860</v>
      </c>
      <c r="L146" s="126" t="s">
        <v>19</v>
      </c>
      <c r="M146" s="94">
        <v>44237.25</v>
      </c>
      <c r="N146" s="94">
        <v>44237.333333333336</v>
      </c>
      <c r="O146" s="95" t="str">
        <f>PROPER(TEXT(Table1[[#This Row],[Fecha Inicio]],"mmmm"))</f>
        <v>Febrero</v>
      </c>
      <c r="P146" s="96" t="s">
        <v>2198</v>
      </c>
      <c r="Q146" s="97" t="s">
        <v>2199</v>
      </c>
      <c r="R146" s="76">
        <f t="shared" si="10"/>
        <v>1</v>
      </c>
      <c r="S146" s="76">
        <f t="shared" si="11"/>
        <v>1</v>
      </c>
      <c r="T146" s="76" t="str">
        <f t="shared" si="12"/>
        <v>-</v>
      </c>
      <c r="U146" s="76" t="str">
        <f t="shared" si="13"/>
        <v>-</v>
      </c>
      <c r="V146" s="76" t="str">
        <f t="shared" si="14"/>
        <v>-</v>
      </c>
      <c r="Z146" s="62"/>
    </row>
    <row r="147" spans="1:26" ht="40.15" customHeight="1" x14ac:dyDescent="0.25">
      <c r="A147" s="87">
        <v>6</v>
      </c>
      <c r="B147" s="88" t="s">
        <v>1550</v>
      </c>
      <c r="C147" s="89"/>
      <c r="D147" s="90" t="s">
        <v>1623</v>
      </c>
      <c r="E147" s="90" t="s">
        <v>1624</v>
      </c>
      <c r="F147" s="87" t="s">
        <v>1556</v>
      </c>
      <c r="G147" s="92" t="s">
        <v>1557</v>
      </c>
      <c r="H147" s="93" t="s">
        <v>2200</v>
      </c>
      <c r="I147" s="87" t="s">
        <v>1975</v>
      </c>
      <c r="J147" s="91" t="s">
        <v>1583</v>
      </c>
      <c r="K147" s="87" t="s">
        <v>1584</v>
      </c>
      <c r="L147" s="126" t="s">
        <v>19</v>
      </c>
      <c r="M147" s="94">
        <v>44237.333333333336</v>
      </c>
      <c r="N147" s="94">
        <v>44237.458333333336</v>
      </c>
      <c r="O147" s="95" t="str">
        <f>PROPER(TEXT(Table1[[#This Row],[Fecha Inicio]],"mmmm"))</f>
        <v>Febrero</v>
      </c>
      <c r="P147" s="96" t="s">
        <v>1976</v>
      </c>
      <c r="Q147" s="97" t="s">
        <v>2201</v>
      </c>
      <c r="R147" s="76">
        <f t="shared" si="10"/>
        <v>1</v>
      </c>
      <c r="S147" s="76">
        <f t="shared" si="11"/>
        <v>1</v>
      </c>
      <c r="T147" s="76" t="str">
        <f t="shared" si="12"/>
        <v>-</v>
      </c>
      <c r="U147" s="76" t="str">
        <f t="shared" si="13"/>
        <v>-</v>
      </c>
      <c r="V147" s="76" t="str">
        <f t="shared" si="14"/>
        <v>-</v>
      </c>
      <c r="Z147" s="62"/>
    </row>
    <row r="148" spans="1:26" ht="40.15" customHeight="1" x14ac:dyDescent="0.25">
      <c r="A148" s="87">
        <v>6</v>
      </c>
      <c r="B148" s="88" t="s">
        <v>1550</v>
      </c>
      <c r="C148" s="89"/>
      <c r="D148" s="90" t="s">
        <v>1623</v>
      </c>
      <c r="E148" s="90" t="s">
        <v>1624</v>
      </c>
      <c r="F148" s="87" t="s">
        <v>1556</v>
      </c>
      <c r="G148" s="92" t="s">
        <v>1557</v>
      </c>
      <c r="H148" s="93" t="s">
        <v>2202</v>
      </c>
      <c r="I148" s="87" t="s">
        <v>1975</v>
      </c>
      <c r="J148" s="91" t="s">
        <v>1583</v>
      </c>
      <c r="K148" s="87" t="s">
        <v>1584</v>
      </c>
      <c r="L148" s="126" t="s">
        <v>19</v>
      </c>
      <c r="M148" s="94">
        <v>44237.354166666664</v>
      </c>
      <c r="N148" s="94">
        <v>44237.479166666664</v>
      </c>
      <c r="O148" s="95" t="str">
        <f>PROPER(TEXT(Table1[[#This Row],[Fecha Inicio]],"mmmm"))</f>
        <v>Febrero</v>
      </c>
      <c r="P148" s="96" t="s">
        <v>2203</v>
      </c>
      <c r="Q148" s="97" t="s">
        <v>2204</v>
      </c>
      <c r="R148" s="76">
        <f t="shared" si="10"/>
        <v>2</v>
      </c>
      <c r="S148" s="76">
        <f t="shared" si="11"/>
        <v>2</v>
      </c>
      <c r="T148" s="76" t="str">
        <f t="shared" si="12"/>
        <v>-</v>
      </c>
      <c r="U148" s="76" t="str">
        <f t="shared" si="13"/>
        <v>-</v>
      </c>
      <c r="V148" s="76" t="str">
        <f t="shared" si="14"/>
        <v>-</v>
      </c>
      <c r="Z148" s="62"/>
    </row>
    <row r="149" spans="1:26" ht="40.15" customHeight="1" x14ac:dyDescent="0.25">
      <c r="A149" s="87">
        <v>6</v>
      </c>
      <c r="B149" s="88" t="s">
        <v>1550</v>
      </c>
      <c r="C149" s="89" t="s">
        <v>1578</v>
      </c>
      <c r="D149" s="90" t="s">
        <v>326</v>
      </c>
      <c r="E149" s="90" t="s">
        <v>1742</v>
      </c>
      <c r="F149" s="87" t="s">
        <v>1556</v>
      </c>
      <c r="G149" s="92" t="s">
        <v>1557</v>
      </c>
      <c r="H149" s="93" t="s">
        <v>2205</v>
      </c>
      <c r="I149" s="87" t="s">
        <v>2206</v>
      </c>
      <c r="J149" s="87" t="s">
        <v>1560</v>
      </c>
      <c r="K149" s="87" t="s">
        <v>1561</v>
      </c>
      <c r="L149" s="126" t="s">
        <v>19</v>
      </c>
      <c r="M149" s="94">
        <v>44237.375</v>
      </c>
      <c r="N149" s="94">
        <v>44237.5</v>
      </c>
      <c r="O149" s="95" t="str">
        <f>PROPER(TEXT(Table1[[#This Row],[Fecha Inicio]],"mmmm"))</f>
        <v>Febrero</v>
      </c>
      <c r="P149" s="96" t="s">
        <v>2207</v>
      </c>
      <c r="Q149" s="97" t="s">
        <v>2208</v>
      </c>
      <c r="R149" s="76">
        <f t="shared" si="10"/>
        <v>1</v>
      </c>
      <c r="S149" s="76">
        <f t="shared" si="11"/>
        <v>1</v>
      </c>
      <c r="T149" s="76" t="str">
        <f t="shared" si="12"/>
        <v>-</v>
      </c>
      <c r="U149" s="76" t="str">
        <f t="shared" si="13"/>
        <v>-</v>
      </c>
      <c r="V149" s="76" t="str">
        <f t="shared" si="14"/>
        <v>-</v>
      </c>
      <c r="Z149" s="62"/>
    </row>
    <row r="150" spans="1:26" ht="40.15" customHeight="1" x14ac:dyDescent="0.25">
      <c r="A150" s="87">
        <v>6</v>
      </c>
      <c r="B150" s="88" t="s">
        <v>1550</v>
      </c>
      <c r="C150" s="89"/>
      <c r="D150" s="90" t="s">
        <v>326</v>
      </c>
      <c r="E150" s="90" t="s">
        <v>1742</v>
      </c>
      <c r="F150" s="87" t="s">
        <v>1556</v>
      </c>
      <c r="G150" s="92" t="s">
        <v>1557</v>
      </c>
      <c r="H150" s="93" t="s">
        <v>2209</v>
      </c>
      <c r="I150" s="91" t="s">
        <v>2210</v>
      </c>
      <c r="J150" s="87" t="s">
        <v>1839</v>
      </c>
      <c r="K150" s="91" t="s">
        <v>1575</v>
      </c>
      <c r="L150" s="87" t="s">
        <v>52</v>
      </c>
      <c r="M150" s="94">
        <v>44237.395833333336</v>
      </c>
      <c r="N150" s="94">
        <v>44237.520833333336</v>
      </c>
      <c r="O150" s="95" t="str">
        <f>PROPER(TEXT(Table1[[#This Row],[Fecha Inicio]],"mmmm"))</f>
        <v>Febrero</v>
      </c>
      <c r="P150" s="96" t="s">
        <v>2211</v>
      </c>
      <c r="Q150" s="97" t="s">
        <v>2212</v>
      </c>
      <c r="R150" s="76">
        <f t="shared" si="10"/>
        <v>19</v>
      </c>
      <c r="S150" s="76">
        <f t="shared" si="11"/>
        <v>19</v>
      </c>
      <c r="T150" s="76" t="str">
        <f t="shared" si="12"/>
        <v>-</v>
      </c>
      <c r="U150" s="76" t="str">
        <f t="shared" si="13"/>
        <v>-</v>
      </c>
      <c r="V150" s="76" t="str">
        <f t="shared" si="14"/>
        <v>-</v>
      </c>
      <c r="Z150" s="62"/>
    </row>
    <row r="151" spans="1:26" ht="40.15" customHeight="1" x14ac:dyDescent="0.25">
      <c r="A151" s="87">
        <v>6</v>
      </c>
      <c r="B151" s="88" t="s">
        <v>1550</v>
      </c>
      <c r="C151" s="89" t="s">
        <v>1578</v>
      </c>
      <c r="D151" s="90" t="s">
        <v>1554</v>
      </c>
      <c r="E151" s="90" t="s">
        <v>1555</v>
      </c>
      <c r="F151" s="87" t="s">
        <v>1556</v>
      </c>
      <c r="G151" s="92" t="s">
        <v>1557</v>
      </c>
      <c r="H151" s="93" t="s">
        <v>2213</v>
      </c>
      <c r="I151" s="87" t="s">
        <v>2214</v>
      </c>
      <c r="J151" s="87" t="s">
        <v>2215</v>
      </c>
      <c r="K151" s="87" t="s">
        <v>2216</v>
      </c>
      <c r="L151" s="126" t="s">
        <v>19</v>
      </c>
      <c r="M151" s="94">
        <v>44237.916666666664</v>
      </c>
      <c r="N151" s="94">
        <v>44237.958333333336</v>
      </c>
      <c r="O151" s="95" t="str">
        <f>PROPER(TEXT(Table1[[#This Row],[Fecha Inicio]],"mmmm"))</f>
        <v>Febrero</v>
      </c>
      <c r="P151" s="96" t="s">
        <v>2217</v>
      </c>
      <c r="Q151" s="97" t="s">
        <v>2218</v>
      </c>
      <c r="R151" s="76">
        <f t="shared" si="10"/>
        <v>1</v>
      </c>
      <c r="S151" s="76">
        <f t="shared" si="11"/>
        <v>1</v>
      </c>
      <c r="T151" s="76" t="str">
        <f t="shared" si="12"/>
        <v>-</v>
      </c>
      <c r="U151" s="76" t="str">
        <f t="shared" si="13"/>
        <v>-</v>
      </c>
      <c r="V151" s="76" t="str">
        <f t="shared" si="14"/>
        <v>-</v>
      </c>
      <c r="Z151" s="62"/>
    </row>
    <row r="152" spans="1:26" ht="40.15" customHeight="1" x14ac:dyDescent="0.25">
      <c r="A152" s="87">
        <v>6</v>
      </c>
      <c r="B152" s="88" t="s">
        <v>1550</v>
      </c>
      <c r="C152" s="89" t="s">
        <v>1578</v>
      </c>
      <c r="D152" s="90" t="s">
        <v>326</v>
      </c>
      <c r="E152" s="90" t="s">
        <v>1631</v>
      </c>
      <c r="F152" s="87" t="s">
        <v>1556</v>
      </c>
      <c r="G152" s="92" t="s">
        <v>1557</v>
      </c>
      <c r="H152" s="93" t="s">
        <v>2219</v>
      </c>
      <c r="I152" s="87" t="s">
        <v>2220</v>
      </c>
      <c r="J152" s="91" t="s">
        <v>1583</v>
      </c>
      <c r="K152" s="87" t="s">
        <v>1584</v>
      </c>
      <c r="L152" s="87" t="s">
        <v>41</v>
      </c>
      <c r="M152" s="94">
        <v>44237.9375</v>
      </c>
      <c r="N152" s="94">
        <v>44238.333333333336</v>
      </c>
      <c r="O152" s="95" t="str">
        <f>PROPER(TEXT(Table1[[#This Row],[Fecha Inicio]],"mmmm"))</f>
        <v>Febrero</v>
      </c>
      <c r="P152" s="96" t="s">
        <v>2221</v>
      </c>
      <c r="Q152" s="97" t="s">
        <v>2222</v>
      </c>
      <c r="R152" s="76">
        <f t="shared" si="10"/>
        <v>1</v>
      </c>
      <c r="S152" s="76">
        <f t="shared" si="11"/>
        <v>1</v>
      </c>
      <c r="T152" s="76" t="str">
        <f t="shared" si="12"/>
        <v>-</v>
      </c>
      <c r="U152" s="76" t="str">
        <f t="shared" si="13"/>
        <v>-</v>
      </c>
      <c r="V152" s="76" t="str">
        <f t="shared" si="14"/>
        <v>-</v>
      </c>
      <c r="Z152" s="62"/>
    </row>
    <row r="153" spans="1:26" ht="40.15" customHeight="1" x14ac:dyDescent="0.25">
      <c r="A153" s="87">
        <v>6</v>
      </c>
      <c r="B153" s="100" t="s">
        <v>1553</v>
      </c>
      <c r="C153" s="89" t="s">
        <v>2223</v>
      </c>
      <c r="D153" s="90" t="s">
        <v>1665</v>
      </c>
      <c r="E153" s="90" t="s">
        <v>1666</v>
      </c>
      <c r="F153" s="87" t="s">
        <v>1556</v>
      </c>
      <c r="G153" s="92" t="s">
        <v>1557</v>
      </c>
      <c r="H153" s="93" t="s">
        <v>2224</v>
      </c>
      <c r="I153" s="87" t="s">
        <v>2225</v>
      </c>
      <c r="J153" s="87" t="s">
        <v>1669</v>
      </c>
      <c r="K153" s="87" t="s">
        <v>1670</v>
      </c>
      <c r="L153" s="87" t="s">
        <v>41</v>
      </c>
      <c r="M153" s="94">
        <v>44237.958333333336</v>
      </c>
      <c r="N153" s="94">
        <v>44238.0625</v>
      </c>
      <c r="O153" s="95" t="str">
        <f>PROPER(TEXT(Table1[[#This Row],[Fecha Inicio]],"mmmm"))</f>
        <v>Febrero</v>
      </c>
      <c r="P153" s="96" t="s">
        <v>2226</v>
      </c>
      <c r="Q153" s="97" t="s">
        <v>2227</v>
      </c>
      <c r="R153" s="76">
        <f t="shared" si="10"/>
        <v>1</v>
      </c>
      <c r="S153" s="76" t="str">
        <f t="shared" si="11"/>
        <v>-</v>
      </c>
      <c r="T153" s="76" t="str">
        <f t="shared" si="12"/>
        <v>-</v>
      </c>
      <c r="U153" s="76" t="str">
        <f t="shared" si="13"/>
        <v>-</v>
      </c>
      <c r="V153" s="76">
        <f t="shared" si="14"/>
        <v>1</v>
      </c>
      <c r="Z153" s="62"/>
    </row>
    <row r="154" spans="1:26" ht="40.15" customHeight="1" x14ac:dyDescent="0.25">
      <c r="A154" s="87">
        <v>6</v>
      </c>
      <c r="B154" s="88" t="s">
        <v>1550</v>
      </c>
      <c r="C154" s="89" t="s">
        <v>1578</v>
      </c>
      <c r="D154" s="89" t="s">
        <v>1665</v>
      </c>
      <c r="E154" s="90" t="s">
        <v>2228</v>
      </c>
      <c r="F154" s="87" t="s">
        <v>1556</v>
      </c>
      <c r="G154" s="92" t="s">
        <v>1557</v>
      </c>
      <c r="H154" s="93" t="s">
        <v>2229</v>
      </c>
      <c r="I154" s="87" t="s">
        <v>2230</v>
      </c>
      <c r="J154" s="87" t="s">
        <v>1669</v>
      </c>
      <c r="K154" s="87" t="s">
        <v>1670</v>
      </c>
      <c r="L154" s="126" t="s">
        <v>19</v>
      </c>
      <c r="M154" s="94">
        <v>44238</v>
      </c>
      <c r="N154" s="94">
        <v>44238.010416666664</v>
      </c>
      <c r="O154" s="95" t="str">
        <f>PROPER(TEXT(Table1[[#This Row],[Fecha Inicio]],"mmmm"))</f>
        <v>Febrero</v>
      </c>
      <c r="P154" s="96" t="s">
        <v>2231</v>
      </c>
      <c r="Q154" s="97" t="s">
        <v>2232</v>
      </c>
      <c r="R154" s="76">
        <f t="shared" si="10"/>
        <v>1</v>
      </c>
      <c r="S154" s="76">
        <f t="shared" si="11"/>
        <v>1</v>
      </c>
      <c r="T154" s="76" t="str">
        <f t="shared" si="12"/>
        <v>-</v>
      </c>
      <c r="U154" s="76" t="str">
        <f t="shared" si="13"/>
        <v>-</v>
      </c>
      <c r="V154" s="76" t="str">
        <f t="shared" si="14"/>
        <v>-</v>
      </c>
      <c r="Z154" s="62"/>
    </row>
    <row r="155" spans="1:26" ht="40.15" customHeight="1" x14ac:dyDescent="0.25">
      <c r="A155" s="87">
        <v>6</v>
      </c>
      <c r="B155" s="88" t="s">
        <v>1550</v>
      </c>
      <c r="C155" s="89"/>
      <c r="D155" s="90" t="s">
        <v>326</v>
      </c>
      <c r="E155" s="90" t="s">
        <v>1631</v>
      </c>
      <c r="F155" s="91" t="s">
        <v>1556</v>
      </c>
      <c r="G155" s="92" t="s">
        <v>1557</v>
      </c>
      <c r="H155" s="93" t="s">
        <v>2233</v>
      </c>
      <c r="I155" s="87" t="s">
        <v>2234</v>
      </c>
      <c r="J155" s="87" t="s">
        <v>1734</v>
      </c>
      <c r="K155" s="87" t="s">
        <v>1921</v>
      </c>
      <c r="L155" s="87" t="s">
        <v>52</v>
      </c>
      <c r="M155" s="94">
        <v>44238.375</v>
      </c>
      <c r="N155" s="94">
        <v>44239.791666666664</v>
      </c>
      <c r="O155" s="95" t="str">
        <f>PROPER(TEXT(Table1[[#This Row],[Fecha Inicio]],"mmmm"))</f>
        <v>Febrero</v>
      </c>
      <c r="P155" s="96" t="s">
        <v>2235</v>
      </c>
      <c r="Q155" s="97" t="s">
        <v>2236</v>
      </c>
      <c r="R155" s="76">
        <f t="shared" si="10"/>
        <v>2</v>
      </c>
      <c r="S155" s="76">
        <f t="shared" si="11"/>
        <v>2</v>
      </c>
      <c r="T155" s="76" t="str">
        <f t="shared" si="12"/>
        <v>-</v>
      </c>
      <c r="U155" s="76" t="str">
        <f t="shared" si="13"/>
        <v>-</v>
      </c>
      <c r="V155" s="76" t="str">
        <f t="shared" si="14"/>
        <v>-</v>
      </c>
      <c r="Z155" s="62"/>
    </row>
    <row r="156" spans="1:26" ht="40.15" customHeight="1" x14ac:dyDescent="0.25">
      <c r="A156" s="87">
        <v>6</v>
      </c>
      <c r="B156" s="88" t="s">
        <v>1550</v>
      </c>
      <c r="C156" s="89"/>
      <c r="D156" s="90" t="s">
        <v>326</v>
      </c>
      <c r="E156" s="90" t="s">
        <v>1631</v>
      </c>
      <c r="F156" s="87" t="s">
        <v>1556</v>
      </c>
      <c r="G156" s="92" t="s">
        <v>1557</v>
      </c>
      <c r="H156" s="93" t="s">
        <v>2237</v>
      </c>
      <c r="I156" s="87" t="s">
        <v>2238</v>
      </c>
      <c r="J156" s="87" t="s">
        <v>2239</v>
      </c>
      <c r="K156" s="87" t="s">
        <v>2240</v>
      </c>
      <c r="L156" s="89" t="s">
        <v>52</v>
      </c>
      <c r="M156" s="94">
        <v>44238.375</v>
      </c>
      <c r="N156" s="94">
        <v>44239.791666666664</v>
      </c>
      <c r="O156" s="95" t="str">
        <f>PROPER(TEXT(Table1[[#This Row],[Fecha Inicio]],"mmmm"))</f>
        <v>Febrero</v>
      </c>
      <c r="P156" s="96" t="s">
        <v>2241</v>
      </c>
      <c r="Q156" s="97" t="s">
        <v>2242</v>
      </c>
      <c r="R156" s="76">
        <f t="shared" si="10"/>
        <v>14</v>
      </c>
      <c r="S156" s="76">
        <f t="shared" si="11"/>
        <v>14</v>
      </c>
      <c r="T156" s="76" t="str">
        <f t="shared" si="12"/>
        <v>-</v>
      </c>
      <c r="U156" s="76" t="str">
        <f t="shared" si="13"/>
        <v>-</v>
      </c>
      <c r="V156" s="76" t="str">
        <f t="shared" si="14"/>
        <v>-</v>
      </c>
      <c r="Z156" s="62"/>
    </row>
    <row r="157" spans="1:26" ht="40.15" customHeight="1" x14ac:dyDescent="0.25">
      <c r="A157" s="87">
        <v>6</v>
      </c>
      <c r="B157" s="88" t="s">
        <v>1550</v>
      </c>
      <c r="C157" s="89" t="s">
        <v>1578</v>
      </c>
      <c r="D157" s="90" t="s">
        <v>326</v>
      </c>
      <c r="E157" s="90" t="s">
        <v>1742</v>
      </c>
      <c r="F157" s="87" t="s">
        <v>1556</v>
      </c>
      <c r="G157" s="92" t="s">
        <v>1557</v>
      </c>
      <c r="H157" s="93" t="s">
        <v>2243</v>
      </c>
      <c r="I157" s="87" t="s">
        <v>2244</v>
      </c>
      <c r="J157" s="87" t="s">
        <v>1931</v>
      </c>
      <c r="K157" s="87" t="s">
        <v>1921</v>
      </c>
      <c r="L157" s="89" t="s">
        <v>52</v>
      </c>
      <c r="M157" s="94">
        <v>44238.395833333336</v>
      </c>
      <c r="N157" s="94">
        <v>44238.520833333336</v>
      </c>
      <c r="O157" s="95" t="str">
        <f>PROPER(TEXT(Table1[[#This Row],[Fecha Inicio]],"mmmm"))</f>
        <v>Febrero</v>
      </c>
      <c r="P157" s="96" t="s">
        <v>2245</v>
      </c>
      <c r="Q157" s="97" t="s">
        <v>2246</v>
      </c>
      <c r="R157" s="76">
        <f t="shared" si="10"/>
        <v>29</v>
      </c>
      <c r="S157" s="76">
        <f t="shared" si="11"/>
        <v>29</v>
      </c>
      <c r="T157" s="76" t="str">
        <f t="shared" si="12"/>
        <v>-</v>
      </c>
      <c r="U157" s="76" t="str">
        <f t="shared" si="13"/>
        <v>-</v>
      </c>
      <c r="V157" s="76" t="str">
        <f t="shared" si="14"/>
        <v>-</v>
      </c>
      <c r="Z157" s="62"/>
    </row>
    <row r="158" spans="1:26" ht="40.15" customHeight="1" x14ac:dyDescent="0.25">
      <c r="A158" s="87">
        <v>6</v>
      </c>
      <c r="B158" s="88" t="s">
        <v>1550</v>
      </c>
      <c r="C158" s="89" t="s">
        <v>1578</v>
      </c>
      <c r="D158" s="90" t="s">
        <v>1623</v>
      </c>
      <c r="E158" s="90" t="s">
        <v>1624</v>
      </c>
      <c r="F158" s="91" t="s">
        <v>1556</v>
      </c>
      <c r="G158" s="92" t="s">
        <v>1557</v>
      </c>
      <c r="H158" s="93" t="s">
        <v>2247</v>
      </c>
      <c r="I158" s="87" t="s">
        <v>1685</v>
      </c>
      <c r="J158" s="87" t="s">
        <v>1627</v>
      </c>
      <c r="K158" s="87" t="s">
        <v>1575</v>
      </c>
      <c r="L158" s="126" t="s">
        <v>19</v>
      </c>
      <c r="M158" s="94">
        <v>44238.5</v>
      </c>
      <c r="N158" s="94">
        <v>44238.625</v>
      </c>
      <c r="O158" s="95" t="str">
        <f>PROPER(TEXT(Table1[[#This Row],[Fecha Inicio]],"mmmm"))</f>
        <v>Febrero</v>
      </c>
      <c r="P158" s="96" t="s">
        <v>1686</v>
      </c>
      <c r="Q158" s="97" t="s">
        <v>2248</v>
      </c>
      <c r="R158" s="76">
        <f t="shared" si="10"/>
        <v>2</v>
      </c>
      <c r="S158" s="76">
        <f t="shared" si="11"/>
        <v>2</v>
      </c>
      <c r="T158" s="76" t="str">
        <f t="shared" si="12"/>
        <v>-</v>
      </c>
      <c r="U158" s="76" t="str">
        <f t="shared" si="13"/>
        <v>-</v>
      </c>
      <c r="V158" s="76" t="str">
        <f t="shared" si="14"/>
        <v>-</v>
      </c>
      <c r="Z158" s="62"/>
    </row>
    <row r="159" spans="1:26" ht="40.15" customHeight="1" x14ac:dyDescent="0.25">
      <c r="A159" s="87">
        <v>6</v>
      </c>
      <c r="B159" s="88" t="s">
        <v>1550</v>
      </c>
      <c r="C159" s="89"/>
      <c r="D159" s="89" t="s">
        <v>1570</v>
      </c>
      <c r="E159" s="89" t="s">
        <v>1571</v>
      </c>
      <c r="F159" s="91" t="s">
        <v>1556</v>
      </c>
      <c r="G159" s="92" t="s">
        <v>1557</v>
      </c>
      <c r="H159" s="93" t="s">
        <v>2249</v>
      </c>
      <c r="I159" s="87" t="s">
        <v>2250</v>
      </c>
      <c r="J159" s="91" t="s">
        <v>1790</v>
      </c>
      <c r="K159" s="91" t="s">
        <v>1791</v>
      </c>
      <c r="L159" s="126" t="s">
        <v>19</v>
      </c>
      <c r="M159" s="94">
        <v>44238.875</v>
      </c>
      <c r="N159" s="94">
        <v>44239</v>
      </c>
      <c r="O159" s="95" t="str">
        <f>PROPER(TEXT(Table1[[#This Row],[Fecha Inicio]],"mmmm"))</f>
        <v>Febrero</v>
      </c>
      <c r="P159" s="96" t="s">
        <v>1792</v>
      </c>
      <c r="Q159" s="97" t="s">
        <v>2251</v>
      </c>
      <c r="R159" s="76">
        <f t="shared" si="10"/>
        <v>113</v>
      </c>
      <c r="S159" s="76">
        <f t="shared" si="11"/>
        <v>113</v>
      </c>
      <c r="T159" s="76" t="str">
        <f t="shared" si="12"/>
        <v>-</v>
      </c>
      <c r="U159" s="76" t="str">
        <f t="shared" si="13"/>
        <v>-</v>
      </c>
      <c r="V159" s="76" t="str">
        <f t="shared" si="14"/>
        <v>-</v>
      </c>
      <c r="Z159" s="62"/>
    </row>
    <row r="160" spans="1:26" ht="40.15" customHeight="1" x14ac:dyDescent="0.25">
      <c r="A160" s="87">
        <v>4</v>
      </c>
      <c r="B160" s="88" t="s">
        <v>1550</v>
      </c>
      <c r="C160" s="89"/>
      <c r="D160" s="89" t="s">
        <v>1570</v>
      </c>
      <c r="E160" s="89" t="s">
        <v>1571</v>
      </c>
      <c r="F160" s="91" t="s">
        <v>1556</v>
      </c>
      <c r="G160" s="92" t="s">
        <v>1557</v>
      </c>
      <c r="H160" s="93" t="s">
        <v>2254</v>
      </c>
      <c r="I160" s="87" t="s">
        <v>2255</v>
      </c>
      <c r="J160" s="91" t="s">
        <v>1574</v>
      </c>
      <c r="K160" s="91" t="s">
        <v>1575</v>
      </c>
      <c r="L160" s="126" t="s">
        <v>19</v>
      </c>
      <c r="M160" s="94">
        <v>44238.916666666664</v>
      </c>
      <c r="N160" s="94">
        <v>44238.958333333336</v>
      </c>
      <c r="O160" s="95" t="str">
        <f>PROPER(TEXT(Table1[[#This Row],[Fecha Inicio]],"mmmm"))</f>
        <v>Febrero</v>
      </c>
      <c r="P160" s="87" t="s">
        <v>1576</v>
      </c>
      <c r="Q160" s="97" t="s">
        <v>2256</v>
      </c>
      <c r="R160" s="76">
        <f t="shared" si="10"/>
        <v>5</v>
      </c>
      <c r="S160" s="76">
        <f t="shared" si="11"/>
        <v>5</v>
      </c>
      <c r="T160" s="76" t="str">
        <f t="shared" si="12"/>
        <v>-</v>
      </c>
      <c r="U160" s="76" t="str">
        <f t="shared" si="13"/>
        <v>-</v>
      </c>
      <c r="V160" s="76" t="str">
        <f t="shared" si="14"/>
        <v>-</v>
      </c>
      <c r="Z160" s="62"/>
    </row>
    <row r="161" spans="1:26" ht="40.15" customHeight="1" x14ac:dyDescent="0.25">
      <c r="A161" s="87">
        <v>5</v>
      </c>
      <c r="B161" s="88" t="s">
        <v>1550</v>
      </c>
      <c r="C161" s="89" t="s">
        <v>1716</v>
      </c>
      <c r="D161" s="90" t="s">
        <v>326</v>
      </c>
      <c r="E161" s="90" t="s">
        <v>1631</v>
      </c>
      <c r="F161" s="91" t="s">
        <v>1556</v>
      </c>
      <c r="G161" s="92" t="s">
        <v>1557</v>
      </c>
      <c r="H161" s="93" t="s">
        <v>2252</v>
      </c>
      <c r="I161" s="87" t="s">
        <v>1689</v>
      </c>
      <c r="J161" s="87" t="s">
        <v>1634</v>
      </c>
      <c r="K161" s="87" t="s">
        <v>1635</v>
      </c>
      <c r="L161" s="126" t="s">
        <v>19</v>
      </c>
      <c r="M161" s="94">
        <v>44238.916666666664</v>
      </c>
      <c r="N161" s="94">
        <v>44239.083333333336</v>
      </c>
      <c r="O161" s="95" t="str">
        <f>PROPER(TEXT(Table1[[#This Row],[Fecha Inicio]],"mmmm"))</f>
        <v>Febrero</v>
      </c>
      <c r="P161" s="96" t="s">
        <v>1690</v>
      </c>
      <c r="Q161" s="97" t="s">
        <v>2253</v>
      </c>
      <c r="R161" s="76">
        <f t="shared" si="10"/>
        <v>23</v>
      </c>
      <c r="S161" s="76">
        <f t="shared" si="11"/>
        <v>23</v>
      </c>
      <c r="T161" s="76" t="str">
        <f t="shared" si="12"/>
        <v>-</v>
      </c>
      <c r="U161" s="76" t="str">
        <f t="shared" si="13"/>
        <v>-</v>
      </c>
      <c r="V161" s="76" t="str">
        <f t="shared" si="14"/>
        <v>-</v>
      </c>
      <c r="Z161" s="62"/>
    </row>
    <row r="162" spans="1:26" ht="40.15" customHeight="1" x14ac:dyDescent="0.25">
      <c r="A162" s="87">
        <v>6</v>
      </c>
      <c r="B162" s="88" t="s">
        <v>1550</v>
      </c>
      <c r="C162" s="89"/>
      <c r="D162" s="90" t="s">
        <v>326</v>
      </c>
      <c r="E162" s="90" t="s">
        <v>1631</v>
      </c>
      <c r="F162" s="91" t="s">
        <v>1556</v>
      </c>
      <c r="G162" s="92" t="s">
        <v>1557</v>
      </c>
      <c r="H162" s="93" t="s">
        <v>2257</v>
      </c>
      <c r="I162" s="87" t="s">
        <v>2258</v>
      </c>
      <c r="J162" s="87" t="s">
        <v>1734</v>
      </c>
      <c r="K162" s="87" t="s">
        <v>1921</v>
      </c>
      <c r="L162" s="87" t="s">
        <v>52</v>
      </c>
      <c r="M162" s="94">
        <v>44239.375</v>
      </c>
      <c r="N162" s="94">
        <v>44240.791666666664</v>
      </c>
      <c r="O162" s="95" t="str">
        <f>PROPER(TEXT(Table1[[#This Row],[Fecha Inicio]],"mmmm"))</f>
        <v>Febrero</v>
      </c>
      <c r="P162" s="96" t="s">
        <v>2259</v>
      </c>
      <c r="Q162" s="97" t="s">
        <v>2260</v>
      </c>
      <c r="R162" s="76">
        <f t="shared" si="10"/>
        <v>1</v>
      </c>
      <c r="S162" s="76">
        <f t="shared" si="11"/>
        <v>1</v>
      </c>
      <c r="T162" s="76" t="str">
        <f t="shared" si="12"/>
        <v>-</v>
      </c>
      <c r="U162" s="76" t="str">
        <f t="shared" si="13"/>
        <v>-</v>
      </c>
      <c r="V162" s="76" t="str">
        <f t="shared" si="14"/>
        <v>-</v>
      </c>
      <c r="Z162" s="62"/>
    </row>
    <row r="163" spans="1:26" ht="40.15" customHeight="1" x14ac:dyDescent="0.25">
      <c r="A163" s="87">
        <v>5</v>
      </c>
      <c r="B163" s="88" t="s">
        <v>1550</v>
      </c>
      <c r="C163" s="89" t="s">
        <v>2261</v>
      </c>
      <c r="D163" s="90" t="s">
        <v>326</v>
      </c>
      <c r="E163" s="90" t="s">
        <v>1631</v>
      </c>
      <c r="F163" s="91" t="s">
        <v>1556</v>
      </c>
      <c r="G163" s="92" t="s">
        <v>1557</v>
      </c>
      <c r="H163" s="93" t="s">
        <v>2262</v>
      </c>
      <c r="I163" s="87" t="s">
        <v>1718</v>
      </c>
      <c r="J163" s="87" t="s">
        <v>1719</v>
      </c>
      <c r="K163" s="91" t="s">
        <v>1575</v>
      </c>
      <c r="L163" s="126" t="s">
        <v>19</v>
      </c>
      <c r="M163" s="94">
        <v>44241</v>
      </c>
      <c r="N163" s="94">
        <v>44241.25</v>
      </c>
      <c r="O163" s="95" t="str">
        <f>PROPER(TEXT(Table1[[#This Row],[Fecha Inicio]],"mmmm"))</f>
        <v>Febrero</v>
      </c>
      <c r="P163" s="96" t="s">
        <v>1720</v>
      </c>
      <c r="Q163" s="97" t="s">
        <v>2263</v>
      </c>
      <c r="R163" s="76">
        <f t="shared" si="10"/>
        <v>15</v>
      </c>
      <c r="S163" s="76">
        <f t="shared" si="11"/>
        <v>15</v>
      </c>
      <c r="T163" s="76" t="str">
        <f t="shared" si="12"/>
        <v>-</v>
      </c>
      <c r="U163" s="76" t="str">
        <f t="shared" si="13"/>
        <v>-</v>
      </c>
      <c r="V163" s="76" t="str">
        <f t="shared" si="14"/>
        <v>-</v>
      </c>
      <c r="Z163" s="62"/>
    </row>
    <row r="164" spans="1:26" ht="40.15" customHeight="1" x14ac:dyDescent="0.25">
      <c r="A164" s="87">
        <v>4</v>
      </c>
      <c r="B164" s="88" t="s">
        <v>1550</v>
      </c>
      <c r="C164" s="89"/>
      <c r="D164" s="89" t="s">
        <v>1570</v>
      </c>
      <c r="E164" s="89" t="s">
        <v>1571</v>
      </c>
      <c r="F164" s="91" t="s">
        <v>1556</v>
      </c>
      <c r="G164" s="92" t="s">
        <v>1557</v>
      </c>
      <c r="H164" s="93" t="s">
        <v>2264</v>
      </c>
      <c r="I164" s="87" t="s">
        <v>2265</v>
      </c>
      <c r="J164" s="91" t="s">
        <v>1724</v>
      </c>
      <c r="K164" s="91" t="s">
        <v>1575</v>
      </c>
      <c r="L164" s="126" t="s">
        <v>19</v>
      </c>
      <c r="M164" s="94">
        <v>44241.375</v>
      </c>
      <c r="N164" s="94">
        <v>44241.458333333336</v>
      </c>
      <c r="O164" s="95" t="str">
        <f>PROPER(TEXT(Table1[[#This Row],[Fecha Inicio]],"mmmm"))</f>
        <v>Febrero</v>
      </c>
      <c r="P164" s="87" t="s">
        <v>1725</v>
      </c>
      <c r="Q164" s="97" t="s">
        <v>2266</v>
      </c>
      <c r="R164" s="76">
        <f t="shared" si="10"/>
        <v>13</v>
      </c>
      <c r="S164" s="76">
        <f t="shared" si="11"/>
        <v>13</v>
      </c>
      <c r="T164" s="76" t="str">
        <f t="shared" si="12"/>
        <v>-</v>
      </c>
      <c r="U164" s="76" t="str">
        <f t="shared" si="13"/>
        <v>-</v>
      </c>
      <c r="V164" s="76" t="str">
        <f t="shared" si="14"/>
        <v>-</v>
      </c>
      <c r="Z164" s="62"/>
    </row>
    <row r="165" spans="1:26" ht="40.15" customHeight="1" x14ac:dyDescent="0.25">
      <c r="A165" s="87">
        <v>6</v>
      </c>
      <c r="B165" s="100" t="s">
        <v>1552</v>
      </c>
      <c r="C165" s="89" t="s">
        <v>2267</v>
      </c>
      <c r="D165" s="90" t="s">
        <v>1554</v>
      </c>
      <c r="E165" s="90" t="s">
        <v>1555</v>
      </c>
      <c r="F165" s="87" t="s">
        <v>1556</v>
      </c>
      <c r="G165" s="92" t="s">
        <v>1965</v>
      </c>
      <c r="H165" s="93" t="s">
        <v>2268</v>
      </c>
      <c r="I165" s="87" t="s">
        <v>2269</v>
      </c>
      <c r="J165" s="87" t="s">
        <v>2270</v>
      </c>
      <c r="K165" s="87" t="s">
        <v>2136</v>
      </c>
      <c r="L165" s="126" t="s">
        <v>19</v>
      </c>
      <c r="M165" s="94">
        <v>44241.729166666664</v>
      </c>
      <c r="N165" s="94">
        <v>44241.770833333336</v>
      </c>
      <c r="O165" s="95" t="str">
        <f>PROPER(TEXT(Table1[[#This Row],[Fecha Inicio]],"mmmm"))</f>
        <v>Febrero</v>
      </c>
      <c r="P165" s="96" t="s">
        <v>2271</v>
      </c>
      <c r="Q165" s="97" t="s">
        <v>2272</v>
      </c>
      <c r="R165" s="76">
        <f t="shared" si="10"/>
        <v>1</v>
      </c>
      <c r="S165" s="76" t="str">
        <f t="shared" si="11"/>
        <v>-</v>
      </c>
      <c r="T165" s="76" t="str">
        <f t="shared" si="12"/>
        <v>-</v>
      </c>
      <c r="U165" s="76">
        <f t="shared" si="13"/>
        <v>1</v>
      </c>
      <c r="V165" s="76" t="str">
        <f t="shared" si="14"/>
        <v>-</v>
      </c>
      <c r="Z165" s="62"/>
    </row>
    <row r="166" spans="1:26" ht="40.15" customHeight="1" x14ac:dyDescent="0.25">
      <c r="A166" s="87">
        <v>5</v>
      </c>
      <c r="B166" s="88" t="s">
        <v>1550</v>
      </c>
      <c r="C166" s="89" t="s">
        <v>2261</v>
      </c>
      <c r="D166" s="90" t="s">
        <v>326</v>
      </c>
      <c r="E166" s="90" t="s">
        <v>1631</v>
      </c>
      <c r="F166" s="91" t="s">
        <v>1556</v>
      </c>
      <c r="G166" s="92" t="s">
        <v>1557</v>
      </c>
      <c r="H166" s="93" t="s">
        <v>2273</v>
      </c>
      <c r="I166" s="87" t="s">
        <v>1728</v>
      </c>
      <c r="J166" s="87" t="s">
        <v>1729</v>
      </c>
      <c r="K166" s="87" t="s">
        <v>1575</v>
      </c>
      <c r="L166" s="126" t="s">
        <v>19</v>
      </c>
      <c r="M166" s="94">
        <v>44242.25</v>
      </c>
      <c r="N166" s="94">
        <v>44242.333333333336</v>
      </c>
      <c r="O166" s="95" t="str">
        <f>PROPER(TEXT(Table1[[#This Row],[Fecha Inicio]],"mmmm"))</f>
        <v>Febrero</v>
      </c>
      <c r="P166" s="96" t="s">
        <v>1730</v>
      </c>
      <c r="Q166" s="97" t="s">
        <v>2274</v>
      </c>
      <c r="R166" s="76">
        <f t="shared" si="10"/>
        <v>5</v>
      </c>
      <c r="S166" s="76">
        <f t="shared" si="11"/>
        <v>5</v>
      </c>
      <c r="T166" s="76" t="str">
        <f t="shared" si="12"/>
        <v>-</v>
      </c>
      <c r="U166" s="76" t="str">
        <f t="shared" si="13"/>
        <v>-</v>
      </c>
      <c r="V166" s="76" t="str">
        <f t="shared" si="14"/>
        <v>-</v>
      </c>
      <c r="Z166" s="62"/>
    </row>
    <row r="167" spans="1:26" ht="40.15" customHeight="1" x14ac:dyDescent="0.25">
      <c r="A167" s="87">
        <v>5</v>
      </c>
      <c r="B167" s="88" t="s">
        <v>1550</v>
      </c>
      <c r="C167" s="89" t="s">
        <v>2261</v>
      </c>
      <c r="D167" s="90" t="s">
        <v>326</v>
      </c>
      <c r="E167" s="90" t="s">
        <v>1631</v>
      </c>
      <c r="F167" s="91" t="s">
        <v>1556</v>
      </c>
      <c r="G167" s="92" t="s">
        <v>1557</v>
      </c>
      <c r="H167" s="93" t="s">
        <v>2275</v>
      </c>
      <c r="I167" s="87" t="s">
        <v>2276</v>
      </c>
      <c r="J167" s="87" t="s">
        <v>1734</v>
      </c>
      <c r="K167" s="87" t="s">
        <v>1921</v>
      </c>
      <c r="L167" s="126" t="s">
        <v>19</v>
      </c>
      <c r="M167" s="94">
        <v>44242.291666666664</v>
      </c>
      <c r="N167" s="94">
        <v>44242.333333333336</v>
      </c>
      <c r="O167" s="95" t="str">
        <f>PROPER(TEXT(Table1[[#This Row],[Fecha Inicio]],"mmmm"))</f>
        <v>Febrero</v>
      </c>
      <c r="P167" s="96" t="s">
        <v>277</v>
      </c>
      <c r="Q167" s="97" t="s">
        <v>2277</v>
      </c>
      <c r="R167" s="76">
        <f t="shared" si="10"/>
        <v>1</v>
      </c>
      <c r="S167" s="76">
        <f t="shared" si="11"/>
        <v>1</v>
      </c>
      <c r="T167" s="76" t="str">
        <f t="shared" si="12"/>
        <v>-</v>
      </c>
      <c r="U167" s="76" t="str">
        <f t="shared" si="13"/>
        <v>-</v>
      </c>
      <c r="V167" s="76" t="str">
        <f t="shared" si="14"/>
        <v>-</v>
      </c>
      <c r="Z167" s="62"/>
    </row>
    <row r="168" spans="1:26" ht="40.15" customHeight="1" x14ac:dyDescent="0.25">
      <c r="A168" s="87">
        <v>6</v>
      </c>
      <c r="B168" s="88" t="s">
        <v>1550</v>
      </c>
      <c r="C168" s="89"/>
      <c r="D168" s="90" t="s">
        <v>1623</v>
      </c>
      <c r="E168" s="90" t="s">
        <v>1624</v>
      </c>
      <c r="F168" s="87" t="s">
        <v>1556</v>
      </c>
      <c r="G168" s="92" t="s">
        <v>1557</v>
      </c>
      <c r="H168" s="93" t="s">
        <v>2278</v>
      </c>
      <c r="I168" s="87" t="s">
        <v>1930</v>
      </c>
      <c r="J168" s="87" t="s">
        <v>1931</v>
      </c>
      <c r="K168" s="87" t="s">
        <v>1921</v>
      </c>
      <c r="L168" s="126" t="s">
        <v>19</v>
      </c>
      <c r="M168" s="94">
        <v>44242.3125</v>
      </c>
      <c r="N168" s="94">
        <v>44242.4375</v>
      </c>
      <c r="O168" s="95" t="str">
        <f>PROPER(TEXT(Table1[[#This Row],[Fecha Inicio]],"mmmm"))</f>
        <v>Febrero</v>
      </c>
      <c r="P168" s="96" t="s">
        <v>1932</v>
      </c>
      <c r="Q168" s="97" t="s">
        <v>2279</v>
      </c>
      <c r="R168" s="76">
        <f t="shared" si="10"/>
        <v>1</v>
      </c>
      <c r="S168" s="76">
        <f t="shared" si="11"/>
        <v>1</v>
      </c>
      <c r="T168" s="76" t="str">
        <f t="shared" si="12"/>
        <v>-</v>
      </c>
      <c r="U168" s="76" t="str">
        <f t="shared" si="13"/>
        <v>-</v>
      </c>
      <c r="V168" s="76" t="str">
        <f t="shared" si="14"/>
        <v>-</v>
      </c>
      <c r="Z168" s="62"/>
    </row>
    <row r="169" spans="1:26" ht="40.15" customHeight="1" x14ac:dyDescent="0.25">
      <c r="A169" s="87">
        <v>6</v>
      </c>
      <c r="B169" s="88" t="s">
        <v>1550</v>
      </c>
      <c r="C169" s="89"/>
      <c r="D169" s="90" t="s">
        <v>326</v>
      </c>
      <c r="E169" s="90" t="s">
        <v>1742</v>
      </c>
      <c r="F169" s="87" t="s">
        <v>1556</v>
      </c>
      <c r="G169" s="92" t="s">
        <v>1557</v>
      </c>
      <c r="H169" s="93" t="s">
        <v>2280</v>
      </c>
      <c r="I169" s="87" t="s">
        <v>2281</v>
      </c>
      <c r="J169" s="87" t="s">
        <v>1859</v>
      </c>
      <c r="K169" s="87" t="s">
        <v>1860</v>
      </c>
      <c r="L169" s="87" t="s">
        <v>52</v>
      </c>
      <c r="M169" s="94">
        <v>44242.375</v>
      </c>
      <c r="N169" s="94">
        <v>44242.583333333336</v>
      </c>
      <c r="O169" s="95" t="str">
        <f>PROPER(TEXT(Table1[[#This Row],[Fecha Inicio]],"mmmm"))</f>
        <v>Febrero</v>
      </c>
      <c r="P169" s="96" t="s">
        <v>2282</v>
      </c>
      <c r="Q169" s="97" t="s">
        <v>2283</v>
      </c>
      <c r="R169" s="76">
        <f t="shared" si="10"/>
        <v>2</v>
      </c>
      <c r="S169" s="76">
        <f t="shared" si="11"/>
        <v>2</v>
      </c>
      <c r="T169" s="76" t="str">
        <f t="shared" si="12"/>
        <v>-</v>
      </c>
      <c r="U169" s="76" t="str">
        <f t="shared" si="13"/>
        <v>-</v>
      </c>
      <c r="V169" s="76" t="str">
        <f t="shared" si="14"/>
        <v>-</v>
      </c>
      <c r="Z169" s="62"/>
    </row>
    <row r="170" spans="1:26" ht="40.15" customHeight="1" x14ac:dyDescent="0.25">
      <c r="A170" s="87">
        <v>6</v>
      </c>
      <c r="B170" s="88" t="s">
        <v>1550</v>
      </c>
      <c r="C170" s="89"/>
      <c r="D170" s="90" t="s">
        <v>1554</v>
      </c>
      <c r="E170" s="90" t="s">
        <v>1555</v>
      </c>
      <c r="F170" s="87" t="s">
        <v>1556</v>
      </c>
      <c r="G170" s="92" t="s">
        <v>1557</v>
      </c>
      <c r="H170" s="93" t="s">
        <v>2284</v>
      </c>
      <c r="I170" s="87" t="s">
        <v>1819</v>
      </c>
      <c r="J170" s="91" t="s">
        <v>1583</v>
      </c>
      <c r="K170" s="87" t="s">
        <v>1584</v>
      </c>
      <c r="L170" s="87" t="s">
        <v>52</v>
      </c>
      <c r="M170" s="94">
        <v>44242.375</v>
      </c>
      <c r="N170" s="94">
        <v>44243.791666666664</v>
      </c>
      <c r="O170" s="95" t="str">
        <f>PROPER(TEXT(Table1[[#This Row],[Fecha Inicio]],"mmmm"))</f>
        <v>Febrero</v>
      </c>
      <c r="P170" s="96" t="s">
        <v>2285</v>
      </c>
      <c r="Q170" s="97" t="s">
        <v>2286</v>
      </c>
      <c r="R170" s="76">
        <f t="shared" si="10"/>
        <v>5</v>
      </c>
      <c r="S170" s="76">
        <f t="shared" si="11"/>
        <v>5</v>
      </c>
      <c r="T170" s="76" t="str">
        <f t="shared" si="12"/>
        <v>-</v>
      </c>
      <c r="U170" s="76" t="str">
        <f t="shared" si="13"/>
        <v>-</v>
      </c>
      <c r="V170" s="76" t="str">
        <f t="shared" si="14"/>
        <v>-</v>
      </c>
      <c r="Z170" s="62"/>
    </row>
    <row r="171" spans="1:26" ht="40.15" customHeight="1" x14ac:dyDescent="0.25">
      <c r="A171" s="87">
        <v>6</v>
      </c>
      <c r="B171" s="88" t="s">
        <v>1550</v>
      </c>
      <c r="C171" s="89"/>
      <c r="D171" s="90" t="s">
        <v>1623</v>
      </c>
      <c r="E171" s="90" t="s">
        <v>1624</v>
      </c>
      <c r="F171" s="91" t="s">
        <v>1556</v>
      </c>
      <c r="G171" s="92" t="s">
        <v>1557</v>
      </c>
      <c r="H171" s="93" t="s">
        <v>2287</v>
      </c>
      <c r="I171" s="87" t="s">
        <v>1626</v>
      </c>
      <c r="J171" s="87" t="s">
        <v>1627</v>
      </c>
      <c r="K171" s="87" t="s">
        <v>1575</v>
      </c>
      <c r="L171" s="126" t="s">
        <v>19</v>
      </c>
      <c r="M171" s="94">
        <v>44242.5</v>
      </c>
      <c r="N171" s="94">
        <v>44242.625</v>
      </c>
      <c r="O171" s="95" t="str">
        <f>PROPER(TEXT(Table1[[#This Row],[Fecha Inicio]],"mmmm"))</f>
        <v>Febrero</v>
      </c>
      <c r="P171" s="96" t="s">
        <v>1628</v>
      </c>
      <c r="Q171" s="97" t="s">
        <v>2288</v>
      </c>
      <c r="R171" s="76">
        <f t="shared" si="10"/>
        <v>2</v>
      </c>
      <c r="S171" s="76">
        <f t="shared" si="11"/>
        <v>2</v>
      </c>
      <c r="T171" s="76" t="str">
        <f t="shared" si="12"/>
        <v>-</v>
      </c>
      <c r="U171" s="76" t="str">
        <f t="shared" si="13"/>
        <v>-</v>
      </c>
      <c r="V171" s="76" t="str">
        <f t="shared" si="14"/>
        <v>-</v>
      </c>
      <c r="Z171" s="62"/>
    </row>
    <row r="172" spans="1:26" ht="40.15" customHeight="1" x14ac:dyDescent="0.25">
      <c r="A172" s="87">
        <v>5</v>
      </c>
      <c r="B172" s="88" t="s">
        <v>1550</v>
      </c>
      <c r="C172" s="89" t="s">
        <v>2261</v>
      </c>
      <c r="D172" s="90" t="s">
        <v>326</v>
      </c>
      <c r="E172" s="90" t="s">
        <v>1631</v>
      </c>
      <c r="F172" s="91" t="s">
        <v>1556</v>
      </c>
      <c r="G172" s="92" t="s">
        <v>1557</v>
      </c>
      <c r="H172" s="93" t="s">
        <v>2289</v>
      </c>
      <c r="I172" s="87" t="s">
        <v>1750</v>
      </c>
      <c r="J172" s="87" t="s">
        <v>1560</v>
      </c>
      <c r="K172" s="87" t="s">
        <v>1561</v>
      </c>
      <c r="L172" s="126" t="s">
        <v>19</v>
      </c>
      <c r="M172" s="94">
        <v>44242.791666666664</v>
      </c>
      <c r="N172" s="94">
        <v>44243.083333333336</v>
      </c>
      <c r="O172" s="95" t="str">
        <f>PROPER(TEXT(Table1[[#This Row],[Fecha Inicio]],"mmmm"))</f>
        <v>Febrero</v>
      </c>
      <c r="P172" s="96" t="s">
        <v>1751</v>
      </c>
      <c r="Q172" s="97" t="s">
        <v>2290</v>
      </c>
      <c r="R172" s="76">
        <f t="shared" si="10"/>
        <v>4</v>
      </c>
      <c r="S172" s="76">
        <f t="shared" si="11"/>
        <v>4</v>
      </c>
      <c r="T172" s="76" t="str">
        <f t="shared" si="12"/>
        <v>-</v>
      </c>
      <c r="U172" s="76" t="str">
        <f t="shared" si="13"/>
        <v>-</v>
      </c>
      <c r="V172" s="76" t="str">
        <f t="shared" si="14"/>
        <v>-</v>
      </c>
      <c r="Z172" s="62"/>
    </row>
    <row r="173" spans="1:26" ht="40.15" customHeight="1" x14ac:dyDescent="0.25">
      <c r="A173" s="87">
        <v>4</v>
      </c>
      <c r="B173" s="88" t="s">
        <v>1550</v>
      </c>
      <c r="C173" s="89"/>
      <c r="D173" s="89" t="s">
        <v>1570</v>
      </c>
      <c r="E173" s="89" t="s">
        <v>1571</v>
      </c>
      <c r="F173" s="91" t="s">
        <v>1556</v>
      </c>
      <c r="G173" s="92" t="s">
        <v>1557</v>
      </c>
      <c r="H173" s="93" t="s">
        <v>2291</v>
      </c>
      <c r="I173" s="87" t="s">
        <v>2292</v>
      </c>
      <c r="J173" s="91" t="s">
        <v>1612</v>
      </c>
      <c r="K173" s="91" t="s">
        <v>1613</v>
      </c>
      <c r="L173" s="126" t="s">
        <v>19</v>
      </c>
      <c r="M173" s="94">
        <v>44242.916666666664</v>
      </c>
      <c r="N173" s="94">
        <v>44242.958333333336</v>
      </c>
      <c r="O173" s="95" t="str">
        <f>PROPER(TEXT(Table1[[#This Row],[Fecha Inicio]],"mmmm"))</f>
        <v>Febrero</v>
      </c>
      <c r="P173" s="87" t="s">
        <v>2293</v>
      </c>
      <c r="Q173" s="97" t="s">
        <v>2294</v>
      </c>
      <c r="R173" s="76">
        <f t="shared" si="10"/>
        <v>36</v>
      </c>
      <c r="S173" s="76">
        <f t="shared" si="11"/>
        <v>36</v>
      </c>
      <c r="T173" s="76" t="str">
        <f t="shared" si="12"/>
        <v>-</v>
      </c>
      <c r="U173" s="76" t="str">
        <f t="shared" si="13"/>
        <v>-</v>
      </c>
      <c r="V173" s="76" t="str">
        <f t="shared" si="14"/>
        <v>-</v>
      </c>
      <c r="Z173" s="62"/>
    </row>
    <row r="174" spans="1:26" ht="40.15" customHeight="1" x14ac:dyDescent="0.25">
      <c r="A174" s="87">
        <v>5</v>
      </c>
      <c r="B174" s="88" t="s">
        <v>1550</v>
      </c>
      <c r="C174" s="89" t="s">
        <v>2261</v>
      </c>
      <c r="D174" s="90" t="s">
        <v>326</v>
      </c>
      <c r="E174" s="90" t="s">
        <v>1631</v>
      </c>
      <c r="F174" s="91" t="s">
        <v>1556</v>
      </c>
      <c r="G174" s="92" t="s">
        <v>1557</v>
      </c>
      <c r="H174" s="93" t="s">
        <v>2295</v>
      </c>
      <c r="I174" s="87" t="s">
        <v>1759</v>
      </c>
      <c r="J174" s="87" t="s">
        <v>1760</v>
      </c>
      <c r="K174" s="87" t="s">
        <v>1761</v>
      </c>
      <c r="L174" s="126" t="s">
        <v>19</v>
      </c>
      <c r="M174" s="94">
        <v>44242.916666666664</v>
      </c>
      <c r="N174" s="94">
        <v>44243.041666666664</v>
      </c>
      <c r="O174" s="95" t="str">
        <f>PROPER(TEXT(Table1[[#This Row],[Fecha Inicio]],"mmmm"))</f>
        <v>Febrero</v>
      </c>
      <c r="P174" s="96" t="s">
        <v>1762</v>
      </c>
      <c r="Q174" s="97" t="s">
        <v>2296</v>
      </c>
      <c r="R174" s="76">
        <f t="shared" si="10"/>
        <v>9</v>
      </c>
      <c r="S174" s="76">
        <f t="shared" si="11"/>
        <v>9</v>
      </c>
      <c r="T174" s="76" t="str">
        <f t="shared" si="12"/>
        <v>-</v>
      </c>
      <c r="U174" s="76" t="str">
        <f t="shared" si="13"/>
        <v>-</v>
      </c>
      <c r="V174" s="76" t="str">
        <f t="shared" si="14"/>
        <v>-</v>
      </c>
      <c r="Z174" s="62"/>
    </row>
    <row r="175" spans="1:26" ht="40.15" customHeight="1" x14ac:dyDescent="0.25">
      <c r="A175" s="87">
        <v>5</v>
      </c>
      <c r="B175" s="88" t="s">
        <v>1550</v>
      </c>
      <c r="C175" s="89"/>
      <c r="D175" s="89" t="s">
        <v>344</v>
      </c>
      <c r="E175" s="89" t="s">
        <v>1616</v>
      </c>
      <c r="F175" s="87" t="s">
        <v>1556</v>
      </c>
      <c r="G175" s="92" t="s">
        <v>1557</v>
      </c>
      <c r="H175" s="93" t="s">
        <v>2297</v>
      </c>
      <c r="I175" s="89" t="s">
        <v>2298</v>
      </c>
      <c r="J175" s="89" t="s">
        <v>2157</v>
      </c>
      <c r="K175" s="89" t="s">
        <v>2158</v>
      </c>
      <c r="L175" s="126" t="s">
        <v>19</v>
      </c>
      <c r="M175" s="94">
        <v>44242.958333333336</v>
      </c>
      <c r="N175" s="94">
        <v>44243.208333333336</v>
      </c>
      <c r="O175" s="95" t="str">
        <f>PROPER(TEXT(Table1[[#This Row],[Fecha Inicio]],"mmmm"))</f>
        <v>Febrero</v>
      </c>
      <c r="P175" s="96" t="s">
        <v>2299</v>
      </c>
      <c r="Q175" s="97" t="s">
        <v>2300</v>
      </c>
      <c r="R175" s="76">
        <f t="shared" si="10"/>
        <v>4</v>
      </c>
      <c r="S175" s="76">
        <f t="shared" si="11"/>
        <v>4</v>
      </c>
      <c r="T175" s="76" t="str">
        <f t="shared" si="12"/>
        <v>-</v>
      </c>
      <c r="U175" s="76" t="str">
        <f t="shared" si="13"/>
        <v>-</v>
      </c>
      <c r="V175" s="76" t="str">
        <f t="shared" si="14"/>
        <v>-</v>
      </c>
      <c r="Z175" s="62"/>
    </row>
    <row r="176" spans="1:26" ht="40.15" customHeight="1" x14ac:dyDescent="0.25">
      <c r="A176" s="87">
        <v>5</v>
      </c>
      <c r="B176" s="88" t="s">
        <v>1550</v>
      </c>
      <c r="C176" s="89" t="s">
        <v>2261</v>
      </c>
      <c r="D176" s="90" t="s">
        <v>326</v>
      </c>
      <c r="E176" s="90" t="s">
        <v>1631</v>
      </c>
      <c r="F176" s="91" t="s">
        <v>1556</v>
      </c>
      <c r="G176" s="92" t="s">
        <v>1557</v>
      </c>
      <c r="H176" s="93" t="s">
        <v>2301</v>
      </c>
      <c r="I176" s="87" t="s">
        <v>1775</v>
      </c>
      <c r="J176" s="87" t="s">
        <v>1776</v>
      </c>
      <c r="K176" s="87" t="s">
        <v>1575</v>
      </c>
      <c r="L176" s="126" t="s">
        <v>19</v>
      </c>
      <c r="M176" s="94">
        <v>44243.666666666664</v>
      </c>
      <c r="N176" s="94">
        <v>44243.75</v>
      </c>
      <c r="O176" s="95" t="str">
        <f>PROPER(TEXT(Table1[[#This Row],[Fecha Inicio]],"mmmm"))</f>
        <v>Febrero</v>
      </c>
      <c r="P176" s="96" t="s">
        <v>1777</v>
      </c>
      <c r="Q176" s="97" t="s">
        <v>2302</v>
      </c>
      <c r="R176" s="76">
        <f t="shared" si="10"/>
        <v>2</v>
      </c>
      <c r="S176" s="76">
        <f t="shared" si="11"/>
        <v>2</v>
      </c>
      <c r="T176" s="76" t="str">
        <f t="shared" si="12"/>
        <v>-</v>
      </c>
      <c r="U176" s="76" t="str">
        <f t="shared" si="13"/>
        <v>-</v>
      </c>
      <c r="V176" s="76" t="str">
        <f t="shared" si="14"/>
        <v>-</v>
      </c>
      <c r="Z176" s="62"/>
    </row>
    <row r="177" spans="1:26" ht="40.15" customHeight="1" x14ac:dyDescent="0.25">
      <c r="A177" s="87">
        <v>5</v>
      </c>
      <c r="B177" s="88" t="s">
        <v>1550</v>
      </c>
      <c r="C177" s="89" t="s">
        <v>2261</v>
      </c>
      <c r="D177" s="90" t="s">
        <v>326</v>
      </c>
      <c r="E177" s="90" t="s">
        <v>1631</v>
      </c>
      <c r="F177" s="91" t="s">
        <v>1556</v>
      </c>
      <c r="G177" s="92" t="s">
        <v>1557</v>
      </c>
      <c r="H177" s="93" t="s">
        <v>2303</v>
      </c>
      <c r="I177" s="91" t="s">
        <v>1780</v>
      </c>
      <c r="J177" s="91" t="s">
        <v>1781</v>
      </c>
      <c r="K177" s="91" t="s">
        <v>1575</v>
      </c>
      <c r="L177" s="126" t="s">
        <v>19</v>
      </c>
      <c r="M177" s="94">
        <v>44243.708333333336</v>
      </c>
      <c r="N177" s="94">
        <v>44243.791666666664</v>
      </c>
      <c r="O177" s="95" t="str">
        <f>PROPER(TEXT(Table1[[#This Row],[Fecha Inicio]],"mmmm"))</f>
        <v>Febrero</v>
      </c>
      <c r="P177" s="96" t="s">
        <v>1782</v>
      </c>
      <c r="Q177" s="97" t="s">
        <v>2304</v>
      </c>
      <c r="R177" s="76">
        <f t="shared" si="10"/>
        <v>7</v>
      </c>
      <c r="S177" s="76">
        <f t="shared" si="11"/>
        <v>7</v>
      </c>
      <c r="T177" s="76" t="str">
        <f t="shared" si="12"/>
        <v>-</v>
      </c>
      <c r="U177" s="76" t="str">
        <f t="shared" si="13"/>
        <v>-</v>
      </c>
      <c r="V177" s="76" t="str">
        <f t="shared" si="14"/>
        <v>-</v>
      </c>
      <c r="Z177" s="62"/>
    </row>
    <row r="178" spans="1:26" ht="40.15" customHeight="1" x14ac:dyDescent="0.25">
      <c r="A178" s="87">
        <v>5</v>
      </c>
      <c r="B178" s="88" t="s">
        <v>1550</v>
      </c>
      <c r="C178" s="89" t="s">
        <v>2261</v>
      </c>
      <c r="D178" s="90" t="s">
        <v>326</v>
      </c>
      <c r="E178" s="90" t="s">
        <v>1631</v>
      </c>
      <c r="F178" s="91" t="s">
        <v>1556</v>
      </c>
      <c r="G178" s="92" t="s">
        <v>1557</v>
      </c>
      <c r="H178" s="93" t="s">
        <v>2305</v>
      </c>
      <c r="I178" s="87" t="s">
        <v>2306</v>
      </c>
      <c r="J178" s="87" t="s">
        <v>1786</v>
      </c>
      <c r="K178" s="87" t="s">
        <v>2307</v>
      </c>
      <c r="L178" s="126" t="s">
        <v>19</v>
      </c>
      <c r="M178" s="94">
        <v>44243.833333333336</v>
      </c>
      <c r="N178" s="94">
        <v>44243.875</v>
      </c>
      <c r="O178" s="95" t="str">
        <f>PROPER(TEXT(Table1[[#This Row],[Fecha Inicio]],"mmmm"))</f>
        <v>Febrero</v>
      </c>
      <c r="P178" s="96" t="s">
        <v>250</v>
      </c>
      <c r="Q178" s="97" t="s">
        <v>2308</v>
      </c>
      <c r="R178" s="76">
        <f t="shared" si="10"/>
        <v>1</v>
      </c>
      <c r="S178" s="76">
        <f t="shared" si="11"/>
        <v>1</v>
      </c>
      <c r="T178" s="76" t="str">
        <f t="shared" si="12"/>
        <v>-</v>
      </c>
      <c r="U178" s="76" t="str">
        <f t="shared" si="13"/>
        <v>-</v>
      </c>
      <c r="V178" s="76" t="str">
        <f t="shared" si="14"/>
        <v>-</v>
      </c>
      <c r="Z178" s="62"/>
    </row>
    <row r="179" spans="1:26" ht="40.15" customHeight="1" x14ac:dyDescent="0.25">
      <c r="A179" s="87">
        <v>4</v>
      </c>
      <c r="B179" s="88" t="s">
        <v>1550</v>
      </c>
      <c r="C179" s="89"/>
      <c r="D179" s="89" t="s">
        <v>1570</v>
      </c>
      <c r="E179" s="89" t="s">
        <v>1571</v>
      </c>
      <c r="F179" s="91" t="s">
        <v>1556</v>
      </c>
      <c r="G179" s="92" t="s">
        <v>1557</v>
      </c>
      <c r="H179" s="93" t="s">
        <v>2309</v>
      </c>
      <c r="I179" s="87" t="s">
        <v>2310</v>
      </c>
      <c r="J179" s="91" t="s">
        <v>1640</v>
      </c>
      <c r="K179" s="91" t="s">
        <v>1641</v>
      </c>
      <c r="L179" s="126" t="s">
        <v>19</v>
      </c>
      <c r="M179" s="94">
        <v>44243.916666666664</v>
      </c>
      <c r="N179" s="94">
        <v>44244</v>
      </c>
      <c r="O179" s="95" t="str">
        <f>PROPER(TEXT(Table1[[#This Row],[Fecha Inicio]],"mmmm"))</f>
        <v>Febrero</v>
      </c>
      <c r="P179" s="96" t="s">
        <v>1642</v>
      </c>
      <c r="Q179" s="97" t="s">
        <v>2311</v>
      </c>
      <c r="R179" s="76">
        <f t="shared" si="10"/>
        <v>8</v>
      </c>
      <c r="S179" s="76">
        <f t="shared" si="11"/>
        <v>8</v>
      </c>
      <c r="T179" s="76" t="str">
        <f t="shared" si="12"/>
        <v>-</v>
      </c>
      <c r="U179" s="76" t="str">
        <f t="shared" si="13"/>
        <v>-</v>
      </c>
      <c r="V179" s="76" t="str">
        <f t="shared" si="14"/>
        <v>-</v>
      </c>
      <c r="Z179" s="62"/>
    </row>
    <row r="180" spans="1:26" ht="40.15" customHeight="1" x14ac:dyDescent="0.25">
      <c r="A180" s="87">
        <v>5</v>
      </c>
      <c r="B180" s="88" t="s">
        <v>1550</v>
      </c>
      <c r="C180" s="89"/>
      <c r="D180" s="89" t="s">
        <v>344</v>
      </c>
      <c r="E180" s="89" t="s">
        <v>1616</v>
      </c>
      <c r="F180" s="87" t="s">
        <v>1556</v>
      </c>
      <c r="G180" s="92" t="s">
        <v>1557</v>
      </c>
      <c r="H180" s="93" t="s">
        <v>2312</v>
      </c>
      <c r="I180" s="89" t="s">
        <v>2313</v>
      </c>
      <c r="J180" s="89" t="s">
        <v>2157</v>
      </c>
      <c r="K180" s="89" t="s">
        <v>2158</v>
      </c>
      <c r="L180" s="126" t="s">
        <v>19</v>
      </c>
      <c r="M180" s="94">
        <v>44243.958333333336</v>
      </c>
      <c r="N180" s="94">
        <v>44244.208333333336</v>
      </c>
      <c r="O180" s="95" t="str">
        <f>PROPER(TEXT(Table1[[#This Row],[Fecha Inicio]],"mmmm"))</f>
        <v>Febrero</v>
      </c>
      <c r="P180" s="96" t="s">
        <v>2314</v>
      </c>
      <c r="Q180" s="97" t="s">
        <v>2315</v>
      </c>
      <c r="R180" s="76">
        <f t="shared" si="10"/>
        <v>4</v>
      </c>
      <c r="S180" s="76">
        <f t="shared" si="11"/>
        <v>4</v>
      </c>
      <c r="T180" s="76" t="str">
        <f t="shared" si="12"/>
        <v>-</v>
      </c>
      <c r="U180" s="76" t="str">
        <f t="shared" si="13"/>
        <v>-</v>
      </c>
      <c r="V180" s="76" t="str">
        <f t="shared" si="14"/>
        <v>-</v>
      </c>
      <c r="Z180" s="62"/>
    </row>
    <row r="181" spans="1:26" ht="40.15" customHeight="1" x14ac:dyDescent="0.25">
      <c r="A181" s="87">
        <v>7</v>
      </c>
      <c r="B181" s="88" t="s">
        <v>1550</v>
      </c>
      <c r="C181" s="89" t="s">
        <v>1578</v>
      </c>
      <c r="D181" s="90" t="s">
        <v>1665</v>
      </c>
      <c r="E181" s="90" t="s">
        <v>1666</v>
      </c>
      <c r="F181" s="87" t="s">
        <v>1556</v>
      </c>
      <c r="G181" s="92" t="s">
        <v>1557</v>
      </c>
      <c r="H181" s="93" t="s">
        <v>2316</v>
      </c>
      <c r="I181" s="87" t="s">
        <v>2317</v>
      </c>
      <c r="J181" s="87" t="s">
        <v>1669</v>
      </c>
      <c r="K181" s="87" t="s">
        <v>1670</v>
      </c>
      <c r="L181" s="87" t="s">
        <v>41</v>
      </c>
      <c r="M181" s="94">
        <v>44243.958333333336</v>
      </c>
      <c r="N181" s="94">
        <v>44244.229166666664</v>
      </c>
      <c r="O181" s="95" t="str">
        <f>PROPER(TEXT(Table1[[#This Row],[Fecha Inicio]],"mmmm"))</f>
        <v>Febrero</v>
      </c>
      <c r="P181" s="96" t="s">
        <v>2318</v>
      </c>
      <c r="Q181" s="97" t="s">
        <v>2319</v>
      </c>
      <c r="R181" s="76">
        <f t="shared" si="10"/>
        <v>2</v>
      </c>
      <c r="S181" s="76">
        <f t="shared" si="11"/>
        <v>2</v>
      </c>
      <c r="T181" s="76" t="str">
        <f t="shared" si="12"/>
        <v>-</v>
      </c>
      <c r="U181" s="76" t="str">
        <f t="shared" si="13"/>
        <v>-</v>
      </c>
      <c r="V181" s="76" t="str">
        <f t="shared" si="14"/>
        <v>-</v>
      </c>
      <c r="Z181" s="62"/>
    </row>
    <row r="182" spans="1:26" ht="40.15" customHeight="1" x14ac:dyDescent="0.25">
      <c r="A182" s="87">
        <v>5</v>
      </c>
      <c r="B182" s="88" t="s">
        <v>1550</v>
      </c>
      <c r="C182" s="89" t="s">
        <v>2261</v>
      </c>
      <c r="D182" s="90" t="s">
        <v>326</v>
      </c>
      <c r="E182" s="90" t="s">
        <v>1631</v>
      </c>
      <c r="F182" s="91" t="s">
        <v>1556</v>
      </c>
      <c r="G182" s="92" t="s">
        <v>1557</v>
      </c>
      <c r="H182" s="93" t="s">
        <v>2320</v>
      </c>
      <c r="I182" s="87" t="s">
        <v>1759</v>
      </c>
      <c r="J182" s="87" t="s">
        <v>1760</v>
      </c>
      <c r="K182" s="87" t="s">
        <v>1761</v>
      </c>
      <c r="L182" s="126" t="s">
        <v>19</v>
      </c>
      <c r="M182" s="94">
        <v>44244.041666666664</v>
      </c>
      <c r="N182" s="94">
        <v>44244.166666666664</v>
      </c>
      <c r="O182" s="95" t="str">
        <f>PROPER(TEXT(Table1[[#This Row],[Fecha Inicio]],"mmmm"))</f>
        <v>Febrero</v>
      </c>
      <c r="P182" s="96" t="s">
        <v>1810</v>
      </c>
      <c r="Q182" s="97" t="s">
        <v>2321</v>
      </c>
      <c r="R182" s="76">
        <f t="shared" si="10"/>
        <v>8</v>
      </c>
      <c r="S182" s="76">
        <f t="shared" si="11"/>
        <v>8</v>
      </c>
      <c r="T182" s="76" t="str">
        <f t="shared" si="12"/>
        <v>-</v>
      </c>
      <c r="U182" s="76" t="str">
        <f t="shared" si="13"/>
        <v>-</v>
      </c>
      <c r="V182" s="76" t="str">
        <f t="shared" si="14"/>
        <v>-</v>
      </c>
      <c r="Z182" s="62"/>
    </row>
    <row r="183" spans="1:26" ht="40.15" customHeight="1" x14ac:dyDescent="0.25">
      <c r="A183" s="87">
        <v>5</v>
      </c>
      <c r="B183" s="88" t="s">
        <v>1550</v>
      </c>
      <c r="C183" s="89" t="s">
        <v>2261</v>
      </c>
      <c r="D183" s="90" t="s">
        <v>326</v>
      </c>
      <c r="E183" s="90" t="s">
        <v>1631</v>
      </c>
      <c r="F183" s="91" t="s">
        <v>1556</v>
      </c>
      <c r="G183" s="92" t="s">
        <v>1557</v>
      </c>
      <c r="H183" s="93" t="s">
        <v>2322</v>
      </c>
      <c r="I183" s="87" t="s">
        <v>2276</v>
      </c>
      <c r="J183" s="87" t="s">
        <v>1734</v>
      </c>
      <c r="K183" s="87" t="s">
        <v>1921</v>
      </c>
      <c r="L183" s="126" t="s">
        <v>19</v>
      </c>
      <c r="M183" s="94">
        <v>44244.291666666664</v>
      </c>
      <c r="N183" s="94">
        <v>44244.333333333336</v>
      </c>
      <c r="O183" s="95" t="str">
        <f>PROPER(TEXT(Table1[[#This Row],[Fecha Inicio]],"mmmm"))</f>
        <v>Febrero</v>
      </c>
      <c r="P183" s="96" t="s">
        <v>111</v>
      </c>
      <c r="Q183" s="97" t="s">
        <v>2323</v>
      </c>
      <c r="R183" s="76">
        <f t="shared" si="10"/>
        <v>1</v>
      </c>
      <c r="S183" s="76">
        <f t="shared" si="11"/>
        <v>1</v>
      </c>
      <c r="T183" s="76" t="str">
        <f t="shared" si="12"/>
        <v>-</v>
      </c>
      <c r="U183" s="76" t="str">
        <f t="shared" si="13"/>
        <v>-</v>
      </c>
      <c r="V183" s="76" t="str">
        <f t="shared" si="14"/>
        <v>-</v>
      </c>
      <c r="Z183" s="62"/>
    </row>
    <row r="184" spans="1:26" ht="40.15" customHeight="1" x14ac:dyDescent="0.25">
      <c r="A184" s="87">
        <v>7</v>
      </c>
      <c r="B184" s="88" t="s">
        <v>1550</v>
      </c>
      <c r="C184" s="89"/>
      <c r="D184" s="90" t="s">
        <v>326</v>
      </c>
      <c r="E184" s="90" t="s">
        <v>1631</v>
      </c>
      <c r="F184" s="91" t="s">
        <v>1556</v>
      </c>
      <c r="G184" s="92" t="s">
        <v>1557</v>
      </c>
      <c r="H184" s="93" t="s">
        <v>2324</v>
      </c>
      <c r="I184" s="87" t="s">
        <v>2325</v>
      </c>
      <c r="J184" s="91" t="s">
        <v>1612</v>
      </c>
      <c r="K184" s="87" t="s">
        <v>1613</v>
      </c>
      <c r="L184" s="87" t="s">
        <v>52</v>
      </c>
      <c r="M184" s="94">
        <v>44244.375</v>
      </c>
      <c r="N184" s="94">
        <v>44245.791666666664</v>
      </c>
      <c r="O184" s="95" t="str">
        <f>PROPER(TEXT(Table1[[#This Row],[Fecha Inicio]],"mmmm"))</f>
        <v>Febrero</v>
      </c>
      <c r="P184" s="96" t="s">
        <v>2326</v>
      </c>
      <c r="Q184" s="97" t="s">
        <v>2327</v>
      </c>
      <c r="R184" s="76">
        <f t="shared" si="10"/>
        <v>7</v>
      </c>
      <c r="S184" s="76">
        <f t="shared" si="11"/>
        <v>7</v>
      </c>
      <c r="T184" s="76" t="str">
        <f t="shared" si="12"/>
        <v>-</v>
      </c>
      <c r="U184" s="76" t="str">
        <f t="shared" si="13"/>
        <v>-</v>
      </c>
      <c r="V184" s="76" t="str">
        <f t="shared" si="14"/>
        <v>-</v>
      </c>
      <c r="Z184" s="62"/>
    </row>
    <row r="185" spans="1:26" ht="40.15" customHeight="1" x14ac:dyDescent="0.25">
      <c r="A185" s="87">
        <v>7</v>
      </c>
      <c r="B185" s="88" t="s">
        <v>1550</v>
      </c>
      <c r="C185" s="89"/>
      <c r="D185" s="90" t="s">
        <v>326</v>
      </c>
      <c r="E185" s="90" t="s">
        <v>1631</v>
      </c>
      <c r="F185" s="87" t="s">
        <v>1556</v>
      </c>
      <c r="G185" s="92" t="s">
        <v>1557</v>
      </c>
      <c r="H185" s="93" t="s">
        <v>2328</v>
      </c>
      <c r="I185" s="87" t="s">
        <v>1858</v>
      </c>
      <c r="J185" s="87" t="s">
        <v>1859</v>
      </c>
      <c r="K185" s="87" t="s">
        <v>1860</v>
      </c>
      <c r="L185" s="87" t="s">
        <v>52</v>
      </c>
      <c r="M185" s="94">
        <v>44244.375</v>
      </c>
      <c r="N185" s="94">
        <v>44245.791666666664</v>
      </c>
      <c r="O185" s="95" t="str">
        <f>PROPER(TEXT(Table1[[#This Row],[Fecha Inicio]],"mmmm"))</f>
        <v>Febrero</v>
      </c>
      <c r="P185" s="96" t="s">
        <v>2329</v>
      </c>
      <c r="Q185" s="97" t="s">
        <v>2330</v>
      </c>
      <c r="R185" s="76">
        <f t="shared" si="10"/>
        <v>3</v>
      </c>
      <c r="S185" s="76">
        <f t="shared" si="11"/>
        <v>3</v>
      </c>
      <c r="T185" s="76" t="str">
        <f t="shared" si="12"/>
        <v>-</v>
      </c>
      <c r="U185" s="76" t="str">
        <f t="shared" si="13"/>
        <v>-</v>
      </c>
      <c r="V185" s="76" t="str">
        <f t="shared" si="14"/>
        <v>-</v>
      </c>
      <c r="Z185" s="62"/>
    </row>
    <row r="186" spans="1:26" ht="40.15" customHeight="1" x14ac:dyDescent="0.25">
      <c r="A186" s="87">
        <v>7</v>
      </c>
      <c r="B186" s="88" t="s">
        <v>1550</v>
      </c>
      <c r="C186" s="89"/>
      <c r="D186" s="90" t="s">
        <v>326</v>
      </c>
      <c r="E186" s="90" t="s">
        <v>1742</v>
      </c>
      <c r="F186" s="87" t="s">
        <v>1556</v>
      </c>
      <c r="G186" s="92" t="s">
        <v>1557</v>
      </c>
      <c r="H186" s="93" t="s">
        <v>2331</v>
      </c>
      <c r="I186" s="87" t="s">
        <v>2332</v>
      </c>
      <c r="J186" s="87" t="s">
        <v>2054</v>
      </c>
      <c r="K186" s="87" t="s">
        <v>2055</v>
      </c>
      <c r="L186" s="126" t="s">
        <v>19</v>
      </c>
      <c r="M186" s="94">
        <v>44244.416666666664</v>
      </c>
      <c r="N186" s="94">
        <v>44244.583333333336</v>
      </c>
      <c r="O186" s="95" t="str">
        <f>PROPER(TEXT(Table1[[#This Row],[Fecha Inicio]],"mmmm"))</f>
        <v>Febrero</v>
      </c>
      <c r="P186" s="96" t="s">
        <v>2333</v>
      </c>
      <c r="Q186" s="97" t="s">
        <v>2334</v>
      </c>
      <c r="R186" s="76">
        <f t="shared" si="10"/>
        <v>1</v>
      </c>
      <c r="S186" s="76">
        <f t="shared" si="11"/>
        <v>1</v>
      </c>
      <c r="T186" s="76" t="str">
        <f t="shared" si="12"/>
        <v>-</v>
      </c>
      <c r="U186" s="76" t="str">
        <f t="shared" si="13"/>
        <v>-</v>
      </c>
      <c r="V186" s="76" t="str">
        <f t="shared" si="14"/>
        <v>-</v>
      </c>
      <c r="Z186" s="62"/>
    </row>
    <row r="187" spans="1:26" ht="40.15" customHeight="1" x14ac:dyDescent="0.25">
      <c r="A187" s="87">
        <v>5</v>
      </c>
      <c r="B187" s="88" t="s">
        <v>1550</v>
      </c>
      <c r="C187" s="89" t="s">
        <v>2261</v>
      </c>
      <c r="D187" s="90" t="s">
        <v>326</v>
      </c>
      <c r="E187" s="90" t="s">
        <v>1631</v>
      </c>
      <c r="F187" s="91" t="s">
        <v>1556</v>
      </c>
      <c r="G187" s="92" t="s">
        <v>1557</v>
      </c>
      <c r="H187" s="93" t="s">
        <v>2335</v>
      </c>
      <c r="I187" s="87" t="s">
        <v>1833</v>
      </c>
      <c r="J187" s="87" t="s">
        <v>1834</v>
      </c>
      <c r="K187" s="87" t="s">
        <v>1596</v>
      </c>
      <c r="L187" s="126" t="s">
        <v>19</v>
      </c>
      <c r="M187" s="94">
        <v>44244.916666666664</v>
      </c>
      <c r="N187" s="94">
        <v>44244.958333333336</v>
      </c>
      <c r="O187" s="95" t="str">
        <f>PROPER(TEXT(Table1[[#This Row],[Fecha Inicio]],"mmmm"))</f>
        <v>Febrero</v>
      </c>
      <c r="P187" s="96" t="s">
        <v>1835</v>
      </c>
      <c r="Q187" s="97" t="s">
        <v>2336</v>
      </c>
      <c r="R187" s="76">
        <f t="shared" si="10"/>
        <v>2</v>
      </c>
      <c r="S187" s="76">
        <f t="shared" si="11"/>
        <v>2</v>
      </c>
      <c r="T187" s="76" t="str">
        <f t="shared" si="12"/>
        <v>-</v>
      </c>
      <c r="U187" s="76" t="str">
        <f t="shared" si="13"/>
        <v>-</v>
      </c>
      <c r="V187" s="76" t="str">
        <f t="shared" si="14"/>
        <v>-</v>
      </c>
      <c r="Z187" s="62"/>
    </row>
    <row r="188" spans="1:26" ht="40.15" customHeight="1" x14ac:dyDescent="0.25">
      <c r="A188" s="87">
        <v>5</v>
      </c>
      <c r="B188" s="88" t="s">
        <v>1550</v>
      </c>
      <c r="C188" s="89" t="s">
        <v>2261</v>
      </c>
      <c r="D188" s="90" t="s">
        <v>326</v>
      </c>
      <c r="E188" s="90" t="s">
        <v>1631</v>
      </c>
      <c r="F188" s="91" t="s">
        <v>1556</v>
      </c>
      <c r="G188" s="92" t="s">
        <v>1557</v>
      </c>
      <c r="H188" s="93" t="s">
        <v>2337</v>
      </c>
      <c r="I188" s="91" t="s">
        <v>1838</v>
      </c>
      <c r="J188" s="91" t="s">
        <v>1839</v>
      </c>
      <c r="K188" s="91" t="s">
        <v>1575</v>
      </c>
      <c r="L188" s="126" t="s">
        <v>19</v>
      </c>
      <c r="M188" s="94">
        <v>44244.916666666664</v>
      </c>
      <c r="N188" s="94">
        <v>44244.958333333336</v>
      </c>
      <c r="O188" s="95" t="str">
        <f>PROPER(TEXT(Table1[[#This Row],[Fecha Inicio]],"mmmm"))</f>
        <v>Febrero</v>
      </c>
      <c r="P188" s="96" t="s">
        <v>194</v>
      </c>
      <c r="Q188" s="97" t="s">
        <v>2338</v>
      </c>
      <c r="R188" s="76">
        <f t="shared" si="10"/>
        <v>1</v>
      </c>
      <c r="S188" s="76">
        <f t="shared" si="11"/>
        <v>1</v>
      </c>
      <c r="T188" s="76" t="str">
        <f t="shared" si="12"/>
        <v>-</v>
      </c>
      <c r="U188" s="76" t="str">
        <f t="shared" si="13"/>
        <v>-</v>
      </c>
      <c r="V188" s="76" t="str">
        <f t="shared" si="14"/>
        <v>-</v>
      </c>
      <c r="Z188" s="62"/>
    </row>
    <row r="189" spans="1:26" ht="40.15" customHeight="1" x14ac:dyDescent="0.25">
      <c r="A189" s="87">
        <v>4</v>
      </c>
      <c r="B189" s="88" t="s">
        <v>1550</v>
      </c>
      <c r="C189" s="89"/>
      <c r="D189" s="89" t="s">
        <v>1570</v>
      </c>
      <c r="E189" s="89" t="s">
        <v>1571</v>
      </c>
      <c r="F189" s="91" t="s">
        <v>1556</v>
      </c>
      <c r="G189" s="92" t="s">
        <v>1557</v>
      </c>
      <c r="H189" s="93" t="s">
        <v>2339</v>
      </c>
      <c r="I189" s="87" t="s">
        <v>2340</v>
      </c>
      <c r="J189" s="91" t="s">
        <v>1708</v>
      </c>
      <c r="K189" s="91" t="s">
        <v>1709</v>
      </c>
      <c r="L189" s="126" t="s">
        <v>19</v>
      </c>
      <c r="M189" s="94">
        <v>44244.916666666664</v>
      </c>
      <c r="N189" s="94">
        <v>44244.958333333336</v>
      </c>
      <c r="O189" s="95" t="str">
        <f>PROPER(TEXT(Table1[[#This Row],[Fecha Inicio]],"mmmm"))</f>
        <v>Febrero</v>
      </c>
      <c r="P189" s="96" t="s">
        <v>1710</v>
      </c>
      <c r="Q189" s="97" t="s">
        <v>2341</v>
      </c>
      <c r="R189" s="76">
        <f t="shared" si="10"/>
        <v>15</v>
      </c>
      <c r="S189" s="76">
        <f t="shared" si="11"/>
        <v>15</v>
      </c>
      <c r="T189" s="76" t="str">
        <f t="shared" si="12"/>
        <v>-</v>
      </c>
      <c r="U189" s="76" t="str">
        <f t="shared" si="13"/>
        <v>-</v>
      </c>
      <c r="V189" s="76" t="str">
        <f t="shared" si="14"/>
        <v>-</v>
      </c>
      <c r="Z189" s="62"/>
    </row>
    <row r="190" spans="1:26" ht="40.15" customHeight="1" x14ac:dyDescent="0.25">
      <c r="A190" s="87">
        <v>5</v>
      </c>
      <c r="B190" s="88" t="s">
        <v>1550</v>
      </c>
      <c r="C190" s="89" t="s">
        <v>2261</v>
      </c>
      <c r="D190" s="90" t="s">
        <v>326</v>
      </c>
      <c r="E190" s="90" t="s">
        <v>1631</v>
      </c>
      <c r="F190" s="91" t="s">
        <v>1556</v>
      </c>
      <c r="G190" s="92" t="s">
        <v>1557</v>
      </c>
      <c r="H190" s="93" t="s">
        <v>2342</v>
      </c>
      <c r="I190" s="87" t="s">
        <v>1846</v>
      </c>
      <c r="J190" s="87" t="s">
        <v>1560</v>
      </c>
      <c r="K190" s="87" t="s">
        <v>1561</v>
      </c>
      <c r="L190" s="126" t="s">
        <v>19</v>
      </c>
      <c r="M190" s="94">
        <v>44244.958333333336</v>
      </c>
      <c r="N190" s="94">
        <v>44245.291666666664</v>
      </c>
      <c r="O190" s="95" t="str">
        <f>PROPER(TEXT(Table1[[#This Row],[Fecha Inicio]],"mmmm"))</f>
        <v>Febrero</v>
      </c>
      <c r="P190" s="96" t="s">
        <v>1847</v>
      </c>
      <c r="Q190" s="97" t="s">
        <v>2343</v>
      </c>
      <c r="R190" s="76">
        <f t="shared" si="10"/>
        <v>14</v>
      </c>
      <c r="S190" s="76">
        <f t="shared" si="11"/>
        <v>14</v>
      </c>
      <c r="T190" s="76" t="str">
        <f t="shared" si="12"/>
        <v>-</v>
      </c>
      <c r="U190" s="76" t="str">
        <f t="shared" si="13"/>
        <v>-</v>
      </c>
      <c r="V190" s="76" t="str">
        <f t="shared" si="14"/>
        <v>-</v>
      </c>
      <c r="Z190" s="62"/>
    </row>
    <row r="191" spans="1:26" ht="40.15" customHeight="1" x14ac:dyDescent="0.25">
      <c r="A191" s="87">
        <v>7</v>
      </c>
      <c r="B191" s="88" t="s">
        <v>1550</v>
      </c>
      <c r="C191" s="89" t="s">
        <v>1578</v>
      </c>
      <c r="D191" s="90" t="s">
        <v>1665</v>
      </c>
      <c r="E191" s="90" t="s">
        <v>1666</v>
      </c>
      <c r="F191" s="87" t="s">
        <v>1556</v>
      </c>
      <c r="G191" s="92" t="s">
        <v>1557</v>
      </c>
      <c r="H191" s="93" t="s">
        <v>2344</v>
      </c>
      <c r="I191" s="87" t="s">
        <v>2345</v>
      </c>
      <c r="J191" s="87" t="s">
        <v>1669</v>
      </c>
      <c r="K191" s="87" t="s">
        <v>1670</v>
      </c>
      <c r="L191" s="87" t="s">
        <v>41</v>
      </c>
      <c r="M191" s="94">
        <v>44244.999305555553</v>
      </c>
      <c r="N191" s="94">
        <v>44245.020833333336</v>
      </c>
      <c r="O191" s="95" t="str">
        <f>PROPER(TEXT(Table1[[#This Row],[Fecha Inicio]],"mmmm"))</f>
        <v>Febrero</v>
      </c>
      <c r="P191" s="96" t="s">
        <v>2346</v>
      </c>
      <c r="Q191" s="97" t="s">
        <v>2347</v>
      </c>
      <c r="R191" s="76">
        <f t="shared" si="10"/>
        <v>1</v>
      </c>
      <c r="S191" s="76">
        <f t="shared" si="11"/>
        <v>1</v>
      </c>
      <c r="T191" s="76" t="str">
        <f t="shared" si="12"/>
        <v>-</v>
      </c>
      <c r="U191" s="76" t="str">
        <f t="shared" si="13"/>
        <v>-</v>
      </c>
      <c r="V191" s="76" t="str">
        <f t="shared" si="14"/>
        <v>-</v>
      </c>
      <c r="Z191" s="62"/>
    </row>
    <row r="192" spans="1:26" ht="40.15" customHeight="1" x14ac:dyDescent="0.25">
      <c r="A192" s="87">
        <v>5</v>
      </c>
      <c r="B192" s="88" t="s">
        <v>1550</v>
      </c>
      <c r="C192" s="89" t="s">
        <v>2261</v>
      </c>
      <c r="D192" s="90" t="s">
        <v>326</v>
      </c>
      <c r="E192" s="90" t="s">
        <v>1631</v>
      </c>
      <c r="F192" s="91" t="s">
        <v>1556</v>
      </c>
      <c r="G192" s="92" t="s">
        <v>1557</v>
      </c>
      <c r="H192" s="93" t="s">
        <v>2348</v>
      </c>
      <c r="I192" s="87" t="s">
        <v>1850</v>
      </c>
      <c r="J192" s="87" t="s">
        <v>1771</v>
      </c>
      <c r="K192" s="87" t="s">
        <v>1575</v>
      </c>
      <c r="L192" s="126" t="s">
        <v>19</v>
      </c>
      <c r="M192" s="94">
        <v>44245.291666666664</v>
      </c>
      <c r="N192" s="94">
        <v>44245.333333333336</v>
      </c>
      <c r="O192" s="95" t="str">
        <f>PROPER(TEXT(Table1[[#This Row],[Fecha Inicio]],"mmmm"))</f>
        <v>Febrero</v>
      </c>
      <c r="P192" s="96" t="s">
        <v>1772</v>
      </c>
      <c r="Q192" s="97" t="s">
        <v>2349</v>
      </c>
      <c r="R192" s="76">
        <f t="shared" si="10"/>
        <v>2</v>
      </c>
      <c r="S192" s="76">
        <f t="shared" si="11"/>
        <v>2</v>
      </c>
      <c r="T192" s="76" t="str">
        <f t="shared" si="12"/>
        <v>-</v>
      </c>
      <c r="U192" s="76" t="str">
        <f t="shared" si="13"/>
        <v>-</v>
      </c>
      <c r="V192" s="76" t="str">
        <f t="shared" si="14"/>
        <v>-</v>
      </c>
      <c r="Z192" s="62"/>
    </row>
    <row r="193" spans="1:26" ht="40.15" customHeight="1" x14ac:dyDescent="0.25">
      <c r="A193" s="87">
        <v>5</v>
      </c>
      <c r="B193" s="88" t="s">
        <v>1550</v>
      </c>
      <c r="C193" s="89" t="s">
        <v>2261</v>
      </c>
      <c r="D193" s="90" t="s">
        <v>326</v>
      </c>
      <c r="E193" s="90" t="s">
        <v>1631</v>
      </c>
      <c r="F193" s="91" t="s">
        <v>1556</v>
      </c>
      <c r="G193" s="92" t="s">
        <v>1557</v>
      </c>
      <c r="H193" s="93" t="s">
        <v>2350</v>
      </c>
      <c r="I193" s="87" t="s">
        <v>1853</v>
      </c>
      <c r="J193" s="87" t="s">
        <v>1854</v>
      </c>
      <c r="K193" s="87" t="s">
        <v>1575</v>
      </c>
      <c r="L193" s="126" t="s">
        <v>19</v>
      </c>
      <c r="M193" s="94">
        <v>44245.333333333336</v>
      </c>
      <c r="N193" s="94">
        <v>44245.5</v>
      </c>
      <c r="O193" s="95" t="str">
        <f>PROPER(TEXT(Table1[[#This Row],[Fecha Inicio]],"mmmm"))</f>
        <v>Febrero</v>
      </c>
      <c r="P193" s="96" t="s">
        <v>1855</v>
      </c>
      <c r="Q193" s="97" t="s">
        <v>2351</v>
      </c>
      <c r="R193" s="76">
        <f t="shared" si="10"/>
        <v>4</v>
      </c>
      <c r="S193" s="76">
        <f t="shared" si="11"/>
        <v>4</v>
      </c>
      <c r="T193" s="76" t="str">
        <f t="shared" si="12"/>
        <v>-</v>
      </c>
      <c r="U193" s="76" t="str">
        <f t="shared" si="13"/>
        <v>-</v>
      </c>
      <c r="V193" s="76" t="str">
        <f t="shared" si="14"/>
        <v>-</v>
      </c>
      <c r="Z193" s="62"/>
    </row>
    <row r="194" spans="1:26" ht="40.15" customHeight="1" x14ac:dyDescent="0.25">
      <c r="A194" s="87">
        <v>7</v>
      </c>
      <c r="B194" s="88" t="s">
        <v>1550</v>
      </c>
      <c r="C194" s="89" t="s">
        <v>1578</v>
      </c>
      <c r="D194" s="90" t="s">
        <v>1579</v>
      </c>
      <c r="E194" s="90" t="s">
        <v>1580</v>
      </c>
      <c r="F194" s="87" t="s">
        <v>1556</v>
      </c>
      <c r="G194" s="92" t="s">
        <v>1557</v>
      </c>
      <c r="H194" s="93" t="s">
        <v>2352</v>
      </c>
      <c r="I194" s="87" t="s">
        <v>2353</v>
      </c>
      <c r="J194" s="91" t="s">
        <v>1583</v>
      </c>
      <c r="K194" s="87" t="s">
        <v>1584</v>
      </c>
      <c r="L194" s="126" t="s">
        <v>19</v>
      </c>
      <c r="M194" s="94">
        <v>44245.354166666664</v>
      </c>
      <c r="N194" s="94">
        <v>44245.375</v>
      </c>
      <c r="O194" s="95" t="str">
        <f>PROPER(TEXT(Table1[[#This Row],[Fecha Inicio]],"mmmm"))</f>
        <v>Febrero</v>
      </c>
      <c r="P194" s="96" t="s">
        <v>2354</v>
      </c>
      <c r="Q194" s="97" t="s">
        <v>2355</v>
      </c>
      <c r="R194" s="76">
        <f t="shared" ref="R194:R257" si="15">LEN(TRIM(P194))-LEN(SUBSTITUTE(TRIM(P194),",",""))+1</f>
        <v>1</v>
      </c>
      <c r="S194" s="76">
        <f t="shared" ref="S194:S257" si="16">IF(B194="CON ÉXITO",R194,"-")</f>
        <v>1</v>
      </c>
      <c r="T194" s="76" t="str">
        <f t="shared" ref="T194:T257" si="17">IF($B194="Éxito con problemas",S194,"-")</f>
        <v>-</v>
      </c>
      <c r="U194" s="76" t="str">
        <f t="shared" ref="U194:U257" si="18">IF($B194="CANCELADO",R194,"-")</f>
        <v>-</v>
      </c>
      <c r="V194" s="76" t="str">
        <f t="shared" ref="V194:V257" si="19">IF($B194="Aplicada marcha atrás",R194,"-")</f>
        <v>-</v>
      </c>
      <c r="Z194" s="62"/>
    </row>
    <row r="195" spans="1:26" ht="40.15" customHeight="1" x14ac:dyDescent="0.25">
      <c r="A195" s="87">
        <v>7</v>
      </c>
      <c r="B195" s="88" t="s">
        <v>1550</v>
      </c>
      <c r="C195" s="89"/>
      <c r="D195" s="90" t="s">
        <v>326</v>
      </c>
      <c r="E195" s="90" t="s">
        <v>1742</v>
      </c>
      <c r="F195" s="87" t="s">
        <v>1556</v>
      </c>
      <c r="G195" s="92" t="s">
        <v>1557</v>
      </c>
      <c r="H195" s="93" t="s">
        <v>2356</v>
      </c>
      <c r="I195" s="87" t="s">
        <v>2357</v>
      </c>
      <c r="J195" s="87" t="s">
        <v>1627</v>
      </c>
      <c r="K195" s="87" t="s">
        <v>1575</v>
      </c>
      <c r="L195" s="87" t="s">
        <v>52</v>
      </c>
      <c r="M195" s="94">
        <v>44245.395833333336</v>
      </c>
      <c r="N195" s="94">
        <v>44245.520833333336</v>
      </c>
      <c r="O195" s="95" t="str">
        <f>PROPER(TEXT(Table1[[#This Row],[Fecha Inicio]],"mmmm"))</f>
        <v>Febrero</v>
      </c>
      <c r="P195" s="96" t="s">
        <v>2358</v>
      </c>
      <c r="Q195" s="97" t="s">
        <v>2359</v>
      </c>
      <c r="R195" s="76">
        <f t="shared" si="15"/>
        <v>2</v>
      </c>
      <c r="S195" s="76">
        <f t="shared" si="16"/>
        <v>2</v>
      </c>
      <c r="T195" s="76" t="str">
        <f t="shared" si="17"/>
        <v>-</v>
      </c>
      <c r="U195" s="76" t="str">
        <f t="shared" si="18"/>
        <v>-</v>
      </c>
      <c r="V195" s="76" t="str">
        <f t="shared" si="19"/>
        <v>-</v>
      </c>
      <c r="Z195" s="62"/>
    </row>
    <row r="196" spans="1:26" ht="40.15" customHeight="1" x14ac:dyDescent="0.25">
      <c r="A196" s="87">
        <v>7</v>
      </c>
      <c r="B196" s="88" t="s">
        <v>1550</v>
      </c>
      <c r="C196" s="89"/>
      <c r="D196" s="90" t="s">
        <v>326</v>
      </c>
      <c r="E196" s="90" t="s">
        <v>1742</v>
      </c>
      <c r="F196" s="87" t="s">
        <v>1556</v>
      </c>
      <c r="G196" s="92" t="s">
        <v>1557</v>
      </c>
      <c r="H196" s="93" t="s">
        <v>2360</v>
      </c>
      <c r="I196" s="87" t="s">
        <v>2361</v>
      </c>
      <c r="J196" s="87" t="s">
        <v>1902</v>
      </c>
      <c r="K196" s="87" t="s">
        <v>1575</v>
      </c>
      <c r="L196" s="87" t="s">
        <v>52</v>
      </c>
      <c r="M196" s="94">
        <v>44245.395833333336</v>
      </c>
      <c r="N196" s="94">
        <v>44245.520833333336</v>
      </c>
      <c r="O196" s="95" t="str">
        <f>PROPER(TEXT(Table1[[#This Row],[Fecha Inicio]],"mmmm"))</f>
        <v>Febrero</v>
      </c>
      <c r="P196" s="96" t="s">
        <v>2362</v>
      </c>
      <c r="Q196" s="97" t="s">
        <v>2363</v>
      </c>
      <c r="R196" s="76">
        <f t="shared" si="15"/>
        <v>5</v>
      </c>
      <c r="S196" s="76">
        <f t="shared" si="16"/>
        <v>5</v>
      </c>
      <c r="T196" s="76" t="str">
        <f t="shared" si="17"/>
        <v>-</v>
      </c>
      <c r="U196" s="76" t="str">
        <f t="shared" si="18"/>
        <v>-</v>
      </c>
      <c r="V196" s="76" t="str">
        <f t="shared" si="19"/>
        <v>-</v>
      </c>
      <c r="Z196" s="62"/>
    </row>
    <row r="197" spans="1:26" ht="40.15" customHeight="1" x14ac:dyDescent="0.25">
      <c r="A197" s="87">
        <v>7</v>
      </c>
      <c r="B197" s="88" t="s">
        <v>1550</v>
      </c>
      <c r="C197" s="89"/>
      <c r="D197" s="90" t="s">
        <v>1623</v>
      </c>
      <c r="E197" s="90" t="s">
        <v>1624</v>
      </c>
      <c r="F197" s="91" t="s">
        <v>1556</v>
      </c>
      <c r="G197" s="92" t="s">
        <v>1557</v>
      </c>
      <c r="H197" s="93" t="s">
        <v>2364</v>
      </c>
      <c r="I197" s="87" t="s">
        <v>1685</v>
      </c>
      <c r="J197" s="87" t="s">
        <v>1627</v>
      </c>
      <c r="K197" s="87" t="s">
        <v>1575</v>
      </c>
      <c r="L197" s="126" t="s">
        <v>19</v>
      </c>
      <c r="M197" s="94">
        <v>44245.5</v>
      </c>
      <c r="N197" s="94">
        <v>44245.625</v>
      </c>
      <c r="O197" s="95" t="str">
        <f>PROPER(TEXT(Table1[[#This Row],[Fecha Inicio]],"mmmm"))</f>
        <v>Febrero</v>
      </c>
      <c r="P197" s="96" t="s">
        <v>1686</v>
      </c>
      <c r="Q197" s="97" t="s">
        <v>2365</v>
      </c>
      <c r="R197" s="76">
        <f t="shared" si="15"/>
        <v>2</v>
      </c>
      <c r="S197" s="76">
        <f t="shared" si="16"/>
        <v>2</v>
      </c>
      <c r="T197" s="76" t="str">
        <f t="shared" si="17"/>
        <v>-</v>
      </c>
      <c r="U197" s="76" t="str">
        <f t="shared" si="18"/>
        <v>-</v>
      </c>
      <c r="V197" s="76" t="str">
        <f t="shared" si="19"/>
        <v>-</v>
      </c>
      <c r="Z197" s="62"/>
    </row>
    <row r="198" spans="1:26" ht="40.15" customHeight="1" x14ac:dyDescent="0.25">
      <c r="A198" s="87">
        <v>5</v>
      </c>
      <c r="B198" s="88" t="s">
        <v>1550</v>
      </c>
      <c r="C198" s="89" t="s">
        <v>2261</v>
      </c>
      <c r="D198" s="90" t="s">
        <v>326</v>
      </c>
      <c r="E198" s="90" t="s">
        <v>1631</v>
      </c>
      <c r="F198" s="91" t="s">
        <v>1556</v>
      </c>
      <c r="G198" s="92" t="s">
        <v>1557</v>
      </c>
      <c r="H198" s="93" t="s">
        <v>2366</v>
      </c>
      <c r="I198" s="87" t="s">
        <v>1759</v>
      </c>
      <c r="J198" s="87" t="s">
        <v>1760</v>
      </c>
      <c r="K198" s="87" t="s">
        <v>1761</v>
      </c>
      <c r="L198" s="126" t="s">
        <v>19</v>
      </c>
      <c r="M198" s="94">
        <v>44245.75</v>
      </c>
      <c r="N198" s="94">
        <v>44245.875</v>
      </c>
      <c r="O198" s="95" t="str">
        <f>PROPER(TEXT(Table1[[#This Row],[Fecha Inicio]],"mmmm"))</f>
        <v>Febrero</v>
      </c>
      <c r="P198" s="96" t="s">
        <v>1877</v>
      </c>
      <c r="Q198" s="97" t="s">
        <v>2367</v>
      </c>
      <c r="R198" s="76">
        <f t="shared" si="15"/>
        <v>6</v>
      </c>
      <c r="S198" s="76">
        <f t="shared" si="16"/>
        <v>6</v>
      </c>
      <c r="T198" s="76" t="str">
        <f t="shared" si="17"/>
        <v>-</v>
      </c>
      <c r="U198" s="76" t="str">
        <f t="shared" si="18"/>
        <v>-</v>
      </c>
      <c r="V198" s="76" t="str">
        <f t="shared" si="19"/>
        <v>-</v>
      </c>
      <c r="Z198" s="62"/>
    </row>
    <row r="199" spans="1:26" ht="40.15" customHeight="1" x14ac:dyDescent="0.25">
      <c r="A199" s="87">
        <v>5</v>
      </c>
      <c r="B199" s="88" t="s">
        <v>1550</v>
      </c>
      <c r="C199" s="89" t="s">
        <v>2261</v>
      </c>
      <c r="D199" s="90" t="s">
        <v>326</v>
      </c>
      <c r="E199" s="90" t="s">
        <v>1631</v>
      </c>
      <c r="F199" s="91" t="s">
        <v>1556</v>
      </c>
      <c r="G199" s="92" t="s">
        <v>1557</v>
      </c>
      <c r="H199" s="93" t="s">
        <v>2368</v>
      </c>
      <c r="I199" s="87" t="s">
        <v>1880</v>
      </c>
      <c r="J199" s="87" t="s">
        <v>1881</v>
      </c>
      <c r="K199" s="87" t="s">
        <v>1575</v>
      </c>
      <c r="L199" s="126" t="s">
        <v>19</v>
      </c>
      <c r="M199" s="94">
        <v>44245.84375</v>
      </c>
      <c r="N199" s="94">
        <v>44245.927083333336</v>
      </c>
      <c r="O199" s="95" t="str">
        <f>PROPER(TEXT(Table1[[#This Row],[Fecha Inicio]],"mmmm"))</f>
        <v>Febrero</v>
      </c>
      <c r="P199" s="96" t="s">
        <v>1882</v>
      </c>
      <c r="Q199" s="97" t="s">
        <v>2369</v>
      </c>
      <c r="R199" s="76">
        <f t="shared" si="15"/>
        <v>6</v>
      </c>
      <c r="S199" s="76">
        <f t="shared" si="16"/>
        <v>6</v>
      </c>
      <c r="T199" s="76" t="str">
        <f t="shared" si="17"/>
        <v>-</v>
      </c>
      <c r="U199" s="76" t="str">
        <f t="shared" si="18"/>
        <v>-</v>
      </c>
      <c r="V199" s="76" t="str">
        <f t="shared" si="19"/>
        <v>-</v>
      </c>
      <c r="Z199" s="62"/>
    </row>
    <row r="200" spans="1:26" ht="40.15" customHeight="1" x14ac:dyDescent="0.25">
      <c r="A200" s="87">
        <v>5</v>
      </c>
      <c r="B200" s="88" t="s">
        <v>1550</v>
      </c>
      <c r="C200" s="89" t="s">
        <v>2261</v>
      </c>
      <c r="D200" s="90" t="s">
        <v>326</v>
      </c>
      <c r="E200" s="90" t="s">
        <v>1631</v>
      </c>
      <c r="F200" s="91" t="s">
        <v>1556</v>
      </c>
      <c r="G200" s="92" t="s">
        <v>1557</v>
      </c>
      <c r="H200" s="93" t="s">
        <v>2374</v>
      </c>
      <c r="I200" s="87" t="s">
        <v>1889</v>
      </c>
      <c r="J200" s="87" t="s">
        <v>1890</v>
      </c>
      <c r="K200" s="87" t="s">
        <v>1575</v>
      </c>
      <c r="L200" s="126" t="s">
        <v>19</v>
      </c>
      <c r="M200" s="94">
        <v>44245.916666666664</v>
      </c>
      <c r="N200" s="94">
        <v>44245.958333333336</v>
      </c>
      <c r="O200" s="95" t="str">
        <f>PROPER(TEXT(Table1[[#This Row],[Fecha Inicio]],"mmmm"))</f>
        <v>Febrero</v>
      </c>
      <c r="P200" s="96" t="s">
        <v>164</v>
      </c>
      <c r="Q200" s="97" t="s">
        <v>2375</v>
      </c>
      <c r="R200" s="76">
        <f t="shared" si="15"/>
        <v>1</v>
      </c>
      <c r="S200" s="76">
        <f t="shared" si="16"/>
        <v>1</v>
      </c>
      <c r="T200" s="76" t="str">
        <f t="shared" si="17"/>
        <v>-</v>
      </c>
      <c r="U200" s="76" t="str">
        <f t="shared" si="18"/>
        <v>-</v>
      </c>
      <c r="V200" s="76" t="str">
        <f t="shared" si="19"/>
        <v>-</v>
      </c>
      <c r="Z200" s="62"/>
    </row>
    <row r="201" spans="1:26" ht="40.15" customHeight="1" x14ac:dyDescent="0.25">
      <c r="A201" s="87">
        <v>4</v>
      </c>
      <c r="B201" s="100" t="s">
        <v>1552</v>
      </c>
      <c r="C201" s="89" t="s">
        <v>2370</v>
      </c>
      <c r="D201" s="89" t="s">
        <v>1570</v>
      </c>
      <c r="E201" s="89" t="s">
        <v>1571</v>
      </c>
      <c r="F201" s="91" t="s">
        <v>1556</v>
      </c>
      <c r="G201" s="92" t="s">
        <v>1965</v>
      </c>
      <c r="H201" s="93" t="s">
        <v>2371</v>
      </c>
      <c r="I201" s="87" t="s">
        <v>2372</v>
      </c>
      <c r="J201" s="91" t="s">
        <v>1694</v>
      </c>
      <c r="K201" s="91" t="s">
        <v>1695</v>
      </c>
      <c r="L201" s="126" t="s">
        <v>19</v>
      </c>
      <c r="M201" s="94">
        <v>44245.916666666664</v>
      </c>
      <c r="N201" s="94">
        <v>44246</v>
      </c>
      <c r="O201" s="95" t="str">
        <f>PROPER(TEXT(Table1[[#This Row],[Fecha Inicio]],"mmmm"))</f>
        <v>Febrero</v>
      </c>
      <c r="P201" s="96" t="s">
        <v>1696</v>
      </c>
      <c r="Q201" s="97" t="s">
        <v>2373</v>
      </c>
      <c r="R201" s="76">
        <f t="shared" si="15"/>
        <v>1</v>
      </c>
      <c r="S201" s="76" t="str">
        <f t="shared" si="16"/>
        <v>-</v>
      </c>
      <c r="T201" s="76" t="str">
        <f t="shared" si="17"/>
        <v>-</v>
      </c>
      <c r="U201" s="76">
        <f t="shared" si="18"/>
        <v>1</v>
      </c>
      <c r="V201" s="76" t="str">
        <f t="shared" si="19"/>
        <v>-</v>
      </c>
      <c r="Z201" s="62"/>
    </row>
    <row r="202" spans="1:26" ht="40.15" customHeight="1" x14ac:dyDescent="0.25">
      <c r="A202" s="87">
        <v>5</v>
      </c>
      <c r="B202" s="88" t="s">
        <v>1550</v>
      </c>
      <c r="C202" s="89" t="s">
        <v>2261</v>
      </c>
      <c r="D202" s="90" t="s">
        <v>326</v>
      </c>
      <c r="E202" s="90" t="s">
        <v>1631</v>
      </c>
      <c r="F202" s="91" t="s">
        <v>1556</v>
      </c>
      <c r="G202" s="92" t="s">
        <v>1557</v>
      </c>
      <c r="H202" s="93" t="s">
        <v>2376</v>
      </c>
      <c r="I202" s="87" t="s">
        <v>1897</v>
      </c>
      <c r="J202" s="87" t="s">
        <v>1898</v>
      </c>
      <c r="K202" s="87" t="s">
        <v>1575</v>
      </c>
      <c r="L202" s="126" t="s">
        <v>19</v>
      </c>
      <c r="M202" s="94">
        <v>44246.791666666664</v>
      </c>
      <c r="N202" s="94">
        <v>44246.875</v>
      </c>
      <c r="O202" s="95" t="str">
        <f>PROPER(TEXT(Table1[[#This Row],[Fecha Inicio]],"mmmm"))</f>
        <v>Febrero</v>
      </c>
      <c r="P202" s="96" t="s">
        <v>166</v>
      </c>
      <c r="Q202" s="97" t="s">
        <v>2377</v>
      </c>
      <c r="R202" s="76">
        <f t="shared" si="15"/>
        <v>1</v>
      </c>
      <c r="S202" s="76">
        <f t="shared" si="16"/>
        <v>1</v>
      </c>
      <c r="T202" s="76" t="str">
        <f t="shared" si="17"/>
        <v>-</v>
      </c>
      <c r="U202" s="76" t="str">
        <f t="shared" si="18"/>
        <v>-</v>
      </c>
      <c r="V202" s="76" t="str">
        <f t="shared" si="19"/>
        <v>-</v>
      </c>
      <c r="Z202" s="62"/>
    </row>
    <row r="203" spans="1:26" ht="40.15" customHeight="1" x14ac:dyDescent="0.25">
      <c r="A203" s="87">
        <v>5</v>
      </c>
      <c r="B203" s="88" t="s">
        <v>1550</v>
      </c>
      <c r="C203" s="89" t="s">
        <v>2261</v>
      </c>
      <c r="D203" s="90" t="s">
        <v>326</v>
      </c>
      <c r="E203" s="90" t="s">
        <v>1631</v>
      </c>
      <c r="F203" s="91" t="s">
        <v>1556</v>
      </c>
      <c r="G203" s="92" t="s">
        <v>1557</v>
      </c>
      <c r="H203" s="93" t="s">
        <v>2378</v>
      </c>
      <c r="I203" s="87" t="s">
        <v>1901</v>
      </c>
      <c r="J203" s="87" t="s">
        <v>1902</v>
      </c>
      <c r="K203" s="87" t="s">
        <v>1575</v>
      </c>
      <c r="L203" s="126" t="s">
        <v>19</v>
      </c>
      <c r="M203" s="94">
        <v>44246.791666666664</v>
      </c>
      <c r="N203" s="94">
        <v>44246.875</v>
      </c>
      <c r="O203" s="95" t="str">
        <f>PROPER(TEXT(Table1[[#This Row],[Fecha Inicio]],"mmmm"))</f>
        <v>Febrero</v>
      </c>
      <c r="P203" s="96" t="s">
        <v>1903</v>
      </c>
      <c r="Q203" s="97" t="s">
        <v>2379</v>
      </c>
      <c r="R203" s="76">
        <f t="shared" si="15"/>
        <v>2</v>
      </c>
      <c r="S203" s="76">
        <f t="shared" si="16"/>
        <v>2</v>
      </c>
      <c r="T203" s="76" t="str">
        <f t="shared" si="17"/>
        <v>-</v>
      </c>
      <c r="U203" s="76" t="str">
        <f t="shared" si="18"/>
        <v>-</v>
      </c>
      <c r="V203" s="76" t="str">
        <f t="shared" si="19"/>
        <v>-</v>
      </c>
      <c r="Z203" s="62"/>
    </row>
    <row r="204" spans="1:26" ht="40.15" customHeight="1" x14ac:dyDescent="0.25">
      <c r="A204" s="87">
        <v>5</v>
      </c>
      <c r="B204" s="88" t="s">
        <v>1550</v>
      </c>
      <c r="C204" s="89" t="s">
        <v>2261</v>
      </c>
      <c r="D204" s="90" t="s">
        <v>326</v>
      </c>
      <c r="E204" s="90" t="s">
        <v>1631</v>
      </c>
      <c r="F204" s="91" t="s">
        <v>1556</v>
      </c>
      <c r="G204" s="92" t="s">
        <v>1557</v>
      </c>
      <c r="H204" s="93" t="s">
        <v>2380</v>
      </c>
      <c r="I204" s="87" t="s">
        <v>1906</v>
      </c>
      <c r="J204" s="87" t="s">
        <v>1907</v>
      </c>
      <c r="K204" s="87" t="s">
        <v>1575</v>
      </c>
      <c r="L204" s="126" t="s">
        <v>19</v>
      </c>
      <c r="M204" s="94">
        <v>44246.791666666664</v>
      </c>
      <c r="N204" s="94">
        <v>44246.875</v>
      </c>
      <c r="O204" s="95" t="str">
        <f>PROPER(TEXT(Table1[[#This Row],[Fecha Inicio]],"mmmm"))</f>
        <v>Febrero</v>
      </c>
      <c r="P204" s="96" t="s">
        <v>171</v>
      </c>
      <c r="Q204" s="97" t="s">
        <v>2381</v>
      </c>
      <c r="R204" s="76">
        <f t="shared" si="15"/>
        <v>1</v>
      </c>
      <c r="S204" s="76">
        <f t="shared" si="16"/>
        <v>1</v>
      </c>
      <c r="T204" s="76" t="str">
        <f t="shared" si="17"/>
        <v>-</v>
      </c>
      <c r="U204" s="76" t="str">
        <f t="shared" si="18"/>
        <v>-</v>
      </c>
      <c r="V204" s="76" t="str">
        <f t="shared" si="19"/>
        <v>-</v>
      </c>
      <c r="Z204" s="62"/>
    </row>
    <row r="205" spans="1:26" ht="40.15" customHeight="1" x14ac:dyDescent="0.25">
      <c r="A205" s="87">
        <v>5</v>
      </c>
      <c r="B205" s="88" t="s">
        <v>1550</v>
      </c>
      <c r="C205" s="89" t="s">
        <v>2261</v>
      </c>
      <c r="D205" s="90" t="s">
        <v>326</v>
      </c>
      <c r="E205" s="90" t="s">
        <v>1631</v>
      </c>
      <c r="F205" s="91" t="s">
        <v>1556</v>
      </c>
      <c r="G205" s="92" t="s">
        <v>1557</v>
      </c>
      <c r="H205" s="93" t="s">
        <v>2382</v>
      </c>
      <c r="I205" s="87" t="s">
        <v>1910</v>
      </c>
      <c r="J205" s="87" t="s">
        <v>1911</v>
      </c>
      <c r="K205" s="87" t="s">
        <v>1575</v>
      </c>
      <c r="L205" s="126" t="s">
        <v>19</v>
      </c>
      <c r="M205" s="94">
        <v>44246.833333333336</v>
      </c>
      <c r="N205" s="94">
        <v>44246.875</v>
      </c>
      <c r="O205" s="95" t="str">
        <f>PROPER(TEXT(Table1[[#This Row],[Fecha Inicio]],"mmmm"))</f>
        <v>Febrero</v>
      </c>
      <c r="P205" s="96" t="s">
        <v>1912</v>
      </c>
      <c r="Q205" s="97" t="s">
        <v>2383</v>
      </c>
      <c r="R205" s="76">
        <f t="shared" si="15"/>
        <v>1</v>
      </c>
      <c r="S205" s="76">
        <f t="shared" si="16"/>
        <v>1</v>
      </c>
      <c r="T205" s="76" t="str">
        <f t="shared" si="17"/>
        <v>-</v>
      </c>
      <c r="U205" s="76" t="str">
        <f t="shared" si="18"/>
        <v>-</v>
      </c>
      <c r="V205" s="76" t="str">
        <f t="shared" si="19"/>
        <v>-</v>
      </c>
      <c r="Z205" s="62"/>
    </row>
    <row r="206" spans="1:26" ht="40.15" customHeight="1" x14ac:dyDescent="0.25">
      <c r="A206" s="87">
        <v>5</v>
      </c>
      <c r="B206" s="88" t="s">
        <v>1550</v>
      </c>
      <c r="C206" s="89" t="s">
        <v>2261</v>
      </c>
      <c r="D206" s="90" t="s">
        <v>326</v>
      </c>
      <c r="E206" s="90" t="s">
        <v>1631</v>
      </c>
      <c r="F206" s="91" t="s">
        <v>1556</v>
      </c>
      <c r="G206" s="92" t="s">
        <v>1557</v>
      </c>
      <c r="H206" s="93" t="s">
        <v>2384</v>
      </c>
      <c r="I206" s="87" t="s">
        <v>1759</v>
      </c>
      <c r="J206" s="87" t="s">
        <v>1760</v>
      </c>
      <c r="K206" s="87" t="s">
        <v>1761</v>
      </c>
      <c r="L206" s="126" t="s">
        <v>19</v>
      </c>
      <c r="M206" s="94">
        <v>44247.875</v>
      </c>
      <c r="N206" s="94">
        <v>44248.041666666664</v>
      </c>
      <c r="O206" s="95" t="str">
        <f>PROPER(TEXT(Table1[[#This Row],[Fecha Inicio]],"mmmm"))</f>
        <v>Febrero</v>
      </c>
      <c r="P206" s="96" t="s">
        <v>1915</v>
      </c>
      <c r="Q206" s="97" t="s">
        <v>2385</v>
      </c>
      <c r="R206" s="76">
        <f t="shared" si="15"/>
        <v>6</v>
      </c>
      <c r="S206" s="76">
        <f t="shared" si="16"/>
        <v>6</v>
      </c>
      <c r="T206" s="76" t="str">
        <f t="shared" si="17"/>
        <v>-</v>
      </c>
      <c r="U206" s="76" t="str">
        <f t="shared" si="18"/>
        <v>-</v>
      </c>
      <c r="V206" s="76" t="str">
        <f t="shared" si="19"/>
        <v>-</v>
      </c>
      <c r="Z206" s="62"/>
    </row>
    <row r="207" spans="1:26" ht="40.15" customHeight="1" x14ac:dyDescent="0.25">
      <c r="A207" s="87">
        <v>5</v>
      </c>
      <c r="B207" s="88" t="s">
        <v>1550</v>
      </c>
      <c r="C207" s="89" t="s">
        <v>2261</v>
      </c>
      <c r="D207" s="90" t="s">
        <v>326</v>
      </c>
      <c r="E207" s="90" t="s">
        <v>1631</v>
      </c>
      <c r="F207" s="91" t="s">
        <v>1556</v>
      </c>
      <c r="G207" s="92" t="s">
        <v>1557</v>
      </c>
      <c r="H207" s="93" t="s">
        <v>2386</v>
      </c>
      <c r="I207" s="87" t="s">
        <v>1919</v>
      </c>
      <c r="J207" s="91" t="s">
        <v>1920</v>
      </c>
      <c r="K207" s="87" t="s">
        <v>1921</v>
      </c>
      <c r="L207" s="126" t="s">
        <v>19</v>
      </c>
      <c r="M207" s="94">
        <v>44248</v>
      </c>
      <c r="N207" s="94">
        <v>44248.25</v>
      </c>
      <c r="O207" s="95" t="str">
        <f>PROPER(TEXT(Table1[[#This Row],[Fecha Inicio]],"mmmm"))</f>
        <v>Febrero</v>
      </c>
      <c r="P207" s="96" t="s">
        <v>1922</v>
      </c>
      <c r="Q207" s="97" t="s">
        <v>2387</v>
      </c>
      <c r="R207" s="76">
        <f t="shared" si="15"/>
        <v>11</v>
      </c>
      <c r="S207" s="76">
        <f t="shared" si="16"/>
        <v>11</v>
      </c>
      <c r="T207" s="76" t="str">
        <f t="shared" si="17"/>
        <v>-</v>
      </c>
      <c r="U207" s="76" t="str">
        <f t="shared" si="18"/>
        <v>-</v>
      </c>
      <c r="V207" s="76" t="str">
        <f t="shared" si="19"/>
        <v>-</v>
      </c>
      <c r="Z207" s="62"/>
    </row>
    <row r="208" spans="1:26" ht="40.15" customHeight="1" x14ac:dyDescent="0.25">
      <c r="A208" s="87">
        <v>7</v>
      </c>
      <c r="B208" s="88" t="s">
        <v>1550</v>
      </c>
      <c r="C208" s="99" t="s">
        <v>2388</v>
      </c>
      <c r="D208" s="90" t="s">
        <v>1570</v>
      </c>
      <c r="E208" s="90" t="s">
        <v>1571</v>
      </c>
      <c r="F208" s="87" t="s">
        <v>1600</v>
      </c>
      <c r="G208" s="92" t="s">
        <v>1557</v>
      </c>
      <c r="H208" s="93" t="s">
        <v>2389</v>
      </c>
      <c r="I208" s="91" t="s">
        <v>2390</v>
      </c>
      <c r="J208" s="87" t="s">
        <v>2025</v>
      </c>
      <c r="K208" s="87" t="s">
        <v>1341</v>
      </c>
      <c r="L208" s="126" t="s">
        <v>19</v>
      </c>
      <c r="M208" s="94">
        <v>44248.958333333336</v>
      </c>
      <c r="N208" s="94">
        <v>44249.416666666664</v>
      </c>
      <c r="O208" s="95" t="str">
        <f>PROPER(TEXT(Table1[[#This Row],[Fecha Inicio]],"mmmm"))</f>
        <v>Febrero</v>
      </c>
      <c r="P208" s="96" t="s">
        <v>2026</v>
      </c>
      <c r="Q208" s="97" t="s">
        <v>2391</v>
      </c>
      <c r="R208" s="76">
        <f t="shared" si="15"/>
        <v>2</v>
      </c>
      <c r="S208" s="76">
        <f t="shared" si="16"/>
        <v>2</v>
      </c>
      <c r="T208" s="76" t="str">
        <f t="shared" si="17"/>
        <v>-</v>
      </c>
      <c r="U208" s="76" t="str">
        <f t="shared" si="18"/>
        <v>-</v>
      </c>
      <c r="V208" s="76" t="str">
        <f t="shared" si="19"/>
        <v>-</v>
      </c>
      <c r="Z208" s="62"/>
    </row>
    <row r="209" spans="1:26" ht="40.15" customHeight="1" x14ac:dyDescent="0.25">
      <c r="A209" s="87">
        <v>5</v>
      </c>
      <c r="B209" s="88" t="s">
        <v>1550</v>
      </c>
      <c r="C209" s="89" t="s">
        <v>2261</v>
      </c>
      <c r="D209" s="90" t="s">
        <v>326</v>
      </c>
      <c r="E209" s="90" t="s">
        <v>1631</v>
      </c>
      <c r="F209" s="91" t="s">
        <v>1556</v>
      </c>
      <c r="G209" s="92" t="s">
        <v>1557</v>
      </c>
      <c r="H209" s="93" t="s">
        <v>2392</v>
      </c>
      <c r="I209" s="87" t="s">
        <v>1925</v>
      </c>
      <c r="J209" s="87" t="s">
        <v>1926</v>
      </c>
      <c r="K209" s="87" t="s">
        <v>1575</v>
      </c>
      <c r="L209" s="126" t="s">
        <v>19</v>
      </c>
      <c r="M209" s="94">
        <v>44249.041666666664</v>
      </c>
      <c r="N209" s="94">
        <v>44249.166666666664</v>
      </c>
      <c r="O209" s="95" t="str">
        <f>PROPER(TEXT(Table1[[#This Row],[Fecha Inicio]],"mmmm"))</f>
        <v>Febrero</v>
      </c>
      <c r="P209" s="96" t="s">
        <v>1927</v>
      </c>
      <c r="Q209" s="97" t="s">
        <v>2393</v>
      </c>
      <c r="R209" s="76">
        <f t="shared" si="15"/>
        <v>2</v>
      </c>
      <c r="S209" s="76">
        <f t="shared" si="16"/>
        <v>2</v>
      </c>
      <c r="T209" s="76" t="str">
        <f t="shared" si="17"/>
        <v>-</v>
      </c>
      <c r="U209" s="76" t="str">
        <f t="shared" si="18"/>
        <v>-</v>
      </c>
      <c r="V209" s="76" t="str">
        <f t="shared" si="19"/>
        <v>-</v>
      </c>
      <c r="Z209" s="62"/>
    </row>
    <row r="210" spans="1:26" ht="40.15" customHeight="1" x14ac:dyDescent="0.25">
      <c r="A210" s="87">
        <v>8</v>
      </c>
      <c r="B210" s="88" t="s">
        <v>1550</v>
      </c>
      <c r="C210" s="89"/>
      <c r="D210" s="90" t="s">
        <v>1623</v>
      </c>
      <c r="E210" s="90" t="s">
        <v>1624</v>
      </c>
      <c r="F210" s="87" t="s">
        <v>1556</v>
      </c>
      <c r="G210" s="92" t="s">
        <v>1557</v>
      </c>
      <c r="H210" s="93" t="s">
        <v>2394</v>
      </c>
      <c r="I210" s="87" t="s">
        <v>1935</v>
      </c>
      <c r="J210" s="91" t="s">
        <v>1583</v>
      </c>
      <c r="K210" s="87" t="s">
        <v>1584</v>
      </c>
      <c r="L210" s="126" t="s">
        <v>19</v>
      </c>
      <c r="M210" s="94">
        <v>44249.354166666664</v>
      </c>
      <c r="N210" s="94">
        <v>44249.458333333336</v>
      </c>
      <c r="O210" s="95" t="str">
        <f>PROPER(TEXT(Table1[[#This Row],[Fecha Inicio]],"mmmm"))</f>
        <v>Febrero</v>
      </c>
      <c r="P210" s="96" t="s">
        <v>2395</v>
      </c>
      <c r="Q210" s="97" t="s">
        <v>2396</v>
      </c>
      <c r="R210" s="76">
        <f t="shared" si="15"/>
        <v>1</v>
      </c>
      <c r="S210" s="76">
        <f t="shared" si="16"/>
        <v>1</v>
      </c>
      <c r="T210" s="76" t="str">
        <f t="shared" si="17"/>
        <v>-</v>
      </c>
      <c r="U210" s="76" t="str">
        <f t="shared" si="18"/>
        <v>-</v>
      </c>
      <c r="V210" s="76" t="str">
        <f t="shared" si="19"/>
        <v>-</v>
      </c>
      <c r="Z210" s="62"/>
    </row>
    <row r="211" spans="1:26" ht="40.15" customHeight="1" x14ac:dyDescent="0.25">
      <c r="A211" s="87">
        <v>7</v>
      </c>
      <c r="B211" s="88" t="s">
        <v>1550</v>
      </c>
      <c r="C211" s="89"/>
      <c r="D211" s="90" t="s">
        <v>326</v>
      </c>
      <c r="E211" s="90" t="s">
        <v>1742</v>
      </c>
      <c r="F211" s="87" t="s">
        <v>1556</v>
      </c>
      <c r="G211" s="92" t="s">
        <v>1557</v>
      </c>
      <c r="H211" s="93" t="s">
        <v>2397</v>
      </c>
      <c r="I211" s="87" t="s">
        <v>2398</v>
      </c>
      <c r="J211" s="87" t="s">
        <v>2399</v>
      </c>
      <c r="K211" s="87" t="s">
        <v>1575</v>
      </c>
      <c r="L211" s="87" t="s">
        <v>52</v>
      </c>
      <c r="M211" s="94">
        <v>44249.416666666664</v>
      </c>
      <c r="N211" s="94">
        <v>44249.541666666664</v>
      </c>
      <c r="O211" s="95" t="str">
        <f>PROPER(TEXT(Table1[[#This Row],[Fecha Inicio]],"mmmm"))</f>
        <v>Febrero</v>
      </c>
      <c r="P211" s="96" t="s">
        <v>2400</v>
      </c>
      <c r="Q211" s="97" t="s">
        <v>2401</v>
      </c>
      <c r="R211" s="76">
        <f t="shared" si="15"/>
        <v>7</v>
      </c>
      <c r="S211" s="76">
        <f t="shared" si="16"/>
        <v>7</v>
      </c>
      <c r="T211" s="76" t="str">
        <f t="shared" si="17"/>
        <v>-</v>
      </c>
      <c r="U211" s="76" t="str">
        <f t="shared" si="18"/>
        <v>-</v>
      </c>
      <c r="V211" s="76" t="str">
        <f t="shared" si="19"/>
        <v>-</v>
      </c>
      <c r="Z211" s="62"/>
    </row>
    <row r="212" spans="1:26" ht="40.15" customHeight="1" x14ac:dyDescent="0.25">
      <c r="A212" s="87">
        <v>7</v>
      </c>
      <c r="B212" s="88" t="s">
        <v>1550</v>
      </c>
      <c r="C212" s="89"/>
      <c r="D212" s="90" t="s">
        <v>326</v>
      </c>
      <c r="E212" s="90" t="s">
        <v>1742</v>
      </c>
      <c r="F212" s="87" t="s">
        <v>1556</v>
      </c>
      <c r="G212" s="92" t="s">
        <v>1557</v>
      </c>
      <c r="H212" s="93" t="s">
        <v>2402</v>
      </c>
      <c r="I212" s="87" t="s">
        <v>2403</v>
      </c>
      <c r="J212" s="87" t="s">
        <v>2404</v>
      </c>
      <c r="K212" s="87" t="s">
        <v>1575</v>
      </c>
      <c r="L212" s="87" t="s">
        <v>52</v>
      </c>
      <c r="M212" s="94">
        <v>44249.416666666664</v>
      </c>
      <c r="N212" s="94">
        <v>44249.541666666664</v>
      </c>
      <c r="O212" s="95" t="str">
        <f>PROPER(TEXT(Table1[[#This Row],[Fecha Inicio]],"mmmm"))</f>
        <v>Febrero</v>
      </c>
      <c r="P212" s="96" t="s">
        <v>2405</v>
      </c>
      <c r="Q212" s="97" t="s">
        <v>2406</v>
      </c>
      <c r="R212" s="76">
        <f t="shared" si="15"/>
        <v>16</v>
      </c>
      <c r="S212" s="76">
        <f t="shared" si="16"/>
        <v>16</v>
      </c>
      <c r="T212" s="76" t="str">
        <f t="shared" si="17"/>
        <v>-</v>
      </c>
      <c r="U212" s="76" t="str">
        <f t="shared" si="18"/>
        <v>-</v>
      </c>
      <c r="V212" s="76" t="str">
        <f t="shared" si="19"/>
        <v>-</v>
      </c>
      <c r="Z212" s="62"/>
    </row>
    <row r="213" spans="1:26" ht="40.15" customHeight="1" x14ac:dyDescent="0.25">
      <c r="A213" s="87">
        <v>7</v>
      </c>
      <c r="B213" s="88" t="s">
        <v>1550</v>
      </c>
      <c r="C213" s="89"/>
      <c r="D213" s="90" t="s">
        <v>1623</v>
      </c>
      <c r="E213" s="90" t="s">
        <v>1624</v>
      </c>
      <c r="F213" s="91" t="s">
        <v>1556</v>
      </c>
      <c r="G213" s="92" t="s">
        <v>1557</v>
      </c>
      <c r="H213" s="93" t="s">
        <v>2407</v>
      </c>
      <c r="I213" s="87" t="s">
        <v>1626</v>
      </c>
      <c r="J213" s="87" t="s">
        <v>1627</v>
      </c>
      <c r="K213" s="87" t="s">
        <v>1575</v>
      </c>
      <c r="L213" s="126" t="s">
        <v>19</v>
      </c>
      <c r="M213" s="94">
        <v>44249.5</v>
      </c>
      <c r="N213" s="94">
        <v>44249.625</v>
      </c>
      <c r="O213" s="95" t="str">
        <f>PROPER(TEXT(Table1[[#This Row],[Fecha Inicio]],"mmmm"))</f>
        <v>Febrero</v>
      </c>
      <c r="P213" s="96" t="s">
        <v>1628</v>
      </c>
      <c r="Q213" s="97" t="s">
        <v>2408</v>
      </c>
      <c r="R213" s="76">
        <f t="shared" si="15"/>
        <v>2</v>
      </c>
      <c r="S213" s="76">
        <f t="shared" si="16"/>
        <v>2</v>
      </c>
      <c r="T213" s="76" t="str">
        <f t="shared" si="17"/>
        <v>-</v>
      </c>
      <c r="U213" s="76" t="str">
        <f t="shared" si="18"/>
        <v>-</v>
      </c>
      <c r="V213" s="76" t="str">
        <f t="shared" si="19"/>
        <v>-</v>
      </c>
      <c r="Z213" s="62"/>
    </row>
    <row r="214" spans="1:26" ht="40.15" customHeight="1" x14ac:dyDescent="0.25">
      <c r="A214" s="87">
        <v>5</v>
      </c>
      <c r="B214" s="88" t="s">
        <v>1550</v>
      </c>
      <c r="C214" s="89" t="s">
        <v>2261</v>
      </c>
      <c r="D214" s="90" t="s">
        <v>326</v>
      </c>
      <c r="E214" s="90" t="s">
        <v>1631</v>
      </c>
      <c r="F214" s="87" t="s">
        <v>1556</v>
      </c>
      <c r="G214" s="92" t="s">
        <v>1557</v>
      </c>
      <c r="H214" s="93" t="s">
        <v>2409</v>
      </c>
      <c r="I214" s="87" t="s">
        <v>2410</v>
      </c>
      <c r="J214" s="87" t="s">
        <v>1951</v>
      </c>
      <c r="K214" s="87" t="s">
        <v>1575</v>
      </c>
      <c r="L214" s="126" t="s">
        <v>19</v>
      </c>
      <c r="M214" s="94">
        <v>44250</v>
      </c>
      <c r="N214" s="94">
        <v>44250.208333333336</v>
      </c>
      <c r="O214" s="95" t="str">
        <f>PROPER(TEXT(Table1[[#This Row],[Fecha Inicio]],"mmmm"))</f>
        <v>Febrero</v>
      </c>
      <c r="P214" s="96" t="s">
        <v>1952</v>
      </c>
      <c r="Q214" s="97" t="s">
        <v>2411</v>
      </c>
      <c r="R214" s="76">
        <f t="shared" si="15"/>
        <v>7</v>
      </c>
      <c r="S214" s="76">
        <f t="shared" si="16"/>
        <v>7</v>
      </c>
      <c r="T214" s="76" t="str">
        <f t="shared" si="17"/>
        <v>-</v>
      </c>
      <c r="U214" s="76" t="str">
        <f t="shared" si="18"/>
        <v>-</v>
      </c>
      <c r="V214" s="76" t="str">
        <f t="shared" si="19"/>
        <v>-</v>
      </c>
      <c r="Z214" s="62"/>
    </row>
    <row r="215" spans="1:26" ht="40.15" customHeight="1" x14ac:dyDescent="0.25">
      <c r="A215" s="87">
        <v>7</v>
      </c>
      <c r="B215" s="88" t="s">
        <v>1550</v>
      </c>
      <c r="C215" s="89"/>
      <c r="D215" s="90" t="s">
        <v>1623</v>
      </c>
      <c r="E215" s="90" t="s">
        <v>1624</v>
      </c>
      <c r="F215" s="91" t="s">
        <v>1556</v>
      </c>
      <c r="G215" s="92" t="s">
        <v>1557</v>
      </c>
      <c r="H215" s="93" t="s">
        <v>2412</v>
      </c>
      <c r="I215" s="87" t="s">
        <v>2040</v>
      </c>
      <c r="J215" s="87" t="s">
        <v>1771</v>
      </c>
      <c r="K215" s="87" t="s">
        <v>1575</v>
      </c>
      <c r="L215" s="126" t="s">
        <v>19</v>
      </c>
      <c r="M215" s="94">
        <v>44250.291666666664</v>
      </c>
      <c r="N215" s="94">
        <v>44250.5</v>
      </c>
      <c r="O215" s="95" t="str">
        <f>PROPER(TEXT(Table1[[#This Row],[Fecha Inicio]],"mmmm"))</f>
        <v>Febrero</v>
      </c>
      <c r="P215" s="96" t="s">
        <v>1772</v>
      </c>
      <c r="Q215" s="97" t="s">
        <v>2413</v>
      </c>
      <c r="R215" s="76">
        <f t="shared" si="15"/>
        <v>2</v>
      </c>
      <c r="S215" s="76">
        <f t="shared" si="16"/>
        <v>2</v>
      </c>
      <c r="T215" s="76" t="str">
        <f t="shared" si="17"/>
        <v>-</v>
      </c>
      <c r="U215" s="76" t="str">
        <f t="shared" si="18"/>
        <v>-</v>
      </c>
      <c r="V215" s="76" t="str">
        <f t="shared" si="19"/>
        <v>-</v>
      </c>
      <c r="Z215" s="62"/>
    </row>
    <row r="216" spans="1:26" ht="40.15" customHeight="1" x14ac:dyDescent="0.25">
      <c r="A216" s="87">
        <v>5</v>
      </c>
      <c r="B216" s="88" t="s">
        <v>1550</v>
      </c>
      <c r="C216" s="89" t="s">
        <v>2261</v>
      </c>
      <c r="D216" s="90" t="s">
        <v>326</v>
      </c>
      <c r="E216" s="90" t="s">
        <v>1631</v>
      </c>
      <c r="F216" s="91" t="s">
        <v>1556</v>
      </c>
      <c r="G216" s="92" t="s">
        <v>1557</v>
      </c>
      <c r="H216" s="93" t="s">
        <v>2414</v>
      </c>
      <c r="I216" s="87" t="s">
        <v>1961</v>
      </c>
      <c r="J216" s="87" t="s">
        <v>1962</v>
      </c>
      <c r="K216" s="87" t="s">
        <v>1575</v>
      </c>
      <c r="L216" s="126" t="s">
        <v>19</v>
      </c>
      <c r="M216" s="94">
        <v>44250.833333333336</v>
      </c>
      <c r="N216" s="94">
        <v>44250.875</v>
      </c>
      <c r="O216" s="95" t="str">
        <f>PROPER(TEXT(Table1[[#This Row],[Fecha Inicio]],"mmmm"))</f>
        <v>Febrero</v>
      </c>
      <c r="P216" s="96" t="s">
        <v>207</v>
      </c>
      <c r="Q216" s="97" t="s">
        <v>2415</v>
      </c>
      <c r="R216" s="76">
        <f t="shared" si="15"/>
        <v>1</v>
      </c>
      <c r="S216" s="76">
        <f t="shared" si="16"/>
        <v>1</v>
      </c>
      <c r="T216" s="76" t="str">
        <f t="shared" si="17"/>
        <v>-</v>
      </c>
      <c r="U216" s="76" t="str">
        <f t="shared" si="18"/>
        <v>-</v>
      </c>
      <c r="V216" s="76" t="str">
        <f t="shared" si="19"/>
        <v>-</v>
      </c>
      <c r="Z216" s="62"/>
    </row>
    <row r="217" spans="1:26" ht="40.15" customHeight="1" x14ac:dyDescent="0.25">
      <c r="A217" s="87">
        <v>7</v>
      </c>
      <c r="B217" s="88" t="s">
        <v>1550</v>
      </c>
      <c r="C217" s="89"/>
      <c r="D217" s="90" t="s">
        <v>1579</v>
      </c>
      <c r="E217" s="90" t="s">
        <v>1580</v>
      </c>
      <c r="F217" s="87" t="s">
        <v>1556</v>
      </c>
      <c r="G217" s="92" t="s">
        <v>1557</v>
      </c>
      <c r="H217" s="93" t="s">
        <v>2416</v>
      </c>
      <c r="I217" s="87" t="s">
        <v>2417</v>
      </c>
      <c r="J217" s="91" t="s">
        <v>1583</v>
      </c>
      <c r="K217" s="87" t="s">
        <v>1584</v>
      </c>
      <c r="L217" s="87" t="s">
        <v>52</v>
      </c>
      <c r="M217" s="94">
        <v>44250.875</v>
      </c>
      <c r="N217" s="94">
        <v>44251.041666666664</v>
      </c>
      <c r="O217" s="95" t="str">
        <f>PROPER(TEXT(Table1[[#This Row],[Fecha Inicio]],"mmmm"))</f>
        <v>Febrero</v>
      </c>
      <c r="P217" s="96" t="s">
        <v>2354</v>
      </c>
      <c r="Q217" s="97" t="s">
        <v>2418</v>
      </c>
      <c r="R217" s="76">
        <f t="shared" si="15"/>
        <v>1</v>
      </c>
      <c r="S217" s="76">
        <f t="shared" si="16"/>
        <v>1</v>
      </c>
      <c r="T217" s="76" t="str">
        <f t="shared" si="17"/>
        <v>-</v>
      </c>
      <c r="U217" s="76" t="str">
        <f t="shared" si="18"/>
        <v>-</v>
      </c>
      <c r="V217" s="76" t="str">
        <f t="shared" si="19"/>
        <v>-</v>
      </c>
      <c r="Z217" s="62"/>
    </row>
    <row r="218" spans="1:26" ht="40.15" customHeight="1" x14ac:dyDescent="0.25">
      <c r="A218" s="87">
        <v>5</v>
      </c>
      <c r="B218" s="88" t="s">
        <v>1550</v>
      </c>
      <c r="C218" s="89" t="s">
        <v>2261</v>
      </c>
      <c r="D218" s="90" t="s">
        <v>326</v>
      </c>
      <c r="E218" s="90" t="s">
        <v>1631</v>
      </c>
      <c r="F218" s="91" t="s">
        <v>1556</v>
      </c>
      <c r="G218" s="92" t="s">
        <v>1557</v>
      </c>
      <c r="H218" s="93" t="s">
        <v>2419</v>
      </c>
      <c r="I218" s="87" t="s">
        <v>1842</v>
      </c>
      <c r="J218" s="91" t="s">
        <v>1612</v>
      </c>
      <c r="K218" s="87" t="s">
        <v>1613</v>
      </c>
      <c r="L218" s="126" t="s">
        <v>19</v>
      </c>
      <c r="M218" s="94">
        <v>44250.9375</v>
      </c>
      <c r="N218" s="94">
        <v>44251.104166666664</v>
      </c>
      <c r="O218" s="95" t="str">
        <f>PROPER(TEXT(Table1[[#This Row],[Fecha Inicio]],"mmmm"))</f>
        <v>Febrero</v>
      </c>
      <c r="P218" s="96" t="s">
        <v>1843</v>
      </c>
      <c r="Q218" s="97" t="s">
        <v>2420</v>
      </c>
      <c r="R218" s="76">
        <f t="shared" si="15"/>
        <v>19</v>
      </c>
      <c r="S218" s="76">
        <f t="shared" si="16"/>
        <v>19</v>
      </c>
      <c r="T218" s="76" t="str">
        <f t="shared" si="17"/>
        <v>-</v>
      </c>
      <c r="U218" s="76" t="str">
        <f t="shared" si="18"/>
        <v>-</v>
      </c>
      <c r="V218" s="76" t="str">
        <f t="shared" si="19"/>
        <v>-</v>
      </c>
      <c r="Z218" s="62"/>
    </row>
    <row r="219" spans="1:26" ht="40.15" customHeight="1" x14ac:dyDescent="0.25">
      <c r="A219" s="87">
        <v>7</v>
      </c>
      <c r="B219" s="88" t="s">
        <v>1550</v>
      </c>
      <c r="C219" s="89"/>
      <c r="D219" s="90" t="s">
        <v>344</v>
      </c>
      <c r="E219" s="90" t="s">
        <v>1799</v>
      </c>
      <c r="F219" s="87" t="s">
        <v>1556</v>
      </c>
      <c r="G219" s="92" t="s">
        <v>1557</v>
      </c>
      <c r="H219" s="93" t="s">
        <v>2421</v>
      </c>
      <c r="I219" s="87" t="s">
        <v>1801</v>
      </c>
      <c r="J219" s="87" t="s">
        <v>1802</v>
      </c>
      <c r="K219" s="87" t="s">
        <v>1596</v>
      </c>
      <c r="L219" s="126" t="s">
        <v>19</v>
      </c>
      <c r="M219" s="94">
        <v>44250.958333333336</v>
      </c>
      <c r="N219" s="94">
        <v>44251</v>
      </c>
      <c r="O219" s="95" t="str">
        <f>PROPER(TEXT(Table1[[#This Row],[Fecha Inicio]],"mmmm"))</f>
        <v>Febrero</v>
      </c>
      <c r="P219" s="96" t="s">
        <v>2422</v>
      </c>
      <c r="Q219" s="97" t="s">
        <v>2423</v>
      </c>
      <c r="R219" s="76">
        <f t="shared" si="15"/>
        <v>2</v>
      </c>
      <c r="S219" s="76">
        <f t="shared" si="16"/>
        <v>2</v>
      </c>
      <c r="T219" s="76" t="str">
        <f t="shared" si="17"/>
        <v>-</v>
      </c>
      <c r="U219" s="76" t="str">
        <f t="shared" si="18"/>
        <v>-</v>
      </c>
      <c r="V219" s="76" t="str">
        <f t="shared" si="19"/>
        <v>-</v>
      </c>
      <c r="Z219" s="62"/>
    </row>
    <row r="220" spans="1:26" ht="40.15" customHeight="1" x14ac:dyDescent="0.25">
      <c r="A220" s="87">
        <v>8</v>
      </c>
      <c r="B220" s="100" t="s">
        <v>1552</v>
      </c>
      <c r="C220" s="89" t="s">
        <v>2424</v>
      </c>
      <c r="D220" s="90" t="s">
        <v>1665</v>
      </c>
      <c r="E220" s="90" t="s">
        <v>1666</v>
      </c>
      <c r="F220" s="87" t="s">
        <v>1556</v>
      </c>
      <c r="G220" s="92" t="s">
        <v>1965</v>
      </c>
      <c r="H220" s="93" t="s">
        <v>2425</v>
      </c>
      <c r="I220" s="87" t="s">
        <v>2426</v>
      </c>
      <c r="J220" s="87" t="s">
        <v>1669</v>
      </c>
      <c r="K220" s="87" t="s">
        <v>1670</v>
      </c>
      <c r="L220" s="87" t="s">
        <v>41</v>
      </c>
      <c r="M220" s="94">
        <v>44250.958333333336</v>
      </c>
      <c r="N220" s="94">
        <v>44251.0625</v>
      </c>
      <c r="O220" s="95" t="str">
        <f>PROPER(TEXT(Table1[[#This Row],[Fecha Inicio]],"mmmm"))</f>
        <v>Febrero</v>
      </c>
      <c r="P220" s="96" t="s">
        <v>2226</v>
      </c>
      <c r="Q220" s="97" t="s">
        <v>2427</v>
      </c>
      <c r="R220" s="76">
        <f t="shared" si="15"/>
        <v>1</v>
      </c>
      <c r="S220" s="76" t="str">
        <f t="shared" si="16"/>
        <v>-</v>
      </c>
      <c r="T220" s="76" t="str">
        <f t="shared" si="17"/>
        <v>-</v>
      </c>
      <c r="U220" s="76">
        <f t="shared" si="18"/>
        <v>1</v>
      </c>
      <c r="V220" s="76" t="str">
        <f t="shared" si="19"/>
        <v>-</v>
      </c>
      <c r="Z220" s="62"/>
    </row>
    <row r="221" spans="1:26" ht="40.15" customHeight="1" x14ac:dyDescent="0.25">
      <c r="A221" s="87">
        <v>8</v>
      </c>
      <c r="B221" s="88" t="s">
        <v>1550</v>
      </c>
      <c r="C221" s="99" t="s">
        <v>2022</v>
      </c>
      <c r="D221" s="90" t="s">
        <v>1570</v>
      </c>
      <c r="E221" s="90" t="s">
        <v>1571</v>
      </c>
      <c r="F221" s="87" t="s">
        <v>1600</v>
      </c>
      <c r="G221" s="92" t="s">
        <v>1557</v>
      </c>
      <c r="H221" s="93" t="s">
        <v>2428</v>
      </c>
      <c r="I221" s="91" t="s">
        <v>2429</v>
      </c>
      <c r="J221" s="87" t="s">
        <v>2025</v>
      </c>
      <c r="K221" s="87" t="s">
        <v>1341</v>
      </c>
      <c r="L221" s="126" t="s">
        <v>19</v>
      </c>
      <c r="M221" s="94">
        <v>44250.958333333336</v>
      </c>
      <c r="N221" s="94">
        <v>44251.416666666664</v>
      </c>
      <c r="O221" s="95" t="str">
        <f>PROPER(TEXT(Table1[[#This Row],[Fecha Inicio]],"mmmm"))</f>
        <v>Febrero</v>
      </c>
      <c r="P221" s="96" t="s">
        <v>2026</v>
      </c>
      <c r="Q221" s="97" t="s">
        <v>2430</v>
      </c>
      <c r="R221" s="76">
        <f t="shared" si="15"/>
        <v>2</v>
      </c>
      <c r="S221" s="76">
        <f t="shared" si="16"/>
        <v>2</v>
      </c>
      <c r="T221" s="76" t="str">
        <f t="shared" si="17"/>
        <v>-</v>
      </c>
      <c r="U221" s="76" t="str">
        <f t="shared" si="18"/>
        <v>-</v>
      </c>
      <c r="V221" s="76" t="str">
        <f t="shared" si="19"/>
        <v>-</v>
      </c>
      <c r="Z221" s="62"/>
    </row>
    <row r="222" spans="1:26" ht="40.15" customHeight="1" x14ac:dyDescent="0.25">
      <c r="A222" s="87">
        <v>7</v>
      </c>
      <c r="B222" s="88" t="s">
        <v>1550</v>
      </c>
      <c r="C222" s="89" t="s">
        <v>2261</v>
      </c>
      <c r="D222" s="90" t="s">
        <v>326</v>
      </c>
      <c r="E222" s="90" t="s">
        <v>1631</v>
      </c>
      <c r="F222" s="91" t="s">
        <v>1556</v>
      </c>
      <c r="G222" s="92" t="s">
        <v>1557</v>
      </c>
      <c r="H222" s="93" t="s">
        <v>2431</v>
      </c>
      <c r="I222" s="87" t="s">
        <v>1813</v>
      </c>
      <c r="J222" s="91" t="s">
        <v>1814</v>
      </c>
      <c r="K222" s="91" t="s">
        <v>1761</v>
      </c>
      <c r="L222" s="126" t="s">
        <v>19</v>
      </c>
      <c r="M222" s="94">
        <v>44251.291666666664</v>
      </c>
      <c r="N222" s="94">
        <v>44251.333333333336</v>
      </c>
      <c r="O222" s="95" t="str">
        <f>PROPER(TEXT(Table1[[#This Row],[Fecha Inicio]],"mmmm"))</f>
        <v>Febrero</v>
      </c>
      <c r="P222" s="96" t="s">
        <v>109</v>
      </c>
      <c r="Q222" s="97" t="s">
        <v>2432</v>
      </c>
      <c r="R222" s="76">
        <f t="shared" si="15"/>
        <v>1</v>
      </c>
      <c r="S222" s="76">
        <f t="shared" si="16"/>
        <v>1</v>
      </c>
      <c r="T222" s="76" t="str">
        <f t="shared" si="17"/>
        <v>-</v>
      </c>
      <c r="U222" s="76" t="str">
        <f t="shared" si="18"/>
        <v>-</v>
      </c>
      <c r="V222" s="76" t="str">
        <f t="shared" si="19"/>
        <v>-</v>
      </c>
      <c r="Z222" s="62"/>
    </row>
    <row r="223" spans="1:26" ht="40.15" customHeight="1" x14ac:dyDescent="0.25">
      <c r="A223" s="87">
        <v>5</v>
      </c>
      <c r="B223" s="88" t="s">
        <v>1550</v>
      </c>
      <c r="C223" s="89" t="s">
        <v>2261</v>
      </c>
      <c r="D223" s="90" t="s">
        <v>326</v>
      </c>
      <c r="E223" s="90" t="s">
        <v>1631</v>
      </c>
      <c r="F223" s="91" t="s">
        <v>1556</v>
      </c>
      <c r="G223" s="92" t="s">
        <v>1557</v>
      </c>
      <c r="H223" s="93" t="s">
        <v>2435</v>
      </c>
      <c r="I223" s="87" t="s">
        <v>1979</v>
      </c>
      <c r="J223" s="87" t="s">
        <v>1980</v>
      </c>
      <c r="K223" s="87" t="s">
        <v>1575</v>
      </c>
      <c r="L223" s="126" t="s">
        <v>19</v>
      </c>
      <c r="M223" s="94">
        <v>44251.333333333336</v>
      </c>
      <c r="N223" s="94">
        <v>44251.395833333336</v>
      </c>
      <c r="O223" s="95" t="str">
        <f>PROPER(TEXT(Table1[[#This Row],[Fecha Inicio]],"mmmm"))</f>
        <v>Febrero</v>
      </c>
      <c r="P223" s="96" t="s">
        <v>1981</v>
      </c>
      <c r="Q223" s="97" t="s">
        <v>2436</v>
      </c>
      <c r="R223" s="76">
        <f t="shared" si="15"/>
        <v>2</v>
      </c>
      <c r="S223" s="76">
        <f t="shared" si="16"/>
        <v>2</v>
      </c>
      <c r="T223" s="76" t="str">
        <f t="shared" si="17"/>
        <v>-</v>
      </c>
      <c r="U223" s="76" t="str">
        <f t="shared" si="18"/>
        <v>-</v>
      </c>
      <c r="V223" s="76" t="str">
        <f t="shared" si="19"/>
        <v>-</v>
      </c>
      <c r="Z223" s="62"/>
    </row>
    <row r="224" spans="1:26" ht="40.15" customHeight="1" x14ac:dyDescent="0.25">
      <c r="A224" s="87">
        <v>8</v>
      </c>
      <c r="B224" s="88" t="s">
        <v>1550</v>
      </c>
      <c r="C224" s="89"/>
      <c r="D224" s="90" t="s">
        <v>1623</v>
      </c>
      <c r="E224" s="90" t="s">
        <v>1624</v>
      </c>
      <c r="F224" s="87" t="s">
        <v>1556</v>
      </c>
      <c r="G224" s="92" t="s">
        <v>1557</v>
      </c>
      <c r="H224" s="93" t="s">
        <v>2433</v>
      </c>
      <c r="I224" s="87" t="s">
        <v>1975</v>
      </c>
      <c r="J224" s="91" t="s">
        <v>1583</v>
      </c>
      <c r="K224" s="87" t="s">
        <v>1584</v>
      </c>
      <c r="L224" s="126" t="s">
        <v>19</v>
      </c>
      <c r="M224" s="94">
        <v>44251.333333333336</v>
      </c>
      <c r="N224" s="94">
        <v>44251.458333333336</v>
      </c>
      <c r="O224" s="95" t="str">
        <f>PROPER(TEXT(Table1[[#This Row],[Fecha Inicio]],"mmmm"))</f>
        <v>Febrero</v>
      </c>
      <c r="P224" s="96" t="s">
        <v>1976</v>
      </c>
      <c r="Q224" s="97" t="s">
        <v>2434</v>
      </c>
      <c r="R224" s="76">
        <f t="shared" si="15"/>
        <v>1</v>
      </c>
      <c r="S224" s="76">
        <f t="shared" si="16"/>
        <v>1</v>
      </c>
      <c r="T224" s="76" t="str">
        <f t="shared" si="17"/>
        <v>-</v>
      </c>
      <c r="U224" s="76" t="str">
        <f t="shared" si="18"/>
        <v>-</v>
      </c>
      <c r="V224" s="76" t="str">
        <f t="shared" si="19"/>
        <v>-</v>
      </c>
      <c r="Z224" s="62"/>
    </row>
    <row r="225" spans="1:26" ht="40.15" customHeight="1" x14ac:dyDescent="0.25">
      <c r="A225" s="87">
        <v>5</v>
      </c>
      <c r="B225" s="88" t="s">
        <v>1550</v>
      </c>
      <c r="C225" s="89" t="s">
        <v>2261</v>
      </c>
      <c r="D225" s="90" t="s">
        <v>326</v>
      </c>
      <c r="E225" s="90" t="s">
        <v>1631</v>
      </c>
      <c r="F225" s="91" t="s">
        <v>1556</v>
      </c>
      <c r="G225" s="92" t="s">
        <v>1557</v>
      </c>
      <c r="H225" s="93" t="s">
        <v>2437</v>
      </c>
      <c r="I225" s="87" t="s">
        <v>1987</v>
      </c>
      <c r="J225" s="91" t="s">
        <v>1988</v>
      </c>
      <c r="K225" s="91" t="s">
        <v>1575</v>
      </c>
      <c r="L225" s="126" t="s">
        <v>19</v>
      </c>
      <c r="M225" s="94">
        <v>44251.604166666664</v>
      </c>
      <c r="N225" s="94">
        <v>44251.729166666664</v>
      </c>
      <c r="O225" s="95" t="str">
        <f>PROPER(TEXT(Table1[[#This Row],[Fecha Inicio]],"mmmm"))</f>
        <v>Febrero</v>
      </c>
      <c r="P225" s="96" t="s">
        <v>1989</v>
      </c>
      <c r="Q225" s="97" t="s">
        <v>2438</v>
      </c>
      <c r="R225" s="76">
        <f t="shared" si="15"/>
        <v>4</v>
      </c>
      <c r="S225" s="76">
        <f t="shared" si="16"/>
        <v>4</v>
      </c>
      <c r="T225" s="76" t="str">
        <f t="shared" si="17"/>
        <v>-</v>
      </c>
      <c r="U225" s="76" t="str">
        <f t="shared" si="18"/>
        <v>-</v>
      </c>
      <c r="V225" s="76" t="str">
        <f t="shared" si="19"/>
        <v>-</v>
      </c>
      <c r="Z225" s="62"/>
    </row>
    <row r="226" spans="1:26" ht="40.15" customHeight="1" x14ac:dyDescent="0.25">
      <c r="A226" s="87">
        <v>7</v>
      </c>
      <c r="B226" s="88" t="s">
        <v>1550</v>
      </c>
      <c r="C226" s="89"/>
      <c r="D226" s="90" t="s">
        <v>344</v>
      </c>
      <c r="E226" s="90" t="s">
        <v>1799</v>
      </c>
      <c r="F226" s="87" t="s">
        <v>1556</v>
      </c>
      <c r="G226" s="92" t="s">
        <v>1557</v>
      </c>
      <c r="H226" s="93" t="s">
        <v>2439</v>
      </c>
      <c r="I226" s="87" t="s">
        <v>1829</v>
      </c>
      <c r="J226" s="87" t="s">
        <v>1560</v>
      </c>
      <c r="K226" s="87" t="s">
        <v>1561</v>
      </c>
      <c r="L226" s="126" t="s">
        <v>19</v>
      </c>
      <c r="M226" s="94">
        <v>44251.666666666664</v>
      </c>
      <c r="N226" s="94">
        <v>44251.708333333336</v>
      </c>
      <c r="O226" s="95" t="str">
        <f>PROPER(TEXT(Table1[[#This Row],[Fecha Inicio]],"mmmm"))</f>
        <v>Febrero</v>
      </c>
      <c r="P226" s="96" t="s">
        <v>2440</v>
      </c>
      <c r="Q226" s="97" t="s">
        <v>2441</v>
      </c>
      <c r="R226" s="76">
        <f t="shared" si="15"/>
        <v>1</v>
      </c>
      <c r="S226" s="76">
        <f t="shared" si="16"/>
        <v>1</v>
      </c>
      <c r="T226" s="76" t="str">
        <f t="shared" si="17"/>
        <v>-</v>
      </c>
      <c r="U226" s="76" t="str">
        <f t="shared" si="18"/>
        <v>-</v>
      </c>
      <c r="V226" s="76" t="str">
        <f t="shared" si="19"/>
        <v>-</v>
      </c>
      <c r="Z226" s="62"/>
    </row>
    <row r="227" spans="1:26" ht="40.15" customHeight="1" x14ac:dyDescent="0.25">
      <c r="A227" s="87">
        <v>7</v>
      </c>
      <c r="B227" s="88" t="s">
        <v>1550</v>
      </c>
      <c r="C227" s="89"/>
      <c r="D227" s="90" t="s">
        <v>1579</v>
      </c>
      <c r="E227" s="90" t="s">
        <v>1580</v>
      </c>
      <c r="F227" s="87" t="s">
        <v>1556</v>
      </c>
      <c r="G227" s="92" t="s">
        <v>1557</v>
      </c>
      <c r="H227" s="93" t="s">
        <v>2442</v>
      </c>
      <c r="I227" s="87" t="s">
        <v>2443</v>
      </c>
      <c r="J227" s="91" t="s">
        <v>1583</v>
      </c>
      <c r="K227" s="87" t="s">
        <v>1584</v>
      </c>
      <c r="L227" s="87" t="s">
        <v>52</v>
      </c>
      <c r="M227" s="94">
        <v>44251.875</v>
      </c>
      <c r="N227" s="94">
        <v>44252.041666666664</v>
      </c>
      <c r="O227" s="95" t="str">
        <f>PROPER(TEXT(Table1[[#This Row],[Fecha Inicio]],"mmmm"))</f>
        <v>Febrero</v>
      </c>
      <c r="P227" s="96" t="s">
        <v>2354</v>
      </c>
      <c r="Q227" s="97" t="s">
        <v>2444</v>
      </c>
      <c r="R227" s="76">
        <f t="shared" si="15"/>
        <v>1</v>
      </c>
      <c r="S227" s="76">
        <f t="shared" si="16"/>
        <v>1</v>
      </c>
      <c r="T227" s="76" t="str">
        <f t="shared" si="17"/>
        <v>-</v>
      </c>
      <c r="U227" s="76" t="str">
        <f t="shared" si="18"/>
        <v>-</v>
      </c>
      <c r="V227" s="76" t="str">
        <f t="shared" si="19"/>
        <v>-</v>
      </c>
      <c r="Z227" s="62"/>
    </row>
    <row r="228" spans="1:26" ht="40.15" customHeight="1" x14ac:dyDescent="0.25">
      <c r="A228" s="87">
        <v>8</v>
      </c>
      <c r="B228" s="88" t="s">
        <v>1550</v>
      </c>
      <c r="C228" s="99" t="s">
        <v>2022</v>
      </c>
      <c r="D228" s="90" t="s">
        <v>1570</v>
      </c>
      <c r="E228" s="90" t="s">
        <v>1571</v>
      </c>
      <c r="F228" s="87" t="s">
        <v>1600</v>
      </c>
      <c r="G228" s="92" t="s">
        <v>1557</v>
      </c>
      <c r="H228" s="93" t="s">
        <v>2445</v>
      </c>
      <c r="I228" s="91" t="s">
        <v>2446</v>
      </c>
      <c r="J228" s="87" t="s">
        <v>2025</v>
      </c>
      <c r="K228" s="87" t="s">
        <v>1341</v>
      </c>
      <c r="L228" s="126" t="s">
        <v>19</v>
      </c>
      <c r="M228" s="94">
        <v>44251.958333333336</v>
      </c>
      <c r="N228" s="94">
        <v>44252.416666666664</v>
      </c>
      <c r="O228" s="95" t="str">
        <f>PROPER(TEXT(Table1[[#This Row],[Fecha Inicio]],"mmmm"))</f>
        <v>Febrero</v>
      </c>
      <c r="P228" s="96" t="s">
        <v>2026</v>
      </c>
      <c r="Q228" s="97" t="s">
        <v>2447</v>
      </c>
      <c r="R228" s="76">
        <f t="shared" si="15"/>
        <v>2</v>
      </c>
      <c r="S228" s="76">
        <f t="shared" si="16"/>
        <v>2</v>
      </c>
      <c r="T228" s="76" t="str">
        <f t="shared" si="17"/>
        <v>-</v>
      </c>
      <c r="U228" s="76" t="str">
        <f t="shared" si="18"/>
        <v>-</v>
      </c>
      <c r="V228" s="76" t="str">
        <f t="shared" si="19"/>
        <v>-</v>
      </c>
      <c r="Z228" s="62"/>
    </row>
    <row r="229" spans="1:26" ht="40.15" customHeight="1" x14ac:dyDescent="0.25">
      <c r="A229" s="87">
        <v>8</v>
      </c>
      <c r="B229" s="88" t="s">
        <v>1550</v>
      </c>
      <c r="C229" s="89" t="s">
        <v>1578</v>
      </c>
      <c r="D229" s="90" t="s">
        <v>1623</v>
      </c>
      <c r="E229" s="90" t="s">
        <v>1624</v>
      </c>
      <c r="F229" s="87" t="s">
        <v>1556</v>
      </c>
      <c r="G229" s="92" t="s">
        <v>1557</v>
      </c>
      <c r="H229" s="93" t="s">
        <v>2448</v>
      </c>
      <c r="I229" s="87" t="s">
        <v>2449</v>
      </c>
      <c r="J229" s="91" t="s">
        <v>1583</v>
      </c>
      <c r="K229" s="87" t="s">
        <v>1584</v>
      </c>
      <c r="L229" s="126" t="s">
        <v>19</v>
      </c>
      <c r="M229" s="94">
        <v>44252.333333333336</v>
      </c>
      <c r="N229" s="94">
        <v>44252.458333333336</v>
      </c>
      <c r="O229" s="95" t="str">
        <f>PROPER(TEXT(Table1[[#This Row],[Fecha Inicio]],"mmmm"))</f>
        <v>Febrero</v>
      </c>
      <c r="P229" s="96" t="s">
        <v>2450</v>
      </c>
      <c r="Q229" s="97" t="s">
        <v>2451</v>
      </c>
      <c r="R229" s="76">
        <f t="shared" si="15"/>
        <v>2</v>
      </c>
      <c r="S229" s="76">
        <f t="shared" si="16"/>
        <v>2</v>
      </c>
      <c r="T229" s="76" t="str">
        <f t="shared" si="17"/>
        <v>-</v>
      </c>
      <c r="U229" s="76" t="str">
        <f t="shared" si="18"/>
        <v>-</v>
      </c>
      <c r="V229" s="76" t="str">
        <f t="shared" si="19"/>
        <v>-</v>
      </c>
      <c r="Z229" s="62"/>
    </row>
    <row r="230" spans="1:26" ht="40.15" customHeight="1" x14ac:dyDescent="0.25">
      <c r="A230" s="87">
        <v>8</v>
      </c>
      <c r="B230" s="88" t="s">
        <v>1550</v>
      </c>
      <c r="C230" s="89" t="s">
        <v>1578</v>
      </c>
      <c r="D230" s="90" t="s">
        <v>1579</v>
      </c>
      <c r="E230" s="90" t="s">
        <v>1580</v>
      </c>
      <c r="F230" s="87" t="s">
        <v>1556</v>
      </c>
      <c r="G230" s="92" t="s">
        <v>1557</v>
      </c>
      <c r="H230" s="93" t="s">
        <v>2452</v>
      </c>
      <c r="I230" s="87" t="s">
        <v>2453</v>
      </c>
      <c r="J230" s="87" t="s">
        <v>1560</v>
      </c>
      <c r="K230" s="87" t="s">
        <v>1561</v>
      </c>
      <c r="L230" s="126" t="s">
        <v>19</v>
      </c>
      <c r="M230" s="94">
        <v>44252.354166666664</v>
      </c>
      <c r="N230" s="94">
        <v>44252.5</v>
      </c>
      <c r="O230" s="95" t="str">
        <f>PROPER(TEXT(Table1[[#This Row],[Fecha Inicio]],"mmmm"))</f>
        <v>Febrero</v>
      </c>
      <c r="P230" s="96" t="s">
        <v>2454</v>
      </c>
      <c r="Q230" s="97" t="s">
        <v>2455</v>
      </c>
      <c r="R230" s="76">
        <f t="shared" si="15"/>
        <v>1</v>
      </c>
      <c r="S230" s="76">
        <f t="shared" si="16"/>
        <v>1</v>
      </c>
      <c r="T230" s="76" t="str">
        <f t="shared" si="17"/>
        <v>-</v>
      </c>
      <c r="U230" s="76" t="str">
        <f t="shared" si="18"/>
        <v>-</v>
      </c>
      <c r="V230" s="76" t="str">
        <f t="shared" si="19"/>
        <v>-</v>
      </c>
      <c r="Z230" s="62"/>
    </row>
    <row r="231" spans="1:26" ht="40.15" customHeight="1" x14ac:dyDescent="0.25">
      <c r="A231" s="87">
        <v>8</v>
      </c>
      <c r="B231" s="88" t="s">
        <v>1550</v>
      </c>
      <c r="C231" s="89" t="s">
        <v>1578</v>
      </c>
      <c r="D231" s="90" t="s">
        <v>326</v>
      </c>
      <c r="E231" s="90" t="s">
        <v>1631</v>
      </c>
      <c r="F231" s="91" t="s">
        <v>1556</v>
      </c>
      <c r="G231" s="92" t="s">
        <v>1557</v>
      </c>
      <c r="H231" s="93" t="s">
        <v>2456</v>
      </c>
      <c r="I231" s="87" t="s">
        <v>2457</v>
      </c>
      <c r="J231" s="87" t="s">
        <v>1634</v>
      </c>
      <c r="K231" s="87" t="s">
        <v>1635</v>
      </c>
      <c r="L231" s="87" t="s">
        <v>52</v>
      </c>
      <c r="M231" s="94">
        <v>44252.375</v>
      </c>
      <c r="N231" s="94">
        <v>44253.791666666664</v>
      </c>
      <c r="O231" s="95" t="str">
        <f>PROPER(TEXT(Table1[[#This Row],[Fecha Inicio]],"mmmm"))</f>
        <v>Febrero</v>
      </c>
      <c r="P231" s="96" t="s">
        <v>2458</v>
      </c>
      <c r="Q231" s="97" t="s">
        <v>2459</v>
      </c>
      <c r="R231" s="76">
        <f t="shared" si="15"/>
        <v>1</v>
      </c>
      <c r="S231" s="76">
        <f t="shared" si="16"/>
        <v>1</v>
      </c>
      <c r="T231" s="76" t="str">
        <f t="shared" si="17"/>
        <v>-</v>
      </c>
      <c r="U231" s="76" t="str">
        <f t="shared" si="18"/>
        <v>-</v>
      </c>
      <c r="V231" s="76" t="str">
        <f t="shared" si="19"/>
        <v>-</v>
      </c>
      <c r="Z231" s="62"/>
    </row>
    <row r="232" spans="1:26" ht="40.15" customHeight="1" x14ac:dyDescent="0.25">
      <c r="A232" s="87">
        <v>8</v>
      </c>
      <c r="B232" s="88" t="s">
        <v>1550</v>
      </c>
      <c r="C232" s="89" t="s">
        <v>1578</v>
      </c>
      <c r="D232" s="90" t="s">
        <v>326</v>
      </c>
      <c r="E232" s="90" t="s">
        <v>1631</v>
      </c>
      <c r="F232" s="87" t="s">
        <v>1556</v>
      </c>
      <c r="G232" s="92" t="s">
        <v>1557</v>
      </c>
      <c r="H232" s="93" t="s">
        <v>2460</v>
      </c>
      <c r="I232" s="87" t="s">
        <v>2461</v>
      </c>
      <c r="J232" s="87" t="s">
        <v>2462</v>
      </c>
      <c r="K232" s="87" t="s">
        <v>1575</v>
      </c>
      <c r="L232" s="87" t="s">
        <v>52</v>
      </c>
      <c r="M232" s="94">
        <v>44252.375</v>
      </c>
      <c r="N232" s="94">
        <v>44253.791666666664</v>
      </c>
      <c r="O232" s="95" t="str">
        <f>PROPER(TEXT(Table1[[#This Row],[Fecha Inicio]],"mmmm"))</f>
        <v>Febrero</v>
      </c>
      <c r="P232" s="96" t="s">
        <v>2463</v>
      </c>
      <c r="Q232" s="97" t="s">
        <v>2464</v>
      </c>
      <c r="R232" s="76">
        <f t="shared" si="15"/>
        <v>9</v>
      </c>
      <c r="S232" s="76">
        <f t="shared" si="16"/>
        <v>9</v>
      </c>
      <c r="T232" s="76" t="str">
        <f t="shared" si="17"/>
        <v>-</v>
      </c>
      <c r="U232" s="76" t="str">
        <f t="shared" si="18"/>
        <v>-</v>
      </c>
      <c r="V232" s="76" t="str">
        <f t="shared" si="19"/>
        <v>-</v>
      </c>
      <c r="Z232" s="62"/>
    </row>
    <row r="233" spans="1:26" ht="40.15" customHeight="1" x14ac:dyDescent="0.25">
      <c r="A233" s="87">
        <v>8</v>
      </c>
      <c r="B233" s="88" t="s">
        <v>1550</v>
      </c>
      <c r="C233" s="89" t="s">
        <v>1578</v>
      </c>
      <c r="D233" s="90" t="s">
        <v>1623</v>
      </c>
      <c r="E233" s="90" t="s">
        <v>1624</v>
      </c>
      <c r="F233" s="91" t="s">
        <v>1556</v>
      </c>
      <c r="G233" s="92" t="s">
        <v>1557</v>
      </c>
      <c r="H233" s="93" t="s">
        <v>2465</v>
      </c>
      <c r="I233" s="87" t="s">
        <v>1685</v>
      </c>
      <c r="J233" s="87" t="s">
        <v>1627</v>
      </c>
      <c r="K233" s="87" t="s">
        <v>1575</v>
      </c>
      <c r="L233" s="126" t="s">
        <v>19</v>
      </c>
      <c r="M233" s="94">
        <v>44252.5</v>
      </c>
      <c r="N233" s="94">
        <v>44252.625</v>
      </c>
      <c r="O233" s="95" t="str">
        <f>PROPER(TEXT(Table1[[#This Row],[Fecha Inicio]],"mmmm"))</f>
        <v>Febrero</v>
      </c>
      <c r="P233" s="96" t="s">
        <v>1686</v>
      </c>
      <c r="Q233" s="97" t="s">
        <v>2466</v>
      </c>
      <c r="R233" s="76">
        <f t="shared" si="15"/>
        <v>2</v>
      </c>
      <c r="S233" s="76">
        <f t="shared" si="16"/>
        <v>2</v>
      </c>
      <c r="T233" s="76" t="str">
        <f t="shared" si="17"/>
        <v>-</v>
      </c>
      <c r="U233" s="76" t="str">
        <f t="shared" si="18"/>
        <v>-</v>
      </c>
      <c r="V233" s="76" t="str">
        <f t="shared" si="19"/>
        <v>-</v>
      </c>
      <c r="Z233" s="62"/>
    </row>
    <row r="234" spans="1:26" ht="40.15" customHeight="1" x14ac:dyDescent="0.25">
      <c r="A234" s="87">
        <v>8</v>
      </c>
      <c r="B234" s="88" t="s">
        <v>1550</v>
      </c>
      <c r="C234" s="89" t="s">
        <v>1578</v>
      </c>
      <c r="D234" s="90" t="s">
        <v>1665</v>
      </c>
      <c r="E234" s="90" t="s">
        <v>1666</v>
      </c>
      <c r="F234" s="87" t="s">
        <v>1556</v>
      </c>
      <c r="G234" s="92" t="s">
        <v>1557</v>
      </c>
      <c r="H234" s="93" t="s">
        <v>2467</v>
      </c>
      <c r="I234" s="87" t="s">
        <v>2468</v>
      </c>
      <c r="J234" s="87" t="s">
        <v>1669</v>
      </c>
      <c r="K234" s="87" t="s">
        <v>1670</v>
      </c>
      <c r="L234" s="126" t="s">
        <v>19</v>
      </c>
      <c r="M234" s="94">
        <v>44252.670138888891</v>
      </c>
      <c r="N234" s="94">
        <v>44252.701388888891</v>
      </c>
      <c r="O234" s="95" t="str">
        <f>PROPER(TEXT(Table1[[#This Row],[Fecha Inicio]],"mmmm"))</f>
        <v>Febrero</v>
      </c>
      <c r="P234" s="96" t="s">
        <v>2469</v>
      </c>
      <c r="Q234" s="97" t="s">
        <v>2470</v>
      </c>
      <c r="R234" s="76">
        <f t="shared" si="15"/>
        <v>1</v>
      </c>
      <c r="S234" s="76">
        <f t="shared" si="16"/>
        <v>1</v>
      </c>
      <c r="T234" s="76" t="str">
        <f t="shared" si="17"/>
        <v>-</v>
      </c>
      <c r="U234" s="76" t="str">
        <f t="shared" si="18"/>
        <v>-</v>
      </c>
      <c r="V234" s="76" t="str">
        <f t="shared" si="19"/>
        <v>-</v>
      </c>
      <c r="Z234" s="62"/>
    </row>
    <row r="235" spans="1:26" ht="40.15" customHeight="1" x14ac:dyDescent="0.25">
      <c r="A235" s="87">
        <v>8</v>
      </c>
      <c r="B235" s="88" t="s">
        <v>1550</v>
      </c>
      <c r="C235" s="89" t="s">
        <v>1578</v>
      </c>
      <c r="D235" s="90" t="s">
        <v>326</v>
      </c>
      <c r="E235" s="90" t="s">
        <v>1631</v>
      </c>
      <c r="F235" s="87" t="s">
        <v>1556</v>
      </c>
      <c r="G235" s="92" t="s">
        <v>1557</v>
      </c>
      <c r="H235" s="93" t="s">
        <v>2471</v>
      </c>
      <c r="I235" s="87" t="s">
        <v>2472</v>
      </c>
      <c r="J235" s="91" t="s">
        <v>1583</v>
      </c>
      <c r="K235" s="87" t="s">
        <v>1584</v>
      </c>
      <c r="L235" s="87" t="s">
        <v>41</v>
      </c>
      <c r="M235" s="94">
        <v>44252.9375</v>
      </c>
      <c r="N235" s="94">
        <v>44253.3125</v>
      </c>
      <c r="O235" s="95" t="str">
        <f>PROPER(TEXT(Table1[[#This Row],[Fecha Inicio]],"mmmm"))</f>
        <v>Febrero</v>
      </c>
      <c r="P235" s="96" t="s">
        <v>2473</v>
      </c>
      <c r="Q235" s="97" t="s">
        <v>2474</v>
      </c>
      <c r="R235" s="76">
        <f t="shared" si="15"/>
        <v>1</v>
      </c>
      <c r="S235" s="76">
        <f t="shared" si="16"/>
        <v>1</v>
      </c>
      <c r="T235" s="76" t="str">
        <f t="shared" si="17"/>
        <v>-</v>
      </c>
      <c r="U235" s="76" t="str">
        <f t="shared" si="18"/>
        <v>-</v>
      </c>
      <c r="V235" s="76" t="str">
        <f t="shared" si="19"/>
        <v>-</v>
      </c>
      <c r="Z235" s="62"/>
    </row>
    <row r="236" spans="1:26" ht="40.15" customHeight="1" x14ac:dyDescent="0.25">
      <c r="A236" s="87">
        <v>5</v>
      </c>
      <c r="B236" s="88" t="s">
        <v>1550</v>
      </c>
      <c r="C236" s="89" t="s">
        <v>2261</v>
      </c>
      <c r="D236" s="90" t="s">
        <v>326</v>
      </c>
      <c r="E236" s="90" t="s">
        <v>1631</v>
      </c>
      <c r="F236" s="91" t="s">
        <v>1556</v>
      </c>
      <c r="G236" s="92" t="s">
        <v>1557</v>
      </c>
      <c r="H236" s="93" t="s">
        <v>2475</v>
      </c>
      <c r="I236" s="87" t="s">
        <v>2013</v>
      </c>
      <c r="J236" s="87" t="s">
        <v>2014</v>
      </c>
      <c r="K236" s="87" t="s">
        <v>1575</v>
      </c>
      <c r="L236" s="126" t="s">
        <v>19</v>
      </c>
      <c r="M236" s="94">
        <v>44253.791666666664</v>
      </c>
      <c r="N236" s="94">
        <v>44253.875</v>
      </c>
      <c r="O236" s="95" t="str">
        <f>PROPER(TEXT(Table1[[#This Row],[Fecha Inicio]],"mmmm"))</f>
        <v>Febrero</v>
      </c>
      <c r="P236" s="96" t="s">
        <v>2015</v>
      </c>
      <c r="Q236" s="97" t="s">
        <v>2476</v>
      </c>
      <c r="R236" s="76">
        <f t="shared" si="15"/>
        <v>9</v>
      </c>
      <c r="S236" s="76">
        <f t="shared" si="16"/>
        <v>9</v>
      </c>
      <c r="T236" s="76" t="str">
        <f t="shared" si="17"/>
        <v>-</v>
      </c>
      <c r="U236" s="76" t="str">
        <f t="shared" si="18"/>
        <v>-</v>
      </c>
      <c r="V236" s="76" t="str">
        <f t="shared" si="19"/>
        <v>-</v>
      </c>
      <c r="Z236" s="62"/>
    </row>
    <row r="237" spans="1:26" ht="40.15" customHeight="1" x14ac:dyDescent="0.25">
      <c r="A237" s="87">
        <v>5</v>
      </c>
      <c r="B237" s="88" t="s">
        <v>1550</v>
      </c>
      <c r="C237" s="89" t="s">
        <v>2261</v>
      </c>
      <c r="D237" s="90" t="s">
        <v>326</v>
      </c>
      <c r="E237" s="90" t="s">
        <v>1631</v>
      </c>
      <c r="F237" s="91" t="s">
        <v>1556</v>
      </c>
      <c r="G237" s="92" t="s">
        <v>1557</v>
      </c>
      <c r="H237" s="93" t="s">
        <v>2477</v>
      </c>
      <c r="I237" s="87" t="s">
        <v>2013</v>
      </c>
      <c r="J237" s="87" t="s">
        <v>2014</v>
      </c>
      <c r="K237" s="87" t="s">
        <v>1575</v>
      </c>
      <c r="L237" s="126" t="s">
        <v>19</v>
      </c>
      <c r="M237" s="94">
        <v>44253.833333333336</v>
      </c>
      <c r="N237" s="94">
        <v>44253.875</v>
      </c>
      <c r="O237" s="95" t="str">
        <f>PROPER(TEXT(Table1[[#This Row],[Fecha Inicio]],"mmmm"))</f>
        <v>Febrero</v>
      </c>
      <c r="P237" s="96" t="s">
        <v>219</v>
      </c>
      <c r="Q237" s="97" t="s">
        <v>2478</v>
      </c>
      <c r="R237" s="76">
        <f t="shared" si="15"/>
        <v>1</v>
      </c>
      <c r="S237" s="76">
        <f t="shared" si="16"/>
        <v>1</v>
      </c>
      <c r="T237" s="76" t="str">
        <f t="shared" si="17"/>
        <v>-</v>
      </c>
      <c r="U237" s="76" t="str">
        <f t="shared" si="18"/>
        <v>-</v>
      </c>
      <c r="V237" s="76" t="str">
        <f t="shared" si="19"/>
        <v>-</v>
      </c>
      <c r="Z237" s="62"/>
    </row>
    <row r="238" spans="1:26" ht="40.15" customHeight="1" x14ac:dyDescent="0.25">
      <c r="A238" s="87">
        <v>7</v>
      </c>
      <c r="B238" s="88" t="s">
        <v>1550</v>
      </c>
      <c r="C238" s="89" t="s">
        <v>2479</v>
      </c>
      <c r="D238" s="90" t="s">
        <v>1665</v>
      </c>
      <c r="E238" s="90" t="s">
        <v>2192</v>
      </c>
      <c r="F238" s="87" t="s">
        <v>1556</v>
      </c>
      <c r="G238" s="92" t="s">
        <v>1557</v>
      </c>
      <c r="H238" s="93" t="s">
        <v>2480</v>
      </c>
      <c r="I238" s="87" t="s">
        <v>2481</v>
      </c>
      <c r="J238" s="87" t="s">
        <v>1669</v>
      </c>
      <c r="K238" s="87" t="s">
        <v>1670</v>
      </c>
      <c r="L238" s="126" t="s">
        <v>19</v>
      </c>
      <c r="M238" s="94">
        <v>44254.791666666664</v>
      </c>
      <c r="N238" s="94">
        <v>44255.999305555553</v>
      </c>
      <c r="O238" s="95" t="str">
        <f>PROPER(TEXT(Table1[[#This Row],[Fecha Inicio]],"mmmm"))</f>
        <v>Febrero</v>
      </c>
      <c r="P238" s="96" t="s">
        <v>2482</v>
      </c>
      <c r="Q238" s="97" t="s">
        <v>2483</v>
      </c>
      <c r="R238" s="76">
        <f t="shared" si="15"/>
        <v>2</v>
      </c>
      <c r="S238" s="76">
        <f t="shared" si="16"/>
        <v>2</v>
      </c>
      <c r="T238" s="76" t="str">
        <f t="shared" si="17"/>
        <v>-</v>
      </c>
      <c r="U238" s="76" t="str">
        <f t="shared" si="18"/>
        <v>-</v>
      </c>
      <c r="V238" s="76" t="str">
        <f t="shared" si="19"/>
        <v>-</v>
      </c>
      <c r="Z238" s="62"/>
    </row>
    <row r="239" spans="1:26" ht="40.15" customHeight="1" x14ac:dyDescent="0.25">
      <c r="A239" s="87">
        <v>5</v>
      </c>
      <c r="B239" s="88" t="s">
        <v>1550</v>
      </c>
      <c r="C239" s="89" t="s">
        <v>2261</v>
      </c>
      <c r="D239" s="90" t="s">
        <v>326</v>
      </c>
      <c r="E239" s="90" t="s">
        <v>1631</v>
      </c>
      <c r="F239" s="91" t="s">
        <v>1556</v>
      </c>
      <c r="G239" s="92" t="s">
        <v>1557</v>
      </c>
      <c r="H239" s="93" t="s">
        <v>2484</v>
      </c>
      <c r="I239" s="87" t="s">
        <v>1919</v>
      </c>
      <c r="J239" s="91" t="s">
        <v>1920</v>
      </c>
      <c r="K239" s="87" t="s">
        <v>1921</v>
      </c>
      <c r="L239" s="126" t="s">
        <v>19</v>
      </c>
      <c r="M239" s="94">
        <v>44255</v>
      </c>
      <c r="N239" s="94">
        <v>44255.25</v>
      </c>
      <c r="O239" s="95" t="str">
        <f>PROPER(TEXT(Table1[[#This Row],[Fecha Inicio]],"mmmm"))</f>
        <v>Febrero</v>
      </c>
      <c r="P239" s="96" t="s">
        <v>2020</v>
      </c>
      <c r="Q239" s="97" t="s">
        <v>2485</v>
      </c>
      <c r="R239" s="76">
        <f t="shared" si="15"/>
        <v>18</v>
      </c>
      <c r="S239" s="76">
        <f t="shared" si="16"/>
        <v>18</v>
      </c>
      <c r="T239" s="76" t="str">
        <f t="shared" si="17"/>
        <v>-</v>
      </c>
      <c r="U239" s="76" t="str">
        <f t="shared" si="18"/>
        <v>-</v>
      </c>
      <c r="V239" s="76" t="str">
        <f t="shared" si="19"/>
        <v>-</v>
      </c>
      <c r="Z239" s="62"/>
    </row>
    <row r="240" spans="1:26" ht="40.15" customHeight="1" x14ac:dyDescent="0.25">
      <c r="A240" s="87">
        <v>7</v>
      </c>
      <c r="B240" s="88" t="s">
        <v>1550</v>
      </c>
      <c r="C240" s="99" t="s">
        <v>2388</v>
      </c>
      <c r="D240" s="90" t="s">
        <v>1570</v>
      </c>
      <c r="E240" s="90" t="s">
        <v>1571</v>
      </c>
      <c r="F240" s="87" t="s">
        <v>1600</v>
      </c>
      <c r="G240" s="92" t="s">
        <v>1557</v>
      </c>
      <c r="H240" s="93" t="s">
        <v>2486</v>
      </c>
      <c r="I240" s="91" t="s">
        <v>2487</v>
      </c>
      <c r="J240" s="87" t="s">
        <v>2025</v>
      </c>
      <c r="K240" s="87" t="s">
        <v>1341</v>
      </c>
      <c r="L240" s="126" t="s">
        <v>19</v>
      </c>
      <c r="M240" s="94">
        <v>44255.958333333336</v>
      </c>
      <c r="N240" s="94">
        <v>44256.416666666664</v>
      </c>
      <c r="O240" s="95" t="str">
        <f>PROPER(TEXT(Table1[[#This Row],[Fecha Inicio]],"mmmm"))</f>
        <v>Febrero</v>
      </c>
      <c r="P240" s="96" t="s">
        <v>2026</v>
      </c>
      <c r="Q240" s="97" t="s">
        <v>2488</v>
      </c>
      <c r="R240" s="76">
        <f t="shared" si="15"/>
        <v>2</v>
      </c>
      <c r="S240" s="76">
        <f t="shared" si="16"/>
        <v>2</v>
      </c>
      <c r="T240" s="76" t="str">
        <f t="shared" si="17"/>
        <v>-</v>
      </c>
      <c r="U240" s="76" t="str">
        <f t="shared" si="18"/>
        <v>-</v>
      </c>
      <c r="V240" s="76" t="str">
        <f t="shared" si="19"/>
        <v>-</v>
      </c>
      <c r="Z240" s="62"/>
    </row>
    <row r="241" spans="1:26" ht="40.15" customHeight="1" x14ac:dyDescent="0.25">
      <c r="A241" s="87">
        <v>8</v>
      </c>
      <c r="B241" s="88" t="s">
        <v>1550</v>
      </c>
      <c r="C241" s="89"/>
      <c r="D241" s="90" t="s">
        <v>1623</v>
      </c>
      <c r="E241" s="90" t="s">
        <v>1624</v>
      </c>
      <c r="F241" s="87" t="s">
        <v>1556</v>
      </c>
      <c r="G241" s="92" t="s">
        <v>1557</v>
      </c>
      <c r="H241" s="93" t="s">
        <v>2489</v>
      </c>
      <c r="I241" s="87" t="s">
        <v>2490</v>
      </c>
      <c r="J241" s="87" t="s">
        <v>2215</v>
      </c>
      <c r="K241" s="87" t="s">
        <v>2216</v>
      </c>
      <c r="L241" s="126" t="s">
        <v>19</v>
      </c>
      <c r="M241" s="94">
        <v>44256.270833333336</v>
      </c>
      <c r="N241" s="94">
        <v>44256.333333333336</v>
      </c>
      <c r="O241" s="95" t="str">
        <f>PROPER(TEXT(Table1[[#This Row],[Fecha Inicio]],"mmmm"))</f>
        <v>Marzo</v>
      </c>
      <c r="P241" s="96" t="s">
        <v>2491</v>
      </c>
      <c r="Q241" s="97" t="s">
        <v>2492</v>
      </c>
      <c r="R241" s="76">
        <f t="shared" si="15"/>
        <v>2</v>
      </c>
      <c r="S241" s="76">
        <f t="shared" si="16"/>
        <v>2</v>
      </c>
      <c r="T241" s="76" t="str">
        <f t="shared" si="17"/>
        <v>-</v>
      </c>
      <c r="U241" s="76" t="str">
        <f t="shared" si="18"/>
        <v>-</v>
      </c>
      <c r="V241" s="76" t="str">
        <f t="shared" si="19"/>
        <v>-</v>
      </c>
      <c r="Z241" s="62"/>
    </row>
    <row r="242" spans="1:26" ht="40.15" customHeight="1" x14ac:dyDescent="0.25">
      <c r="A242" s="87">
        <v>8</v>
      </c>
      <c r="B242" s="88" t="s">
        <v>1550</v>
      </c>
      <c r="C242" s="89"/>
      <c r="D242" s="90" t="s">
        <v>1623</v>
      </c>
      <c r="E242" s="90" t="s">
        <v>1624</v>
      </c>
      <c r="F242" s="87" t="s">
        <v>1556</v>
      </c>
      <c r="G242" s="92" t="s">
        <v>1557</v>
      </c>
      <c r="H242" s="93" t="s">
        <v>2493</v>
      </c>
      <c r="I242" s="87" t="s">
        <v>1930</v>
      </c>
      <c r="J242" s="87" t="s">
        <v>1931</v>
      </c>
      <c r="K242" s="87" t="s">
        <v>1921</v>
      </c>
      <c r="L242" s="126" t="s">
        <v>19</v>
      </c>
      <c r="M242" s="94">
        <v>44256.3125</v>
      </c>
      <c r="N242" s="94">
        <v>44256.4375</v>
      </c>
      <c r="O242" s="95" t="str">
        <f>PROPER(TEXT(Table1[[#This Row],[Fecha Inicio]],"mmmm"))</f>
        <v>Marzo</v>
      </c>
      <c r="P242" s="96" t="s">
        <v>1932</v>
      </c>
      <c r="Q242" s="97" t="s">
        <v>2494</v>
      </c>
      <c r="R242" s="76">
        <f t="shared" si="15"/>
        <v>1</v>
      </c>
      <c r="S242" s="76">
        <f t="shared" si="16"/>
        <v>1</v>
      </c>
      <c r="T242" s="76" t="str">
        <f t="shared" si="17"/>
        <v>-</v>
      </c>
      <c r="U242" s="76" t="str">
        <f t="shared" si="18"/>
        <v>-</v>
      </c>
      <c r="V242" s="76" t="str">
        <f t="shared" si="19"/>
        <v>-</v>
      </c>
      <c r="Z242" s="62"/>
    </row>
    <row r="243" spans="1:26" ht="40.15" customHeight="1" x14ac:dyDescent="0.25">
      <c r="A243" s="87">
        <v>8</v>
      </c>
      <c r="B243" s="88" t="s">
        <v>1550</v>
      </c>
      <c r="C243" s="89"/>
      <c r="D243" s="90" t="s">
        <v>1623</v>
      </c>
      <c r="E243" s="90" t="s">
        <v>1624</v>
      </c>
      <c r="F243" s="87" t="s">
        <v>1556</v>
      </c>
      <c r="G243" s="92" t="s">
        <v>1557</v>
      </c>
      <c r="H243" s="93" t="s">
        <v>2495</v>
      </c>
      <c r="I243" s="87" t="s">
        <v>1935</v>
      </c>
      <c r="J243" s="91" t="s">
        <v>1583</v>
      </c>
      <c r="K243" s="87" t="s">
        <v>1584</v>
      </c>
      <c r="L243" s="126" t="s">
        <v>19</v>
      </c>
      <c r="M243" s="94">
        <v>44256.333333333336</v>
      </c>
      <c r="N243" s="94">
        <v>44256.458333333336</v>
      </c>
      <c r="O243" s="95" t="str">
        <f>PROPER(TEXT(Table1[[#This Row],[Fecha Inicio]],"mmmm"))</f>
        <v>Marzo</v>
      </c>
      <c r="P243" s="96" t="s">
        <v>2395</v>
      </c>
      <c r="Q243" s="97" t="s">
        <v>2496</v>
      </c>
      <c r="R243" s="76">
        <f t="shared" si="15"/>
        <v>1</v>
      </c>
      <c r="S243" s="76">
        <f t="shared" si="16"/>
        <v>1</v>
      </c>
      <c r="T243" s="76" t="str">
        <f t="shared" si="17"/>
        <v>-</v>
      </c>
      <c r="U243" s="76" t="str">
        <f t="shared" si="18"/>
        <v>-</v>
      </c>
      <c r="V243" s="76" t="str">
        <f t="shared" si="19"/>
        <v>-</v>
      </c>
      <c r="Z243" s="62"/>
    </row>
    <row r="244" spans="1:26" ht="40.15" customHeight="1" x14ac:dyDescent="0.25">
      <c r="A244" s="87">
        <v>8</v>
      </c>
      <c r="B244" s="88" t="s">
        <v>1550</v>
      </c>
      <c r="C244" s="89"/>
      <c r="D244" s="90" t="s">
        <v>1579</v>
      </c>
      <c r="E244" s="90" t="s">
        <v>1580</v>
      </c>
      <c r="F244" s="87" t="s">
        <v>1556</v>
      </c>
      <c r="G244" s="92" t="s">
        <v>1557</v>
      </c>
      <c r="H244" s="93" t="s">
        <v>2497</v>
      </c>
      <c r="I244" s="87" t="s">
        <v>2498</v>
      </c>
      <c r="J244" s="87" t="s">
        <v>1560</v>
      </c>
      <c r="K244" s="87" t="s">
        <v>1561</v>
      </c>
      <c r="L244" s="126" t="s">
        <v>19</v>
      </c>
      <c r="M244" s="94">
        <v>44256.354166666664</v>
      </c>
      <c r="N244" s="94">
        <v>44256.708333333336</v>
      </c>
      <c r="O244" s="95" t="str">
        <f>PROPER(TEXT(Table1[[#This Row],[Fecha Inicio]],"mmmm"))</f>
        <v>Marzo</v>
      </c>
      <c r="P244" s="96" t="s">
        <v>2499</v>
      </c>
      <c r="Q244" s="97" t="s">
        <v>2500</v>
      </c>
      <c r="R244" s="76">
        <f t="shared" si="15"/>
        <v>1</v>
      </c>
      <c r="S244" s="76">
        <f t="shared" si="16"/>
        <v>1</v>
      </c>
      <c r="T244" s="76" t="str">
        <f t="shared" si="17"/>
        <v>-</v>
      </c>
      <c r="U244" s="76" t="str">
        <f t="shared" si="18"/>
        <v>-</v>
      </c>
      <c r="V244" s="76" t="str">
        <f t="shared" si="19"/>
        <v>-</v>
      </c>
      <c r="Z244" s="62"/>
    </row>
    <row r="245" spans="1:26" ht="40.15" customHeight="1" x14ac:dyDescent="0.25">
      <c r="A245" s="87">
        <v>8</v>
      </c>
      <c r="B245" s="100" t="s">
        <v>1552</v>
      </c>
      <c r="C245" s="89" t="s">
        <v>2501</v>
      </c>
      <c r="D245" s="90" t="s">
        <v>1579</v>
      </c>
      <c r="E245" s="90" t="s">
        <v>1580</v>
      </c>
      <c r="F245" s="87" t="s">
        <v>1556</v>
      </c>
      <c r="G245" s="92" t="s">
        <v>1965</v>
      </c>
      <c r="H245" s="93" t="s">
        <v>2502</v>
      </c>
      <c r="I245" s="87" t="s">
        <v>2503</v>
      </c>
      <c r="J245" s="91" t="s">
        <v>1583</v>
      </c>
      <c r="K245" s="87" t="s">
        <v>1584</v>
      </c>
      <c r="L245" s="126" t="s">
        <v>19</v>
      </c>
      <c r="M245" s="94">
        <v>44256.395833333336</v>
      </c>
      <c r="N245" s="94">
        <v>44256.583333333336</v>
      </c>
      <c r="O245" s="95" t="str">
        <f>PROPER(TEXT(Table1[[#This Row],[Fecha Inicio]],"mmmm"))</f>
        <v>Marzo</v>
      </c>
      <c r="P245" s="96" t="s">
        <v>2504</v>
      </c>
      <c r="Q245" s="97" t="s">
        <v>2505</v>
      </c>
      <c r="R245" s="76">
        <f t="shared" si="15"/>
        <v>2</v>
      </c>
      <c r="S245" s="76" t="str">
        <f t="shared" si="16"/>
        <v>-</v>
      </c>
      <c r="T245" s="76" t="str">
        <f t="shared" si="17"/>
        <v>-</v>
      </c>
      <c r="U245" s="76">
        <f t="shared" si="18"/>
        <v>2</v>
      </c>
      <c r="V245" s="76" t="str">
        <f t="shared" si="19"/>
        <v>-</v>
      </c>
      <c r="Z245" s="62"/>
    </row>
    <row r="246" spans="1:26" ht="40.15" customHeight="1" x14ac:dyDescent="0.25">
      <c r="A246" s="87">
        <v>8</v>
      </c>
      <c r="B246" s="88" t="s">
        <v>1550</v>
      </c>
      <c r="C246" s="89"/>
      <c r="D246" s="90" t="s">
        <v>344</v>
      </c>
      <c r="E246" s="90" t="s">
        <v>1616</v>
      </c>
      <c r="F246" s="87" t="s">
        <v>1556</v>
      </c>
      <c r="G246" s="92" t="s">
        <v>1557</v>
      </c>
      <c r="H246" s="93" t="s">
        <v>2506</v>
      </c>
      <c r="I246" s="87" t="s">
        <v>2036</v>
      </c>
      <c r="J246" s="87" t="s">
        <v>1802</v>
      </c>
      <c r="K246" s="87" t="s">
        <v>1596</v>
      </c>
      <c r="L246" s="126" t="s">
        <v>19</v>
      </c>
      <c r="M246" s="94">
        <v>44256.958333333336</v>
      </c>
      <c r="N246" s="94">
        <v>44257.125</v>
      </c>
      <c r="O246" s="95" t="str">
        <f>PROPER(TEXT(Table1[[#This Row],[Fecha Inicio]],"mmmm"))</f>
        <v>Marzo</v>
      </c>
      <c r="P246" s="96" t="s">
        <v>2507</v>
      </c>
      <c r="Q246" s="97" t="s">
        <v>2508</v>
      </c>
      <c r="R246" s="76">
        <f t="shared" si="15"/>
        <v>5</v>
      </c>
      <c r="S246" s="76">
        <f t="shared" si="16"/>
        <v>5</v>
      </c>
      <c r="T246" s="76" t="str">
        <f t="shared" si="17"/>
        <v>-</v>
      </c>
      <c r="U246" s="76" t="str">
        <f t="shared" si="18"/>
        <v>-</v>
      </c>
      <c r="V246" s="76" t="str">
        <f t="shared" si="19"/>
        <v>-</v>
      </c>
      <c r="Z246" s="62"/>
    </row>
    <row r="247" spans="1:26" ht="40.15" customHeight="1" x14ac:dyDescent="0.25">
      <c r="A247" s="87">
        <v>9</v>
      </c>
      <c r="B247" s="88" t="s">
        <v>1550</v>
      </c>
      <c r="C247" s="89" t="s">
        <v>1578</v>
      </c>
      <c r="D247" s="90" t="s">
        <v>326</v>
      </c>
      <c r="E247" s="90" t="s">
        <v>1742</v>
      </c>
      <c r="F247" s="87" t="s">
        <v>1556</v>
      </c>
      <c r="G247" s="92" t="s">
        <v>1557</v>
      </c>
      <c r="H247" s="93" t="s">
        <v>2509</v>
      </c>
      <c r="I247" s="87" t="s">
        <v>2510</v>
      </c>
      <c r="J247" s="87" t="s">
        <v>2511</v>
      </c>
      <c r="K247" s="87" t="s">
        <v>2512</v>
      </c>
      <c r="L247" s="126" t="s">
        <v>19</v>
      </c>
      <c r="M247" s="94">
        <v>44257.291666666664</v>
      </c>
      <c r="N247" s="94">
        <v>44257.333333333336</v>
      </c>
      <c r="O247" s="95" t="str">
        <f>PROPER(TEXT(Table1[[#This Row],[Fecha Inicio]],"mmmm"))</f>
        <v>Marzo</v>
      </c>
      <c r="P247" s="96" t="s">
        <v>2513</v>
      </c>
      <c r="Q247" s="97" t="s">
        <v>2514</v>
      </c>
      <c r="R247" s="76">
        <f t="shared" si="15"/>
        <v>1</v>
      </c>
      <c r="S247" s="76">
        <f t="shared" si="16"/>
        <v>1</v>
      </c>
      <c r="T247" s="76" t="str">
        <f t="shared" si="17"/>
        <v>-</v>
      </c>
      <c r="U247" s="76" t="str">
        <f t="shared" si="18"/>
        <v>-</v>
      </c>
      <c r="V247" s="76" t="str">
        <f t="shared" si="19"/>
        <v>-</v>
      </c>
      <c r="Z247" s="62"/>
    </row>
    <row r="248" spans="1:26" ht="40.15" customHeight="1" x14ac:dyDescent="0.25">
      <c r="A248" s="87">
        <v>8</v>
      </c>
      <c r="B248" s="88" t="s">
        <v>1550</v>
      </c>
      <c r="C248" s="89"/>
      <c r="D248" s="90" t="s">
        <v>326</v>
      </c>
      <c r="E248" s="90" t="s">
        <v>1742</v>
      </c>
      <c r="F248" s="87" t="s">
        <v>1556</v>
      </c>
      <c r="G248" s="92" t="s">
        <v>1557</v>
      </c>
      <c r="H248" s="93" t="s">
        <v>2515</v>
      </c>
      <c r="I248" s="87" t="s">
        <v>2516</v>
      </c>
      <c r="J248" s="87" t="s">
        <v>1560</v>
      </c>
      <c r="K248" s="87" t="s">
        <v>1561</v>
      </c>
      <c r="L248" s="126" t="s">
        <v>19</v>
      </c>
      <c r="M248" s="94">
        <v>44257.375</v>
      </c>
      <c r="N248" s="94">
        <v>44257.458333333336</v>
      </c>
      <c r="O248" s="95" t="str">
        <f>PROPER(TEXT(Table1[[#This Row],[Fecha Inicio]],"mmmm"))</f>
        <v>Marzo</v>
      </c>
      <c r="P248" s="96" t="s">
        <v>2517</v>
      </c>
      <c r="Q248" s="97" t="s">
        <v>2518</v>
      </c>
      <c r="R248" s="76">
        <f t="shared" si="15"/>
        <v>1</v>
      </c>
      <c r="S248" s="76">
        <f t="shared" si="16"/>
        <v>1</v>
      </c>
      <c r="T248" s="76" t="str">
        <f t="shared" si="17"/>
        <v>-</v>
      </c>
      <c r="U248" s="76" t="str">
        <f t="shared" si="18"/>
        <v>-</v>
      </c>
      <c r="V248" s="76" t="str">
        <f t="shared" si="19"/>
        <v>-</v>
      </c>
      <c r="Z248" s="62"/>
    </row>
    <row r="249" spans="1:26" ht="40.15" customHeight="1" x14ac:dyDescent="0.25">
      <c r="A249" s="87">
        <v>9</v>
      </c>
      <c r="B249" s="88" t="s">
        <v>1550</v>
      </c>
      <c r="C249" s="89"/>
      <c r="D249" s="90" t="s">
        <v>1554</v>
      </c>
      <c r="E249" s="90" t="s">
        <v>1555</v>
      </c>
      <c r="F249" s="87" t="s">
        <v>1556</v>
      </c>
      <c r="G249" s="92" t="s">
        <v>1557</v>
      </c>
      <c r="H249" s="93" t="s">
        <v>2519</v>
      </c>
      <c r="I249" s="87" t="s">
        <v>2520</v>
      </c>
      <c r="J249" s="87" t="s">
        <v>2521</v>
      </c>
      <c r="K249" s="87" t="s">
        <v>2522</v>
      </c>
      <c r="L249" s="126" t="s">
        <v>19</v>
      </c>
      <c r="M249" s="94">
        <v>44257.708333333336</v>
      </c>
      <c r="N249" s="94">
        <v>44257.958333333336</v>
      </c>
      <c r="O249" s="95" t="str">
        <f>PROPER(TEXT(Table1[[#This Row],[Fecha Inicio]],"mmmm"))</f>
        <v>Marzo</v>
      </c>
      <c r="P249" s="96" t="s">
        <v>2523</v>
      </c>
      <c r="Q249" s="97" t="s">
        <v>2524</v>
      </c>
      <c r="R249" s="76">
        <f t="shared" si="15"/>
        <v>2</v>
      </c>
      <c r="S249" s="76">
        <f t="shared" si="16"/>
        <v>2</v>
      </c>
      <c r="T249" s="76" t="str">
        <f t="shared" si="17"/>
        <v>-</v>
      </c>
      <c r="U249" s="76" t="str">
        <f t="shared" si="18"/>
        <v>-</v>
      </c>
      <c r="V249" s="76" t="str">
        <f t="shared" si="19"/>
        <v>-</v>
      </c>
      <c r="Z249" s="62"/>
    </row>
    <row r="250" spans="1:26" ht="40.15" customHeight="1" x14ac:dyDescent="0.25">
      <c r="A250" s="87">
        <v>9</v>
      </c>
      <c r="B250" s="88" t="s">
        <v>1550</v>
      </c>
      <c r="C250" s="89" t="s">
        <v>1578</v>
      </c>
      <c r="D250" s="90" t="s">
        <v>1579</v>
      </c>
      <c r="E250" s="90" t="s">
        <v>1580</v>
      </c>
      <c r="F250" s="87" t="s">
        <v>1556</v>
      </c>
      <c r="G250" s="92" t="s">
        <v>1557</v>
      </c>
      <c r="H250" s="93" t="s">
        <v>2525</v>
      </c>
      <c r="I250" s="87" t="s">
        <v>2526</v>
      </c>
      <c r="J250" s="87" t="s">
        <v>1719</v>
      </c>
      <c r="K250" s="91" t="s">
        <v>1575</v>
      </c>
      <c r="L250" s="126" t="s">
        <v>19</v>
      </c>
      <c r="M250" s="94">
        <v>44257.791666666664</v>
      </c>
      <c r="N250" s="94">
        <v>44258</v>
      </c>
      <c r="O250" s="95" t="str">
        <f>PROPER(TEXT(Table1[[#This Row],[Fecha Inicio]],"mmmm"))</f>
        <v>Marzo</v>
      </c>
      <c r="P250" s="96" t="s">
        <v>266</v>
      </c>
      <c r="Q250" s="97" t="s">
        <v>2527</v>
      </c>
      <c r="R250" s="76">
        <f t="shared" si="15"/>
        <v>1</v>
      </c>
      <c r="S250" s="76">
        <f t="shared" si="16"/>
        <v>1</v>
      </c>
      <c r="T250" s="76" t="str">
        <f t="shared" si="17"/>
        <v>-</v>
      </c>
      <c r="U250" s="76" t="str">
        <f t="shared" si="18"/>
        <v>-</v>
      </c>
      <c r="V250" s="76" t="str">
        <f t="shared" si="19"/>
        <v>-</v>
      </c>
      <c r="Z250" s="62"/>
    </row>
    <row r="251" spans="1:26" ht="40.15" customHeight="1" x14ac:dyDescent="0.25">
      <c r="A251" s="87">
        <v>8</v>
      </c>
      <c r="B251" s="88" t="s">
        <v>1550</v>
      </c>
      <c r="C251" s="89" t="s">
        <v>2528</v>
      </c>
      <c r="D251" s="90" t="s">
        <v>326</v>
      </c>
      <c r="E251" s="90" t="s">
        <v>1631</v>
      </c>
      <c r="F251" s="87" t="s">
        <v>1556</v>
      </c>
      <c r="G251" s="92" t="s">
        <v>1557</v>
      </c>
      <c r="H251" s="93" t="s">
        <v>2529</v>
      </c>
      <c r="I251" s="87" t="s">
        <v>2530</v>
      </c>
      <c r="J251" s="87" t="s">
        <v>1566</v>
      </c>
      <c r="K251" s="87" t="s">
        <v>1567</v>
      </c>
      <c r="L251" s="126" t="s">
        <v>19</v>
      </c>
      <c r="M251" s="94">
        <v>44257.8125</v>
      </c>
      <c r="N251" s="94">
        <v>44257.979166666664</v>
      </c>
      <c r="O251" s="95" t="str">
        <f>PROPER(TEXT(Table1[[#This Row],[Fecha Inicio]],"mmmm"))</f>
        <v>Marzo</v>
      </c>
      <c r="P251" s="96" t="s">
        <v>2531</v>
      </c>
      <c r="Q251" s="97" t="s">
        <v>2532</v>
      </c>
      <c r="R251" s="76">
        <f t="shared" si="15"/>
        <v>23</v>
      </c>
      <c r="S251" s="76">
        <f t="shared" si="16"/>
        <v>23</v>
      </c>
      <c r="T251" s="76" t="str">
        <f t="shared" si="17"/>
        <v>-</v>
      </c>
      <c r="U251" s="76" t="str">
        <f t="shared" si="18"/>
        <v>-</v>
      </c>
      <c r="V251" s="76" t="str">
        <f t="shared" si="19"/>
        <v>-</v>
      </c>
      <c r="Z251" s="62"/>
    </row>
    <row r="252" spans="1:26" ht="40.15" customHeight="1" x14ac:dyDescent="0.25">
      <c r="A252" s="87">
        <v>8</v>
      </c>
      <c r="B252" s="88" t="s">
        <v>1550</v>
      </c>
      <c r="C252" s="89"/>
      <c r="D252" s="90" t="s">
        <v>344</v>
      </c>
      <c r="E252" s="90" t="s">
        <v>1616</v>
      </c>
      <c r="F252" s="87" t="s">
        <v>1556</v>
      </c>
      <c r="G252" s="92" t="s">
        <v>1557</v>
      </c>
      <c r="H252" s="93" t="s">
        <v>2533</v>
      </c>
      <c r="I252" s="87" t="s">
        <v>2067</v>
      </c>
      <c r="J252" s="87" t="s">
        <v>1802</v>
      </c>
      <c r="K252" s="87" t="s">
        <v>1596</v>
      </c>
      <c r="L252" s="126" t="s">
        <v>19</v>
      </c>
      <c r="M252" s="94">
        <v>44257.958333333336</v>
      </c>
      <c r="N252" s="94">
        <v>44258.125</v>
      </c>
      <c r="O252" s="95" t="str">
        <f>PROPER(TEXT(Table1[[#This Row],[Fecha Inicio]],"mmmm"))</f>
        <v>Marzo</v>
      </c>
      <c r="P252" s="96" t="s">
        <v>2534</v>
      </c>
      <c r="Q252" s="97" t="s">
        <v>2535</v>
      </c>
      <c r="R252" s="76">
        <f t="shared" si="15"/>
        <v>6</v>
      </c>
      <c r="S252" s="76">
        <f t="shared" si="16"/>
        <v>6</v>
      </c>
      <c r="T252" s="76" t="str">
        <f t="shared" si="17"/>
        <v>-</v>
      </c>
      <c r="U252" s="76" t="str">
        <f t="shared" si="18"/>
        <v>-</v>
      </c>
      <c r="V252" s="76" t="str">
        <f t="shared" si="19"/>
        <v>-</v>
      </c>
      <c r="Z252" s="62"/>
    </row>
    <row r="253" spans="1:26" ht="40.15" customHeight="1" x14ac:dyDescent="0.25">
      <c r="A253" s="87">
        <v>9</v>
      </c>
      <c r="B253" s="88" t="s">
        <v>1550</v>
      </c>
      <c r="C253" s="89" t="s">
        <v>1578</v>
      </c>
      <c r="D253" s="90" t="s">
        <v>326</v>
      </c>
      <c r="E253" s="90" t="s">
        <v>1631</v>
      </c>
      <c r="F253" s="87" t="s">
        <v>1556</v>
      </c>
      <c r="G253" s="92" t="s">
        <v>1557</v>
      </c>
      <c r="H253" s="93" t="s">
        <v>2536</v>
      </c>
      <c r="I253" s="87" t="s">
        <v>2537</v>
      </c>
      <c r="J253" s="87" t="s">
        <v>1566</v>
      </c>
      <c r="K253" s="87" t="s">
        <v>1567</v>
      </c>
      <c r="L253" s="87" t="s">
        <v>41</v>
      </c>
      <c r="M253" s="94">
        <v>44258.291666666664</v>
      </c>
      <c r="N253" s="94">
        <v>44258.375</v>
      </c>
      <c r="O253" s="95" t="str">
        <f>PROPER(TEXT(Table1[[#This Row],[Fecha Inicio]],"mmmm"))</f>
        <v>Marzo</v>
      </c>
      <c r="P253" s="96" t="s">
        <v>2538</v>
      </c>
      <c r="Q253" s="97" t="s">
        <v>2539</v>
      </c>
      <c r="R253" s="76">
        <f t="shared" si="15"/>
        <v>1</v>
      </c>
      <c r="S253" s="76">
        <f t="shared" si="16"/>
        <v>1</v>
      </c>
      <c r="T253" s="76" t="str">
        <f t="shared" si="17"/>
        <v>-</v>
      </c>
      <c r="U253" s="76" t="str">
        <f t="shared" si="18"/>
        <v>-</v>
      </c>
      <c r="V253" s="76" t="str">
        <f t="shared" si="19"/>
        <v>-</v>
      </c>
      <c r="Z253" s="62"/>
    </row>
    <row r="254" spans="1:26" ht="40.15" customHeight="1" x14ac:dyDescent="0.25">
      <c r="A254" s="87">
        <v>8</v>
      </c>
      <c r="B254" s="88" t="s">
        <v>1550</v>
      </c>
      <c r="C254" s="89"/>
      <c r="D254" s="90" t="s">
        <v>1623</v>
      </c>
      <c r="E254" s="90" t="s">
        <v>1624</v>
      </c>
      <c r="F254" s="87" t="s">
        <v>1556</v>
      </c>
      <c r="G254" s="92" t="s">
        <v>1557</v>
      </c>
      <c r="H254" s="93" t="s">
        <v>2540</v>
      </c>
      <c r="I254" s="87" t="s">
        <v>1975</v>
      </c>
      <c r="J254" s="91" t="s">
        <v>1583</v>
      </c>
      <c r="K254" s="87" t="s">
        <v>1584</v>
      </c>
      <c r="L254" s="126" t="s">
        <v>19</v>
      </c>
      <c r="M254" s="94">
        <v>44258.333333333336</v>
      </c>
      <c r="N254" s="94">
        <v>44258.458333333336</v>
      </c>
      <c r="O254" s="95" t="str">
        <f>PROPER(TEXT(Table1[[#This Row],[Fecha Inicio]],"mmmm"))</f>
        <v>Marzo</v>
      </c>
      <c r="P254" s="96" t="s">
        <v>1976</v>
      </c>
      <c r="Q254" s="97" t="s">
        <v>2541</v>
      </c>
      <c r="R254" s="76">
        <f t="shared" si="15"/>
        <v>1</v>
      </c>
      <c r="S254" s="76">
        <f t="shared" si="16"/>
        <v>1</v>
      </c>
      <c r="T254" s="76" t="str">
        <f t="shared" si="17"/>
        <v>-</v>
      </c>
      <c r="U254" s="76" t="str">
        <f t="shared" si="18"/>
        <v>-</v>
      </c>
      <c r="V254" s="76" t="str">
        <f t="shared" si="19"/>
        <v>-</v>
      </c>
      <c r="Z254" s="62"/>
    </row>
    <row r="255" spans="1:26" ht="40.15" customHeight="1" x14ac:dyDescent="0.25">
      <c r="A255" s="87">
        <v>9</v>
      </c>
      <c r="B255" s="88" t="s">
        <v>1550</v>
      </c>
      <c r="C255" s="89"/>
      <c r="D255" s="90" t="s">
        <v>1579</v>
      </c>
      <c r="E255" s="90" t="s">
        <v>1580</v>
      </c>
      <c r="F255" s="87" t="s">
        <v>1556</v>
      </c>
      <c r="G255" s="92" t="s">
        <v>1557</v>
      </c>
      <c r="H255" s="93" t="s">
        <v>2548</v>
      </c>
      <c r="I255" s="87" t="s">
        <v>2549</v>
      </c>
      <c r="J255" s="87" t="s">
        <v>1560</v>
      </c>
      <c r="K255" s="87" t="s">
        <v>1561</v>
      </c>
      <c r="L255" s="126" t="s">
        <v>19</v>
      </c>
      <c r="M255" s="94">
        <v>44258.375</v>
      </c>
      <c r="N255" s="94">
        <v>44258.708333333336</v>
      </c>
      <c r="O255" s="95" t="str">
        <f>PROPER(TEXT(Table1[[#This Row],[Fecha Inicio]],"mmmm"))</f>
        <v>Marzo</v>
      </c>
      <c r="P255" s="96" t="s">
        <v>2550</v>
      </c>
      <c r="Q255" s="97" t="s">
        <v>2551</v>
      </c>
      <c r="R255" s="76">
        <f t="shared" si="15"/>
        <v>1</v>
      </c>
      <c r="S255" s="76">
        <f t="shared" si="16"/>
        <v>1</v>
      </c>
      <c r="T255" s="76" t="str">
        <f t="shared" si="17"/>
        <v>-</v>
      </c>
      <c r="U255" s="76" t="str">
        <f t="shared" si="18"/>
        <v>-</v>
      </c>
      <c r="V255" s="76" t="str">
        <f t="shared" si="19"/>
        <v>-</v>
      </c>
      <c r="Z255" s="62"/>
    </row>
    <row r="256" spans="1:26" ht="40.15" customHeight="1" x14ac:dyDescent="0.25">
      <c r="A256" s="87">
        <v>9</v>
      </c>
      <c r="B256" s="88" t="s">
        <v>1550</v>
      </c>
      <c r="C256" s="89"/>
      <c r="D256" s="90" t="s">
        <v>326</v>
      </c>
      <c r="E256" s="90" t="s">
        <v>1631</v>
      </c>
      <c r="F256" s="87" t="s">
        <v>1556</v>
      </c>
      <c r="G256" s="92" t="s">
        <v>1557</v>
      </c>
      <c r="H256" s="93" t="s">
        <v>2542</v>
      </c>
      <c r="I256" s="87" t="s">
        <v>2543</v>
      </c>
      <c r="J256" s="87" t="s">
        <v>2544</v>
      </c>
      <c r="K256" s="87" t="s">
        <v>2545</v>
      </c>
      <c r="L256" s="87" t="s">
        <v>52</v>
      </c>
      <c r="M256" s="94">
        <v>44258.375</v>
      </c>
      <c r="N256" s="94">
        <v>44259.791666666664</v>
      </c>
      <c r="O256" s="95" t="str">
        <f>PROPER(TEXT(Table1[[#This Row],[Fecha Inicio]],"mmmm"))</f>
        <v>Marzo</v>
      </c>
      <c r="P256" s="96" t="s">
        <v>2546</v>
      </c>
      <c r="Q256" s="97" t="s">
        <v>2547</v>
      </c>
      <c r="R256" s="76">
        <f t="shared" si="15"/>
        <v>2</v>
      </c>
      <c r="S256" s="76">
        <f t="shared" si="16"/>
        <v>2</v>
      </c>
      <c r="T256" s="76" t="str">
        <f t="shared" si="17"/>
        <v>-</v>
      </c>
      <c r="U256" s="76" t="str">
        <f t="shared" si="18"/>
        <v>-</v>
      </c>
      <c r="V256" s="76" t="str">
        <f t="shared" si="19"/>
        <v>-</v>
      </c>
      <c r="Z256" s="62"/>
    </row>
    <row r="257" spans="1:26" ht="40.15" customHeight="1" x14ac:dyDescent="0.25">
      <c r="A257" s="87">
        <v>8</v>
      </c>
      <c r="B257" s="88" t="s">
        <v>1550</v>
      </c>
      <c r="C257" s="89"/>
      <c r="D257" s="89" t="s">
        <v>344</v>
      </c>
      <c r="E257" s="89" t="s">
        <v>1616</v>
      </c>
      <c r="F257" s="91" t="s">
        <v>1556</v>
      </c>
      <c r="G257" s="92" t="s">
        <v>1557</v>
      </c>
      <c r="H257" s="93" t="s">
        <v>2552</v>
      </c>
      <c r="I257" s="87" t="s">
        <v>1823</v>
      </c>
      <c r="J257" s="87" t="s">
        <v>1824</v>
      </c>
      <c r="K257" s="87" t="s">
        <v>1825</v>
      </c>
      <c r="L257" s="126" t="s">
        <v>19</v>
      </c>
      <c r="M257" s="94">
        <v>44258.416666666664</v>
      </c>
      <c r="N257" s="94">
        <v>44258.666666666664</v>
      </c>
      <c r="O257" s="95" t="str">
        <f>PROPER(TEXT(Table1[[#This Row],[Fecha Inicio]],"mmmm"))</f>
        <v>Marzo</v>
      </c>
      <c r="P257" s="96" t="s">
        <v>2553</v>
      </c>
      <c r="Q257" s="97" t="s">
        <v>2554</v>
      </c>
      <c r="R257" s="76">
        <f t="shared" si="15"/>
        <v>3</v>
      </c>
      <c r="S257" s="76">
        <f t="shared" si="16"/>
        <v>3</v>
      </c>
      <c r="T257" s="76" t="str">
        <f t="shared" si="17"/>
        <v>-</v>
      </c>
      <c r="U257" s="76" t="str">
        <f t="shared" si="18"/>
        <v>-</v>
      </c>
      <c r="V257" s="76" t="str">
        <f t="shared" si="19"/>
        <v>-</v>
      </c>
      <c r="Z257" s="62"/>
    </row>
    <row r="258" spans="1:26" ht="40.15" customHeight="1" x14ac:dyDescent="0.25">
      <c r="A258" s="87">
        <v>9</v>
      </c>
      <c r="B258" s="88" t="s">
        <v>1550</v>
      </c>
      <c r="C258" s="89" t="s">
        <v>1578</v>
      </c>
      <c r="D258" s="90" t="s">
        <v>1554</v>
      </c>
      <c r="E258" s="90" t="s">
        <v>1555</v>
      </c>
      <c r="F258" s="87" t="s">
        <v>1556</v>
      </c>
      <c r="G258" s="92" t="s">
        <v>1557</v>
      </c>
      <c r="H258" s="93" t="s">
        <v>2555</v>
      </c>
      <c r="I258" s="89" t="s">
        <v>2556</v>
      </c>
      <c r="J258" s="89" t="s">
        <v>2157</v>
      </c>
      <c r="K258" s="89" t="s">
        <v>2158</v>
      </c>
      <c r="L258" s="89" t="s">
        <v>52</v>
      </c>
      <c r="M258" s="94">
        <v>44258.916666666664</v>
      </c>
      <c r="N258" s="94">
        <v>44259.25</v>
      </c>
      <c r="O258" s="95" t="str">
        <f>PROPER(TEXT(Table1[[#This Row],[Fecha Inicio]],"mmmm"))</f>
        <v>Marzo</v>
      </c>
      <c r="P258" s="96" t="s">
        <v>2557</v>
      </c>
      <c r="Q258" s="97" t="s">
        <v>2558</v>
      </c>
      <c r="R258" s="76">
        <f t="shared" ref="R258:R321" si="20">LEN(TRIM(P258))-LEN(SUBSTITUTE(TRIM(P258),",",""))+1</f>
        <v>1</v>
      </c>
      <c r="S258" s="76">
        <f t="shared" ref="S258:S321" si="21">IF(B258="CON ÉXITO",R258,"-")</f>
        <v>1</v>
      </c>
      <c r="T258" s="76" t="str">
        <f t="shared" ref="T258:T321" si="22">IF($B258="Éxito con problemas",S258,"-")</f>
        <v>-</v>
      </c>
      <c r="U258" s="76" t="str">
        <f t="shared" ref="U258:U321" si="23">IF($B258="CANCELADO",R258,"-")</f>
        <v>-</v>
      </c>
      <c r="V258" s="76" t="str">
        <f t="shared" ref="V258:V321" si="24">IF($B258="Aplicada marcha atrás",R258,"-")</f>
        <v>-</v>
      </c>
      <c r="Z258" s="62"/>
    </row>
    <row r="259" spans="1:26" ht="40.15" customHeight="1" x14ac:dyDescent="0.25">
      <c r="A259" s="87">
        <v>8</v>
      </c>
      <c r="B259" s="88" t="s">
        <v>1550</v>
      </c>
      <c r="C259" s="89" t="s">
        <v>2528</v>
      </c>
      <c r="D259" s="90" t="s">
        <v>326</v>
      </c>
      <c r="E259" s="90" t="s">
        <v>1631</v>
      </c>
      <c r="F259" s="87" t="s">
        <v>1556</v>
      </c>
      <c r="G259" s="92" t="s">
        <v>1557</v>
      </c>
      <c r="H259" s="93" t="s">
        <v>2559</v>
      </c>
      <c r="I259" s="87" t="s">
        <v>2560</v>
      </c>
      <c r="J259" s="87" t="s">
        <v>1566</v>
      </c>
      <c r="K259" s="87" t="s">
        <v>1567</v>
      </c>
      <c r="L259" s="126" t="s">
        <v>19</v>
      </c>
      <c r="M259" s="94">
        <v>44258.979166666664</v>
      </c>
      <c r="N259" s="94">
        <v>44259.270833333336</v>
      </c>
      <c r="O259" s="95" t="str">
        <f>PROPER(TEXT(Table1[[#This Row],[Fecha Inicio]],"mmmm"))</f>
        <v>Marzo</v>
      </c>
      <c r="P259" s="96" t="s">
        <v>2561</v>
      </c>
      <c r="Q259" s="97" t="s">
        <v>2562</v>
      </c>
      <c r="R259" s="76">
        <f t="shared" si="20"/>
        <v>17</v>
      </c>
      <c r="S259" s="76">
        <f t="shared" si="21"/>
        <v>17</v>
      </c>
      <c r="T259" s="76" t="str">
        <f t="shared" si="22"/>
        <v>-</v>
      </c>
      <c r="U259" s="76" t="str">
        <f t="shared" si="23"/>
        <v>-</v>
      </c>
      <c r="V259" s="76" t="str">
        <f t="shared" si="24"/>
        <v>-</v>
      </c>
      <c r="Z259" s="62"/>
    </row>
    <row r="260" spans="1:26" ht="40.15" customHeight="1" x14ac:dyDescent="0.25">
      <c r="A260" s="87">
        <v>9</v>
      </c>
      <c r="B260" s="88" t="s">
        <v>1550</v>
      </c>
      <c r="C260" s="89"/>
      <c r="D260" s="90" t="s">
        <v>1579</v>
      </c>
      <c r="E260" s="90" t="s">
        <v>1580</v>
      </c>
      <c r="F260" s="87" t="s">
        <v>1556</v>
      </c>
      <c r="G260" s="92" t="s">
        <v>1557</v>
      </c>
      <c r="H260" s="93" t="s">
        <v>2563</v>
      </c>
      <c r="I260" s="87" t="s">
        <v>2564</v>
      </c>
      <c r="J260" s="87" t="s">
        <v>1560</v>
      </c>
      <c r="K260" s="87" t="s">
        <v>1561</v>
      </c>
      <c r="L260" s="126" t="s">
        <v>19</v>
      </c>
      <c r="M260" s="94">
        <v>44259.375</v>
      </c>
      <c r="N260" s="94">
        <v>44259.708333333336</v>
      </c>
      <c r="O260" s="95" t="str">
        <f>PROPER(TEXT(Table1[[#This Row],[Fecha Inicio]],"mmmm"))</f>
        <v>Marzo</v>
      </c>
      <c r="P260" s="96" t="s">
        <v>2565</v>
      </c>
      <c r="Q260" s="97" t="s">
        <v>2566</v>
      </c>
      <c r="R260" s="76">
        <f t="shared" si="20"/>
        <v>1</v>
      </c>
      <c r="S260" s="76">
        <f t="shared" si="21"/>
        <v>1</v>
      </c>
      <c r="T260" s="76" t="str">
        <f t="shared" si="22"/>
        <v>-</v>
      </c>
      <c r="U260" s="76" t="str">
        <f t="shared" si="23"/>
        <v>-</v>
      </c>
      <c r="V260" s="76" t="str">
        <f t="shared" si="24"/>
        <v>-</v>
      </c>
      <c r="Z260" s="62"/>
    </row>
    <row r="261" spans="1:26" ht="40.15" customHeight="1" x14ac:dyDescent="0.25">
      <c r="A261" s="87">
        <v>8</v>
      </c>
      <c r="B261" s="88" t="s">
        <v>1550</v>
      </c>
      <c r="C261" s="89"/>
      <c r="D261" s="89" t="s">
        <v>344</v>
      </c>
      <c r="E261" s="89" t="s">
        <v>1616</v>
      </c>
      <c r="F261" s="91" t="s">
        <v>1556</v>
      </c>
      <c r="G261" s="92" t="s">
        <v>1557</v>
      </c>
      <c r="H261" s="93" t="s">
        <v>2567</v>
      </c>
      <c r="I261" s="87" t="s">
        <v>1871</v>
      </c>
      <c r="J261" s="87" t="s">
        <v>1824</v>
      </c>
      <c r="K261" s="87" t="s">
        <v>1825</v>
      </c>
      <c r="L261" s="126" t="s">
        <v>19</v>
      </c>
      <c r="M261" s="94">
        <v>44259.416666666664</v>
      </c>
      <c r="N261" s="94">
        <v>44259.666666666664</v>
      </c>
      <c r="O261" s="95" t="str">
        <f>PROPER(TEXT(Table1[[#This Row],[Fecha Inicio]],"mmmm"))</f>
        <v>Marzo</v>
      </c>
      <c r="P261" s="96" t="s">
        <v>2568</v>
      </c>
      <c r="Q261" s="97" t="s">
        <v>2569</v>
      </c>
      <c r="R261" s="76">
        <f t="shared" si="20"/>
        <v>3</v>
      </c>
      <c r="S261" s="76">
        <f t="shared" si="21"/>
        <v>3</v>
      </c>
      <c r="T261" s="76" t="str">
        <f t="shared" si="22"/>
        <v>-</v>
      </c>
      <c r="U261" s="76" t="str">
        <f t="shared" si="23"/>
        <v>-</v>
      </c>
      <c r="V261" s="76" t="str">
        <f t="shared" si="24"/>
        <v>-</v>
      </c>
      <c r="Z261" s="62"/>
    </row>
    <row r="262" spans="1:26" ht="40.15" customHeight="1" x14ac:dyDescent="0.25">
      <c r="A262" s="87">
        <v>9</v>
      </c>
      <c r="B262" s="88" t="s">
        <v>1550</v>
      </c>
      <c r="C262" s="89" t="s">
        <v>1578</v>
      </c>
      <c r="D262" s="90" t="s">
        <v>1623</v>
      </c>
      <c r="E262" s="90" t="s">
        <v>1624</v>
      </c>
      <c r="F262" s="91" t="s">
        <v>1556</v>
      </c>
      <c r="G262" s="92" t="s">
        <v>1557</v>
      </c>
      <c r="H262" s="93" t="s">
        <v>2570</v>
      </c>
      <c r="I262" s="87" t="s">
        <v>1685</v>
      </c>
      <c r="J262" s="87" t="s">
        <v>1627</v>
      </c>
      <c r="K262" s="87" t="s">
        <v>1575</v>
      </c>
      <c r="L262" s="126" t="s">
        <v>19</v>
      </c>
      <c r="M262" s="94">
        <v>44259.5</v>
      </c>
      <c r="N262" s="94">
        <v>44259.625</v>
      </c>
      <c r="O262" s="95" t="str">
        <f>PROPER(TEXT(Table1[[#This Row],[Fecha Inicio]],"mmmm"))</f>
        <v>Marzo</v>
      </c>
      <c r="P262" s="96" t="s">
        <v>1686</v>
      </c>
      <c r="Q262" s="97" t="s">
        <v>2571</v>
      </c>
      <c r="R262" s="76">
        <f t="shared" si="20"/>
        <v>2</v>
      </c>
      <c r="S262" s="76">
        <f t="shared" si="21"/>
        <v>2</v>
      </c>
      <c r="T262" s="76" t="str">
        <f t="shared" si="22"/>
        <v>-</v>
      </c>
      <c r="U262" s="76" t="str">
        <f t="shared" si="23"/>
        <v>-</v>
      </c>
      <c r="V262" s="76" t="str">
        <f t="shared" si="24"/>
        <v>-</v>
      </c>
      <c r="Z262" s="62"/>
    </row>
    <row r="263" spans="1:26" ht="40.15" customHeight="1" x14ac:dyDescent="0.25">
      <c r="A263" s="87">
        <v>9</v>
      </c>
      <c r="B263" s="100" t="s">
        <v>1551</v>
      </c>
      <c r="C263" s="89" t="s">
        <v>2572</v>
      </c>
      <c r="D263" s="90" t="s">
        <v>1554</v>
      </c>
      <c r="E263" s="90" t="s">
        <v>1555</v>
      </c>
      <c r="F263" s="87" t="s">
        <v>1556</v>
      </c>
      <c r="G263" s="92" t="s">
        <v>1557</v>
      </c>
      <c r="H263" s="93" t="s">
        <v>2573</v>
      </c>
      <c r="I263" s="89" t="s">
        <v>2574</v>
      </c>
      <c r="J263" s="89" t="s">
        <v>2157</v>
      </c>
      <c r="K263" s="89" t="s">
        <v>2158</v>
      </c>
      <c r="L263" s="89" t="s">
        <v>52</v>
      </c>
      <c r="M263" s="94">
        <v>44259.916666666664</v>
      </c>
      <c r="N263" s="94">
        <v>44260.25</v>
      </c>
      <c r="O263" s="95" t="str">
        <f>PROPER(TEXT(Table1[[#This Row],[Fecha Inicio]],"mmmm"))</f>
        <v>Marzo</v>
      </c>
      <c r="P263" s="96" t="s">
        <v>2557</v>
      </c>
      <c r="Q263" s="97" t="s">
        <v>2575</v>
      </c>
      <c r="R263" s="76">
        <f t="shared" si="20"/>
        <v>1</v>
      </c>
      <c r="S263" s="76" t="str">
        <f t="shared" si="21"/>
        <v>-</v>
      </c>
      <c r="T263" s="76" t="str">
        <f t="shared" si="22"/>
        <v>-</v>
      </c>
      <c r="U263" s="76" t="str">
        <f t="shared" si="23"/>
        <v>-</v>
      </c>
      <c r="V263" s="76" t="str">
        <f t="shared" si="24"/>
        <v>-</v>
      </c>
      <c r="Z263" s="62"/>
    </row>
    <row r="264" spans="1:26" ht="40.15" customHeight="1" x14ac:dyDescent="0.25">
      <c r="A264" s="87">
        <v>9</v>
      </c>
      <c r="B264" s="88" t="s">
        <v>1550</v>
      </c>
      <c r="C264" s="89" t="s">
        <v>1578</v>
      </c>
      <c r="D264" s="90" t="s">
        <v>1554</v>
      </c>
      <c r="E264" s="90" t="s">
        <v>1555</v>
      </c>
      <c r="F264" s="87" t="s">
        <v>1556</v>
      </c>
      <c r="G264" s="92" t="s">
        <v>1557</v>
      </c>
      <c r="H264" s="93" t="s">
        <v>2576</v>
      </c>
      <c r="I264" s="87" t="s">
        <v>2577</v>
      </c>
      <c r="J264" s="91" t="s">
        <v>1583</v>
      </c>
      <c r="K264" s="87" t="s">
        <v>1584</v>
      </c>
      <c r="L264" s="87" t="s">
        <v>52</v>
      </c>
      <c r="M264" s="94">
        <v>44259.958333333336</v>
      </c>
      <c r="N264" s="94">
        <v>44260</v>
      </c>
      <c r="O264" s="95" t="str">
        <f>PROPER(TEXT(Table1[[#This Row],[Fecha Inicio]],"mmmm"))</f>
        <v>Marzo</v>
      </c>
      <c r="P264" s="96" t="s">
        <v>2578</v>
      </c>
      <c r="Q264" s="97" t="s">
        <v>2579</v>
      </c>
      <c r="R264" s="76">
        <f t="shared" si="20"/>
        <v>1</v>
      </c>
      <c r="S264" s="76">
        <f t="shared" si="21"/>
        <v>1</v>
      </c>
      <c r="T264" s="76" t="str">
        <f t="shared" si="22"/>
        <v>-</v>
      </c>
      <c r="U264" s="76" t="str">
        <f t="shared" si="23"/>
        <v>-</v>
      </c>
      <c r="V264" s="76" t="str">
        <f t="shared" si="24"/>
        <v>-</v>
      </c>
      <c r="Z264" s="62"/>
    </row>
    <row r="265" spans="1:26" ht="40.15" customHeight="1" x14ac:dyDescent="0.25">
      <c r="A265" s="87">
        <v>8</v>
      </c>
      <c r="B265" s="88" t="s">
        <v>1550</v>
      </c>
      <c r="C265" s="89" t="s">
        <v>2528</v>
      </c>
      <c r="D265" s="90" t="s">
        <v>326</v>
      </c>
      <c r="E265" s="90" t="s">
        <v>1631</v>
      </c>
      <c r="F265" s="87" t="s">
        <v>1556</v>
      </c>
      <c r="G265" s="92" t="s">
        <v>1557</v>
      </c>
      <c r="H265" s="93" t="s">
        <v>2580</v>
      </c>
      <c r="I265" s="87" t="s">
        <v>2581</v>
      </c>
      <c r="J265" s="87" t="s">
        <v>1566</v>
      </c>
      <c r="K265" s="87" t="s">
        <v>1567</v>
      </c>
      <c r="L265" s="126" t="s">
        <v>19</v>
      </c>
      <c r="M265" s="94">
        <v>44259.979166666664</v>
      </c>
      <c r="N265" s="94">
        <v>44260.270833333336</v>
      </c>
      <c r="O265" s="95" t="str">
        <f>PROPER(TEXT(Table1[[#This Row],[Fecha Inicio]],"mmmm"))</f>
        <v>Marzo</v>
      </c>
      <c r="P265" s="96" t="s">
        <v>2582</v>
      </c>
      <c r="Q265" s="97" t="s">
        <v>2583</v>
      </c>
      <c r="R265" s="76">
        <f t="shared" si="20"/>
        <v>16</v>
      </c>
      <c r="S265" s="76">
        <f t="shared" si="21"/>
        <v>16</v>
      </c>
      <c r="T265" s="76" t="str">
        <f t="shared" si="22"/>
        <v>-</v>
      </c>
      <c r="U265" s="76" t="str">
        <f t="shared" si="23"/>
        <v>-</v>
      </c>
      <c r="V265" s="76" t="str">
        <f t="shared" si="24"/>
        <v>-</v>
      </c>
      <c r="Z265" s="62"/>
    </row>
    <row r="266" spans="1:26" ht="40.15" customHeight="1" x14ac:dyDescent="0.25">
      <c r="A266" s="87">
        <v>7</v>
      </c>
      <c r="B266" s="88" t="s">
        <v>1550</v>
      </c>
      <c r="C266" s="98" t="s">
        <v>1599</v>
      </c>
      <c r="D266" s="89" t="s">
        <v>1570</v>
      </c>
      <c r="E266" s="89" t="s">
        <v>1571</v>
      </c>
      <c r="F266" s="87" t="s">
        <v>1600</v>
      </c>
      <c r="G266" s="92" t="s">
        <v>1557</v>
      </c>
      <c r="H266" s="93" t="s">
        <v>2584</v>
      </c>
      <c r="I266" s="87" t="s">
        <v>1602</v>
      </c>
      <c r="J266" s="87" t="s">
        <v>1603</v>
      </c>
      <c r="K266" s="87" t="s">
        <v>1341</v>
      </c>
      <c r="L266" s="89" t="s">
        <v>25</v>
      </c>
      <c r="M266" s="94">
        <v>44260.958333333336</v>
      </c>
      <c r="N266" s="94">
        <v>44261.25</v>
      </c>
      <c r="O266" s="95" t="str">
        <f>PROPER(TEXT(Table1[[#This Row],[Fecha Inicio]],"mmmm"))</f>
        <v>Marzo</v>
      </c>
      <c r="P266" s="96" t="s">
        <v>1604</v>
      </c>
      <c r="Q266" s="97" t="s">
        <v>2585</v>
      </c>
      <c r="R266" s="76">
        <f t="shared" si="20"/>
        <v>24</v>
      </c>
      <c r="S266" s="76">
        <f t="shared" si="21"/>
        <v>24</v>
      </c>
      <c r="T266" s="76" t="str">
        <f t="shared" si="22"/>
        <v>-</v>
      </c>
      <c r="U266" s="76" t="str">
        <f t="shared" si="23"/>
        <v>-</v>
      </c>
      <c r="V266" s="76" t="str">
        <f t="shared" si="24"/>
        <v>-</v>
      </c>
      <c r="Z266" s="62"/>
    </row>
    <row r="267" spans="1:26" ht="40.15" customHeight="1" x14ac:dyDescent="0.25">
      <c r="A267" s="87">
        <v>8</v>
      </c>
      <c r="B267" s="100" t="s">
        <v>1551</v>
      </c>
      <c r="C267" s="89" t="s">
        <v>2586</v>
      </c>
      <c r="D267" s="90" t="s">
        <v>326</v>
      </c>
      <c r="E267" s="90" t="s">
        <v>1631</v>
      </c>
      <c r="F267" s="87" t="s">
        <v>1556</v>
      </c>
      <c r="G267" s="92" t="s">
        <v>1557</v>
      </c>
      <c r="H267" s="93" t="s">
        <v>2587</v>
      </c>
      <c r="I267" s="87" t="s">
        <v>2588</v>
      </c>
      <c r="J267" s="87" t="s">
        <v>1566</v>
      </c>
      <c r="K267" s="87" t="s">
        <v>1567</v>
      </c>
      <c r="L267" s="126" t="s">
        <v>19</v>
      </c>
      <c r="M267" s="94">
        <v>44261</v>
      </c>
      <c r="N267" s="94">
        <v>44261.416666666664</v>
      </c>
      <c r="O267" s="95" t="str">
        <f>PROPER(TEXT(Table1[[#This Row],[Fecha Inicio]],"mmmm"))</f>
        <v>Marzo</v>
      </c>
      <c r="P267" s="96" t="s">
        <v>2589</v>
      </c>
      <c r="Q267" s="97" t="s">
        <v>2590</v>
      </c>
      <c r="R267" s="76">
        <f t="shared" si="20"/>
        <v>44</v>
      </c>
      <c r="S267" s="76" t="str">
        <f t="shared" si="21"/>
        <v>-</v>
      </c>
      <c r="T267" s="76" t="str">
        <f t="shared" si="22"/>
        <v>-</v>
      </c>
      <c r="U267" s="76" t="str">
        <f t="shared" si="23"/>
        <v>-</v>
      </c>
      <c r="V267" s="76" t="str">
        <f t="shared" si="24"/>
        <v>-</v>
      </c>
      <c r="Z267" s="62"/>
    </row>
    <row r="268" spans="1:26" ht="40.15" customHeight="1" x14ac:dyDescent="0.25">
      <c r="A268" s="87">
        <v>9</v>
      </c>
      <c r="B268" s="88" t="s">
        <v>1550</v>
      </c>
      <c r="C268" s="89"/>
      <c r="D268" s="90" t="s">
        <v>1665</v>
      </c>
      <c r="E268" s="90" t="s">
        <v>2192</v>
      </c>
      <c r="F268" s="87" t="s">
        <v>1556</v>
      </c>
      <c r="G268" s="92" t="s">
        <v>1557</v>
      </c>
      <c r="H268" s="93" t="s">
        <v>2591</v>
      </c>
      <c r="I268" s="87" t="s">
        <v>2481</v>
      </c>
      <c r="J268" s="87" t="s">
        <v>1669</v>
      </c>
      <c r="K268" s="87" t="s">
        <v>1670</v>
      </c>
      <c r="L268" s="126" t="s">
        <v>19</v>
      </c>
      <c r="M268" s="94">
        <v>44261.791666666664</v>
      </c>
      <c r="N268" s="94">
        <v>44262.999305555553</v>
      </c>
      <c r="O268" s="95" t="str">
        <f>PROPER(TEXT(Table1[[#This Row],[Fecha Inicio]],"mmmm"))</f>
        <v>Marzo</v>
      </c>
      <c r="P268" s="96" t="s">
        <v>2592</v>
      </c>
      <c r="Q268" s="97" t="s">
        <v>2593</v>
      </c>
      <c r="R268" s="76">
        <f t="shared" si="20"/>
        <v>2</v>
      </c>
      <c r="S268" s="76">
        <f t="shared" si="21"/>
        <v>2</v>
      </c>
      <c r="T268" s="76" t="str">
        <f t="shared" si="22"/>
        <v>-</v>
      </c>
      <c r="U268" s="76" t="str">
        <f t="shared" si="23"/>
        <v>-</v>
      </c>
      <c r="V268" s="76" t="str">
        <f t="shared" si="24"/>
        <v>-</v>
      </c>
      <c r="Z268" s="62"/>
    </row>
    <row r="269" spans="1:26" ht="40.15" customHeight="1" x14ac:dyDescent="0.25">
      <c r="A269" s="87">
        <v>7</v>
      </c>
      <c r="B269" s="88" t="s">
        <v>1550</v>
      </c>
      <c r="C269" s="98" t="s">
        <v>1599</v>
      </c>
      <c r="D269" s="89" t="s">
        <v>1570</v>
      </c>
      <c r="E269" s="89" t="s">
        <v>1571</v>
      </c>
      <c r="F269" s="87" t="s">
        <v>1600</v>
      </c>
      <c r="G269" s="92" t="s">
        <v>1557</v>
      </c>
      <c r="H269" s="93" t="s">
        <v>2594</v>
      </c>
      <c r="I269" s="87" t="s">
        <v>1607</v>
      </c>
      <c r="J269" s="87" t="s">
        <v>1603</v>
      </c>
      <c r="K269" s="87" t="s">
        <v>1341</v>
      </c>
      <c r="L269" s="89" t="s">
        <v>25</v>
      </c>
      <c r="M269" s="94">
        <v>44261.958333333336</v>
      </c>
      <c r="N269" s="94">
        <v>44262.25</v>
      </c>
      <c r="O269" s="95" t="str">
        <f>PROPER(TEXT(Table1[[#This Row],[Fecha Inicio]],"mmmm"))</f>
        <v>Marzo</v>
      </c>
      <c r="P269" s="96" t="s">
        <v>2121</v>
      </c>
      <c r="Q269" s="97" t="s">
        <v>2595</v>
      </c>
      <c r="R269" s="76">
        <f t="shared" si="20"/>
        <v>103</v>
      </c>
      <c r="S269" s="76">
        <f t="shared" si="21"/>
        <v>103</v>
      </c>
      <c r="T269" s="76" t="str">
        <f t="shared" si="22"/>
        <v>-</v>
      </c>
      <c r="U269" s="76" t="str">
        <f t="shared" si="23"/>
        <v>-</v>
      </c>
      <c r="V269" s="76" t="str">
        <f t="shared" si="24"/>
        <v>-</v>
      </c>
      <c r="Z269" s="62"/>
    </row>
    <row r="270" spans="1:26" ht="40.15" customHeight="1" x14ac:dyDescent="0.25">
      <c r="A270" s="87">
        <v>9</v>
      </c>
      <c r="B270" s="88" t="s">
        <v>1550</v>
      </c>
      <c r="C270" s="89"/>
      <c r="D270" s="90" t="s">
        <v>1623</v>
      </c>
      <c r="E270" s="90" t="s">
        <v>1624</v>
      </c>
      <c r="F270" s="87" t="s">
        <v>1556</v>
      </c>
      <c r="G270" s="92" t="s">
        <v>1557</v>
      </c>
      <c r="H270" s="93" t="s">
        <v>2596</v>
      </c>
      <c r="I270" s="87" t="s">
        <v>1930</v>
      </c>
      <c r="J270" s="87" t="s">
        <v>1931</v>
      </c>
      <c r="K270" s="87" t="s">
        <v>1921</v>
      </c>
      <c r="L270" s="126" t="s">
        <v>19</v>
      </c>
      <c r="M270" s="94">
        <v>44263.3125</v>
      </c>
      <c r="N270" s="94">
        <v>44263.4375</v>
      </c>
      <c r="O270" s="95" t="str">
        <f>PROPER(TEXT(Table1[[#This Row],[Fecha Inicio]],"mmmm"))</f>
        <v>Marzo</v>
      </c>
      <c r="P270" s="96" t="s">
        <v>1932</v>
      </c>
      <c r="Q270" s="97" t="s">
        <v>2597</v>
      </c>
      <c r="R270" s="76">
        <f t="shared" si="20"/>
        <v>1</v>
      </c>
      <c r="S270" s="76">
        <f t="shared" si="21"/>
        <v>1</v>
      </c>
      <c r="T270" s="76" t="str">
        <f t="shared" si="22"/>
        <v>-</v>
      </c>
      <c r="U270" s="76" t="str">
        <f t="shared" si="23"/>
        <v>-</v>
      </c>
      <c r="V270" s="76" t="str">
        <f t="shared" si="24"/>
        <v>-</v>
      </c>
      <c r="Z270" s="62"/>
    </row>
    <row r="271" spans="1:26" ht="40.15" customHeight="1" x14ac:dyDescent="0.25">
      <c r="A271" s="87">
        <v>9</v>
      </c>
      <c r="B271" s="88" t="s">
        <v>1550</v>
      </c>
      <c r="C271" s="89"/>
      <c r="D271" s="89" t="s">
        <v>1570</v>
      </c>
      <c r="E271" s="89" t="s">
        <v>1571</v>
      </c>
      <c r="F271" s="91" t="s">
        <v>1556</v>
      </c>
      <c r="G271" s="92" t="s">
        <v>1557</v>
      </c>
      <c r="H271" s="93" t="s">
        <v>2598</v>
      </c>
      <c r="I271" s="87" t="s">
        <v>2599</v>
      </c>
      <c r="J271" s="91" t="s">
        <v>1612</v>
      </c>
      <c r="K271" s="91" t="s">
        <v>1613</v>
      </c>
      <c r="L271" s="126" t="s">
        <v>19</v>
      </c>
      <c r="M271" s="94">
        <v>44263.9375</v>
      </c>
      <c r="N271" s="94">
        <v>44264.041666666664</v>
      </c>
      <c r="O271" s="95" t="str">
        <f>PROPER(TEXT(Table1[[#This Row],[Fecha Inicio]],"mmmm"))</f>
        <v>Marzo</v>
      </c>
      <c r="P271" s="87" t="s">
        <v>2600</v>
      </c>
      <c r="Q271" s="97" t="s">
        <v>2601</v>
      </c>
      <c r="R271" s="76">
        <f t="shared" si="20"/>
        <v>18</v>
      </c>
      <c r="S271" s="76">
        <f t="shared" si="21"/>
        <v>18</v>
      </c>
      <c r="T271" s="76" t="str">
        <f t="shared" si="22"/>
        <v>-</v>
      </c>
      <c r="U271" s="76" t="str">
        <f t="shared" si="23"/>
        <v>-</v>
      </c>
      <c r="V271" s="76" t="str">
        <f t="shared" si="24"/>
        <v>-</v>
      </c>
      <c r="Z271" s="62"/>
    </row>
    <row r="272" spans="1:26" ht="40.15" customHeight="1" x14ac:dyDescent="0.25">
      <c r="A272" s="87">
        <v>8</v>
      </c>
      <c r="B272" s="88" t="s">
        <v>1550</v>
      </c>
      <c r="C272" s="89"/>
      <c r="D272" s="89" t="s">
        <v>344</v>
      </c>
      <c r="E272" s="89" t="s">
        <v>1616</v>
      </c>
      <c r="F272" s="87" t="s">
        <v>1556</v>
      </c>
      <c r="G272" s="92" t="s">
        <v>1557</v>
      </c>
      <c r="H272" s="93" t="s">
        <v>2602</v>
      </c>
      <c r="I272" s="87" t="s">
        <v>2603</v>
      </c>
      <c r="J272" s="91" t="s">
        <v>1920</v>
      </c>
      <c r="K272" s="87" t="s">
        <v>1921</v>
      </c>
      <c r="L272" s="126" t="s">
        <v>19</v>
      </c>
      <c r="M272" s="94">
        <v>44263.958333333336</v>
      </c>
      <c r="N272" s="94">
        <v>44264.125</v>
      </c>
      <c r="O272" s="95" t="str">
        <f>PROPER(TEXT(Table1[[#This Row],[Fecha Inicio]],"mmmm"))</f>
        <v>Marzo</v>
      </c>
      <c r="P272" s="96" t="s">
        <v>2604</v>
      </c>
      <c r="Q272" s="97" t="s">
        <v>2605</v>
      </c>
      <c r="R272" s="76">
        <f t="shared" si="20"/>
        <v>3</v>
      </c>
      <c r="S272" s="76">
        <f t="shared" si="21"/>
        <v>3</v>
      </c>
      <c r="T272" s="76" t="str">
        <f t="shared" si="22"/>
        <v>-</v>
      </c>
      <c r="U272" s="76" t="str">
        <f t="shared" si="23"/>
        <v>-</v>
      </c>
      <c r="V272" s="76" t="str">
        <f t="shared" si="24"/>
        <v>-</v>
      </c>
      <c r="Z272" s="62"/>
    </row>
    <row r="273" spans="1:26" ht="40.15" customHeight="1" x14ac:dyDescent="0.25">
      <c r="A273" s="87">
        <v>10</v>
      </c>
      <c r="B273" s="88" t="s">
        <v>1550</v>
      </c>
      <c r="C273" s="89"/>
      <c r="D273" s="90" t="s">
        <v>1623</v>
      </c>
      <c r="E273" s="90" t="s">
        <v>1624</v>
      </c>
      <c r="F273" s="91" t="s">
        <v>1556</v>
      </c>
      <c r="G273" s="92" t="s">
        <v>1557</v>
      </c>
      <c r="H273" s="93" t="s">
        <v>2606</v>
      </c>
      <c r="I273" s="87" t="s">
        <v>2040</v>
      </c>
      <c r="J273" s="87" t="s">
        <v>1771</v>
      </c>
      <c r="K273" s="87" t="s">
        <v>1575</v>
      </c>
      <c r="L273" s="126" t="s">
        <v>19</v>
      </c>
      <c r="M273" s="94">
        <v>44264.291666666664</v>
      </c>
      <c r="N273" s="94">
        <v>44264.5</v>
      </c>
      <c r="O273" s="95" t="str">
        <f>PROPER(TEXT(Table1[[#This Row],[Fecha Inicio]],"mmmm"))</f>
        <v>Marzo</v>
      </c>
      <c r="P273" s="96" t="s">
        <v>1772</v>
      </c>
      <c r="Q273" s="97" t="s">
        <v>2607</v>
      </c>
      <c r="R273" s="76">
        <f t="shared" si="20"/>
        <v>2</v>
      </c>
      <c r="S273" s="76">
        <f t="shared" si="21"/>
        <v>2</v>
      </c>
      <c r="T273" s="76" t="str">
        <f t="shared" si="22"/>
        <v>-</v>
      </c>
      <c r="U273" s="76" t="str">
        <f t="shared" si="23"/>
        <v>-</v>
      </c>
      <c r="V273" s="76" t="str">
        <f t="shared" si="24"/>
        <v>-</v>
      </c>
      <c r="Z273" s="62"/>
    </row>
    <row r="274" spans="1:26" ht="40.15" customHeight="1" x14ac:dyDescent="0.25">
      <c r="A274" s="87">
        <v>9</v>
      </c>
      <c r="B274" s="88" t="s">
        <v>1550</v>
      </c>
      <c r="C274" s="89"/>
      <c r="D274" s="90" t="s">
        <v>326</v>
      </c>
      <c r="E274" s="90" t="s">
        <v>1742</v>
      </c>
      <c r="F274" s="87" t="s">
        <v>1556</v>
      </c>
      <c r="G274" s="92" t="s">
        <v>1557</v>
      </c>
      <c r="H274" s="93" t="s">
        <v>2612</v>
      </c>
      <c r="I274" s="87" t="s">
        <v>2613</v>
      </c>
      <c r="J274" s="87" t="s">
        <v>1560</v>
      </c>
      <c r="K274" s="87" t="s">
        <v>1561</v>
      </c>
      <c r="L274" s="126" t="s">
        <v>19</v>
      </c>
      <c r="M274" s="94">
        <v>44264.375</v>
      </c>
      <c r="N274" s="94">
        <v>44264.458333333336</v>
      </c>
      <c r="O274" s="95" t="str">
        <f>PROPER(TEXT(Table1[[#This Row],[Fecha Inicio]],"mmmm"))</f>
        <v>Marzo</v>
      </c>
      <c r="P274" s="96" t="s">
        <v>2614</v>
      </c>
      <c r="Q274" s="97" t="s">
        <v>2615</v>
      </c>
      <c r="R274" s="76">
        <f t="shared" si="20"/>
        <v>1</v>
      </c>
      <c r="S274" s="76">
        <f t="shared" si="21"/>
        <v>1</v>
      </c>
      <c r="T274" s="76" t="str">
        <f t="shared" si="22"/>
        <v>-</v>
      </c>
      <c r="U274" s="76" t="str">
        <f t="shared" si="23"/>
        <v>-</v>
      </c>
      <c r="V274" s="76" t="str">
        <f t="shared" si="24"/>
        <v>-</v>
      </c>
      <c r="Z274" s="62"/>
    </row>
    <row r="275" spans="1:26" ht="40.15" customHeight="1" x14ac:dyDescent="0.25">
      <c r="A275" s="87">
        <v>10</v>
      </c>
      <c r="B275" s="88" t="s">
        <v>1550</v>
      </c>
      <c r="C275" s="89"/>
      <c r="D275" s="90" t="s">
        <v>1579</v>
      </c>
      <c r="E275" s="90" t="s">
        <v>1580</v>
      </c>
      <c r="F275" s="87" t="s">
        <v>1556</v>
      </c>
      <c r="G275" s="92" t="s">
        <v>1557</v>
      </c>
      <c r="H275" s="93" t="s">
        <v>2608</v>
      </c>
      <c r="I275" s="87" t="s">
        <v>2609</v>
      </c>
      <c r="J275" s="87" t="s">
        <v>1560</v>
      </c>
      <c r="K275" s="87" t="s">
        <v>1561</v>
      </c>
      <c r="L275" s="126" t="s">
        <v>19</v>
      </c>
      <c r="M275" s="94">
        <v>44264.375</v>
      </c>
      <c r="N275" s="94">
        <v>44264.708333333336</v>
      </c>
      <c r="O275" s="95" t="str">
        <f>PROPER(TEXT(Table1[[#This Row],[Fecha Inicio]],"mmmm"))</f>
        <v>Marzo</v>
      </c>
      <c r="P275" s="96" t="s">
        <v>2610</v>
      </c>
      <c r="Q275" s="97" t="s">
        <v>2611</v>
      </c>
      <c r="R275" s="76">
        <f t="shared" si="20"/>
        <v>1</v>
      </c>
      <c r="S275" s="76">
        <f t="shared" si="21"/>
        <v>1</v>
      </c>
      <c r="T275" s="76" t="str">
        <f t="shared" si="22"/>
        <v>-</v>
      </c>
      <c r="U275" s="76" t="str">
        <f t="shared" si="23"/>
        <v>-</v>
      </c>
      <c r="V275" s="76" t="str">
        <f t="shared" si="24"/>
        <v>-</v>
      </c>
      <c r="Z275" s="62"/>
    </row>
    <row r="276" spans="1:26" ht="40.15" customHeight="1" x14ac:dyDescent="0.25">
      <c r="A276" s="87">
        <v>10</v>
      </c>
      <c r="B276" s="88" t="s">
        <v>1550</v>
      </c>
      <c r="C276" s="89" t="s">
        <v>1578</v>
      </c>
      <c r="D276" s="90" t="s">
        <v>1554</v>
      </c>
      <c r="E276" s="90" t="s">
        <v>1555</v>
      </c>
      <c r="F276" s="87" t="s">
        <v>1556</v>
      </c>
      <c r="G276" s="92" t="s">
        <v>1557</v>
      </c>
      <c r="H276" s="93" t="s">
        <v>2616</v>
      </c>
      <c r="I276" s="87" t="s">
        <v>2617</v>
      </c>
      <c r="J276" s="87" t="s">
        <v>2618</v>
      </c>
      <c r="K276" s="87" t="s">
        <v>2619</v>
      </c>
      <c r="L276" s="87" t="s">
        <v>52</v>
      </c>
      <c r="M276" s="94">
        <v>44264.666666666664</v>
      </c>
      <c r="N276" s="94">
        <v>44264.875</v>
      </c>
      <c r="O276" s="95" t="str">
        <f>PROPER(TEXT(Table1[[#This Row],[Fecha Inicio]],"mmmm"))</f>
        <v>Marzo</v>
      </c>
      <c r="P276" s="96" t="s">
        <v>2620</v>
      </c>
      <c r="Q276" s="97" t="s">
        <v>2621</v>
      </c>
      <c r="R276" s="76">
        <f t="shared" si="20"/>
        <v>17</v>
      </c>
      <c r="S276" s="76">
        <f t="shared" si="21"/>
        <v>17</v>
      </c>
      <c r="T276" s="76" t="str">
        <f t="shared" si="22"/>
        <v>-</v>
      </c>
      <c r="U276" s="76" t="str">
        <f t="shared" si="23"/>
        <v>-</v>
      </c>
      <c r="V276" s="76" t="str">
        <f t="shared" si="24"/>
        <v>-</v>
      </c>
      <c r="Z276" s="62"/>
    </row>
    <row r="277" spans="1:26" ht="40.15" customHeight="1" x14ac:dyDescent="0.25">
      <c r="A277" s="87">
        <v>10</v>
      </c>
      <c r="B277" s="88" t="s">
        <v>1550</v>
      </c>
      <c r="C277" s="89" t="s">
        <v>1578</v>
      </c>
      <c r="D277" s="89" t="s">
        <v>1570</v>
      </c>
      <c r="E277" s="89" t="s">
        <v>1571</v>
      </c>
      <c r="F277" s="91" t="s">
        <v>1556</v>
      </c>
      <c r="G277" s="92" t="s">
        <v>1557</v>
      </c>
      <c r="H277" s="93" t="s">
        <v>2622</v>
      </c>
      <c r="I277" s="87" t="s">
        <v>2623</v>
      </c>
      <c r="J277" s="91" t="s">
        <v>1790</v>
      </c>
      <c r="K277" s="91" t="s">
        <v>1791</v>
      </c>
      <c r="L277" s="126" t="s">
        <v>19</v>
      </c>
      <c r="M277" s="94">
        <v>44264.875</v>
      </c>
      <c r="N277" s="94">
        <v>44265</v>
      </c>
      <c r="O277" s="95" t="str">
        <f>PROPER(TEXT(Table1[[#This Row],[Fecha Inicio]],"mmmm"))</f>
        <v>Marzo</v>
      </c>
      <c r="P277" s="96" t="s">
        <v>1792</v>
      </c>
      <c r="Q277" s="97" t="s">
        <v>2624</v>
      </c>
      <c r="R277" s="76">
        <f t="shared" si="20"/>
        <v>113</v>
      </c>
      <c r="S277" s="76">
        <f t="shared" si="21"/>
        <v>113</v>
      </c>
      <c r="T277" s="76" t="str">
        <f t="shared" si="22"/>
        <v>-</v>
      </c>
      <c r="U277" s="76" t="str">
        <f t="shared" si="23"/>
        <v>-</v>
      </c>
      <c r="V277" s="76" t="str">
        <f t="shared" si="24"/>
        <v>-</v>
      </c>
      <c r="Z277" s="62"/>
    </row>
    <row r="278" spans="1:26" ht="40.15" customHeight="1" x14ac:dyDescent="0.25">
      <c r="A278" s="87">
        <v>9</v>
      </c>
      <c r="B278" s="88" t="s">
        <v>1550</v>
      </c>
      <c r="C278" s="89" t="s">
        <v>2261</v>
      </c>
      <c r="D278" s="90" t="s">
        <v>326</v>
      </c>
      <c r="E278" s="90" t="s">
        <v>1631</v>
      </c>
      <c r="F278" s="91" t="s">
        <v>1556</v>
      </c>
      <c r="G278" s="92" t="s">
        <v>1557</v>
      </c>
      <c r="H278" s="93" t="s">
        <v>2625</v>
      </c>
      <c r="I278" s="87" t="s">
        <v>1633</v>
      </c>
      <c r="J278" s="87" t="s">
        <v>1634</v>
      </c>
      <c r="K278" s="87" t="s">
        <v>1635</v>
      </c>
      <c r="L278" s="126" t="s">
        <v>19</v>
      </c>
      <c r="M278" s="94">
        <v>44264.895833333336</v>
      </c>
      <c r="N278" s="94">
        <v>44264.979166666664</v>
      </c>
      <c r="O278" s="95" t="str">
        <f>PROPER(TEXT(Table1[[#This Row],[Fecha Inicio]],"mmmm"))</f>
        <v>Marzo</v>
      </c>
      <c r="P278" s="96" t="s">
        <v>1636</v>
      </c>
      <c r="Q278" s="97" t="s">
        <v>2626</v>
      </c>
      <c r="R278" s="76">
        <f t="shared" si="20"/>
        <v>6</v>
      </c>
      <c r="S278" s="76">
        <f t="shared" si="21"/>
        <v>6</v>
      </c>
      <c r="T278" s="76" t="str">
        <f t="shared" si="22"/>
        <v>-</v>
      </c>
      <c r="U278" s="76" t="str">
        <f t="shared" si="23"/>
        <v>-</v>
      </c>
      <c r="V278" s="76" t="str">
        <f t="shared" si="24"/>
        <v>-</v>
      </c>
      <c r="Z278" s="62"/>
    </row>
    <row r="279" spans="1:26" ht="40.15" customHeight="1" x14ac:dyDescent="0.25">
      <c r="A279" s="87">
        <v>9</v>
      </c>
      <c r="B279" s="88" t="s">
        <v>1550</v>
      </c>
      <c r="C279" s="89"/>
      <c r="D279" s="89" t="s">
        <v>1570</v>
      </c>
      <c r="E279" s="89" t="s">
        <v>1571</v>
      </c>
      <c r="F279" s="91" t="s">
        <v>1556</v>
      </c>
      <c r="G279" s="92" t="s">
        <v>1557</v>
      </c>
      <c r="H279" s="93" t="s">
        <v>2627</v>
      </c>
      <c r="I279" s="87" t="s">
        <v>2628</v>
      </c>
      <c r="J279" s="91" t="s">
        <v>1574</v>
      </c>
      <c r="K279" s="91" t="s">
        <v>1575</v>
      </c>
      <c r="L279" s="126" t="s">
        <v>19</v>
      </c>
      <c r="M279" s="94">
        <v>44264.916666666664</v>
      </c>
      <c r="N279" s="94">
        <v>44264.958333333336</v>
      </c>
      <c r="O279" s="95" t="str">
        <f>PROPER(TEXT(Table1[[#This Row],[Fecha Inicio]],"mmmm"))</f>
        <v>Marzo</v>
      </c>
      <c r="P279" s="87" t="s">
        <v>1576</v>
      </c>
      <c r="Q279" s="97" t="s">
        <v>2629</v>
      </c>
      <c r="R279" s="76">
        <f t="shared" si="20"/>
        <v>5</v>
      </c>
      <c r="S279" s="76">
        <f t="shared" si="21"/>
        <v>5</v>
      </c>
      <c r="T279" s="76" t="str">
        <f t="shared" si="22"/>
        <v>-</v>
      </c>
      <c r="U279" s="76" t="str">
        <f t="shared" si="23"/>
        <v>-</v>
      </c>
      <c r="V279" s="76" t="str">
        <f t="shared" si="24"/>
        <v>-</v>
      </c>
      <c r="Z279" s="62"/>
    </row>
    <row r="280" spans="1:26" ht="40.15" customHeight="1" x14ac:dyDescent="0.25">
      <c r="A280" s="87">
        <v>10</v>
      </c>
      <c r="B280" s="88" t="s">
        <v>1550</v>
      </c>
      <c r="C280" s="89" t="s">
        <v>1578</v>
      </c>
      <c r="D280" s="89" t="s">
        <v>1570</v>
      </c>
      <c r="E280" s="89" t="s">
        <v>1571</v>
      </c>
      <c r="F280" s="91" t="s">
        <v>1556</v>
      </c>
      <c r="G280" s="92" t="s">
        <v>1557</v>
      </c>
      <c r="H280" s="93" t="s">
        <v>2630</v>
      </c>
      <c r="I280" s="87" t="s">
        <v>2631</v>
      </c>
      <c r="J280" s="91" t="s">
        <v>1612</v>
      </c>
      <c r="K280" s="91" t="s">
        <v>1613</v>
      </c>
      <c r="L280" s="126" t="s">
        <v>19</v>
      </c>
      <c r="M280" s="94">
        <v>44264.958333333336</v>
      </c>
      <c r="N280" s="94">
        <v>44265</v>
      </c>
      <c r="O280" s="95" t="str">
        <f>PROPER(TEXT(Table1[[#This Row],[Fecha Inicio]],"mmmm"))</f>
        <v>Marzo</v>
      </c>
      <c r="P280" s="87" t="s">
        <v>2632</v>
      </c>
      <c r="Q280" s="97" t="s">
        <v>2633</v>
      </c>
      <c r="R280" s="76">
        <f t="shared" si="20"/>
        <v>36</v>
      </c>
      <c r="S280" s="76">
        <f t="shared" si="21"/>
        <v>36</v>
      </c>
      <c r="T280" s="76" t="str">
        <f t="shared" si="22"/>
        <v>-</v>
      </c>
      <c r="U280" s="76" t="str">
        <f t="shared" si="23"/>
        <v>-</v>
      </c>
      <c r="V280" s="76" t="str">
        <f t="shared" si="24"/>
        <v>-</v>
      </c>
      <c r="Z280" s="62"/>
    </row>
    <row r="281" spans="1:26" ht="40.15" customHeight="1" x14ac:dyDescent="0.25">
      <c r="A281" s="87">
        <v>8</v>
      </c>
      <c r="B281" s="88" t="s">
        <v>1550</v>
      </c>
      <c r="C281" s="89"/>
      <c r="D281" s="89" t="s">
        <v>344</v>
      </c>
      <c r="E281" s="89" t="s">
        <v>1616</v>
      </c>
      <c r="F281" s="87" t="s">
        <v>1556</v>
      </c>
      <c r="G281" s="92" t="s">
        <v>1557</v>
      </c>
      <c r="H281" s="93" t="s">
        <v>2634</v>
      </c>
      <c r="I281" s="87" t="s">
        <v>2635</v>
      </c>
      <c r="J281" s="91" t="s">
        <v>1920</v>
      </c>
      <c r="K281" s="87" t="s">
        <v>1921</v>
      </c>
      <c r="L281" s="126" t="s">
        <v>19</v>
      </c>
      <c r="M281" s="94">
        <v>44264.958333333336</v>
      </c>
      <c r="N281" s="94">
        <v>44265.125</v>
      </c>
      <c r="O281" s="95" t="str">
        <f>PROPER(TEXT(Table1[[#This Row],[Fecha Inicio]],"mmmm"))</f>
        <v>Marzo</v>
      </c>
      <c r="P281" s="96" t="s">
        <v>2636</v>
      </c>
      <c r="Q281" s="97" t="s">
        <v>2637</v>
      </c>
      <c r="R281" s="76">
        <f t="shared" si="20"/>
        <v>3</v>
      </c>
      <c r="S281" s="76">
        <f t="shared" si="21"/>
        <v>3</v>
      </c>
      <c r="T281" s="76" t="str">
        <f t="shared" si="22"/>
        <v>-</v>
      </c>
      <c r="U281" s="76" t="str">
        <f t="shared" si="23"/>
        <v>-</v>
      </c>
      <c r="V281" s="76" t="str">
        <f t="shared" si="24"/>
        <v>-</v>
      </c>
      <c r="Z281" s="62"/>
    </row>
    <row r="282" spans="1:26" ht="40.15" customHeight="1" x14ac:dyDescent="0.25">
      <c r="A282" s="87">
        <v>10</v>
      </c>
      <c r="B282" s="88" t="s">
        <v>1550</v>
      </c>
      <c r="C282" s="89" t="s">
        <v>1578</v>
      </c>
      <c r="D282" s="90" t="s">
        <v>326</v>
      </c>
      <c r="E282" s="90" t="s">
        <v>1631</v>
      </c>
      <c r="F282" s="87" t="s">
        <v>1556</v>
      </c>
      <c r="G282" s="92" t="s">
        <v>1557</v>
      </c>
      <c r="H282" s="93" t="s">
        <v>2638</v>
      </c>
      <c r="I282" s="87" t="s">
        <v>2639</v>
      </c>
      <c r="J282" s="91" t="s">
        <v>1583</v>
      </c>
      <c r="K282" s="87" t="s">
        <v>1584</v>
      </c>
      <c r="L282" s="126" t="s">
        <v>19</v>
      </c>
      <c r="M282" s="94">
        <v>44265</v>
      </c>
      <c r="N282" s="94">
        <v>44265.041666666664</v>
      </c>
      <c r="O282" s="95" t="str">
        <f>PROPER(TEXT(Table1[[#This Row],[Fecha Inicio]],"mmmm"))</f>
        <v>Marzo</v>
      </c>
      <c r="P282" s="96" t="s">
        <v>2640</v>
      </c>
      <c r="Q282" s="97" t="s">
        <v>2641</v>
      </c>
      <c r="R282" s="76">
        <f t="shared" si="20"/>
        <v>1</v>
      </c>
      <c r="S282" s="76">
        <f t="shared" si="21"/>
        <v>1</v>
      </c>
      <c r="T282" s="76" t="str">
        <f t="shared" si="22"/>
        <v>-</v>
      </c>
      <c r="U282" s="76" t="str">
        <f t="shared" si="23"/>
        <v>-</v>
      </c>
      <c r="V282" s="76" t="str">
        <f t="shared" si="24"/>
        <v>-</v>
      </c>
      <c r="Z282" s="62"/>
    </row>
    <row r="283" spans="1:26" ht="40.15" customHeight="1" x14ac:dyDescent="0.25">
      <c r="A283" s="87">
        <v>10</v>
      </c>
      <c r="B283" s="88" t="s">
        <v>1550</v>
      </c>
      <c r="C283" s="89"/>
      <c r="D283" s="90" t="s">
        <v>1579</v>
      </c>
      <c r="E283" s="90" t="s">
        <v>1580</v>
      </c>
      <c r="F283" s="87" t="s">
        <v>1556</v>
      </c>
      <c r="G283" s="92" t="s">
        <v>1557</v>
      </c>
      <c r="H283" s="93" t="s">
        <v>2642</v>
      </c>
      <c r="I283" s="87" t="s">
        <v>2643</v>
      </c>
      <c r="J283" s="87" t="s">
        <v>1560</v>
      </c>
      <c r="K283" s="87" t="s">
        <v>1561</v>
      </c>
      <c r="L283" s="126" t="s">
        <v>19</v>
      </c>
      <c r="M283" s="94">
        <v>44265.375</v>
      </c>
      <c r="N283" s="94">
        <v>44265.708333333336</v>
      </c>
      <c r="O283" s="95" t="str">
        <f>PROPER(TEXT(Table1[[#This Row],[Fecha Inicio]],"mmmm"))</f>
        <v>Marzo</v>
      </c>
      <c r="P283" s="96" t="s">
        <v>2644</v>
      </c>
      <c r="Q283" s="97" t="s">
        <v>2645</v>
      </c>
      <c r="R283" s="76">
        <f t="shared" si="20"/>
        <v>1</v>
      </c>
      <c r="S283" s="76">
        <f t="shared" si="21"/>
        <v>1</v>
      </c>
      <c r="T283" s="76" t="str">
        <f t="shared" si="22"/>
        <v>-</v>
      </c>
      <c r="U283" s="76" t="str">
        <f t="shared" si="23"/>
        <v>-</v>
      </c>
      <c r="V283" s="76" t="str">
        <f t="shared" si="24"/>
        <v>-</v>
      </c>
      <c r="Z283" s="62"/>
    </row>
    <row r="284" spans="1:26" ht="40.15" customHeight="1" x14ac:dyDescent="0.25">
      <c r="A284" s="87">
        <v>10</v>
      </c>
      <c r="B284" s="88" t="s">
        <v>1550</v>
      </c>
      <c r="C284" s="89" t="s">
        <v>1578</v>
      </c>
      <c r="D284" s="90" t="s">
        <v>1554</v>
      </c>
      <c r="E284" s="90" t="s">
        <v>1555</v>
      </c>
      <c r="F284" s="87" t="s">
        <v>1556</v>
      </c>
      <c r="G284" s="92" t="s">
        <v>1557</v>
      </c>
      <c r="H284" s="93" t="s">
        <v>2646</v>
      </c>
      <c r="I284" s="87" t="s">
        <v>2647</v>
      </c>
      <c r="J284" s="87" t="s">
        <v>1859</v>
      </c>
      <c r="K284" s="87" t="s">
        <v>1860</v>
      </c>
      <c r="L284" s="87" t="s">
        <v>52</v>
      </c>
      <c r="M284" s="94">
        <v>44265.416666666664</v>
      </c>
      <c r="N284" s="94">
        <v>44265.458333333336</v>
      </c>
      <c r="O284" s="95" t="str">
        <f>PROPER(TEXT(Table1[[#This Row],[Fecha Inicio]],"mmmm"))</f>
        <v>Marzo</v>
      </c>
      <c r="P284" s="96" t="s">
        <v>2648</v>
      </c>
      <c r="Q284" s="97" t="s">
        <v>2649</v>
      </c>
      <c r="R284" s="76">
        <f t="shared" si="20"/>
        <v>1</v>
      </c>
      <c r="S284" s="76">
        <f t="shared" si="21"/>
        <v>1</v>
      </c>
      <c r="T284" s="76" t="str">
        <f t="shared" si="22"/>
        <v>-</v>
      </c>
      <c r="U284" s="76" t="str">
        <f t="shared" si="23"/>
        <v>-</v>
      </c>
      <c r="V284" s="76" t="str">
        <f t="shared" si="24"/>
        <v>-</v>
      </c>
      <c r="Z284" s="62"/>
    </row>
    <row r="285" spans="1:26" ht="40.15" customHeight="1" x14ac:dyDescent="0.25">
      <c r="A285" s="87">
        <v>10</v>
      </c>
      <c r="B285" s="88" t="s">
        <v>1550</v>
      </c>
      <c r="C285" s="89"/>
      <c r="D285" s="90" t="s">
        <v>1579</v>
      </c>
      <c r="E285" s="90" t="s">
        <v>1580</v>
      </c>
      <c r="F285" s="87" t="s">
        <v>1556</v>
      </c>
      <c r="G285" s="92" t="s">
        <v>1557</v>
      </c>
      <c r="H285" s="93" t="s">
        <v>2650</v>
      </c>
      <c r="I285" s="87" t="s">
        <v>2651</v>
      </c>
      <c r="J285" s="87" t="s">
        <v>1560</v>
      </c>
      <c r="K285" s="87" t="s">
        <v>1561</v>
      </c>
      <c r="L285" s="126" t="s">
        <v>19</v>
      </c>
      <c r="M285" s="94">
        <v>44265.6875</v>
      </c>
      <c r="N285" s="94">
        <v>44265.8125</v>
      </c>
      <c r="O285" s="95" t="str">
        <f>PROPER(TEXT(Table1[[#This Row],[Fecha Inicio]],"mmmm"))</f>
        <v>Marzo</v>
      </c>
      <c r="P285" s="96" t="s">
        <v>2652</v>
      </c>
      <c r="Q285" s="97" t="s">
        <v>2653</v>
      </c>
      <c r="R285" s="76">
        <f t="shared" si="20"/>
        <v>1</v>
      </c>
      <c r="S285" s="76">
        <f t="shared" si="21"/>
        <v>1</v>
      </c>
      <c r="T285" s="76" t="str">
        <f t="shared" si="22"/>
        <v>-</v>
      </c>
      <c r="U285" s="76" t="str">
        <f t="shared" si="23"/>
        <v>-</v>
      </c>
      <c r="V285" s="76" t="str">
        <f t="shared" si="24"/>
        <v>-</v>
      </c>
      <c r="Z285" s="62"/>
    </row>
    <row r="286" spans="1:26" ht="40.15" customHeight="1" x14ac:dyDescent="0.25">
      <c r="A286" s="87">
        <v>9</v>
      </c>
      <c r="B286" s="88" t="s">
        <v>1550</v>
      </c>
      <c r="C286" s="89"/>
      <c r="D286" s="89" t="s">
        <v>1570</v>
      </c>
      <c r="E286" s="89" t="s">
        <v>1571</v>
      </c>
      <c r="F286" s="91" t="s">
        <v>1556</v>
      </c>
      <c r="G286" s="92" t="s">
        <v>1557</v>
      </c>
      <c r="H286" s="93" t="s">
        <v>2654</v>
      </c>
      <c r="I286" s="87" t="s">
        <v>2655</v>
      </c>
      <c r="J286" s="91" t="s">
        <v>1595</v>
      </c>
      <c r="K286" s="91" t="s">
        <v>1596</v>
      </c>
      <c r="L286" s="126" t="s">
        <v>19</v>
      </c>
      <c r="M286" s="94">
        <v>44265.916666666664</v>
      </c>
      <c r="N286" s="94">
        <v>44265.958333333336</v>
      </c>
      <c r="O286" s="95" t="str">
        <f>PROPER(TEXT(Table1[[#This Row],[Fecha Inicio]],"mmmm"))</f>
        <v>Marzo</v>
      </c>
      <c r="P286" s="96" t="s">
        <v>1597</v>
      </c>
      <c r="Q286" s="97" t="s">
        <v>2656</v>
      </c>
      <c r="R286" s="76">
        <f t="shared" si="20"/>
        <v>2</v>
      </c>
      <c r="S286" s="76">
        <f t="shared" si="21"/>
        <v>2</v>
      </c>
      <c r="T286" s="76" t="str">
        <f t="shared" si="22"/>
        <v>-</v>
      </c>
      <c r="U286" s="76" t="str">
        <f t="shared" si="23"/>
        <v>-</v>
      </c>
      <c r="V286" s="76" t="str">
        <f t="shared" si="24"/>
        <v>-</v>
      </c>
      <c r="Z286" s="62"/>
    </row>
    <row r="287" spans="1:26" ht="40.15" customHeight="1" x14ac:dyDescent="0.25">
      <c r="A287" s="87">
        <v>8</v>
      </c>
      <c r="B287" s="88" t="s">
        <v>1550</v>
      </c>
      <c r="C287" s="89"/>
      <c r="D287" s="89" t="s">
        <v>344</v>
      </c>
      <c r="E287" s="89" t="s">
        <v>1616</v>
      </c>
      <c r="F287" s="87" t="s">
        <v>1556</v>
      </c>
      <c r="G287" s="92" t="s">
        <v>1557</v>
      </c>
      <c r="H287" s="93" t="s">
        <v>2657</v>
      </c>
      <c r="I287" s="87" t="s">
        <v>1765</v>
      </c>
      <c r="J287" s="87" t="s">
        <v>1766</v>
      </c>
      <c r="K287" s="93" t="s">
        <v>1575</v>
      </c>
      <c r="L287" s="126" t="s">
        <v>19</v>
      </c>
      <c r="M287" s="94">
        <v>44265.958333333336</v>
      </c>
      <c r="N287" s="94">
        <v>44266.125</v>
      </c>
      <c r="O287" s="95" t="str">
        <f>PROPER(TEXT(Table1[[#This Row],[Fecha Inicio]],"mmmm"))</f>
        <v>Marzo</v>
      </c>
      <c r="P287" s="96" t="s">
        <v>2658</v>
      </c>
      <c r="Q287" s="97" t="s">
        <v>2659</v>
      </c>
      <c r="R287" s="76">
        <f t="shared" si="20"/>
        <v>3</v>
      </c>
      <c r="S287" s="76">
        <f t="shared" si="21"/>
        <v>3</v>
      </c>
      <c r="T287" s="76" t="str">
        <f t="shared" si="22"/>
        <v>-</v>
      </c>
      <c r="U287" s="76" t="str">
        <f t="shared" si="23"/>
        <v>-</v>
      </c>
      <c r="V287" s="76" t="str">
        <f t="shared" si="24"/>
        <v>-</v>
      </c>
      <c r="Z287" s="62"/>
    </row>
    <row r="288" spans="1:26" ht="40.15" customHeight="1" x14ac:dyDescent="0.25">
      <c r="A288" s="87">
        <v>10</v>
      </c>
      <c r="B288" s="88" t="s">
        <v>1550</v>
      </c>
      <c r="C288" s="89" t="s">
        <v>1578</v>
      </c>
      <c r="D288" s="90" t="s">
        <v>1623</v>
      </c>
      <c r="E288" s="90" t="s">
        <v>1624</v>
      </c>
      <c r="F288" s="91" t="s">
        <v>1556</v>
      </c>
      <c r="G288" s="92" t="s">
        <v>1557</v>
      </c>
      <c r="H288" s="93" t="s">
        <v>2660</v>
      </c>
      <c r="I288" s="87" t="s">
        <v>1685</v>
      </c>
      <c r="J288" s="87" t="s">
        <v>1627</v>
      </c>
      <c r="K288" s="87" t="s">
        <v>1575</v>
      </c>
      <c r="L288" s="126" t="s">
        <v>19</v>
      </c>
      <c r="M288" s="94">
        <v>44266.5</v>
      </c>
      <c r="N288" s="94">
        <v>44266.625</v>
      </c>
      <c r="O288" s="95" t="str">
        <f>PROPER(TEXT(Table1[[#This Row],[Fecha Inicio]],"mmmm"))</f>
        <v>Marzo</v>
      </c>
      <c r="P288" s="96" t="s">
        <v>2661</v>
      </c>
      <c r="Q288" s="97" t="s">
        <v>2662</v>
      </c>
      <c r="R288" s="76">
        <f t="shared" si="20"/>
        <v>2</v>
      </c>
      <c r="S288" s="76">
        <f t="shared" si="21"/>
        <v>2</v>
      </c>
      <c r="T288" s="76" t="str">
        <f t="shared" si="22"/>
        <v>-</v>
      </c>
      <c r="U288" s="76" t="str">
        <f t="shared" si="23"/>
        <v>-</v>
      </c>
      <c r="V288" s="76" t="str">
        <f t="shared" si="24"/>
        <v>-</v>
      </c>
      <c r="Z288" s="62"/>
    </row>
    <row r="289" spans="1:26" ht="40.15" customHeight="1" x14ac:dyDescent="0.25">
      <c r="A289" s="87">
        <v>9</v>
      </c>
      <c r="B289" s="88" t="s">
        <v>1550</v>
      </c>
      <c r="C289" s="89"/>
      <c r="D289" s="89" t="s">
        <v>1570</v>
      </c>
      <c r="E289" s="89" t="s">
        <v>1571</v>
      </c>
      <c r="F289" s="91" t="s">
        <v>1556</v>
      </c>
      <c r="G289" s="92" t="s">
        <v>1557</v>
      </c>
      <c r="H289" s="93" t="s">
        <v>2666</v>
      </c>
      <c r="I289" s="87" t="s">
        <v>2667</v>
      </c>
      <c r="J289" s="91" t="s">
        <v>1694</v>
      </c>
      <c r="K289" s="91" t="s">
        <v>2240</v>
      </c>
      <c r="L289" s="126" t="s">
        <v>19</v>
      </c>
      <c r="M289" s="94">
        <v>44266.916666666664</v>
      </c>
      <c r="N289" s="94">
        <v>44267</v>
      </c>
      <c r="O289" s="95" t="str">
        <f>PROPER(TEXT(Table1[[#This Row],[Fecha Inicio]],"mmmm"))</f>
        <v>Marzo</v>
      </c>
      <c r="P289" s="96" t="s">
        <v>1696</v>
      </c>
      <c r="Q289" s="97" t="s">
        <v>2668</v>
      </c>
      <c r="R289" s="76">
        <f t="shared" si="20"/>
        <v>1</v>
      </c>
      <c r="S289" s="76">
        <f t="shared" si="21"/>
        <v>1</v>
      </c>
      <c r="T289" s="76" t="str">
        <f t="shared" si="22"/>
        <v>-</v>
      </c>
      <c r="U289" s="76" t="str">
        <f t="shared" si="23"/>
        <v>-</v>
      </c>
      <c r="V289" s="76" t="str">
        <f t="shared" si="24"/>
        <v>-</v>
      </c>
      <c r="Z289" s="62"/>
    </row>
    <row r="290" spans="1:26" ht="40.15" customHeight="1" x14ac:dyDescent="0.25">
      <c r="A290" s="87">
        <v>9</v>
      </c>
      <c r="B290" s="88" t="s">
        <v>1550</v>
      </c>
      <c r="C290" s="89" t="s">
        <v>2261</v>
      </c>
      <c r="D290" s="90" t="s">
        <v>326</v>
      </c>
      <c r="E290" s="90" t="s">
        <v>1631</v>
      </c>
      <c r="F290" s="91" t="s">
        <v>1556</v>
      </c>
      <c r="G290" s="92" t="s">
        <v>1557</v>
      </c>
      <c r="H290" s="93" t="s">
        <v>2663</v>
      </c>
      <c r="I290" s="87" t="s">
        <v>1689</v>
      </c>
      <c r="J290" s="87" t="s">
        <v>1634</v>
      </c>
      <c r="K290" s="87" t="s">
        <v>1635</v>
      </c>
      <c r="L290" s="126" t="s">
        <v>19</v>
      </c>
      <c r="M290" s="94">
        <v>44266.916666666664</v>
      </c>
      <c r="N290" s="94">
        <v>44267.083333333336</v>
      </c>
      <c r="O290" s="95" t="str">
        <f>PROPER(TEXT(Table1[[#This Row],[Fecha Inicio]],"mmmm"))</f>
        <v>Marzo</v>
      </c>
      <c r="P290" s="96" t="s">
        <v>2664</v>
      </c>
      <c r="Q290" s="97" t="s">
        <v>2665</v>
      </c>
      <c r="R290" s="76">
        <f t="shared" si="20"/>
        <v>22</v>
      </c>
      <c r="S290" s="76">
        <f t="shared" si="21"/>
        <v>22</v>
      </c>
      <c r="T290" s="76" t="str">
        <f t="shared" si="22"/>
        <v>-</v>
      </c>
      <c r="U290" s="76" t="str">
        <f t="shared" si="23"/>
        <v>-</v>
      </c>
      <c r="V290" s="76" t="str">
        <f t="shared" si="24"/>
        <v>-</v>
      </c>
      <c r="Z290" s="62"/>
    </row>
    <row r="291" spans="1:26" ht="40.15" customHeight="1" x14ac:dyDescent="0.25">
      <c r="A291" s="87">
        <v>10</v>
      </c>
      <c r="B291" s="88" t="s">
        <v>1550</v>
      </c>
      <c r="C291" s="89" t="s">
        <v>1578</v>
      </c>
      <c r="D291" s="90" t="s">
        <v>1665</v>
      </c>
      <c r="E291" s="90" t="s">
        <v>1666</v>
      </c>
      <c r="F291" s="87" t="s">
        <v>1556</v>
      </c>
      <c r="G291" s="92" t="s">
        <v>1557</v>
      </c>
      <c r="H291" s="93" t="s">
        <v>2669</v>
      </c>
      <c r="I291" s="87" t="s">
        <v>2426</v>
      </c>
      <c r="J291" s="87" t="s">
        <v>1669</v>
      </c>
      <c r="K291" s="87" t="s">
        <v>1670</v>
      </c>
      <c r="L291" s="87" t="s">
        <v>41</v>
      </c>
      <c r="M291" s="94">
        <v>44266.958333333336</v>
      </c>
      <c r="N291" s="94">
        <v>44267.0625</v>
      </c>
      <c r="O291" s="95" t="str">
        <f>PROPER(TEXT(Table1[[#This Row],[Fecha Inicio]],"mmmm"))</f>
        <v>Marzo</v>
      </c>
      <c r="P291" s="96" t="s">
        <v>2226</v>
      </c>
      <c r="Q291" s="97" t="s">
        <v>2670</v>
      </c>
      <c r="R291" s="76">
        <f t="shared" si="20"/>
        <v>1</v>
      </c>
      <c r="S291" s="76">
        <f t="shared" si="21"/>
        <v>1</v>
      </c>
      <c r="T291" s="76" t="str">
        <f t="shared" si="22"/>
        <v>-</v>
      </c>
      <c r="U291" s="76" t="str">
        <f t="shared" si="23"/>
        <v>-</v>
      </c>
      <c r="V291" s="76" t="str">
        <f t="shared" si="24"/>
        <v>-</v>
      </c>
      <c r="Z291" s="62"/>
    </row>
    <row r="292" spans="1:26" ht="40.15" customHeight="1" x14ac:dyDescent="0.25">
      <c r="A292" s="87">
        <v>8</v>
      </c>
      <c r="B292" s="88" t="s">
        <v>1550</v>
      </c>
      <c r="C292" s="89"/>
      <c r="D292" s="89" t="s">
        <v>344</v>
      </c>
      <c r="E292" s="89" t="s">
        <v>1616</v>
      </c>
      <c r="F292" s="87" t="s">
        <v>1556</v>
      </c>
      <c r="G292" s="92" t="s">
        <v>1557</v>
      </c>
      <c r="H292" s="93" t="s">
        <v>2671</v>
      </c>
      <c r="I292" s="87" t="s">
        <v>1806</v>
      </c>
      <c r="J292" s="87" t="s">
        <v>1766</v>
      </c>
      <c r="K292" s="93" t="s">
        <v>1575</v>
      </c>
      <c r="L292" s="126" t="s">
        <v>19</v>
      </c>
      <c r="M292" s="94">
        <v>44266.958333333336</v>
      </c>
      <c r="N292" s="94">
        <v>44267.125</v>
      </c>
      <c r="O292" s="95" t="str">
        <f>PROPER(TEXT(Table1[[#This Row],[Fecha Inicio]],"mmmm"))</f>
        <v>Marzo</v>
      </c>
      <c r="P292" s="96" t="s">
        <v>2672</v>
      </c>
      <c r="Q292" s="97" t="s">
        <v>2673</v>
      </c>
      <c r="R292" s="76">
        <f t="shared" si="20"/>
        <v>3</v>
      </c>
      <c r="S292" s="76">
        <f t="shared" si="21"/>
        <v>3</v>
      </c>
      <c r="T292" s="76" t="str">
        <f t="shared" si="22"/>
        <v>-</v>
      </c>
      <c r="U292" s="76" t="str">
        <f t="shared" si="23"/>
        <v>-</v>
      </c>
      <c r="V292" s="76" t="str">
        <f t="shared" si="24"/>
        <v>-</v>
      </c>
      <c r="Z292" s="62"/>
    </row>
    <row r="293" spans="1:26" ht="40.15" customHeight="1" x14ac:dyDescent="0.25">
      <c r="A293" s="87">
        <v>10</v>
      </c>
      <c r="B293" s="88" t="s">
        <v>1550</v>
      </c>
      <c r="C293" s="89" t="s">
        <v>2674</v>
      </c>
      <c r="D293" s="90" t="s">
        <v>326</v>
      </c>
      <c r="E293" s="90" t="s">
        <v>1631</v>
      </c>
      <c r="F293" s="91" t="s">
        <v>1556</v>
      </c>
      <c r="G293" s="92" t="s">
        <v>1557</v>
      </c>
      <c r="H293" s="93" t="s">
        <v>2675</v>
      </c>
      <c r="I293" s="87" t="s">
        <v>1718</v>
      </c>
      <c r="J293" s="87" t="s">
        <v>1719</v>
      </c>
      <c r="K293" s="91" t="s">
        <v>1575</v>
      </c>
      <c r="L293" s="126" t="s">
        <v>19</v>
      </c>
      <c r="M293" s="94">
        <v>44269</v>
      </c>
      <c r="N293" s="94">
        <v>44269.25</v>
      </c>
      <c r="O293" s="95" t="str">
        <f>PROPER(TEXT(Table1[[#This Row],[Fecha Inicio]],"mmmm"))</f>
        <v>Marzo</v>
      </c>
      <c r="P293" s="96" t="s">
        <v>1720</v>
      </c>
      <c r="Q293" s="97" t="s">
        <v>2676</v>
      </c>
      <c r="R293" s="76">
        <f t="shared" si="20"/>
        <v>15</v>
      </c>
      <c r="S293" s="76">
        <f t="shared" si="21"/>
        <v>15</v>
      </c>
      <c r="T293" s="76" t="str">
        <f t="shared" si="22"/>
        <v>-</v>
      </c>
      <c r="U293" s="76" t="str">
        <f t="shared" si="23"/>
        <v>-</v>
      </c>
      <c r="V293" s="76" t="str">
        <f t="shared" si="24"/>
        <v>-</v>
      </c>
      <c r="Z293" s="62"/>
    </row>
    <row r="294" spans="1:26" ht="40.15" customHeight="1" x14ac:dyDescent="0.25">
      <c r="A294" s="87">
        <v>10</v>
      </c>
      <c r="B294" s="88" t="s">
        <v>1550</v>
      </c>
      <c r="C294" s="89"/>
      <c r="D294" s="90" t="s">
        <v>1623</v>
      </c>
      <c r="E294" s="90" t="s">
        <v>1624</v>
      </c>
      <c r="F294" s="87" t="s">
        <v>1556</v>
      </c>
      <c r="G294" s="92" t="s">
        <v>1557</v>
      </c>
      <c r="H294" s="93" t="s">
        <v>2677</v>
      </c>
      <c r="I294" s="87" t="s">
        <v>2678</v>
      </c>
      <c r="J294" s="87" t="s">
        <v>2215</v>
      </c>
      <c r="K294" s="87" t="s">
        <v>2216</v>
      </c>
      <c r="L294" s="126" t="s">
        <v>19</v>
      </c>
      <c r="M294" s="94">
        <v>44270.270833333336</v>
      </c>
      <c r="N294" s="94">
        <v>44270.333333333336</v>
      </c>
      <c r="O294" s="95" t="str">
        <f>PROPER(TEXT(Table1[[#This Row],[Fecha Inicio]],"mmmm"))</f>
        <v>Marzo</v>
      </c>
      <c r="P294" s="96" t="s">
        <v>2491</v>
      </c>
      <c r="Q294" s="97" t="s">
        <v>2679</v>
      </c>
      <c r="R294" s="76">
        <f t="shared" si="20"/>
        <v>2</v>
      </c>
      <c r="S294" s="76">
        <f t="shared" si="21"/>
        <v>2</v>
      </c>
      <c r="T294" s="76" t="str">
        <f t="shared" si="22"/>
        <v>-</v>
      </c>
      <c r="U294" s="76" t="str">
        <f t="shared" si="23"/>
        <v>-</v>
      </c>
      <c r="V294" s="76" t="str">
        <f t="shared" si="24"/>
        <v>-</v>
      </c>
      <c r="Z294" s="62"/>
    </row>
    <row r="295" spans="1:26" ht="40.15" customHeight="1" x14ac:dyDescent="0.25">
      <c r="A295" s="87">
        <v>10</v>
      </c>
      <c r="B295" s="88" t="s">
        <v>1550</v>
      </c>
      <c r="C295" s="89"/>
      <c r="D295" s="90" t="s">
        <v>326</v>
      </c>
      <c r="E295" s="90" t="s">
        <v>1742</v>
      </c>
      <c r="F295" s="87" t="s">
        <v>1556</v>
      </c>
      <c r="G295" s="92" t="s">
        <v>1557</v>
      </c>
      <c r="H295" s="93" t="s">
        <v>2680</v>
      </c>
      <c r="I295" s="87" t="s">
        <v>2681</v>
      </c>
      <c r="J295" s="87" t="s">
        <v>1859</v>
      </c>
      <c r="K295" s="87" t="s">
        <v>1860</v>
      </c>
      <c r="L295" s="126" t="s">
        <v>19</v>
      </c>
      <c r="M295" s="94">
        <v>44270.291666666664</v>
      </c>
      <c r="N295" s="94">
        <v>44270.333333333336</v>
      </c>
      <c r="O295" s="95" t="str">
        <f>PROPER(TEXT(Table1[[#This Row],[Fecha Inicio]],"mmmm"))</f>
        <v>Marzo</v>
      </c>
      <c r="P295" s="96" t="s">
        <v>2198</v>
      </c>
      <c r="Q295" s="97" t="s">
        <v>2682</v>
      </c>
      <c r="R295" s="76">
        <f t="shared" si="20"/>
        <v>1</v>
      </c>
      <c r="S295" s="76">
        <f t="shared" si="21"/>
        <v>1</v>
      </c>
      <c r="T295" s="76" t="str">
        <f t="shared" si="22"/>
        <v>-</v>
      </c>
      <c r="U295" s="76" t="str">
        <f t="shared" si="23"/>
        <v>-</v>
      </c>
      <c r="V295" s="76" t="str">
        <f t="shared" si="24"/>
        <v>-</v>
      </c>
      <c r="Z295" s="62"/>
    </row>
    <row r="296" spans="1:26" ht="40.15" customHeight="1" x14ac:dyDescent="0.25">
      <c r="A296" s="87">
        <v>10</v>
      </c>
      <c r="B296" s="88" t="s">
        <v>1550</v>
      </c>
      <c r="C296" s="89" t="s">
        <v>2674</v>
      </c>
      <c r="D296" s="90" t="s">
        <v>326</v>
      </c>
      <c r="E296" s="90" t="s">
        <v>1631</v>
      </c>
      <c r="F296" s="91" t="s">
        <v>1556</v>
      </c>
      <c r="G296" s="92" t="s">
        <v>1557</v>
      </c>
      <c r="H296" s="93" t="s">
        <v>2683</v>
      </c>
      <c r="I296" s="87" t="s">
        <v>2276</v>
      </c>
      <c r="J296" s="87" t="s">
        <v>1734</v>
      </c>
      <c r="K296" s="87" t="s">
        <v>1921</v>
      </c>
      <c r="L296" s="126" t="s">
        <v>19</v>
      </c>
      <c r="M296" s="94">
        <v>44270.291666666664</v>
      </c>
      <c r="N296" s="94">
        <v>44270.333333333336</v>
      </c>
      <c r="O296" s="95" t="str">
        <f>PROPER(TEXT(Table1[[#This Row],[Fecha Inicio]],"mmmm"))</f>
        <v>Marzo</v>
      </c>
      <c r="P296" s="96" t="s">
        <v>277</v>
      </c>
      <c r="Q296" s="97" t="s">
        <v>2684</v>
      </c>
      <c r="R296" s="76">
        <f t="shared" si="20"/>
        <v>1</v>
      </c>
      <c r="S296" s="76">
        <f t="shared" si="21"/>
        <v>1</v>
      </c>
      <c r="T296" s="76" t="str">
        <f t="shared" si="22"/>
        <v>-</v>
      </c>
      <c r="U296" s="76" t="str">
        <f t="shared" si="23"/>
        <v>-</v>
      </c>
      <c r="V296" s="76" t="str">
        <f t="shared" si="24"/>
        <v>-</v>
      </c>
      <c r="Z296" s="62"/>
    </row>
    <row r="297" spans="1:26" ht="40.15" customHeight="1" x14ac:dyDescent="0.25">
      <c r="A297" s="87">
        <v>10</v>
      </c>
      <c r="B297" s="88" t="s">
        <v>1550</v>
      </c>
      <c r="C297" s="89"/>
      <c r="D297" s="90" t="s">
        <v>326</v>
      </c>
      <c r="E297" s="90" t="s">
        <v>1742</v>
      </c>
      <c r="F297" s="87" t="s">
        <v>1556</v>
      </c>
      <c r="G297" s="92" t="s">
        <v>1557</v>
      </c>
      <c r="H297" s="93" t="s">
        <v>2685</v>
      </c>
      <c r="I297" s="87" t="s">
        <v>2686</v>
      </c>
      <c r="J297" s="87" t="s">
        <v>1859</v>
      </c>
      <c r="K297" s="87" t="s">
        <v>1860</v>
      </c>
      <c r="L297" s="87" t="s">
        <v>52</v>
      </c>
      <c r="M297" s="94">
        <v>44270.375</v>
      </c>
      <c r="N297" s="94">
        <v>44270.583333333336</v>
      </c>
      <c r="O297" s="95" t="str">
        <f>PROPER(TEXT(Table1[[#This Row],[Fecha Inicio]],"mmmm"))</f>
        <v>Marzo</v>
      </c>
      <c r="P297" s="96" t="s">
        <v>2648</v>
      </c>
      <c r="Q297" s="97" t="s">
        <v>2687</v>
      </c>
      <c r="R297" s="76">
        <f t="shared" si="20"/>
        <v>1</v>
      </c>
      <c r="S297" s="76">
        <f t="shared" si="21"/>
        <v>1</v>
      </c>
      <c r="T297" s="76" t="str">
        <f t="shared" si="22"/>
        <v>-</v>
      </c>
      <c r="U297" s="76" t="str">
        <f t="shared" si="23"/>
        <v>-</v>
      </c>
      <c r="V297" s="76" t="str">
        <f t="shared" si="24"/>
        <v>-</v>
      </c>
      <c r="Z297" s="62"/>
    </row>
    <row r="298" spans="1:26" ht="40.15" customHeight="1" x14ac:dyDescent="0.25">
      <c r="A298" s="87">
        <v>10</v>
      </c>
      <c r="B298" s="88" t="s">
        <v>1550</v>
      </c>
      <c r="C298" s="89"/>
      <c r="D298" s="90" t="s">
        <v>1554</v>
      </c>
      <c r="E298" s="90" t="s">
        <v>1555</v>
      </c>
      <c r="F298" s="87" t="s">
        <v>1556</v>
      </c>
      <c r="G298" s="92" t="s">
        <v>1557</v>
      </c>
      <c r="H298" s="93" t="s">
        <v>2688</v>
      </c>
      <c r="I298" s="87" t="s">
        <v>2689</v>
      </c>
      <c r="J298" s="91" t="s">
        <v>1583</v>
      </c>
      <c r="K298" s="87" t="s">
        <v>1584</v>
      </c>
      <c r="L298" s="87" t="s">
        <v>52</v>
      </c>
      <c r="M298" s="94">
        <v>44270.375</v>
      </c>
      <c r="N298" s="94">
        <v>44271.791666666664</v>
      </c>
      <c r="O298" s="95" t="str">
        <f>PROPER(TEXT(Table1[[#This Row],[Fecha Inicio]],"mmmm"))</f>
        <v>Marzo</v>
      </c>
      <c r="P298" s="96" t="s">
        <v>2690</v>
      </c>
      <c r="Q298" s="97" t="s">
        <v>2691</v>
      </c>
      <c r="R298" s="76">
        <f t="shared" si="20"/>
        <v>15</v>
      </c>
      <c r="S298" s="76">
        <f t="shared" si="21"/>
        <v>15</v>
      </c>
      <c r="T298" s="76" t="str">
        <f t="shared" si="22"/>
        <v>-</v>
      </c>
      <c r="U298" s="76" t="str">
        <f t="shared" si="23"/>
        <v>-</v>
      </c>
      <c r="V298" s="76" t="str">
        <f t="shared" si="24"/>
        <v>-</v>
      </c>
      <c r="Z298" s="62"/>
    </row>
    <row r="299" spans="1:26" ht="40.15" customHeight="1" x14ac:dyDescent="0.25">
      <c r="A299" s="87">
        <v>10</v>
      </c>
      <c r="B299" s="88" t="s">
        <v>1550</v>
      </c>
      <c r="C299" s="89"/>
      <c r="D299" s="90" t="s">
        <v>1554</v>
      </c>
      <c r="E299" s="90" t="s">
        <v>1555</v>
      </c>
      <c r="F299" s="87" t="s">
        <v>1556</v>
      </c>
      <c r="G299" s="92" t="s">
        <v>1557</v>
      </c>
      <c r="H299" s="93" t="s">
        <v>2692</v>
      </c>
      <c r="I299" s="87" t="s">
        <v>2689</v>
      </c>
      <c r="J299" s="91" t="s">
        <v>1583</v>
      </c>
      <c r="K299" s="87" t="s">
        <v>1584</v>
      </c>
      <c r="L299" s="87" t="s">
        <v>52</v>
      </c>
      <c r="M299" s="94">
        <v>44270.375</v>
      </c>
      <c r="N299" s="94">
        <v>44271.791666666664</v>
      </c>
      <c r="O299" s="95" t="str">
        <f>PROPER(TEXT(Table1[[#This Row],[Fecha Inicio]],"mmmm"))</f>
        <v>Marzo</v>
      </c>
      <c r="P299" s="96" t="s">
        <v>2693</v>
      </c>
      <c r="Q299" s="97" t="s">
        <v>2694</v>
      </c>
      <c r="R299" s="76">
        <f t="shared" si="20"/>
        <v>3</v>
      </c>
      <c r="S299" s="76">
        <f t="shared" si="21"/>
        <v>3</v>
      </c>
      <c r="T299" s="76" t="str">
        <f t="shared" si="22"/>
        <v>-</v>
      </c>
      <c r="U299" s="76" t="str">
        <f t="shared" si="23"/>
        <v>-</v>
      </c>
      <c r="V299" s="76" t="str">
        <f t="shared" si="24"/>
        <v>-</v>
      </c>
      <c r="Z299" s="62"/>
    </row>
    <row r="300" spans="1:26" ht="40.15" customHeight="1" x14ac:dyDescent="0.25">
      <c r="A300" s="87">
        <v>10</v>
      </c>
      <c r="B300" s="88" t="s">
        <v>1550</v>
      </c>
      <c r="C300" s="89"/>
      <c r="D300" s="90" t="s">
        <v>1554</v>
      </c>
      <c r="E300" s="90" t="s">
        <v>1555</v>
      </c>
      <c r="F300" s="87" t="s">
        <v>1556</v>
      </c>
      <c r="G300" s="92" t="s">
        <v>1557</v>
      </c>
      <c r="H300" s="93" t="s">
        <v>2695</v>
      </c>
      <c r="I300" s="87" t="s">
        <v>2689</v>
      </c>
      <c r="J300" s="91" t="s">
        <v>1583</v>
      </c>
      <c r="K300" s="87" t="s">
        <v>1584</v>
      </c>
      <c r="L300" s="87" t="s">
        <v>52</v>
      </c>
      <c r="M300" s="94">
        <v>44270.375</v>
      </c>
      <c r="N300" s="94">
        <v>44271.791666666664</v>
      </c>
      <c r="O300" s="95" t="str">
        <f>PROPER(TEXT(Table1[[#This Row],[Fecha Inicio]],"mmmm"))</f>
        <v>Marzo</v>
      </c>
      <c r="P300" s="96" t="s">
        <v>2696</v>
      </c>
      <c r="Q300" s="97" t="s">
        <v>2697</v>
      </c>
      <c r="R300" s="76">
        <f t="shared" si="20"/>
        <v>3</v>
      </c>
      <c r="S300" s="76">
        <f t="shared" si="21"/>
        <v>3</v>
      </c>
      <c r="T300" s="76" t="str">
        <f t="shared" si="22"/>
        <v>-</v>
      </c>
      <c r="U300" s="76" t="str">
        <f t="shared" si="23"/>
        <v>-</v>
      </c>
      <c r="V300" s="76" t="str">
        <f t="shared" si="24"/>
        <v>-</v>
      </c>
      <c r="Z300" s="62"/>
    </row>
    <row r="301" spans="1:26" ht="40.15" customHeight="1" x14ac:dyDescent="0.25">
      <c r="A301" s="87">
        <v>10</v>
      </c>
      <c r="B301" s="88" t="s">
        <v>1550</v>
      </c>
      <c r="C301" s="89"/>
      <c r="D301" s="90" t="s">
        <v>1554</v>
      </c>
      <c r="E301" s="90" t="s">
        <v>1555</v>
      </c>
      <c r="F301" s="87" t="s">
        <v>1556</v>
      </c>
      <c r="G301" s="92" t="s">
        <v>1557</v>
      </c>
      <c r="H301" s="93" t="s">
        <v>2698</v>
      </c>
      <c r="I301" s="87" t="s">
        <v>2689</v>
      </c>
      <c r="J301" s="91" t="s">
        <v>1583</v>
      </c>
      <c r="K301" s="87" t="s">
        <v>1584</v>
      </c>
      <c r="L301" s="87" t="s">
        <v>52</v>
      </c>
      <c r="M301" s="94">
        <v>44270.375</v>
      </c>
      <c r="N301" s="94">
        <v>44271.791666666664</v>
      </c>
      <c r="O301" s="95" t="str">
        <f>PROPER(TEXT(Table1[[#This Row],[Fecha Inicio]],"mmmm"))</f>
        <v>Marzo</v>
      </c>
      <c r="P301" s="96" t="s">
        <v>2699</v>
      </c>
      <c r="Q301" s="97" t="s">
        <v>2700</v>
      </c>
      <c r="R301" s="76">
        <f t="shared" si="20"/>
        <v>16</v>
      </c>
      <c r="S301" s="76">
        <f t="shared" si="21"/>
        <v>16</v>
      </c>
      <c r="T301" s="76" t="str">
        <f t="shared" si="22"/>
        <v>-</v>
      </c>
      <c r="U301" s="76" t="str">
        <f t="shared" si="23"/>
        <v>-</v>
      </c>
      <c r="V301" s="76" t="str">
        <f t="shared" si="24"/>
        <v>-</v>
      </c>
      <c r="Z301" s="62"/>
    </row>
    <row r="302" spans="1:26" ht="40.15" customHeight="1" x14ac:dyDescent="0.25">
      <c r="A302" s="87">
        <v>10</v>
      </c>
      <c r="B302" s="88" t="s">
        <v>1550</v>
      </c>
      <c r="C302" s="89"/>
      <c r="D302" s="90" t="s">
        <v>1554</v>
      </c>
      <c r="E302" s="90" t="s">
        <v>1555</v>
      </c>
      <c r="F302" s="87" t="s">
        <v>1556</v>
      </c>
      <c r="G302" s="92" t="s">
        <v>1557</v>
      </c>
      <c r="H302" s="93" t="s">
        <v>2701</v>
      </c>
      <c r="I302" s="87" t="s">
        <v>2689</v>
      </c>
      <c r="J302" s="91" t="s">
        <v>1583</v>
      </c>
      <c r="K302" s="87" t="s">
        <v>1584</v>
      </c>
      <c r="L302" s="87" t="s">
        <v>52</v>
      </c>
      <c r="M302" s="94">
        <v>44270.375</v>
      </c>
      <c r="N302" s="94">
        <v>44271.791666666664</v>
      </c>
      <c r="O302" s="95" t="str">
        <f>PROPER(TEXT(Table1[[#This Row],[Fecha Inicio]],"mmmm"))</f>
        <v>Marzo</v>
      </c>
      <c r="P302" s="96" t="s">
        <v>2702</v>
      </c>
      <c r="Q302" s="97" t="s">
        <v>2703</v>
      </c>
      <c r="R302" s="76">
        <f t="shared" si="20"/>
        <v>3</v>
      </c>
      <c r="S302" s="76">
        <f t="shared" si="21"/>
        <v>3</v>
      </c>
      <c r="T302" s="76" t="str">
        <f t="shared" si="22"/>
        <v>-</v>
      </c>
      <c r="U302" s="76" t="str">
        <f t="shared" si="23"/>
        <v>-</v>
      </c>
      <c r="V302" s="76" t="str">
        <f t="shared" si="24"/>
        <v>-</v>
      </c>
      <c r="Z302" s="62"/>
    </row>
    <row r="303" spans="1:26" ht="40.15" customHeight="1" x14ac:dyDescent="0.25">
      <c r="A303" s="87">
        <v>9</v>
      </c>
      <c r="B303" s="88" t="s">
        <v>1550</v>
      </c>
      <c r="C303" s="89" t="s">
        <v>2674</v>
      </c>
      <c r="D303" s="90" t="s">
        <v>326</v>
      </c>
      <c r="E303" s="90" t="s">
        <v>1631</v>
      </c>
      <c r="F303" s="91" t="s">
        <v>1556</v>
      </c>
      <c r="G303" s="92" t="s">
        <v>1557</v>
      </c>
      <c r="H303" s="93" t="s">
        <v>2704</v>
      </c>
      <c r="I303" s="87" t="s">
        <v>1750</v>
      </c>
      <c r="J303" s="87" t="s">
        <v>1560</v>
      </c>
      <c r="K303" s="87" t="s">
        <v>1561</v>
      </c>
      <c r="L303" s="126" t="s">
        <v>19</v>
      </c>
      <c r="M303" s="94">
        <v>44270.791666666664</v>
      </c>
      <c r="N303" s="94">
        <v>44271.083333333336</v>
      </c>
      <c r="O303" s="95" t="str">
        <f>PROPER(TEXT(Table1[[#This Row],[Fecha Inicio]],"mmmm"))</f>
        <v>Marzo</v>
      </c>
      <c r="P303" s="96" t="s">
        <v>1751</v>
      </c>
      <c r="Q303" s="97" t="s">
        <v>2705</v>
      </c>
      <c r="R303" s="76">
        <f t="shared" si="20"/>
        <v>4</v>
      </c>
      <c r="S303" s="76">
        <f t="shared" si="21"/>
        <v>4</v>
      </c>
      <c r="T303" s="76" t="str">
        <f t="shared" si="22"/>
        <v>-</v>
      </c>
      <c r="U303" s="76" t="str">
        <f t="shared" si="23"/>
        <v>-</v>
      </c>
      <c r="V303" s="76" t="str">
        <f t="shared" si="24"/>
        <v>-</v>
      </c>
      <c r="Z303" s="62"/>
    </row>
    <row r="304" spans="1:26" ht="40.15" customHeight="1" x14ac:dyDescent="0.25">
      <c r="A304" s="87">
        <v>9</v>
      </c>
      <c r="B304" s="88" t="s">
        <v>1550</v>
      </c>
      <c r="C304" s="89"/>
      <c r="D304" s="89" t="s">
        <v>1570</v>
      </c>
      <c r="E304" s="89" t="s">
        <v>1571</v>
      </c>
      <c r="F304" s="91" t="s">
        <v>1556</v>
      </c>
      <c r="G304" s="92" t="s">
        <v>1557</v>
      </c>
      <c r="H304" s="93" t="s">
        <v>2706</v>
      </c>
      <c r="I304" s="87" t="s">
        <v>2707</v>
      </c>
      <c r="J304" s="91" t="s">
        <v>1755</v>
      </c>
      <c r="K304" s="91" t="s">
        <v>1590</v>
      </c>
      <c r="L304" s="126" t="s">
        <v>19</v>
      </c>
      <c r="M304" s="94">
        <v>44270.916666666664</v>
      </c>
      <c r="N304" s="94">
        <v>44270.958333333336</v>
      </c>
      <c r="O304" s="95" t="str">
        <f>PROPER(TEXT(Table1[[#This Row],[Fecha Inicio]],"mmmm"))</f>
        <v>Marzo</v>
      </c>
      <c r="P304" s="96" t="s">
        <v>1756</v>
      </c>
      <c r="Q304" s="97" t="s">
        <v>2708</v>
      </c>
      <c r="R304" s="76">
        <f t="shared" si="20"/>
        <v>1</v>
      </c>
      <c r="S304" s="76">
        <f t="shared" si="21"/>
        <v>1</v>
      </c>
      <c r="T304" s="76" t="str">
        <f t="shared" si="22"/>
        <v>-</v>
      </c>
      <c r="U304" s="76" t="str">
        <f t="shared" si="23"/>
        <v>-</v>
      </c>
      <c r="V304" s="76" t="str">
        <f t="shared" si="24"/>
        <v>-</v>
      </c>
      <c r="Z304" s="62"/>
    </row>
    <row r="305" spans="1:26" ht="40.15" customHeight="1" x14ac:dyDescent="0.25">
      <c r="A305" s="87">
        <v>10</v>
      </c>
      <c r="B305" s="100" t="s">
        <v>1553</v>
      </c>
      <c r="C305" s="89" t="s">
        <v>2709</v>
      </c>
      <c r="D305" s="90" t="s">
        <v>326</v>
      </c>
      <c r="E305" s="90" t="s">
        <v>1631</v>
      </c>
      <c r="F305" s="91" t="s">
        <v>1556</v>
      </c>
      <c r="G305" s="92" t="s">
        <v>1557</v>
      </c>
      <c r="H305" s="93" t="s">
        <v>2710</v>
      </c>
      <c r="I305" s="87" t="s">
        <v>1759</v>
      </c>
      <c r="J305" s="87" t="s">
        <v>1760</v>
      </c>
      <c r="K305" s="87" t="s">
        <v>1761</v>
      </c>
      <c r="L305" s="126" t="s">
        <v>19</v>
      </c>
      <c r="M305" s="94">
        <v>44270.916666666664</v>
      </c>
      <c r="N305" s="94">
        <v>44271.041666666664</v>
      </c>
      <c r="O305" s="95" t="str">
        <f>PROPER(TEXT(Table1[[#This Row],[Fecha Inicio]],"mmmm"))</f>
        <v>Marzo</v>
      </c>
      <c r="P305" s="96" t="s">
        <v>1762</v>
      </c>
      <c r="Q305" s="97" t="s">
        <v>2711</v>
      </c>
      <c r="R305" s="76">
        <f t="shared" si="20"/>
        <v>9</v>
      </c>
      <c r="S305" s="76" t="str">
        <f t="shared" si="21"/>
        <v>-</v>
      </c>
      <c r="T305" s="76" t="str">
        <f t="shared" si="22"/>
        <v>-</v>
      </c>
      <c r="U305" s="76" t="str">
        <f t="shared" si="23"/>
        <v>-</v>
      </c>
      <c r="V305" s="76">
        <f t="shared" si="24"/>
        <v>9</v>
      </c>
      <c r="Z305" s="62"/>
    </row>
    <row r="306" spans="1:26" ht="40.15" customHeight="1" x14ac:dyDescent="0.25">
      <c r="A306" s="87">
        <v>10</v>
      </c>
      <c r="B306" s="88" t="s">
        <v>1550</v>
      </c>
      <c r="C306" s="89"/>
      <c r="D306" s="89" t="s">
        <v>344</v>
      </c>
      <c r="E306" s="89" t="s">
        <v>1616</v>
      </c>
      <c r="F306" s="87" t="s">
        <v>1556</v>
      </c>
      <c r="G306" s="92" t="s">
        <v>1557</v>
      </c>
      <c r="H306" s="93" t="s">
        <v>2712</v>
      </c>
      <c r="I306" s="89" t="s">
        <v>2298</v>
      </c>
      <c r="J306" s="89" t="s">
        <v>2157</v>
      </c>
      <c r="K306" s="89" t="s">
        <v>2158</v>
      </c>
      <c r="L306" s="126" t="s">
        <v>19</v>
      </c>
      <c r="M306" s="94">
        <v>44270.958333333336</v>
      </c>
      <c r="N306" s="94">
        <v>44271.125</v>
      </c>
      <c r="O306" s="95" t="str">
        <f>PROPER(TEXT(Table1[[#This Row],[Fecha Inicio]],"mmmm"))</f>
        <v>Marzo</v>
      </c>
      <c r="P306" s="96" t="s">
        <v>2713</v>
      </c>
      <c r="Q306" s="97" t="s">
        <v>2714</v>
      </c>
      <c r="R306" s="76">
        <f t="shared" si="20"/>
        <v>6</v>
      </c>
      <c r="S306" s="76">
        <f t="shared" si="21"/>
        <v>6</v>
      </c>
      <c r="T306" s="76" t="str">
        <f t="shared" si="22"/>
        <v>-</v>
      </c>
      <c r="U306" s="76" t="str">
        <f t="shared" si="23"/>
        <v>-</v>
      </c>
      <c r="V306" s="76" t="str">
        <f t="shared" si="24"/>
        <v>-</v>
      </c>
      <c r="Z306" s="62"/>
    </row>
    <row r="307" spans="1:26" ht="40.15" customHeight="1" x14ac:dyDescent="0.25">
      <c r="A307" s="87">
        <v>10</v>
      </c>
      <c r="B307" s="100" t="s">
        <v>1551</v>
      </c>
      <c r="C307" s="89" t="s">
        <v>2715</v>
      </c>
      <c r="D307" s="90" t="s">
        <v>326</v>
      </c>
      <c r="E307" s="90" t="s">
        <v>1631</v>
      </c>
      <c r="F307" s="91" t="s">
        <v>1556</v>
      </c>
      <c r="G307" s="92" t="s">
        <v>1557</v>
      </c>
      <c r="H307" s="93" t="s">
        <v>2716</v>
      </c>
      <c r="I307" s="87" t="s">
        <v>1728</v>
      </c>
      <c r="J307" s="87" t="s">
        <v>1729</v>
      </c>
      <c r="K307" s="87" t="s">
        <v>1575</v>
      </c>
      <c r="L307" s="126" t="s">
        <v>19</v>
      </c>
      <c r="M307" s="94">
        <v>44271.25</v>
      </c>
      <c r="N307" s="94">
        <v>44271.333333333336</v>
      </c>
      <c r="O307" s="95" t="str">
        <f>PROPER(TEXT(Table1[[#This Row],[Fecha Inicio]],"mmmm"))</f>
        <v>Marzo</v>
      </c>
      <c r="P307" s="96" t="s">
        <v>1730</v>
      </c>
      <c r="Q307" s="97" t="s">
        <v>2717</v>
      </c>
      <c r="R307" s="76">
        <f t="shared" si="20"/>
        <v>5</v>
      </c>
      <c r="S307" s="76" t="str">
        <f t="shared" si="21"/>
        <v>-</v>
      </c>
      <c r="T307" s="76" t="str">
        <f t="shared" si="22"/>
        <v>-</v>
      </c>
      <c r="U307" s="76" t="str">
        <f t="shared" si="23"/>
        <v>-</v>
      </c>
      <c r="V307" s="76" t="str">
        <f t="shared" si="24"/>
        <v>-</v>
      </c>
      <c r="Z307" s="62"/>
    </row>
    <row r="308" spans="1:26" ht="40.15" customHeight="1" x14ac:dyDescent="0.25">
      <c r="A308" s="87">
        <v>10</v>
      </c>
      <c r="B308" s="88" t="s">
        <v>1550</v>
      </c>
      <c r="C308" s="89"/>
      <c r="D308" s="90" t="s">
        <v>1579</v>
      </c>
      <c r="E308" s="90" t="s">
        <v>1580</v>
      </c>
      <c r="F308" s="87" t="s">
        <v>1556</v>
      </c>
      <c r="G308" s="92" t="s">
        <v>1557</v>
      </c>
      <c r="H308" s="93" t="s">
        <v>2722</v>
      </c>
      <c r="I308" s="87" t="s">
        <v>2723</v>
      </c>
      <c r="J308" s="87" t="s">
        <v>1560</v>
      </c>
      <c r="K308" s="87" t="s">
        <v>1561</v>
      </c>
      <c r="L308" s="126" t="s">
        <v>19</v>
      </c>
      <c r="M308" s="94">
        <v>44271.375</v>
      </c>
      <c r="N308" s="94">
        <v>44271.5</v>
      </c>
      <c r="O308" s="95" t="str">
        <f>PROPER(TEXT(Table1[[#This Row],[Fecha Inicio]],"mmmm"))</f>
        <v>Marzo</v>
      </c>
      <c r="P308" s="96" t="s">
        <v>2724</v>
      </c>
      <c r="Q308" s="97" t="s">
        <v>2725</v>
      </c>
      <c r="R308" s="76">
        <f t="shared" si="20"/>
        <v>1</v>
      </c>
      <c r="S308" s="76">
        <f t="shared" si="21"/>
        <v>1</v>
      </c>
      <c r="T308" s="76" t="str">
        <f t="shared" si="22"/>
        <v>-</v>
      </c>
      <c r="U308" s="76" t="str">
        <f t="shared" si="23"/>
        <v>-</v>
      </c>
      <c r="V308" s="76" t="str">
        <f t="shared" si="24"/>
        <v>-</v>
      </c>
      <c r="Z308" s="62"/>
    </row>
    <row r="309" spans="1:26" ht="40.15" customHeight="1" x14ac:dyDescent="0.25">
      <c r="A309" s="87">
        <v>10</v>
      </c>
      <c r="B309" s="88" t="s">
        <v>1550</v>
      </c>
      <c r="C309" s="89"/>
      <c r="D309" s="90" t="s">
        <v>326</v>
      </c>
      <c r="E309" s="90" t="s">
        <v>1742</v>
      </c>
      <c r="F309" s="87" t="s">
        <v>1556</v>
      </c>
      <c r="G309" s="92" t="s">
        <v>1557</v>
      </c>
      <c r="H309" s="93" t="s">
        <v>2718</v>
      </c>
      <c r="I309" s="87" t="s">
        <v>2719</v>
      </c>
      <c r="J309" s="87" t="s">
        <v>1859</v>
      </c>
      <c r="K309" s="87" t="s">
        <v>1860</v>
      </c>
      <c r="L309" s="87" t="s">
        <v>52</v>
      </c>
      <c r="M309" s="94">
        <v>44271.375</v>
      </c>
      <c r="N309" s="94">
        <v>44271.583333333336</v>
      </c>
      <c r="O309" s="95" t="str">
        <f>PROPER(TEXT(Table1[[#This Row],[Fecha Inicio]],"mmmm"))</f>
        <v>Marzo</v>
      </c>
      <c r="P309" s="96" t="s">
        <v>2720</v>
      </c>
      <c r="Q309" s="97" t="s">
        <v>2721</v>
      </c>
      <c r="R309" s="76">
        <f t="shared" si="20"/>
        <v>2</v>
      </c>
      <c r="S309" s="76">
        <f t="shared" si="21"/>
        <v>2</v>
      </c>
      <c r="T309" s="76" t="str">
        <f t="shared" si="22"/>
        <v>-</v>
      </c>
      <c r="U309" s="76" t="str">
        <f t="shared" si="23"/>
        <v>-</v>
      </c>
      <c r="V309" s="76" t="str">
        <f t="shared" si="24"/>
        <v>-</v>
      </c>
      <c r="Z309" s="62"/>
    </row>
    <row r="310" spans="1:26" ht="40.15" customHeight="1" x14ac:dyDescent="0.25">
      <c r="A310" s="87">
        <v>10</v>
      </c>
      <c r="B310" s="88" t="s">
        <v>1550</v>
      </c>
      <c r="C310" s="89" t="s">
        <v>2674</v>
      </c>
      <c r="D310" s="90" t="s">
        <v>326</v>
      </c>
      <c r="E310" s="90" t="s">
        <v>1631</v>
      </c>
      <c r="F310" s="91" t="s">
        <v>1556</v>
      </c>
      <c r="G310" s="92" t="s">
        <v>1557</v>
      </c>
      <c r="H310" s="93" t="s">
        <v>2726</v>
      </c>
      <c r="I310" s="87" t="s">
        <v>1775</v>
      </c>
      <c r="J310" s="87" t="s">
        <v>1776</v>
      </c>
      <c r="K310" s="87" t="s">
        <v>1575</v>
      </c>
      <c r="L310" s="126" t="s">
        <v>19</v>
      </c>
      <c r="M310" s="94">
        <v>44271.666666666664</v>
      </c>
      <c r="N310" s="94">
        <v>44271.75</v>
      </c>
      <c r="O310" s="95" t="str">
        <f>PROPER(TEXT(Table1[[#This Row],[Fecha Inicio]],"mmmm"))</f>
        <v>Marzo</v>
      </c>
      <c r="P310" s="96" t="s">
        <v>1777</v>
      </c>
      <c r="Q310" s="97" t="s">
        <v>2727</v>
      </c>
      <c r="R310" s="76">
        <f t="shared" si="20"/>
        <v>2</v>
      </c>
      <c r="S310" s="76">
        <f t="shared" si="21"/>
        <v>2</v>
      </c>
      <c r="T310" s="76" t="str">
        <f t="shared" si="22"/>
        <v>-</v>
      </c>
      <c r="U310" s="76" t="str">
        <f t="shared" si="23"/>
        <v>-</v>
      </c>
      <c r="V310" s="76" t="str">
        <f t="shared" si="24"/>
        <v>-</v>
      </c>
      <c r="Z310" s="62"/>
    </row>
    <row r="311" spans="1:26" ht="40.15" customHeight="1" x14ac:dyDescent="0.25">
      <c r="A311" s="87">
        <v>10</v>
      </c>
      <c r="B311" s="88" t="s">
        <v>1550</v>
      </c>
      <c r="C311" s="89" t="s">
        <v>2674</v>
      </c>
      <c r="D311" s="90" t="s">
        <v>326</v>
      </c>
      <c r="E311" s="90" t="s">
        <v>1631</v>
      </c>
      <c r="F311" s="91" t="s">
        <v>1556</v>
      </c>
      <c r="G311" s="92" t="s">
        <v>1557</v>
      </c>
      <c r="H311" s="93" t="s">
        <v>2728</v>
      </c>
      <c r="I311" s="87" t="s">
        <v>2306</v>
      </c>
      <c r="J311" s="87" t="s">
        <v>1786</v>
      </c>
      <c r="K311" s="87" t="s">
        <v>2307</v>
      </c>
      <c r="L311" s="126" t="s">
        <v>19</v>
      </c>
      <c r="M311" s="94">
        <v>44271.833333333336</v>
      </c>
      <c r="N311" s="94">
        <v>44271.875</v>
      </c>
      <c r="O311" s="95" t="str">
        <f>PROPER(TEXT(Table1[[#This Row],[Fecha Inicio]],"mmmm"))</f>
        <v>Marzo</v>
      </c>
      <c r="P311" s="96" t="s">
        <v>250</v>
      </c>
      <c r="Q311" s="97" t="s">
        <v>2729</v>
      </c>
      <c r="R311" s="76">
        <f t="shared" si="20"/>
        <v>1</v>
      </c>
      <c r="S311" s="76">
        <f t="shared" si="21"/>
        <v>1</v>
      </c>
      <c r="T311" s="76" t="str">
        <f t="shared" si="22"/>
        <v>-</v>
      </c>
      <c r="U311" s="76" t="str">
        <f t="shared" si="23"/>
        <v>-</v>
      </c>
      <c r="V311" s="76" t="str">
        <f t="shared" si="24"/>
        <v>-</v>
      </c>
      <c r="Z311" s="62"/>
    </row>
    <row r="312" spans="1:26" ht="40.15" customHeight="1" x14ac:dyDescent="0.25">
      <c r="A312" s="87">
        <v>9</v>
      </c>
      <c r="B312" s="88" t="s">
        <v>1550</v>
      </c>
      <c r="C312" s="89"/>
      <c r="D312" s="89" t="s">
        <v>1570</v>
      </c>
      <c r="E312" s="89" t="s">
        <v>1571</v>
      </c>
      <c r="F312" s="91" t="s">
        <v>1556</v>
      </c>
      <c r="G312" s="92" t="s">
        <v>1557</v>
      </c>
      <c r="H312" s="93" t="s">
        <v>2732</v>
      </c>
      <c r="I312" s="87" t="s">
        <v>2733</v>
      </c>
      <c r="J312" s="91" t="s">
        <v>1708</v>
      </c>
      <c r="K312" s="91" t="s">
        <v>1709</v>
      </c>
      <c r="L312" s="126" t="s">
        <v>19</v>
      </c>
      <c r="M312" s="94">
        <v>44271.916666666664</v>
      </c>
      <c r="N312" s="94">
        <v>44271.958333333336</v>
      </c>
      <c r="O312" s="95" t="str">
        <f>PROPER(TEXT(Table1[[#This Row],[Fecha Inicio]],"mmmm"))</f>
        <v>Marzo</v>
      </c>
      <c r="P312" s="96" t="s">
        <v>1710</v>
      </c>
      <c r="Q312" s="97" t="s">
        <v>2734</v>
      </c>
      <c r="R312" s="76">
        <f t="shared" si="20"/>
        <v>15</v>
      </c>
      <c r="S312" s="76">
        <f t="shared" si="21"/>
        <v>15</v>
      </c>
      <c r="T312" s="76" t="str">
        <f t="shared" si="22"/>
        <v>-</v>
      </c>
      <c r="U312" s="76" t="str">
        <f t="shared" si="23"/>
        <v>-</v>
      </c>
      <c r="V312" s="76" t="str">
        <f t="shared" si="24"/>
        <v>-</v>
      </c>
      <c r="Z312" s="62"/>
    </row>
    <row r="313" spans="1:26" ht="40.15" customHeight="1" x14ac:dyDescent="0.25">
      <c r="A313" s="87">
        <v>11</v>
      </c>
      <c r="B313" s="88" t="s">
        <v>1550</v>
      </c>
      <c r="C313" s="89" t="s">
        <v>2674</v>
      </c>
      <c r="D313" s="90" t="s">
        <v>326</v>
      </c>
      <c r="E313" s="90" t="s">
        <v>1631</v>
      </c>
      <c r="F313" s="91" t="s">
        <v>1556</v>
      </c>
      <c r="G313" s="92" t="s">
        <v>1557</v>
      </c>
      <c r="H313" s="93" t="s">
        <v>2730</v>
      </c>
      <c r="I313" s="87" t="s">
        <v>1759</v>
      </c>
      <c r="J313" s="87" t="s">
        <v>1760</v>
      </c>
      <c r="K313" s="87" t="s">
        <v>1761</v>
      </c>
      <c r="L313" s="126" t="s">
        <v>19</v>
      </c>
      <c r="M313" s="94">
        <v>44271.916666666664</v>
      </c>
      <c r="N313" s="94">
        <v>44272.041666666664</v>
      </c>
      <c r="O313" s="95" t="str">
        <f>PROPER(TEXT(Table1[[#This Row],[Fecha Inicio]],"mmmm"))</f>
        <v>Marzo</v>
      </c>
      <c r="P313" s="96" t="s">
        <v>1762</v>
      </c>
      <c r="Q313" s="97" t="s">
        <v>2731</v>
      </c>
      <c r="R313" s="76">
        <f t="shared" si="20"/>
        <v>9</v>
      </c>
      <c r="S313" s="76">
        <f t="shared" si="21"/>
        <v>9</v>
      </c>
      <c r="T313" s="76" t="str">
        <f t="shared" si="22"/>
        <v>-</v>
      </c>
      <c r="U313" s="76" t="str">
        <f t="shared" si="23"/>
        <v>-</v>
      </c>
      <c r="V313" s="76" t="str">
        <f t="shared" si="24"/>
        <v>-</v>
      </c>
      <c r="Z313" s="62"/>
    </row>
    <row r="314" spans="1:26" ht="40.15" customHeight="1" x14ac:dyDescent="0.25">
      <c r="A314" s="87">
        <v>10</v>
      </c>
      <c r="B314" s="88" t="s">
        <v>1550</v>
      </c>
      <c r="C314" s="89"/>
      <c r="D314" s="89" t="s">
        <v>344</v>
      </c>
      <c r="E314" s="89" t="s">
        <v>1616</v>
      </c>
      <c r="F314" s="87" t="s">
        <v>1556</v>
      </c>
      <c r="G314" s="92" t="s">
        <v>1557</v>
      </c>
      <c r="H314" s="93" t="s">
        <v>2735</v>
      </c>
      <c r="I314" s="89" t="s">
        <v>2313</v>
      </c>
      <c r="J314" s="89" t="s">
        <v>2157</v>
      </c>
      <c r="K314" s="89" t="s">
        <v>2158</v>
      </c>
      <c r="L314" s="126" t="s">
        <v>19</v>
      </c>
      <c r="M314" s="94">
        <v>44271.958333333336</v>
      </c>
      <c r="N314" s="94">
        <v>44272.125</v>
      </c>
      <c r="O314" s="95" t="str">
        <f>PROPER(TEXT(Table1[[#This Row],[Fecha Inicio]],"mmmm"))</f>
        <v>Marzo</v>
      </c>
      <c r="P314" s="96" t="s">
        <v>2736</v>
      </c>
      <c r="Q314" s="97" t="s">
        <v>2737</v>
      </c>
      <c r="R314" s="76">
        <f t="shared" si="20"/>
        <v>6</v>
      </c>
      <c r="S314" s="76">
        <f t="shared" si="21"/>
        <v>6</v>
      </c>
      <c r="T314" s="76" t="str">
        <f t="shared" si="22"/>
        <v>-</v>
      </c>
      <c r="U314" s="76" t="str">
        <f t="shared" si="23"/>
        <v>-</v>
      </c>
      <c r="V314" s="76" t="str">
        <f t="shared" si="24"/>
        <v>-</v>
      </c>
      <c r="Z314" s="62"/>
    </row>
    <row r="315" spans="1:26" ht="40.15" customHeight="1" x14ac:dyDescent="0.25">
      <c r="A315" s="87">
        <v>11</v>
      </c>
      <c r="B315" s="88" t="s">
        <v>1550</v>
      </c>
      <c r="C315" s="89" t="s">
        <v>2674</v>
      </c>
      <c r="D315" s="90" t="s">
        <v>326</v>
      </c>
      <c r="E315" s="90" t="s">
        <v>1631</v>
      </c>
      <c r="F315" s="91" t="s">
        <v>1556</v>
      </c>
      <c r="G315" s="92" t="s">
        <v>1557</v>
      </c>
      <c r="H315" s="93" t="s">
        <v>2738</v>
      </c>
      <c r="I315" s="87" t="s">
        <v>1759</v>
      </c>
      <c r="J315" s="87" t="s">
        <v>1760</v>
      </c>
      <c r="K315" s="87" t="s">
        <v>1761</v>
      </c>
      <c r="L315" s="126" t="s">
        <v>19</v>
      </c>
      <c r="M315" s="94">
        <v>44272.041666666664</v>
      </c>
      <c r="N315" s="94">
        <v>44272.166666666664</v>
      </c>
      <c r="O315" s="95" t="str">
        <f>PROPER(TEXT(Table1[[#This Row],[Fecha Inicio]],"mmmm"))</f>
        <v>Marzo</v>
      </c>
      <c r="P315" s="96" t="s">
        <v>2739</v>
      </c>
      <c r="Q315" s="97" t="s">
        <v>2740</v>
      </c>
      <c r="R315" s="76">
        <f t="shared" si="20"/>
        <v>7</v>
      </c>
      <c r="S315" s="76">
        <f t="shared" si="21"/>
        <v>7</v>
      </c>
      <c r="T315" s="76" t="str">
        <f t="shared" si="22"/>
        <v>-</v>
      </c>
      <c r="U315" s="76" t="str">
        <f t="shared" si="23"/>
        <v>-</v>
      </c>
      <c r="V315" s="76" t="str">
        <f t="shared" si="24"/>
        <v>-</v>
      </c>
      <c r="Z315" s="62"/>
    </row>
    <row r="316" spans="1:26" ht="40.15" customHeight="1" x14ac:dyDescent="0.25">
      <c r="A316" s="87">
        <v>10</v>
      </c>
      <c r="B316" s="88" t="s">
        <v>1550</v>
      </c>
      <c r="C316" s="89" t="s">
        <v>2674</v>
      </c>
      <c r="D316" s="90" t="s">
        <v>326</v>
      </c>
      <c r="E316" s="90" t="s">
        <v>1631</v>
      </c>
      <c r="F316" s="91" t="s">
        <v>1556</v>
      </c>
      <c r="G316" s="92" t="s">
        <v>1557</v>
      </c>
      <c r="H316" s="93" t="s">
        <v>2741</v>
      </c>
      <c r="I316" s="87" t="s">
        <v>1813</v>
      </c>
      <c r="J316" s="91" t="s">
        <v>1814</v>
      </c>
      <c r="K316" s="91" t="s">
        <v>1761</v>
      </c>
      <c r="L316" s="126" t="s">
        <v>19</v>
      </c>
      <c r="M316" s="94">
        <v>44272.291666666664</v>
      </c>
      <c r="N316" s="94">
        <v>44272.333333333336</v>
      </c>
      <c r="O316" s="95" t="str">
        <f>PROPER(TEXT(Table1[[#This Row],[Fecha Inicio]],"mmmm"))</f>
        <v>Marzo</v>
      </c>
      <c r="P316" s="96" t="s">
        <v>109</v>
      </c>
      <c r="Q316" s="97" t="s">
        <v>2742</v>
      </c>
      <c r="R316" s="76">
        <f t="shared" si="20"/>
        <v>1</v>
      </c>
      <c r="S316" s="76">
        <f t="shared" si="21"/>
        <v>1</v>
      </c>
      <c r="T316" s="76" t="str">
        <f t="shared" si="22"/>
        <v>-</v>
      </c>
      <c r="U316" s="76" t="str">
        <f t="shared" si="23"/>
        <v>-</v>
      </c>
      <c r="V316" s="76" t="str">
        <f t="shared" si="24"/>
        <v>-</v>
      </c>
      <c r="Z316" s="62"/>
    </row>
    <row r="317" spans="1:26" ht="40.15" customHeight="1" x14ac:dyDescent="0.25">
      <c r="A317" s="87">
        <v>10</v>
      </c>
      <c r="B317" s="88" t="s">
        <v>1550</v>
      </c>
      <c r="C317" s="89" t="s">
        <v>2674</v>
      </c>
      <c r="D317" s="90" t="s">
        <v>326</v>
      </c>
      <c r="E317" s="90" t="s">
        <v>1631</v>
      </c>
      <c r="F317" s="91" t="s">
        <v>1556</v>
      </c>
      <c r="G317" s="92" t="s">
        <v>1557</v>
      </c>
      <c r="H317" s="93" t="s">
        <v>2743</v>
      </c>
      <c r="I317" s="87" t="s">
        <v>2276</v>
      </c>
      <c r="J317" s="87" t="s">
        <v>1734</v>
      </c>
      <c r="K317" s="87" t="s">
        <v>1921</v>
      </c>
      <c r="L317" s="126" t="s">
        <v>19</v>
      </c>
      <c r="M317" s="94">
        <v>44272.291666666664</v>
      </c>
      <c r="N317" s="94">
        <v>44272.333333333336</v>
      </c>
      <c r="O317" s="95" t="str">
        <f>PROPER(TEXT(Table1[[#This Row],[Fecha Inicio]],"mmmm"))</f>
        <v>Marzo</v>
      </c>
      <c r="P317" s="96" t="s">
        <v>111</v>
      </c>
      <c r="Q317" s="97" t="s">
        <v>2744</v>
      </c>
      <c r="R317" s="76">
        <f t="shared" si="20"/>
        <v>1</v>
      </c>
      <c r="S317" s="76">
        <f t="shared" si="21"/>
        <v>1</v>
      </c>
      <c r="T317" s="76" t="str">
        <f t="shared" si="22"/>
        <v>-</v>
      </c>
      <c r="U317" s="76" t="str">
        <f t="shared" si="23"/>
        <v>-</v>
      </c>
      <c r="V317" s="76" t="str">
        <f t="shared" si="24"/>
        <v>-</v>
      </c>
      <c r="Z317" s="62"/>
    </row>
    <row r="318" spans="1:26" ht="40.15" customHeight="1" x14ac:dyDescent="0.25">
      <c r="A318" s="87">
        <v>11</v>
      </c>
      <c r="B318" s="88" t="s">
        <v>1550</v>
      </c>
      <c r="C318" s="89"/>
      <c r="D318" s="90" t="s">
        <v>1579</v>
      </c>
      <c r="E318" s="90" t="s">
        <v>1580</v>
      </c>
      <c r="F318" s="87" t="s">
        <v>1556</v>
      </c>
      <c r="G318" s="92" t="s">
        <v>1557</v>
      </c>
      <c r="H318" s="93" t="s">
        <v>2752</v>
      </c>
      <c r="I318" s="87" t="s">
        <v>2753</v>
      </c>
      <c r="J318" s="87" t="s">
        <v>1560</v>
      </c>
      <c r="K318" s="87" t="s">
        <v>1561</v>
      </c>
      <c r="L318" s="126" t="s">
        <v>19</v>
      </c>
      <c r="M318" s="94">
        <v>44272.375</v>
      </c>
      <c r="N318" s="94">
        <v>44272.5</v>
      </c>
      <c r="O318" s="95" t="str">
        <f>PROPER(TEXT(Table1[[#This Row],[Fecha Inicio]],"mmmm"))</f>
        <v>Marzo</v>
      </c>
      <c r="P318" s="96" t="s">
        <v>2754</v>
      </c>
      <c r="Q318" s="97" t="s">
        <v>2755</v>
      </c>
      <c r="R318" s="76">
        <f t="shared" si="20"/>
        <v>1</v>
      </c>
      <c r="S318" s="76">
        <f t="shared" si="21"/>
        <v>1</v>
      </c>
      <c r="T318" s="76" t="str">
        <f t="shared" si="22"/>
        <v>-</v>
      </c>
      <c r="U318" s="76" t="str">
        <f t="shared" si="23"/>
        <v>-</v>
      </c>
      <c r="V318" s="76" t="str">
        <f t="shared" si="24"/>
        <v>-</v>
      </c>
      <c r="Z318" s="62"/>
    </row>
    <row r="319" spans="1:26" ht="40.15" customHeight="1" x14ac:dyDescent="0.25">
      <c r="A319" s="87">
        <v>11</v>
      </c>
      <c r="B319" s="88" t="s">
        <v>1550</v>
      </c>
      <c r="C319" s="89" t="s">
        <v>1578</v>
      </c>
      <c r="D319" s="89" t="s">
        <v>326</v>
      </c>
      <c r="E319" s="89" t="s">
        <v>1631</v>
      </c>
      <c r="F319" s="87" t="s">
        <v>1556</v>
      </c>
      <c r="G319" s="92" t="s">
        <v>1557</v>
      </c>
      <c r="H319" s="93" t="s">
        <v>2745</v>
      </c>
      <c r="I319" s="87" t="s">
        <v>1858</v>
      </c>
      <c r="J319" s="87" t="s">
        <v>1859</v>
      </c>
      <c r="K319" s="87" t="s">
        <v>1860</v>
      </c>
      <c r="L319" s="87" t="s">
        <v>52</v>
      </c>
      <c r="M319" s="94">
        <v>44272.375</v>
      </c>
      <c r="N319" s="94">
        <v>44273.791666666664</v>
      </c>
      <c r="O319" s="95" t="str">
        <f>PROPER(TEXT(Table1[[#This Row],[Fecha Inicio]],"mmmm"))</f>
        <v>Marzo</v>
      </c>
      <c r="P319" s="96" t="s">
        <v>2746</v>
      </c>
      <c r="Q319" s="97" t="s">
        <v>2747</v>
      </c>
      <c r="R319" s="76">
        <f t="shared" si="20"/>
        <v>4</v>
      </c>
      <c r="S319" s="76">
        <f t="shared" si="21"/>
        <v>4</v>
      </c>
      <c r="T319" s="76" t="str">
        <f t="shared" si="22"/>
        <v>-</v>
      </c>
      <c r="U319" s="76" t="str">
        <f t="shared" si="23"/>
        <v>-</v>
      </c>
      <c r="V319" s="76" t="str">
        <f t="shared" si="24"/>
        <v>-</v>
      </c>
      <c r="Z319" s="62"/>
    </row>
    <row r="320" spans="1:26" ht="40.15" customHeight="1" x14ac:dyDescent="0.25">
      <c r="A320" s="87">
        <v>11</v>
      </c>
      <c r="B320" s="88" t="s">
        <v>1550</v>
      </c>
      <c r="C320" s="89" t="s">
        <v>1578</v>
      </c>
      <c r="D320" s="90" t="s">
        <v>1554</v>
      </c>
      <c r="E320" s="90" t="s">
        <v>1555</v>
      </c>
      <c r="F320" s="87" t="s">
        <v>1556</v>
      </c>
      <c r="G320" s="92" t="s">
        <v>1557</v>
      </c>
      <c r="H320" s="93" t="s">
        <v>2748</v>
      </c>
      <c r="I320" s="87" t="s">
        <v>2749</v>
      </c>
      <c r="J320" s="91" t="s">
        <v>1583</v>
      </c>
      <c r="K320" s="87" t="s">
        <v>1584</v>
      </c>
      <c r="L320" s="87" t="s">
        <v>52</v>
      </c>
      <c r="M320" s="94">
        <v>44272.375</v>
      </c>
      <c r="N320" s="94">
        <v>44273.791666666664</v>
      </c>
      <c r="O320" s="95" t="str">
        <f>PROPER(TEXT(Table1[[#This Row],[Fecha Inicio]],"mmmm"))</f>
        <v>Marzo</v>
      </c>
      <c r="P320" s="96" t="s">
        <v>2750</v>
      </c>
      <c r="Q320" s="97" t="s">
        <v>2751</v>
      </c>
      <c r="R320" s="76">
        <f t="shared" si="20"/>
        <v>1</v>
      </c>
      <c r="S320" s="76">
        <f t="shared" si="21"/>
        <v>1</v>
      </c>
      <c r="T320" s="76" t="str">
        <f t="shared" si="22"/>
        <v>-</v>
      </c>
      <c r="U320" s="76" t="str">
        <f t="shared" si="23"/>
        <v>-</v>
      </c>
      <c r="V320" s="76" t="str">
        <f t="shared" si="24"/>
        <v>-</v>
      </c>
      <c r="Z320" s="62"/>
    </row>
    <row r="321" spans="1:26" ht="40.15" customHeight="1" x14ac:dyDescent="0.25">
      <c r="A321" s="87">
        <v>10</v>
      </c>
      <c r="B321" s="88" t="s">
        <v>1550</v>
      </c>
      <c r="C321" s="89"/>
      <c r="D321" s="90" t="s">
        <v>344</v>
      </c>
      <c r="E321" s="90" t="s">
        <v>1616</v>
      </c>
      <c r="F321" s="91" t="s">
        <v>1556</v>
      </c>
      <c r="G321" s="92" t="s">
        <v>1557</v>
      </c>
      <c r="H321" s="93" t="s">
        <v>2756</v>
      </c>
      <c r="I321" s="87" t="s">
        <v>2757</v>
      </c>
      <c r="J321" s="87" t="s">
        <v>1560</v>
      </c>
      <c r="K321" s="87" t="s">
        <v>1561</v>
      </c>
      <c r="L321" s="126" t="s">
        <v>19</v>
      </c>
      <c r="M321" s="94">
        <v>44272.416666666664</v>
      </c>
      <c r="N321" s="94">
        <v>44272.708333333336</v>
      </c>
      <c r="O321" s="95" t="str">
        <f>PROPER(TEXT(Table1[[#This Row],[Fecha Inicio]],"mmmm"))</f>
        <v>Marzo</v>
      </c>
      <c r="P321" s="96" t="s">
        <v>1650</v>
      </c>
      <c r="Q321" s="97" t="s">
        <v>2758</v>
      </c>
      <c r="R321" s="76">
        <f t="shared" si="20"/>
        <v>1</v>
      </c>
      <c r="S321" s="76">
        <f t="shared" si="21"/>
        <v>1</v>
      </c>
      <c r="T321" s="76" t="str">
        <f t="shared" si="22"/>
        <v>-</v>
      </c>
      <c r="U321" s="76" t="str">
        <f t="shared" si="23"/>
        <v>-</v>
      </c>
      <c r="V321" s="76" t="str">
        <f t="shared" si="24"/>
        <v>-</v>
      </c>
      <c r="Z321" s="62"/>
    </row>
    <row r="322" spans="1:26" ht="40.15" customHeight="1" x14ac:dyDescent="0.25">
      <c r="A322" s="87">
        <v>11</v>
      </c>
      <c r="B322" s="88" t="s">
        <v>1550</v>
      </c>
      <c r="C322" s="89" t="s">
        <v>1578</v>
      </c>
      <c r="D322" s="89" t="s">
        <v>326</v>
      </c>
      <c r="E322" s="89" t="s">
        <v>1742</v>
      </c>
      <c r="F322" s="87" t="s">
        <v>1556</v>
      </c>
      <c r="G322" s="92" t="s">
        <v>1557</v>
      </c>
      <c r="H322" s="93" t="s">
        <v>2759</v>
      </c>
      <c r="I322" s="87" t="s">
        <v>2760</v>
      </c>
      <c r="J322" s="91" t="s">
        <v>1583</v>
      </c>
      <c r="K322" s="87" t="s">
        <v>1584</v>
      </c>
      <c r="L322" s="126" t="s">
        <v>19</v>
      </c>
      <c r="M322" s="94">
        <v>44272.5</v>
      </c>
      <c r="N322" s="94">
        <v>44272.541666666664</v>
      </c>
      <c r="O322" s="95" t="str">
        <f>PROPER(TEXT(Table1[[#This Row],[Fecha Inicio]],"mmmm"))</f>
        <v>Marzo</v>
      </c>
      <c r="P322" s="96" t="s">
        <v>2761</v>
      </c>
      <c r="Q322" s="97" t="s">
        <v>2762</v>
      </c>
      <c r="R322" s="76">
        <f t="shared" ref="R322:R385" si="25">LEN(TRIM(P322))-LEN(SUBSTITUTE(TRIM(P322),",",""))+1</f>
        <v>2</v>
      </c>
      <c r="S322" s="76">
        <f t="shared" ref="S322:S385" si="26">IF(B322="CON ÉXITO",R322,"-")</f>
        <v>2</v>
      </c>
      <c r="T322" s="76" t="str">
        <f t="shared" ref="T322:T385" si="27">IF($B322="Éxito con problemas",S322,"-")</f>
        <v>-</v>
      </c>
      <c r="U322" s="76" t="str">
        <f t="shared" ref="U322:U385" si="28">IF($B322="CANCELADO",R322,"-")</f>
        <v>-</v>
      </c>
      <c r="V322" s="76" t="str">
        <f t="shared" ref="V322:V385" si="29">IF($B322="Aplicada marcha atrás",R322,"-")</f>
        <v>-</v>
      </c>
      <c r="Z322" s="62"/>
    </row>
    <row r="323" spans="1:26" ht="40.15" customHeight="1" x14ac:dyDescent="0.25">
      <c r="A323" s="87">
        <v>11</v>
      </c>
      <c r="B323" s="88" t="s">
        <v>1550</v>
      </c>
      <c r="C323" s="89"/>
      <c r="D323" s="90" t="s">
        <v>1623</v>
      </c>
      <c r="E323" s="90" t="s">
        <v>1624</v>
      </c>
      <c r="F323" s="91" t="s">
        <v>1556</v>
      </c>
      <c r="G323" s="92" t="s">
        <v>1557</v>
      </c>
      <c r="H323" s="93" t="s">
        <v>2763</v>
      </c>
      <c r="I323" s="87" t="s">
        <v>1685</v>
      </c>
      <c r="J323" s="87" t="s">
        <v>1627</v>
      </c>
      <c r="K323" s="87" t="s">
        <v>1575</v>
      </c>
      <c r="L323" s="126" t="s">
        <v>19</v>
      </c>
      <c r="M323" s="94">
        <v>44272.5</v>
      </c>
      <c r="N323" s="94">
        <v>44272.625</v>
      </c>
      <c r="O323" s="95" t="str">
        <f>PROPER(TEXT(Table1[[#This Row],[Fecha Inicio]],"mmmm"))</f>
        <v>Marzo</v>
      </c>
      <c r="P323" s="96" t="s">
        <v>2764</v>
      </c>
      <c r="Q323" s="97" t="s">
        <v>2765</v>
      </c>
      <c r="R323" s="76">
        <f t="shared" si="25"/>
        <v>2</v>
      </c>
      <c r="S323" s="76">
        <f t="shared" si="26"/>
        <v>2</v>
      </c>
      <c r="T323" s="76" t="str">
        <f t="shared" si="27"/>
        <v>-</v>
      </c>
      <c r="U323" s="76" t="str">
        <f t="shared" si="28"/>
        <v>-</v>
      </c>
      <c r="V323" s="76" t="str">
        <f t="shared" si="29"/>
        <v>-</v>
      </c>
      <c r="Z323" s="62"/>
    </row>
    <row r="324" spans="1:26" ht="40.15" customHeight="1" x14ac:dyDescent="0.25">
      <c r="A324" s="87">
        <v>9</v>
      </c>
      <c r="B324" s="88" t="s">
        <v>1550</v>
      </c>
      <c r="C324" s="89"/>
      <c r="D324" s="89" t="s">
        <v>1570</v>
      </c>
      <c r="E324" s="89" t="s">
        <v>1571</v>
      </c>
      <c r="F324" s="91" t="s">
        <v>1556</v>
      </c>
      <c r="G324" s="92" t="s">
        <v>1557</v>
      </c>
      <c r="H324" s="93" t="s">
        <v>2766</v>
      </c>
      <c r="I324" s="87" t="s">
        <v>2767</v>
      </c>
      <c r="J324" s="91" t="s">
        <v>1654</v>
      </c>
      <c r="K324" s="91" t="s">
        <v>1575</v>
      </c>
      <c r="L324" s="126" t="s">
        <v>19</v>
      </c>
      <c r="M324" s="94">
        <v>44272.583333333336</v>
      </c>
      <c r="N324" s="94">
        <v>44274.375</v>
      </c>
      <c r="O324" s="95" t="str">
        <f>PROPER(TEXT(Table1[[#This Row],[Fecha Inicio]],"mmmm"))</f>
        <v>Marzo</v>
      </c>
      <c r="P324" s="96" t="s">
        <v>2095</v>
      </c>
      <c r="Q324" s="97" t="s">
        <v>2768</v>
      </c>
      <c r="R324" s="76">
        <f t="shared" si="25"/>
        <v>8</v>
      </c>
      <c r="S324" s="76">
        <f t="shared" si="26"/>
        <v>8</v>
      </c>
      <c r="T324" s="76" t="str">
        <f t="shared" si="27"/>
        <v>-</v>
      </c>
      <c r="U324" s="76" t="str">
        <f t="shared" si="28"/>
        <v>-</v>
      </c>
      <c r="V324" s="76" t="str">
        <f t="shared" si="29"/>
        <v>-</v>
      </c>
      <c r="Z324" s="62"/>
    </row>
    <row r="325" spans="1:26" ht="40.15" customHeight="1" x14ac:dyDescent="0.25">
      <c r="A325" s="87">
        <v>10</v>
      </c>
      <c r="B325" s="88" t="s">
        <v>1550</v>
      </c>
      <c r="C325" s="89" t="s">
        <v>2674</v>
      </c>
      <c r="D325" s="90" t="s">
        <v>326</v>
      </c>
      <c r="E325" s="90" t="s">
        <v>1631</v>
      </c>
      <c r="F325" s="91" t="s">
        <v>1556</v>
      </c>
      <c r="G325" s="92" t="s">
        <v>1557</v>
      </c>
      <c r="H325" s="93" t="s">
        <v>2769</v>
      </c>
      <c r="I325" s="91" t="s">
        <v>1780</v>
      </c>
      <c r="J325" s="91" t="s">
        <v>1781</v>
      </c>
      <c r="K325" s="91" t="s">
        <v>1575</v>
      </c>
      <c r="L325" s="126" t="s">
        <v>19</v>
      </c>
      <c r="M325" s="94">
        <v>44272.708333333336</v>
      </c>
      <c r="N325" s="94">
        <v>44272.791666666664</v>
      </c>
      <c r="O325" s="95" t="str">
        <f>PROPER(TEXT(Table1[[#This Row],[Fecha Inicio]],"mmmm"))</f>
        <v>Marzo</v>
      </c>
      <c r="P325" s="96" t="s">
        <v>1782</v>
      </c>
      <c r="Q325" s="97" t="s">
        <v>2770</v>
      </c>
      <c r="R325" s="76">
        <f t="shared" si="25"/>
        <v>7</v>
      </c>
      <c r="S325" s="76">
        <f t="shared" si="26"/>
        <v>7</v>
      </c>
      <c r="T325" s="76" t="str">
        <f t="shared" si="27"/>
        <v>-</v>
      </c>
      <c r="U325" s="76" t="str">
        <f t="shared" si="28"/>
        <v>-</v>
      </c>
      <c r="V325" s="76" t="str">
        <f t="shared" si="29"/>
        <v>-</v>
      </c>
      <c r="Z325" s="62"/>
    </row>
    <row r="326" spans="1:26" ht="40.15" customHeight="1" x14ac:dyDescent="0.25">
      <c r="A326" s="87">
        <v>10</v>
      </c>
      <c r="B326" s="88" t="s">
        <v>1550</v>
      </c>
      <c r="C326" s="89" t="s">
        <v>2674</v>
      </c>
      <c r="D326" s="90" t="s">
        <v>326</v>
      </c>
      <c r="E326" s="90" t="s">
        <v>1631</v>
      </c>
      <c r="F326" s="91" t="s">
        <v>1556</v>
      </c>
      <c r="G326" s="92" t="s">
        <v>1557</v>
      </c>
      <c r="H326" s="93" t="s">
        <v>2771</v>
      </c>
      <c r="I326" s="87" t="s">
        <v>1833</v>
      </c>
      <c r="J326" s="87" t="s">
        <v>1834</v>
      </c>
      <c r="K326" s="87" t="s">
        <v>1596</v>
      </c>
      <c r="L326" s="126" t="s">
        <v>19</v>
      </c>
      <c r="M326" s="94">
        <v>44272.916666666664</v>
      </c>
      <c r="N326" s="94">
        <v>44272.958333333336</v>
      </c>
      <c r="O326" s="95" t="str">
        <f>PROPER(TEXT(Table1[[#This Row],[Fecha Inicio]],"mmmm"))</f>
        <v>Marzo</v>
      </c>
      <c r="P326" s="96" t="s">
        <v>1835</v>
      </c>
      <c r="Q326" s="97" t="s">
        <v>2772</v>
      </c>
      <c r="R326" s="76">
        <f t="shared" si="25"/>
        <v>2</v>
      </c>
      <c r="S326" s="76">
        <f t="shared" si="26"/>
        <v>2</v>
      </c>
      <c r="T326" s="76" t="str">
        <f t="shared" si="27"/>
        <v>-</v>
      </c>
      <c r="U326" s="76" t="str">
        <f t="shared" si="28"/>
        <v>-</v>
      </c>
      <c r="V326" s="76" t="str">
        <f t="shared" si="29"/>
        <v>-</v>
      </c>
      <c r="Z326" s="62"/>
    </row>
    <row r="327" spans="1:26" ht="40.15" customHeight="1" x14ac:dyDescent="0.25">
      <c r="A327" s="87">
        <v>11</v>
      </c>
      <c r="B327" s="88" t="s">
        <v>1550</v>
      </c>
      <c r="C327" s="89" t="s">
        <v>1578</v>
      </c>
      <c r="D327" s="90" t="s">
        <v>1665</v>
      </c>
      <c r="E327" s="90" t="s">
        <v>1666</v>
      </c>
      <c r="F327" s="87" t="s">
        <v>1556</v>
      </c>
      <c r="G327" s="92" t="s">
        <v>1557</v>
      </c>
      <c r="H327" s="93" t="s">
        <v>2773</v>
      </c>
      <c r="I327" s="87" t="s">
        <v>2774</v>
      </c>
      <c r="J327" s="87" t="s">
        <v>1669</v>
      </c>
      <c r="K327" s="87" t="s">
        <v>1670</v>
      </c>
      <c r="L327" s="126" t="s">
        <v>19</v>
      </c>
      <c r="M327" s="94">
        <v>44272.958333333336</v>
      </c>
      <c r="N327" s="94">
        <v>44273.041666666664</v>
      </c>
      <c r="O327" s="95" t="str">
        <f>PROPER(TEXT(Table1[[#This Row],[Fecha Inicio]],"mmmm"))</f>
        <v>Marzo</v>
      </c>
      <c r="P327" s="96" t="s">
        <v>2226</v>
      </c>
      <c r="Q327" s="97" t="s">
        <v>2775</v>
      </c>
      <c r="R327" s="76">
        <f t="shared" si="25"/>
        <v>1</v>
      </c>
      <c r="S327" s="76">
        <f t="shared" si="26"/>
        <v>1</v>
      </c>
      <c r="T327" s="76" t="str">
        <f t="shared" si="27"/>
        <v>-</v>
      </c>
      <c r="U327" s="76" t="str">
        <f t="shared" si="28"/>
        <v>-</v>
      </c>
      <c r="V327" s="76" t="str">
        <f t="shared" si="29"/>
        <v>-</v>
      </c>
      <c r="Z327" s="62"/>
    </row>
    <row r="328" spans="1:26" ht="40.15" customHeight="1" x14ac:dyDescent="0.25">
      <c r="A328" s="87">
        <v>9</v>
      </c>
      <c r="B328" s="100" t="s">
        <v>1551</v>
      </c>
      <c r="C328" s="89" t="s">
        <v>2776</v>
      </c>
      <c r="D328" s="90" t="s">
        <v>326</v>
      </c>
      <c r="E328" s="90" t="s">
        <v>1631</v>
      </c>
      <c r="F328" s="91" t="s">
        <v>1556</v>
      </c>
      <c r="G328" s="92" t="s">
        <v>1557</v>
      </c>
      <c r="H328" s="93" t="s">
        <v>2777</v>
      </c>
      <c r="I328" s="87" t="s">
        <v>1846</v>
      </c>
      <c r="J328" s="87" t="s">
        <v>1560</v>
      </c>
      <c r="K328" s="87" t="s">
        <v>1561</v>
      </c>
      <c r="L328" s="126" t="s">
        <v>19</v>
      </c>
      <c r="M328" s="94">
        <v>44272.958333333336</v>
      </c>
      <c r="N328" s="94">
        <v>44273.291666666664</v>
      </c>
      <c r="O328" s="95" t="str">
        <f>PROPER(TEXT(Table1[[#This Row],[Fecha Inicio]],"mmmm"))</f>
        <v>Marzo</v>
      </c>
      <c r="P328" s="96" t="s">
        <v>1847</v>
      </c>
      <c r="Q328" s="97" t="s">
        <v>2778</v>
      </c>
      <c r="R328" s="76">
        <f t="shared" si="25"/>
        <v>14</v>
      </c>
      <c r="S328" s="76" t="str">
        <f t="shared" si="26"/>
        <v>-</v>
      </c>
      <c r="T328" s="76" t="str">
        <f t="shared" si="27"/>
        <v>-</v>
      </c>
      <c r="U328" s="76" t="str">
        <f t="shared" si="28"/>
        <v>-</v>
      </c>
      <c r="V328" s="76" t="str">
        <f t="shared" si="29"/>
        <v>-</v>
      </c>
      <c r="Z328" s="62"/>
    </row>
    <row r="329" spans="1:26" ht="40.15" customHeight="1" x14ac:dyDescent="0.25">
      <c r="A329" s="87">
        <v>10</v>
      </c>
      <c r="B329" s="88" t="s">
        <v>1550</v>
      </c>
      <c r="C329" s="89" t="s">
        <v>2674</v>
      </c>
      <c r="D329" s="90" t="s">
        <v>326</v>
      </c>
      <c r="E329" s="90" t="s">
        <v>1631</v>
      </c>
      <c r="F329" s="91" t="s">
        <v>1556</v>
      </c>
      <c r="G329" s="92" t="s">
        <v>1557</v>
      </c>
      <c r="H329" s="93" t="s">
        <v>2779</v>
      </c>
      <c r="I329" s="87" t="s">
        <v>1850</v>
      </c>
      <c r="J329" s="87" t="s">
        <v>1771</v>
      </c>
      <c r="K329" s="87" t="s">
        <v>1575</v>
      </c>
      <c r="L329" s="126" t="s">
        <v>19</v>
      </c>
      <c r="M329" s="94">
        <v>44273.291666666664</v>
      </c>
      <c r="N329" s="94">
        <v>44273.333333333336</v>
      </c>
      <c r="O329" s="95" t="str">
        <f>PROPER(TEXT(Table1[[#This Row],[Fecha Inicio]],"mmmm"))</f>
        <v>Marzo</v>
      </c>
      <c r="P329" s="96" t="s">
        <v>1772</v>
      </c>
      <c r="Q329" s="97" t="s">
        <v>2780</v>
      </c>
      <c r="R329" s="76">
        <f t="shared" si="25"/>
        <v>2</v>
      </c>
      <c r="S329" s="76">
        <f t="shared" si="26"/>
        <v>2</v>
      </c>
      <c r="T329" s="76" t="str">
        <f t="shared" si="27"/>
        <v>-</v>
      </c>
      <c r="U329" s="76" t="str">
        <f t="shared" si="28"/>
        <v>-</v>
      </c>
      <c r="V329" s="76" t="str">
        <f t="shared" si="29"/>
        <v>-</v>
      </c>
      <c r="Z329" s="62"/>
    </row>
    <row r="330" spans="1:26" ht="40.15" customHeight="1" x14ac:dyDescent="0.25">
      <c r="A330" s="87">
        <v>10</v>
      </c>
      <c r="B330" s="88" t="s">
        <v>1550</v>
      </c>
      <c r="C330" s="89" t="s">
        <v>2674</v>
      </c>
      <c r="D330" s="90" t="s">
        <v>326</v>
      </c>
      <c r="E330" s="90" t="s">
        <v>1631</v>
      </c>
      <c r="F330" s="91" t="s">
        <v>1556</v>
      </c>
      <c r="G330" s="92" t="s">
        <v>1557</v>
      </c>
      <c r="H330" s="93" t="s">
        <v>2781</v>
      </c>
      <c r="I330" s="87" t="s">
        <v>1853</v>
      </c>
      <c r="J330" s="87" t="s">
        <v>1854</v>
      </c>
      <c r="K330" s="87" t="s">
        <v>1575</v>
      </c>
      <c r="L330" s="126" t="s">
        <v>19</v>
      </c>
      <c r="M330" s="94">
        <v>44273.333333333336</v>
      </c>
      <c r="N330" s="94">
        <v>44273.5</v>
      </c>
      <c r="O330" s="95" t="str">
        <f>PROPER(TEXT(Table1[[#This Row],[Fecha Inicio]],"mmmm"))</f>
        <v>Marzo</v>
      </c>
      <c r="P330" s="96" t="s">
        <v>1855</v>
      </c>
      <c r="Q330" s="97" t="s">
        <v>2782</v>
      </c>
      <c r="R330" s="76">
        <f t="shared" si="25"/>
        <v>4</v>
      </c>
      <c r="S330" s="76">
        <f t="shared" si="26"/>
        <v>4</v>
      </c>
      <c r="T330" s="76" t="str">
        <f t="shared" si="27"/>
        <v>-</v>
      </c>
      <c r="U330" s="76" t="str">
        <f t="shared" si="28"/>
        <v>-</v>
      </c>
      <c r="V330" s="76" t="str">
        <f t="shared" si="29"/>
        <v>-</v>
      </c>
      <c r="Z330" s="62"/>
    </row>
    <row r="331" spans="1:26" ht="40.15" customHeight="1" x14ac:dyDescent="0.25">
      <c r="A331" s="87">
        <v>11</v>
      </c>
      <c r="B331" s="88" t="s">
        <v>1550</v>
      </c>
      <c r="C331" s="89"/>
      <c r="D331" s="90" t="s">
        <v>1579</v>
      </c>
      <c r="E331" s="90" t="s">
        <v>1580</v>
      </c>
      <c r="F331" s="87" t="s">
        <v>1556</v>
      </c>
      <c r="G331" s="92" t="s">
        <v>1557</v>
      </c>
      <c r="H331" s="93" t="s">
        <v>2786</v>
      </c>
      <c r="I331" s="87" t="s">
        <v>2787</v>
      </c>
      <c r="J331" s="87" t="s">
        <v>1560</v>
      </c>
      <c r="K331" s="87" t="s">
        <v>1561</v>
      </c>
      <c r="L331" s="126" t="s">
        <v>19</v>
      </c>
      <c r="M331" s="94">
        <v>44273.375</v>
      </c>
      <c r="N331" s="94">
        <v>44273.5</v>
      </c>
      <c r="O331" s="95" t="str">
        <f>PROPER(TEXT(Table1[[#This Row],[Fecha Inicio]],"mmmm"))</f>
        <v>Marzo</v>
      </c>
      <c r="P331" s="96" t="s">
        <v>2788</v>
      </c>
      <c r="Q331" s="97" t="s">
        <v>2789</v>
      </c>
      <c r="R331" s="76">
        <f t="shared" si="25"/>
        <v>1</v>
      </c>
      <c r="S331" s="76">
        <f t="shared" si="26"/>
        <v>1</v>
      </c>
      <c r="T331" s="76" t="str">
        <f t="shared" si="27"/>
        <v>-</v>
      </c>
      <c r="U331" s="76" t="str">
        <f t="shared" si="28"/>
        <v>-</v>
      </c>
      <c r="V331" s="76" t="str">
        <f t="shared" si="29"/>
        <v>-</v>
      </c>
      <c r="Z331" s="62"/>
    </row>
    <row r="332" spans="1:26" ht="40.15" customHeight="1" x14ac:dyDescent="0.25">
      <c r="A332" s="87">
        <v>11</v>
      </c>
      <c r="B332" s="88" t="s">
        <v>1550</v>
      </c>
      <c r="C332" s="89" t="s">
        <v>1578</v>
      </c>
      <c r="D332" s="90" t="s">
        <v>326</v>
      </c>
      <c r="E332" s="90" t="s">
        <v>1742</v>
      </c>
      <c r="F332" s="87" t="s">
        <v>1556</v>
      </c>
      <c r="G332" s="92" t="s">
        <v>1557</v>
      </c>
      <c r="H332" s="93" t="s">
        <v>2783</v>
      </c>
      <c r="I332" s="87" t="s">
        <v>1858</v>
      </c>
      <c r="J332" s="87" t="s">
        <v>1859</v>
      </c>
      <c r="K332" s="87" t="s">
        <v>1860</v>
      </c>
      <c r="L332" s="87" t="s">
        <v>52</v>
      </c>
      <c r="M332" s="94">
        <v>44273.375</v>
      </c>
      <c r="N332" s="94">
        <v>44273.583333333336</v>
      </c>
      <c r="O332" s="95" t="str">
        <f>PROPER(TEXT(Table1[[#This Row],[Fecha Inicio]],"mmmm"))</f>
        <v>Marzo</v>
      </c>
      <c r="P332" s="96" t="s">
        <v>2784</v>
      </c>
      <c r="Q332" s="97" t="s">
        <v>2785</v>
      </c>
      <c r="R332" s="76">
        <f t="shared" si="25"/>
        <v>5</v>
      </c>
      <c r="S332" s="76">
        <f t="shared" si="26"/>
        <v>5</v>
      </c>
      <c r="T332" s="76" t="str">
        <f t="shared" si="27"/>
        <v>-</v>
      </c>
      <c r="U332" s="76" t="str">
        <f t="shared" si="28"/>
        <v>-</v>
      </c>
      <c r="V332" s="76" t="str">
        <f t="shared" si="29"/>
        <v>-</v>
      </c>
      <c r="Z332" s="62"/>
    </row>
    <row r="333" spans="1:26" ht="40.15" customHeight="1" x14ac:dyDescent="0.25">
      <c r="A333" s="87">
        <v>10</v>
      </c>
      <c r="B333" s="88" t="s">
        <v>1550</v>
      </c>
      <c r="C333" s="89"/>
      <c r="D333" s="90" t="s">
        <v>344</v>
      </c>
      <c r="E333" s="90" t="s">
        <v>1616</v>
      </c>
      <c r="F333" s="91" t="s">
        <v>1556</v>
      </c>
      <c r="G333" s="92" t="s">
        <v>1557</v>
      </c>
      <c r="H333" s="93" t="s">
        <v>2790</v>
      </c>
      <c r="I333" s="87" t="s">
        <v>2757</v>
      </c>
      <c r="J333" s="87" t="s">
        <v>1560</v>
      </c>
      <c r="K333" s="87" t="s">
        <v>1561</v>
      </c>
      <c r="L333" s="126" t="s">
        <v>19</v>
      </c>
      <c r="M333" s="94">
        <v>44273.416666666664</v>
      </c>
      <c r="N333" s="94">
        <v>44273.708333333336</v>
      </c>
      <c r="O333" s="95" t="str">
        <f>PROPER(TEXT(Table1[[#This Row],[Fecha Inicio]],"mmmm"))</f>
        <v>Marzo</v>
      </c>
      <c r="P333" s="96" t="s">
        <v>1682</v>
      </c>
      <c r="Q333" s="97" t="s">
        <v>2791</v>
      </c>
      <c r="R333" s="76">
        <f t="shared" si="25"/>
        <v>1</v>
      </c>
      <c r="S333" s="76">
        <f t="shared" si="26"/>
        <v>1</v>
      </c>
      <c r="T333" s="76" t="str">
        <f t="shared" si="27"/>
        <v>-</v>
      </c>
      <c r="U333" s="76" t="str">
        <f t="shared" si="28"/>
        <v>-</v>
      </c>
      <c r="V333" s="76" t="str">
        <f t="shared" si="29"/>
        <v>-</v>
      </c>
      <c r="Z333" s="62"/>
    </row>
    <row r="334" spans="1:26" ht="40.15" customHeight="1" x14ac:dyDescent="0.25">
      <c r="A334" s="87">
        <v>11</v>
      </c>
      <c r="B334" s="88" t="s">
        <v>1550</v>
      </c>
      <c r="C334" s="89" t="s">
        <v>2674</v>
      </c>
      <c r="D334" s="90" t="s">
        <v>326</v>
      </c>
      <c r="E334" s="90" t="s">
        <v>1631</v>
      </c>
      <c r="F334" s="91" t="s">
        <v>1556</v>
      </c>
      <c r="G334" s="92" t="s">
        <v>1557</v>
      </c>
      <c r="H334" s="93" t="s">
        <v>2792</v>
      </c>
      <c r="I334" s="87" t="s">
        <v>1759</v>
      </c>
      <c r="J334" s="87" t="s">
        <v>1760</v>
      </c>
      <c r="K334" s="87" t="s">
        <v>1761</v>
      </c>
      <c r="L334" s="126" t="s">
        <v>19</v>
      </c>
      <c r="M334" s="94">
        <v>44273.75</v>
      </c>
      <c r="N334" s="94">
        <v>44273.875</v>
      </c>
      <c r="O334" s="95" t="str">
        <f>PROPER(TEXT(Table1[[#This Row],[Fecha Inicio]],"mmmm"))</f>
        <v>Marzo</v>
      </c>
      <c r="P334" s="96" t="s">
        <v>2793</v>
      </c>
      <c r="Q334" s="97" t="s">
        <v>2794</v>
      </c>
      <c r="R334" s="76">
        <f t="shared" si="25"/>
        <v>4</v>
      </c>
      <c r="S334" s="76">
        <f t="shared" si="26"/>
        <v>4</v>
      </c>
      <c r="T334" s="76" t="str">
        <f t="shared" si="27"/>
        <v>-</v>
      </c>
      <c r="U334" s="76" t="str">
        <f t="shared" si="28"/>
        <v>-</v>
      </c>
      <c r="V334" s="76" t="str">
        <f t="shared" si="29"/>
        <v>-</v>
      </c>
      <c r="Z334" s="62"/>
    </row>
    <row r="335" spans="1:26" ht="40.15" customHeight="1" x14ac:dyDescent="0.25">
      <c r="A335" s="87">
        <v>10</v>
      </c>
      <c r="B335" s="88" t="s">
        <v>1550</v>
      </c>
      <c r="C335" s="89" t="s">
        <v>2674</v>
      </c>
      <c r="D335" s="90" t="s">
        <v>326</v>
      </c>
      <c r="E335" s="90" t="s">
        <v>1631</v>
      </c>
      <c r="F335" s="91" t="s">
        <v>1556</v>
      </c>
      <c r="G335" s="92" t="s">
        <v>1557</v>
      </c>
      <c r="H335" s="93" t="s">
        <v>2795</v>
      </c>
      <c r="I335" s="87" t="s">
        <v>1880</v>
      </c>
      <c r="J335" s="87" t="s">
        <v>1881</v>
      </c>
      <c r="K335" s="87" t="s">
        <v>1575</v>
      </c>
      <c r="L335" s="126" t="s">
        <v>19</v>
      </c>
      <c r="M335" s="94">
        <v>44273.84375</v>
      </c>
      <c r="N335" s="94">
        <v>44273.927083333336</v>
      </c>
      <c r="O335" s="95" t="str">
        <f>PROPER(TEXT(Table1[[#This Row],[Fecha Inicio]],"mmmm"))</f>
        <v>Marzo</v>
      </c>
      <c r="P335" s="96" t="s">
        <v>1882</v>
      </c>
      <c r="Q335" s="97" t="s">
        <v>2796</v>
      </c>
      <c r="R335" s="76">
        <f t="shared" si="25"/>
        <v>6</v>
      </c>
      <c r="S335" s="76">
        <f t="shared" si="26"/>
        <v>6</v>
      </c>
      <c r="T335" s="76" t="str">
        <f t="shared" si="27"/>
        <v>-</v>
      </c>
      <c r="U335" s="76" t="str">
        <f t="shared" si="28"/>
        <v>-</v>
      </c>
      <c r="V335" s="76" t="str">
        <f t="shared" si="29"/>
        <v>-</v>
      </c>
      <c r="Z335" s="62"/>
    </row>
    <row r="336" spans="1:26" ht="40.15" customHeight="1" x14ac:dyDescent="0.25">
      <c r="A336" s="87">
        <v>10</v>
      </c>
      <c r="B336" s="88" t="s">
        <v>1550</v>
      </c>
      <c r="C336" s="89" t="s">
        <v>2674</v>
      </c>
      <c r="D336" s="90" t="s">
        <v>326</v>
      </c>
      <c r="E336" s="90" t="s">
        <v>1631</v>
      </c>
      <c r="F336" s="91" t="s">
        <v>1556</v>
      </c>
      <c r="G336" s="92" t="s">
        <v>1557</v>
      </c>
      <c r="H336" s="93" t="s">
        <v>2801</v>
      </c>
      <c r="I336" s="87" t="s">
        <v>1889</v>
      </c>
      <c r="J336" s="87" t="s">
        <v>1890</v>
      </c>
      <c r="K336" s="87" t="s">
        <v>1575</v>
      </c>
      <c r="L336" s="126" t="s">
        <v>19</v>
      </c>
      <c r="M336" s="94">
        <v>44273.916666666664</v>
      </c>
      <c r="N336" s="94">
        <v>44273.958333333336</v>
      </c>
      <c r="O336" s="95" t="str">
        <f>PROPER(TEXT(Table1[[#This Row],[Fecha Inicio]],"mmmm"))</f>
        <v>Marzo</v>
      </c>
      <c r="P336" s="96" t="s">
        <v>164</v>
      </c>
      <c r="Q336" s="97" t="s">
        <v>2802</v>
      </c>
      <c r="R336" s="76">
        <f t="shared" si="25"/>
        <v>1</v>
      </c>
      <c r="S336" s="76">
        <f t="shared" si="26"/>
        <v>1</v>
      </c>
      <c r="T336" s="76" t="str">
        <f t="shared" si="27"/>
        <v>-</v>
      </c>
      <c r="U336" s="76" t="str">
        <f t="shared" si="28"/>
        <v>-</v>
      </c>
      <c r="V336" s="76" t="str">
        <f t="shared" si="29"/>
        <v>-</v>
      </c>
      <c r="Z336" s="62"/>
    </row>
    <row r="337" spans="1:26" ht="40.15" customHeight="1" x14ac:dyDescent="0.25">
      <c r="A337" s="87">
        <v>11</v>
      </c>
      <c r="B337" s="88" t="s">
        <v>1550</v>
      </c>
      <c r="C337" s="89"/>
      <c r="D337" s="89" t="s">
        <v>326</v>
      </c>
      <c r="E337" s="89" t="s">
        <v>1631</v>
      </c>
      <c r="F337" s="87" t="s">
        <v>1556</v>
      </c>
      <c r="G337" s="92" t="s">
        <v>1557</v>
      </c>
      <c r="H337" s="93" t="s">
        <v>2797</v>
      </c>
      <c r="I337" s="87" t="s">
        <v>2798</v>
      </c>
      <c r="J337" s="91" t="s">
        <v>1583</v>
      </c>
      <c r="K337" s="87" t="s">
        <v>1584</v>
      </c>
      <c r="L337" s="87" t="s">
        <v>41</v>
      </c>
      <c r="M337" s="94">
        <v>44273.916666666664</v>
      </c>
      <c r="N337" s="94">
        <v>44274.041666666664</v>
      </c>
      <c r="O337" s="95" t="str">
        <f>PROPER(TEXT(Table1[[#This Row],[Fecha Inicio]],"mmmm"))</f>
        <v>Marzo</v>
      </c>
      <c r="P337" s="96" t="s">
        <v>2799</v>
      </c>
      <c r="Q337" s="97" t="s">
        <v>2800</v>
      </c>
      <c r="R337" s="76">
        <f t="shared" si="25"/>
        <v>2</v>
      </c>
      <c r="S337" s="76">
        <f t="shared" si="26"/>
        <v>2</v>
      </c>
      <c r="T337" s="76" t="str">
        <f t="shared" si="27"/>
        <v>-</v>
      </c>
      <c r="U337" s="76" t="str">
        <f t="shared" si="28"/>
        <v>-</v>
      </c>
      <c r="V337" s="76" t="str">
        <f t="shared" si="29"/>
        <v>-</v>
      </c>
      <c r="Z337" s="62"/>
    </row>
    <row r="338" spans="1:26" ht="40.15" customHeight="1" x14ac:dyDescent="0.25">
      <c r="A338" s="87">
        <v>11</v>
      </c>
      <c r="B338" s="88" t="s">
        <v>1550</v>
      </c>
      <c r="C338" s="89"/>
      <c r="D338" s="90" t="s">
        <v>326</v>
      </c>
      <c r="E338" s="90" t="s">
        <v>1742</v>
      </c>
      <c r="F338" s="87" t="s">
        <v>1556</v>
      </c>
      <c r="G338" s="92" t="s">
        <v>1557</v>
      </c>
      <c r="H338" s="93" t="s">
        <v>2803</v>
      </c>
      <c r="I338" s="87" t="s">
        <v>2804</v>
      </c>
      <c r="J338" s="87" t="s">
        <v>1859</v>
      </c>
      <c r="K338" s="87" t="s">
        <v>1860</v>
      </c>
      <c r="L338" s="87" t="s">
        <v>52</v>
      </c>
      <c r="M338" s="94">
        <v>44274.375</v>
      </c>
      <c r="N338" s="94">
        <v>44274.583333333336</v>
      </c>
      <c r="O338" s="95" t="str">
        <f>PROPER(TEXT(Table1[[#This Row],[Fecha Inicio]],"mmmm"))</f>
        <v>Marzo</v>
      </c>
      <c r="P338" s="96" t="s">
        <v>2805</v>
      </c>
      <c r="Q338" s="97" t="s">
        <v>2806</v>
      </c>
      <c r="R338" s="76">
        <f t="shared" si="25"/>
        <v>12</v>
      </c>
      <c r="S338" s="76">
        <f t="shared" si="26"/>
        <v>12</v>
      </c>
      <c r="T338" s="76" t="str">
        <f t="shared" si="27"/>
        <v>-</v>
      </c>
      <c r="U338" s="76" t="str">
        <f t="shared" si="28"/>
        <v>-</v>
      </c>
      <c r="V338" s="76" t="str">
        <f t="shared" si="29"/>
        <v>-</v>
      </c>
      <c r="Z338" s="62"/>
    </row>
    <row r="339" spans="1:26" ht="40.15" customHeight="1" x14ac:dyDescent="0.25">
      <c r="A339" s="87">
        <v>11</v>
      </c>
      <c r="B339" s="88" t="s">
        <v>1550</v>
      </c>
      <c r="C339" s="89"/>
      <c r="D339" s="90" t="s">
        <v>326</v>
      </c>
      <c r="E339" s="90" t="s">
        <v>1742</v>
      </c>
      <c r="F339" s="87" t="s">
        <v>1556</v>
      </c>
      <c r="G339" s="92" t="s">
        <v>1557</v>
      </c>
      <c r="H339" s="93" t="s">
        <v>2807</v>
      </c>
      <c r="I339" s="87" t="s">
        <v>2808</v>
      </c>
      <c r="J339" s="87" t="s">
        <v>1859</v>
      </c>
      <c r="K339" s="87" t="s">
        <v>1860</v>
      </c>
      <c r="L339" s="87" t="s">
        <v>52</v>
      </c>
      <c r="M339" s="94">
        <v>44274.375</v>
      </c>
      <c r="N339" s="94">
        <v>44274.583333333336</v>
      </c>
      <c r="O339" s="95" t="str">
        <f>PROPER(TEXT(Table1[[#This Row],[Fecha Inicio]],"mmmm"))</f>
        <v>Marzo</v>
      </c>
      <c r="P339" s="96" t="s">
        <v>2720</v>
      </c>
      <c r="Q339" s="97" t="s">
        <v>2809</v>
      </c>
      <c r="R339" s="76">
        <f t="shared" si="25"/>
        <v>2</v>
      </c>
      <c r="S339" s="76">
        <f t="shared" si="26"/>
        <v>2</v>
      </c>
      <c r="T339" s="76" t="str">
        <f t="shared" si="27"/>
        <v>-</v>
      </c>
      <c r="U339" s="76" t="str">
        <f t="shared" si="28"/>
        <v>-</v>
      </c>
      <c r="V339" s="76" t="str">
        <f t="shared" si="29"/>
        <v>-</v>
      </c>
      <c r="Z339" s="62"/>
    </row>
    <row r="340" spans="1:26" ht="40.15" customHeight="1" x14ac:dyDescent="0.25">
      <c r="A340" s="87">
        <v>10</v>
      </c>
      <c r="B340" s="88" t="s">
        <v>1550</v>
      </c>
      <c r="C340" s="89" t="s">
        <v>2674</v>
      </c>
      <c r="D340" s="90" t="s">
        <v>326</v>
      </c>
      <c r="E340" s="90" t="s">
        <v>1631</v>
      </c>
      <c r="F340" s="91" t="s">
        <v>1556</v>
      </c>
      <c r="G340" s="92" t="s">
        <v>1557</v>
      </c>
      <c r="H340" s="93" t="s">
        <v>2810</v>
      </c>
      <c r="I340" s="87" t="s">
        <v>1897</v>
      </c>
      <c r="J340" s="87" t="s">
        <v>1898</v>
      </c>
      <c r="K340" s="87" t="s">
        <v>1575</v>
      </c>
      <c r="L340" s="126" t="s">
        <v>19</v>
      </c>
      <c r="M340" s="94">
        <v>44274.791666666664</v>
      </c>
      <c r="N340" s="94">
        <v>44274.875</v>
      </c>
      <c r="O340" s="95" t="str">
        <f>PROPER(TEXT(Table1[[#This Row],[Fecha Inicio]],"mmmm"))</f>
        <v>Marzo</v>
      </c>
      <c r="P340" s="96" t="s">
        <v>166</v>
      </c>
      <c r="Q340" s="97" t="s">
        <v>2811</v>
      </c>
      <c r="R340" s="76">
        <f t="shared" si="25"/>
        <v>1</v>
      </c>
      <c r="S340" s="76">
        <f t="shared" si="26"/>
        <v>1</v>
      </c>
      <c r="T340" s="76" t="str">
        <f t="shared" si="27"/>
        <v>-</v>
      </c>
      <c r="U340" s="76" t="str">
        <f t="shared" si="28"/>
        <v>-</v>
      </c>
      <c r="V340" s="76" t="str">
        <f t="shared" si="29"/>
        <v>-</v>
      </c>
      <c r="Z340" s="62"/>
    </row>
    <row r="341" spans="1:26" ht="40.15" customHeight="1" x14ac:dyDescent="0.25">
      <c r="A341" s="87">
        <v>10</v>
      </c>
      <c r="B341" s="88" t="s">
        <v>1550</v>
      </c>
      <c r="C341" s="89" t="s">
        <v>2674</v>
      </c>
      <c r="D341" s="90" t="s">
        <v>326</v>
      </c>
      <c r="E341" s="90" t="s">
        <v>1631</v>
      </c>
      <c r="F341" s="91" t="s">
        <v>1556</v>
      </c>
      <c r="G341" s="92" t="s">
        <v>1557</v>
      </c>
      <c r="H341" s="93" t="s">
        <v>2812</v>
      </c>
      <c r="I341" s="87" t="s">
        <v>1901</v>
      </c>
      <c r="J341" s="87" t="s">
        <v>1902</v>
      </c>
      <c r="K341" s="87" t="s">
        <v>1575</v>
      </c>
      <c r="L341" s="126" t="s">
        <v>19</v>
      </c>
      <c r="M341" s="94">
        <v>44274.791666666664</v>
      </c>
      <c r="N341" s="94">
        <v>44274.875</v>
      </c>
      <c r="O341" s="95" t="str">
        <f>PROPER(TEXT(Table1[[#This Row],[Fecha Inicio]],"mmmm"))</f>
        <v>Marzo</v>
      </c>
      <c r="P341" s="96" t="s">
        <v>1903</v>
      </c>
      <c r="Q341" s="97" t="s">
        <v>2813</v>
      </c>
      <c r="R341" s="76">
        <f t="shared" si="25"/>
        <v>2</v>
      </c>
      <c r="S341" s="76">
        <f t="shared" si="26"/>
        <v>2</v>
      </c>
      <c r="T341" s="76" t="str">
        <f t="shared" si="27"/>
        <v>-</v>
      </c>
      <c r="U341" s="76" t="str">
        <f t="shared" si="28"/>
        <v>-</v>
      </c>
      <c r="V341" s="76" t="str">
        <f t="shared" si="29"/>
        <v>-</v>
      </c>
      <c r="Z341" s="62"/>
    </row>
    <row r="342" spans="1:26" ht="40.15" customHeight="1" x14ac:dyDescent="0.25">
      <c r="A342" s="87">
        <v>10</v>
      </c>
      <c r="B342" s="88" t="s">
        <v>1550</v>
      </c>
      <c r="C342" s="89" t="s">
        <v>2674</v>
      </c>
      <c r="D342" s="90" t="s">
        <v>326</v>
      </c>
      <c r="E342" s="90" t="s">
        <v>1631</v>
      </c>
      <c r="F342" s="91" t="s">
        <v>1556</v>
      </c>
      <c r="G342" s="92" t="s">
        <v>1557</v>
      </c>
      <c r="H342" s="93" t="s">
        <v>2814</v>
      </c>
      <c r="I342" s="87" t="s">
        <v>1906</v>
      </c>
      <c r="J342" s="87" t="s">
        <v>1907</v>
      </c>
      <c r="K342" s="87" t="s">
        <v>1575</v>
      </c>
      <c r="L342" s="126" t="s">
        <v>19</v>
      </c>
      <c r="M342" s="94">
        <v>44274.791666666664</v>
      </c>
      <c r="N342" s="94">
        <v>44274.875</v>
      </c>
      <c r="O342" s="95" t="str">
        <f>PROPER(TEXT(Table1[[#This Row],[Fecha Inicio]],"mmmm"))</f>
        <v>Marzo</v>
      </c>
      <c r="P342" s="96" t="s">
        <v>171</v>
      </c>
      <c r="Q342" s="97" t="s">
        <v>2815</v>
      </c>
      <c r="R342" s="76">
        <f t="shared" si="25"/>
        <v>1</v>
      </c>
      <c r="S342" s="76">
        <f t="shared" si="26"/>
        <v>1</v>
      </c>
      <c r="T342" s="76" t="str">
        <f t="shared" si="27"/>
        <v>-</v>
      </c>
      <c r="U342" s="76" t="str">
        <f t="shared" si="28"/>
        <v>-</v>
      </c>
      <c r="V342" s="76" t="str">
        <f t="shared" si="29"/>
        <v>-</v>
      </c>
      <c r="Z342" s="62"/>
    </row>
    <row r="343" spans="1:26" ht="40.15" customHeight="1" x14ac:dyDescent="0.25">
      <c r="A343" s="87">
        <v>11</v>
      </c>
      <c r="B343" s="88" t="s">
        <v>1550</v>
      </c>
      <c r="C343" s="89" t="s">
        <v>2674</v>
      </c>
      <c r="D343" s="90" t="s">
        <v>326</v>
      </c>
      <c r="E343" s="90" t="s">
        <v>1631</v>
      </c>
      <c r="F343" s="91" t="s">
        <v>1556</v>
      </c>
      <c r="G343" s="92" t="s">
        <v>1557</v>
      </c>
      <c r="H343" s="93" t="s">
        <v>2816</v>
      </c>
      <c r="I343" s="87" t="s">
        <v>1759</v>
      </c>
      <c r="J343" s="87" t="s">
        <v>1760</v>
      </c>
      <c r="K343" s="87" t="s">
        <v>1761</v>
      </c>
      <c r="L343" s="126" t="s">
        <v>19</v>
      </c>
      <c r="M343" s="94">
        <v>44275.958333333336</v>
      </c>
      <c r="N343" s="94">
        <v>44276.125</v>
      </c>
      <c r="O343" s="95" t="str">
        <f>PROPER(TEXT(Table1[[#This Row],[Fecha Inicio]],"mmmm"))</f>
        <v>Marzo</v>
      </c>
      <c r="P343" s="96" t="s">
        <v>1915</v>
      </c>
      <c r="Q343" s="97" t="s">
        <v>2817</v>
      </c>
      <c r="R343" s="76">
        <f t="shared" si="25"/>
        <v>6</v>
      </c>
      <c r="S343" s="76">
        <f t="shared" si="26"/>
        <v>6</v>
      </c>
      <c r="T343" s="76" t="str">
        <f t="shared" si="27"/>
        <v>-</v>
      </c>
      <c r="U343" s="76" t="str">
        <f t="shared" si="28"/>
        <v>-</v>
      </c>
      <c r="V343" s="76" t="str">
        <f t="shared" si="29"/>
        <v>-</v>
      </c>
      <c r="Z343" s="62"/>
    </row>
    <row r="344" spans="1:26" ht="40.15" customHeight="1" x14ac:dyDescent="0.25">
      <c r="A344" s="87">
        <v>10</v>
      </c>
      <c r="B344" s="88" t="s">
        <v>1550</v>
      </c>
      <c r="C344" s="89" t="s">
        <v>2674</v>
      </c>
      <c r="D344" s="90" t="s">
        <v>326</v>
      </c>
      <c r="E344" s="90" t="s">
        <v>1631</v>
      </c>
      <c r="F344" s="91" t="s">
        <v>1556</v>
      </c>
      <c r="G344" s="92" t="s">
        <v>1557</v>
      </c>
      <c r="H344" s="93" t="s">
        <v>2818</v>
      </c>
      <c r="I344" s="87" t="s">
        <v>1919</v>
      </c>
      <c r="J344" s="91" t="s">
        <v>1920</v>
      </c>
      <c r="K344" s="87" t="s">
        <v>1921</v>
      </c>
      <c r="L344" s="126" t="s">
        <v>19</v>
      </c>
      <c r="M344" s="94">
        <v>44276</v>
      </c>
      <c r="N344" s="94">
        <v>44276.25</v>
      </c>
      <c r="O344" s="95" t="str">
        <f>PROPER(TEXT(Table1[[#This Row],[Fecha Inicio]],"mmmm"))</f>
        <v>Marzo</v>
      </c>
      <c r="P344" s="96" t="s">
        <v>1922</v>
      </c>
      <c r="Q344" s="97" t="s">
        <v>2819</v>
      </c>
      <c r="R344" s="76">
        <f t="shared" si="25"/>
        <v>11</v>
      </c>
      <c r="S344" s="76">
        <f t="shared" si="26"/>
        <v>11</v>
      </c>
      <c r="T344" s="76" t="str">
        <f t="shared" si="27"/>
        <v>-</v>
      </c>
      <c r="U344" s="76" t="str">
        <f t="shared" si="28"/>
        <v>-</v>
      </c>
      <c r="V344" s="76" t="str">
        <f t="shared" si="29"/>
        <v>-</v>
      </c>
      <c r="Z344" s="62"/>
    </row>
    <row r="345" spans="1:26" ht="40.15" customHeight="1" x14ac:dyDescent="0.25">
      <c r="A345" s="87">
        <v>10</v>
      </c>
      <c r="B345" s="88" t="s">
        <v>1550</v>
      </c>
      <c r="C345" s="89" t="s">
        <v>2674</v>
      </c>
      <c r="D345" s="90" t="s">
        <v>326</v>
      </c>
      <c r="E345" s="90" t="s">
        <v>1631</v>
      </c>
      <c r="F345" s="91" t="s">
        <v>1556</v>
      </c>
      <c r="G345" s="92" t="s">
        <v>1557</v>
      </c>
      <c r="H345" s="93" t="s">
        <v>2820</v>
      </c>
      <c r="I345" s="87" t="s">
        <v>1842</v>
      </c>
      <c r="J345" s="91" t="s">
        <v>1612</v>
      </c>
      <c r="K345" s="87" t="s">
        <v>1613</v>
      </c>
      <c r="L345" s="126" t="s">
        <v>19</v>
      </c>
      <c r="M345" s="94">
        <v>44276.958333333336</v>
      </c>
      <c r="N345" s="94">
        <v>44277.125</v>
      </c>
      <c r="O345" s="95" t="str">
        <f>PROPER(TEXT(Table1[[#This Row],[Fecha Inicio]],"mmmm"))</f>
        <v>Marzo</v>
      </c>
      <c r="P345" s="96" t="s">
        <v>1843</v>
      </c>
      <c r="Q345" s="97" t="s">
        <v>2821</v>
      </c>
      <c r="R345" s="76">
        <f t="shared" si="25"/>
        <v>19</v>
      </c>
      <c r="S345" s="76">
        <f t="shared" si="26"/>
        <v>19</v>
      </c>
      <c r="T345" s="76" t="str">
        <f t="shared" si="27"/>
        <v>-</v>
      </c>
      <c r="U345" s="76" t="str">
        <f t="shared" si="28"/>
        <v>-</v>
      </c>
      <c r="V345" s="76" t="str">
        <f t="shared" si="29"/>
        <v>-</v>
      </c>
      <c r="Z345" s="62"/>
    </row>
    <row r="346" spans="1:26" ht="40.15" customHeight="1" x14ac:dyDescent="0.25">
      <c r="A346" s="87">
        <v>11</v>
      </c>
      <c r="B346" s="88" t="s">
        <v>1550</v>
      </c>
      <c r="C346" s="89" t="s">
        <v>2822</v>
      </c>
      <c r="D346" s="89" t="s">
        <v>326</v>
      </c>
      <c r="E346" s="89" t="s">
        <v>1631</v>
      </c>
      <c r="F346" s="87" t="s">
        <v>1556</v>
      </c>
      <c r="G346" s="92" t="s">
        <v>1557</v>
      </c>
      <c r="H346" s="93" t="s">
        <v>2823</v>
      </c>
      <c r="I346" s="87" t="s">
        <v>2824</v>
      </c>
      <c r="J346" s="87" t="s">
        <v>2825</v>
      </c>
      <c r="K346" s="87" t="s">
        <v>2826</v>
      </c>
      <c r="L346" s="87" t="s">
        <v>52</v>
      </c>
      <c r="M346" s="94">
        <v>44277</v>
      </c>
      <c r="N346" s="94">
        <v>44278</v>
      </c>
      <c r="O346" s="95" t="str">
        <f>PROPER(TEXT(Table1[[#This Row],[Fecha Inicio]],"mmmm"))</f>
        <v>Marzo</v>
      </c>
      <c r="P346" s="96" t="s">
        <v>2827</v>
      </c>
      <c r="Q346" s="97" t="s">
        <v>2828</v>
      </c>
      <c r="R346" s="76">
        <f t="shared" si="25"/>
        <v>2</v>
      </c>
      <c r="S346" s="76">
        <f t="shared" si="26"/>
        <v>2</v>
      </c>
      <c r="T346" s="76" t="str">
        <f t="shared" si="27"/>
        <v>-</v>
      </c>
      <c r="U346" s="76" t="str">
        <f t="shared" si="28"/>
        <v>-</v>
      </c>
      <c r="V346" s="76" t="str">
        <f t="shared" si="29"/>
        <v>-</v>
      </c>
      <c r="Z346" s="62"/>
    </row>
    <row r="347" spans="1:26" ht="40.15" customHeight="1" x14ac:dyDescent="0.25">
      <c r="A347" s="87">
        <v>10</v>
      </c>
      <c r="B347" s="88" t="s">
        <v>1550</v>
      </c>
      <c r="C347" s="89" t="s">
        <v>2674</v>
      </c>
      <c r="D347" s="90" t="s">
        <v>326</v>
      </c>
      <c r="E347" s="90" t="s">
        <v>1631</v>
      </c>
      <c r="F347" s="91" t="s">
        <v>1556</v>
      </c>
      <c r="G347" s="92" t="s">
        <v>1557</v>
      </c>
      <c r="H347" s="93" t="s">
        <v>2829</v>
      </c>
      <c r="I347" s="87" t="s">
        <v>1925</v>
      </c>
      <c r="J347" s="87" t="s">
        <v>1926</v>
      </c>
      <c r="K347" s="87" t="s">
        <v>1575</v>
      </c>
      <c r="L347" s="126" t="s">
        <v>19</v>
      </c>
      <c r="M347" s="94">
        <v>44277.041666666664</v>
      </c>
      <c r="N347" s="94">
        <v>44277.166666666664</v>
      </c>
      <c r="O347" s="95" t="str">
        <f>PROPER(TEXT(Table1[[#This Row],[Fecha Inicio]],"mmmm"))</f>
        <v>Marzo</v>
      </c>
      <c r="P347" s="96" t="s">
        <v>1927</v>
      </c>
      <c r="Q347" s="97" t="s">
        <v>2830</v>
      </c>
      <c r="R347" s="76">
        <f t="shared" si="25"/>
        <v>2</v>
      </c>
      <c r="S347" s="76">
        <f t="shared" si="26"/>
        <v>2</v>
      </c>
      <c r="T347" s="76" t="str">
        <f t="shared" si="27"/>
        <v>-</v>
      </c>
      <c r="U347" s="76" t="str">
        <f t="shared" si="28"/>
        <v>-</v>
      </c>
      <c r="V347" s="76" t="str">
        <f t="shared" si="29"/>
        <v>-</v>
      </c>
      <c r="Z347" s="62"/>
    </row>
    <row r="348" spans="1:26" ht="40.15" customHeight="1" x14ac:dyDescent="0.25">
      <c r="A348" s="87">
        <v>11</v>
      </c>
      <c r="B348" s="88" t="s">
        <v>1550</v>
      </c>
      <c r="C348" s="89"/>
      <c r="D348" s="90" t="s">
        <v>326</v>
      </c>
      <c r="E348" s="90" t="s">
        <v>1742</v>
      </c>
      <c r="F348" s="87" t="s">
        <v>1556</v>
      </c>
      <c r="G348" s="92" t="s">
        <v>1557</v>
      </c>
      <c r="H348" s="93" t="s">
        <v>2831</v>
      </c>
      <c r="I348" s="87" t="s">
        <v>2832</v>
      </c>
      <c r="J348" s="87" t="s">
        <v>1859</v>
      </c>
      <c r="K348" s="87" t="s">
        <v>1860</v>
      </c>
      <c r="L348" s="87" t="s">
        <v>52</v>
      </c>
      <c r="M348" s="94">
        <v>44277.375</v>
      </c>
      <c r="N348" s="94">
        <v>44277.583333333336</v>
      </c>
      <c r="O348" s="95" t="str">
        <f>PROPER(TEXT(Table1[[#This Row],[Fecha Inicio]],"mmmm"))</f>
        <v>Marzo</v>
      </c>
      <c r="P348" s="96" t="s">
        <v>2833</v>
      </c>
      <c r="Q348" s="97" t="s">
        <v>2834</v>
      </c>
      <c r="R348" s="76">
        <f t="shared" si="25"/>
        <v>1</v>
      </c>
      <c r="S348" s="76">
        <f t="shared" si="26"/>
        <v>1</v>
      </c>
      <c r="T348" s="76" t="str">
        <f t="shared" si="27"/>
        <v>-</v>
      </c>
      <c r="U348" s="76" t="str">
        <f t="shared" si="28"/>
        <v>-</v>
      </c>
      <c r="V348" s="76" t="str">
        <f t="shared" si="29"/>
        <v>-</v>
      </c>
      <c r="Z348" s="62"/>
    </row>
    <row r="349" spans="1:26" ht="40.15" customHeight="1" x14ac:dyDescent="0.25">
      <c r="A349" s="87">
        <v>11</v>
      </c>
      <c r="B349" s="88" t="s">
        <v>1550</v>
      </c>
      <c r="C349" s="89"/>
      <c r="D349" s="89" t="s">
        <v>326</v>
      </c>
      <c r="E349" s="89" t="s">
        <v>1742</v>
      </c>
      <c r="F349" s="87" t="s">
        <v>1556</v>
      </c>
      <c r="G349" s="92" t="s">
        <v>1557</v>
      </c>
      <c r="H349" s="93" t="s">
        <v>2835</v>
      </c>
      <c r="I349" s="87" t="s">
        <v>1819</v>
      </c>
      <c r="J349" s="91" t="s">
        <v>1583</v>
      </c>
      <c r="K349" s="87" t="s">
        <v>1584</v>
      </c>
      <c r="L349" s="87" t="s">
        <v>52</v>
      </c>
      <c r="M349" s="94">
        <v>44277.375</v>
      </c>
      <c r="N349" s="94">
        <v>44277.583333333336</v>
      </c>
      <c r="O349" s="95" t="str">
        <f>PROPER(TEXT(Table1[[#This Row],[Fecha Inicio]],"mmmm"))</f>
        <v>Marzo</v>
      </c>
      <c r="P349" s="96" t="s">
        <v>2836</v>
      </c>
      <c r="Q349" s="97" t="s">
        <v>2837</v>
      </c>
      <c r="R349" s="76">
        <f t="shared" si="25"/>
        <v>8</v>
      </c>
      <c r="S349" s="76">
        <f t="shared" si="26"/>
        <v>8</v>
      </c>
      <c r="T349" s="76" t="str">
        <f t="shared" si="27"/>
        <v>-</v>
      </c>
      <c r="U349" s="76" t="str">
        <f t="shared" si="28"/>
        <v>-</v>
      </c>
      <c r="V349" s="76" t="str">
        <f t="shared" si="29"/>
        <v>-</v>
      </c>
      <c r="Z349" s="62"/>
    </row>
    <row r="350" spans="1:26" ht="40.15" customHeight="1" x14ac:dyDescent="0.25">
      <c r="A350" s="87">
        <v>10</v>
      </c>
      <c r="B350" s="88" t="s">
        <v>1550</v>
      </c>
      <c r="C350" s="89" t="s">
        <v>2674</v>
      </c>
      <c r="D350" s="90" t="s">
        <v>326</v>
      </c>
      <c r="E350" s="90" t="s">
        <v>1631</v>
      </c>
      <c r="F350" s="91" t="s">
        <v>1556</v>
      </c>
      <c r="G350" s="92" t="s">
        <v>1557</v>
      </c>
      <c r="H350" s="93" t="s">
        <v>2838</v>
      </c>
      <c r="I350" s="91" t="s">
        <v>1838</v>
      </c>
      <c r="J350" s="91" t="s">
        <v>1839</v>
      </c>
      <c r="K350" s="91" t="s">
        <v>1575</v>
      </c>
      <c r="L350" s="126" t="s">
        <v>19</v>
      </c>
      <c r="M350" s="94">
        <v>44277.916666666664</v>
      </c>
      <c r="N350" s="94">
        <v>44277.958333333336</v>
      </c>
      <c r="O350" s="95" t="str">
        <f>PROPER(TEXT(Table1[[#This Row],[Fecha Inicio]],"mmmm"))</f>
        <v>Marzo</v>
      </c>
      <c r="P350" s="96" t="s">
        <v>194</v>
      </c>
      <c r="Q350" s="97" t="s">
        <v>2839</v>
      </c>
      <c r="R350" s="76">
        <f t="shared" si="25"/>
        <v>1</v>
      </c>
      <c r="S350" s="76">
        <f t="shared" si="26"/>
        <v>1</v>
      </c>
      <c r="T350" s="76" t="str">
        <f t="shared" si="27"/>
        <v>-</v>
      </c>
      <c r="U350" s="76" t="str">
        <f t="shared" si="28"/>
        <v>-</v>
      </c>
      <c r="V350" s="76" t="str">
        <f t="shared" si="29"/>
        <v>-</v>
      </c>
      <c r="Z350" s="62"/>
    </row>
    <row r="351" spans="1:26" ht="40.15" customHeight="1" x14ac:dyDescent="0.25">
      <c r="A351" s="87">
        <v>11</v>
      </c>
      <c r="B351" s="88" t="s">
        <v>1550</v>
      </c>
      <c r="C351" s="89"/>
      <c r="D351" s="89" t="s">
        <v>344</v>
      </c>
      <c r="E351" s="89" t="s">
        <v>1616</v>
      </c>
      <c r="F351" s="87" t="s">
        <v>1556</v>
      </c>
      <c r="G351" s="92" t="s">
        <v>1557</v>
      </c>
      <c r="H351" s="93" t="s">
        <v>2840</v>
      </c>
      <c r="I351" s="87" t="s">
        <v>2841</v>
      </c>
      <c r="J351" s="87" t="s">
        <v>1619</v>
      </c>
      <c r="K351" s="87" t="s">
        <v>2512</v>
      </c>
      <c r="L351" s="126" t="s">
        <v>19</v>
      </c>
      <c r="M351" s="94">
        <v>44277.958333333336</v>
      </c>
      <c r="N351" s="94">
        <v>44278.125</v>
      </c>
      <c r="O351" s="95" t="str">
        <f>PROPER(TEXT(Table1[[#This Row],[Fecha Inicio]],"mmmm"))</f>
        <v>Marzo</v>
      </c>
      <c r="P351" s="96" t="s">
        <v>2842</v>
      </c>
      <c r="Q351" s="97" t="s">
        <v>2843</v>
      </c>
      <c r="R351" s="76">
        <f t="shared" si="25"/>
        <v>3</v>
      </c>
      <c r="S351" s="76">
        <f t="shared" si="26"/>
        <v>3</v>
      </c>
      <c r="T351" s="76" t="str">
        <f t="shared" si="27"/>
        <v>-</v>
      </c>
      <c r="U351" s="76" t="str">
        <f t="shared" si="28"/>
        <v>-</v>
      </c>
      <c r="V351" s="76" t="str">
        <f t="shared" si="29"/>
        <v>-</v>
      </c>
      <c r="Z351" s="62"/>
    </row>
    <row r="352" spans="1:26" ht="40.15" customHeight="1" x14ac:dyDescent="0.25">
      <c r="A352" s="87">
        <v>11</v>
      </c>
      <c r="B352" s="88" t="s">
        <v>1550</v>
      </c>
      <c r="C352" s="89"/>
      <c r="D352" s="89" t="s">
        <v>344</v>
      </c>
      <c r="E352" s="89" t="s">
        <v>1616</v>
      </c>
      <c r="F352" s="87" t="s">
        <v>1556</v>
      </c>
      <c r="G352" s="92" t="s">
        <v>1557</v>
      </c>
      <c r="H352" s="93" t="s">
        <v>2844</v>
      </c>
      <c r="I352" s="87" t="s">
        <v>2845</v>
      </c>
      <c r="J352" s="87" t="s">
        <v>1566</v>
      </c>
      <c r="K352" s="87" t="s">
        <v>1567</v>
      </c>
      <c r="L352" s="126" t="s">
        <v>19</v>
      </c>
      <c r="M352" s="94">
        <v>44277.958333333336</v>
      </c>
      <c r="N352" s="94">
        <v>44278.125</v>
      </c>
      <c r="O352" s="95" t="str">
        <f>PROPER(TEXT(Table1[[#This Row],[Fecha Inicio]],"mmmm"))</f>
        <v>Marzo</v>
      </c>
      <c r="P352" s="96" t="s">
        <v>2846</v>
      </c>
      <c r="Q352" s="101" t="s">
        <v>2847</v>
      </c>
      <c r="R352" s="76">
        <f t="shared" si="25"/>
        <v>3</v>
      </c>
      <c r="S352" s="76">
        <f t="shared" si="26"/>
        <v>3</v>
      </c>
      <c r="T352" s="76" t="str">
        <f t="shared" si="27"/>
        <v>-</v>
      </c>
      <c r="U352" s="76" t="str">
        <f t="shared" si="28"/>
        <v>-</v>
      </c>
      <c r="V352" s="76" t="str">
        <f t="shared" si="29"/>
        <v>-</v>
      </c>
      <c r="Z352" s="62"/>
    </row>
    <row r="353" spans="1:26" ht="40.15" customHeight="1" x14ac:dyDescent="0.25">
      <c r="A353" s="87">
        <v>11</v>
      </c>
      <c r="B353" s="88" t="s">
        <v>1550</v>
      </c>
      <c r="C353" s="89"/>
      <c r="D353" s="90" t="s">
        <v>1623</v>
      </c>
      <c r="E353" s="90" t="s">
        <v>1624</v>
      </c>
      <c r="F353" s="91" t="s">
        <v>1556</v>
      </c>
      <c r="G353" s="92" t="s">
        <v>1557</v>
      </c>
      <c r="H353" s="93" t="s">
        <v>2848</v>
      </c>
      <c r="I353" s="87" t="s">
        <v>2040</v>
      </c>
      <c r="J353" s="87" t="s">
        <v>1771</v>
      </c>
      <c r="K353" s="87" t="s">
        <v>1575</v>
      </c>
      <c r="L353" s="126" t="s">
        <v>19</v>
      </c>
      <c r="M353" s="94">
        <v>44278.291666666664</v>
      </c>
      <c r="N353" s="94">
        <v>44278.5</v>
      </c>
      <c r="O353" s="95" t="str">
        <f>PROPER(TEXT(Table1[[#This Row],[Fecha Inicio]],"mmmm"))</f>
        <v>Marzo</v>
      </c>
      <c r="P353" s="96" t="s">
        <v>1772</v>
      </c>
      <c r="Q353" s="97" t="s">
        <v>2849</v>
      </c>
      <c r="R353" s="76">
        <f t="shared" si="25"/>
        <v>2</v>
      </c>
      <c r="S353" s="76">
        <f t="shared" si="26"/>
        <v>2</v>
      </c>
      <c r="T353" s="76" t="str">
        <f t="shared" si="27"/>
        <v>-</v>
      </c>
      <c r="U353" s="76" t="str">
        <f t="shared" si="28"/>
        <v>-</v>
      </c>
      <c r="V353" s="76" t="str">
        <f t="shared" si="29"/>
        <v>-</v>
      </c>
      <c r="Z353" s="62"/>
    </row>
    <row r="354" spans="1:26" ht="40.15" customHeight="1" x14ac:dyDescent="0.25">
      <c r="A354" s="87">
        <v>11</v>
      </c>
      <c r="B354" s="88" t="s">
        <v>1550</v>
      </c>
      <c r="C354" s="89"/>
      <c r="D354" s="90" t="s">
        <v>326</v>
      </c>
      <c r="E354" s="90" t="s">
        <v>1742</v>
      </c>
      <c r="F354" s="87" t="s">
        <v>1556</v>
      </c>
      <c r="G354" s="92" t="s">
        <v>1557</v>
      </c>
      <c r="H354" s="93" t="s">
        <v>2854</v>
      </c>
      <c r="I354" s="87" t="s">
        <v>2855</v>
      </c>
      <c r="J354" s="87" t="s">
        <v>1859</v>
      </c>
      <c r="K354" s="87" t="s">
        <v>1860</v>
      </c>
      <c r="L354" s="87" t="s">
        <v>52</v>
      </c>
      <c r="M354" s="94">
        <v>44278.375</v>
      </c>
      <c r="N354" s="94">
        <v>44278.583333333336</v>
      </c>
      <c r="O354" s="95" t="str">
        <f>PROPER(TEXT(Table1[[#This Row],[Fecha Inicio]],"mmmm"))</f>
        <v>Marzo</v>
      </c>
      <c r="P354" s="96" t="s">
        <v>2648</v>
      </c>
      <c r="Q354" s="97" t="s">
        <v>2856</v>
      </c>
      <c r="R354" s="76">
        <f t="shared" si="25"/>
        <v>1</v>
      </c>
      <c r="S354" s="76">
        <f t="shared" si="26"/>
        <v>1</v>
      </c>
      <c r="T354" s="76" t="str">
        <f t="shared" si="27"/>
        <v>-</v>
      </c>
      <c r="U354" s="76" t="str">
        <f t="shared" si="28"/>
        <v>-</v>
      </c>
      <c r="V354" s="76" t="str">
        <f t="shared" si="29"/>
        <v>-</v>
      </c>
      <c r="Z354" s="62"/>
    </row>
    <row r="355" spans="1:26" ht="40.15" customHeight="1" x14ac:dyDescent="0.25">
      <c r="A355" s="87">
        <v>12</v>
      </c>
      <c r="B355" s="88" t="s">
        <v>1550</v>
      </c>
      <c r="C355" s="89" t="s">
        <v>1578</v>
      </c>
      <c r="D355" s="89" t="s">
        <v>326</v>
      </c>
      <c r="E355" s="89" t="s">
        <v>1631</v>
      </c>
      <c r="F355" s="87" t="s">
        <v>1556</v>
      </c>
      <c r="G355" s="92" t="s">
        <v>1557</v>
      </c>
      <c r="H355" s="93" t="s">
        <v>2850</v>
      </c>
      <c r="I355" s="87" t="s">
        <v>2851</v>
      </c>
      <c r="J355" s="87" t="s">
        <v>1760</v>
      </c>
      <c r="K355" s="87" t="s">
        <v>1761</v>
      </c>
      <c r="L355" s="87" t="s">
        <v>52</v>
      </c>
      <c r="M355" s="94">
        <v>44278.375</v>
      </c>
      <c r="N355" s="94">
        <v>44279.791666666664</v>
      </c>
      <c r="O355" s="95" t="str">
        <f>PROPER(TEXT(Table1[[#This Row],[Fecha Inicio]],"mmmm"))</f>
        <v>Marzo</v>
      </c>
      <c r="P355" s="96" t="s">
        <v>2852</v>
      </c>
      <c r="Q355" s="97" t="s">
        <v>2853</v>
      </c>
      <c r="R355" s="76">
        <f t="shared" si="25"/>
        <v>1</v>
      </c>
      <c r="S355" s="76">
        <f t="shared" si="26"/>
        <v>1</v>
      </c>
      <c r="T355" s="76" t="str">
        <f t="shared" si="27"/>
        <v>-</v>
      </c>
      <c r="U355" s="76" t="str">
        <f t="shared" si="28"/>
        <v>-</v>
      </c>
      <c r="V355" s="76" t="str">
        <f t="shared" si="29"/>
        <v>-</v>
      </c>
      <c r="Z355" s="62"/>
    </row>
    <row r="356" spans="1:26" ht="40.15" customHeight="1" x14ac:dyDescent="0.25">
      <c r="A356" s="87">
        <v>12</v>
      </c>
      <c r="B356" s="88" t="s">
        <v>1550</v>
      </c>
      <c r="C356" s="89" t="s">
        <v>1578</v>
      </c>
      <c r="D356" s="89" t="s">
        <v>1554</v>
      </c>
      <c r="E356" s="89" t="s">
        <v>1555</v>
      </c>
      <c r="F356" s="87" t="s">
        <v>1556</v>
      </c>
      <c r="G356" s="92" t="s">
        <v>1557</v>
      </c>
      <c r="H356" s="93" t="s">
        <v>2857</v>
      </c>
      <c r="I356" s="87" t="s">
        <v>2858</v>
      </c>
      <c r="J356" s="91" t="s">
        <v>1583</v>
      </c>
      <c r="K356" s="87" t="s">
        <v>1584</v>
      </c>
      <c r="L356" s="87" t="s">
        <v>52</v>
      </c>
      <c r="M356" s="94">
        <v>44278.375</v>
      </c>
      <c r="N356" s="94">
        <v>44279.791666666664</v>
      </c>
      <c r="O356" s="95" t="str">
        <f>PROPER(TEXT(Table1[[#This Row],[Fecha Inicio]],"mmmm"))</f>
        <v>Marzo</v>
      </c>
      <c r="P356" s="96" t="s">
        <v>2859</v>
      </c>
      <c r="Q356" s="97" t="s">
        <v>2860</v>
      </c>
      <c r="R356" s="76">
        <f t="shared" si="25"/>
        <v>1</v>
      </c>
      <c r="S356" s="76">
        <f t="shared" si="26"/>
        <v>1</v>
      </c>
      <c r="T356" s="76" t="str">
        <f t="shared" si="27"/>
        <v>-</v>
      </c>
      <c r="U356" s="76" t="str">
        <f t="shared" si="28"/>
        <v>-</v>
      </c>
      <c r="V356" s="76" t="str">
        <f t="shared" si="29"/>
        <v>-</v>
      </c>
      <c r="Z356" s="62"/>
    </row>
    <row r="357" spans="1:26" ht="40.15" customHeight="1" x14ac:dyDescent="0.25">
      <c r="A357" s="87">
        <v>12</v>
      </c>
      <c r="B357" s="88" t="s">
        <v>1550</v>
      </c>
      <c r="C357" s="89" t="s">
        <v>2674</v>
      </c>
      <c r="D357" s="90" t="s">
        <v>326</v>
      </c>
      <c r="E357" s="90" t="s">
        <v>1631</v>
      </c>
      <c r="F357" s="91" t="s">
        <v>1556</v>
      </c>
      <c r="G357" s="92" t="s">
        <v>1557</v>
      </c>
      <c r="H357" s="93" t="s">
        <v>2861</v>
      </c>
      <c r="I357" s="87" t="s">
        <v>1750</v>
      </c>
      <c r="J357" s="87" t="s">
        <v>1560</v>
      </c>
      <c r="K357" s="87" t="s">
        <v>1561</v>
      </c>
      <c r="L357" s="126" t="s">
        <v>19</v>
      </c>
      <c r="M357" s="94">
        <v>44278.791666666664</v>
      </c>
      <c r="N357" s="94">
        <v>44279.083333333336</v>
      </c>
      <c r="O357" s="95" t="str">
        <f>PROPER(TEXT(Table1[[#This Row],[Fecha Inicio]],"mmmm"))</f>
        <v>Marzo</v>
      </c>
      <c r="P357" s="96" t="s">
        <v>1751</v>
      </c>
      <c r="Q357" s="97" t="s">
        <v>2862</v>
      </c>
      <c r="R357" s="76">
        <f t="shared" si="25"/>
        <v>4</v>
      </c>
      <c r="S357" s="76">
        <f t="shared" si="26"/>
        <v>4</v>
      </c>
      <c r="T357" s="76" t="str">
        <f t="shared" si="27"/>
        <v>-</v>
      </c>
      <c r="U357" s="76" t="str">
        <f t="shared" si="28"/>
        <v>-</v>
      </c>
      <c r="V357" s="76" t="str">
        <f t="shared" si="29"/>
        <v>-</v>
      </c>
      <c r="Z357" s="62"/>
    </row>
    <row r="358" spans="1:26" ht="40.15" customHeight="1" x14ac:dyDescent="0.25">
      <c r="A358" s="87">
        <v>10</v>
      </c>
      <c r="B358" s="88" t="s">
        <v>1550</v>
      </c>
      <c r="C358" s="99" t="s">
        <v>2674</v>
      </c>
      <c r="D358" s="90" t="s">
        <v>326</v>
      </c>
      <c r="E358" s="90" t="s">
        <v>1631</v>
      </c>
      <c r="F358" s="91" t="s">
        <v>1556</v>
      </c>
      <c r="G358" s="92" t="s">
        <v>1557</v>
      </c>
      <c r="H358" s="93" t="s">
        <v>2863</v>
      </c>
      <c r="I358" s="87" t="s">
        <v>1961</v>
      </c>
      <c r="J358" s="87" t="s">
        <v>1962</v>
      </c>
      <c r="K358" s="87" t="s">
        <v>1575</v>
      </c>
      <c r="L358" s="126" t="s">
        <v>19</v>
      </c>
      <c r="M358" s="94">
        <v>44278.833333333336</v>
      </c>
      <c r="N358" s="94">
        <v>44278.875</v>
      </c>
      <c r="O358" s="95" t="str">
        <f>PROPER(TEXT(Table1[[#This Row],[Fecha Inicio]],"mmmm"))</f>
        <v>Marzo</v>
      </c>
      <c r="P358" s="96" t="s">
        <v>207</v>
      </c>
      <c r="Q358" s="97" t="s">
        <v>2864</v>
      </c>
      <c r="R358" s="76">
        <f t="shared" si="25"/>
        <v>1</v>
      </c>
      <c r="S358" s="76">
        <f t="shared" si="26"/>
        <v>1</v>
      </c>
      <c r="T358" s="76" t="str">
        <f t="shared" si="27"/>
        <v>-</v>
      </c>
      <c r="U358" s="76" t="str">
        <f t="shared" si="28"/>
        <v>-</v>
      </c>
      <c r="V358" s="76" t="str">
        <f t="shared" si="29"/>
        <v>-</v>
      </c>
      <c r="Z358" s="62"/>
    </row>
    <row r="359" spans="1:26" ht="40.15" customHeight="1" x14ac:dyDescent="0.25">
      <c r="A359" s="87">
        <v>11</v>
      </c>
      <c r="B359" s="88" t="s">
        <v>1550</v>
      </c>
      <c r="C359" s="89"/>
      <c r="D359" s="89" t="s">
        <v>344</v>
      </c>
      <c r="E359" s="89" t="s">
        <v>1616</v>
      </c>
      <c r="F359" s="87" t="s">
        <v>1556</v>
      </c>
      <c r="G359" s="92" t="s">
        <v>1557</v>
      </c>
      <c r="H359" s="93" t="s">
        <v>2865</v>
      </c>
      <c r="I359" s="87" t="s">
        <v>2866</v>
      </c>
      <c r="J359" s="87" t="s">
        <v>1566</v>
      </c>
      <c r="K359" s="87" t="s">
        <v>1567</v>
      </c>
      <c r="L359" s="126" t="s">
        <v>19</v>
      </c>
      <c r="M359" s="94">
        <v>44278.916666666664</v>
      </c>
      <c r="N359" s="94">
        <v>44279.125</v>
      </c>
      <c r="O359" s="95" t="str">
        <f>PROPER(TEXT(Table1[[#This Row],[Fecha Inicio]],"mmmm"))</f>
        <v>Marzo</v>
      </c>
      <c r="P359" s="96" t="s">
        <v>2867</v>
      </c>
      <c r="Q359" s="97" t="s">
        <v>2868</v>
      </c>
      <c r="R359" s="76">
        <f t="shared" si="25"/>
        <v>3</v>
      </c>
      <c r="S359" s="76">
        <f t="shared" si="26"/>
        <v>3</v>
      </c>
      <c r="T359" s="76" t="str">
        <f t="shared" si="27"/>
        <v>-</v>
      </c>
      <c r="U359" s="76" t="str">
        <f t="shared" si="28"/>
        <v>-</v>
      </c>
      <c r="V359" s="76" t="str">
        <f t="shared" si="29"/>
        <v>-</v>
      </c>
      <c r="Z359" s="62"/>
    </row>
    <row r="360" spans="1:26" ht="40.15" customHeight="1" x14ac:dyDescent="0.25">
      <c r="A360" s="87">
        <v>10</v>
      </c>
      <c r="B360" s="88" t="s">
        <v>1550</v>
      </c>
      <c r="C360" s="89"/>
      <c r="D360" s="90" t="s">
        <v>344</v>
      </c>
      <c r="E360" s="90" t="s">
        <v>1799</v>
      </c>
      <c r="F360" s="87" t="s">
        <v>1556</v>
      </c>
      <c r="G360" s="92" t="s">
        <v>1557</v>
      </c>
      <c r="H360" s="93" t="s">
        <v>2869</v>
      </c>
      <c r="I360" s="87" t="s">
        <v>1801</v>
      </c>
      <c r="J360" s="87" t="s">
        <v>1802</v>
      </c>
      <c r="K360" s="87" t="s">
        <v>1596</v>
      </c>
      <c r="L360" s="126" t="s">
        <v>19</v>
      </c>
      <c r="M360" s="94">
        <v>44278.958333333336</v>
      </c>
      <c r="N360" s="94">
        <v>44279.125</v>
      </c>
      <c r="O360" s="95" t="str">
        <f>PROPER(TEXT(Table1[[#This Row],[Fecha Inicio]],"mmmm"))</f>
        <v>Marzo</v>
      </c>
      <c r="P360" s="96" t="s">
        <v>2422</v>
      </c>
      <c r="Q360" s="97" t="s">
        <v>2870</v>
      </c>
      <c r="R360" s="76">
        <f t="shared" si="25"/>
        <v>2</v>
      </c>
      <c r="S360" s="76">
        <f t="shared" si="26"/>
        <v>2</v>
      </c>
      <c r="T360" s="76" t="str">
        <f t="shared" si="27"/>
        <v>-</v>
      </c>
      <c r="U360" s="76" t="str">
        <f t="shared" si="28"/>
        <v>-</v>
      </c>
      <c r="V360" s="76" t="str">
        <f t="shared" si="29"/>
        <v>-</v>
      </c>
      <c r="Z360" s="62"/>
    </row>
    <row r="361" spans="1:26" ht="40.15" customHeight="1" x14ac:dyDescent="0.25">
      <c r="A361" s="87">
        <v>11</v>
      </c>
      <c r="B361" s="88" t="s">
        <v>1550</v>
      </c>
      <c r="C361" s="89"/>
      <c r="D361" s="89" t="s">
        <v>344</v>
      </c>
      <c r="E361" s="89" t="s">
        <v>1616</v>
      </c>
      <c r="F361" s="87" t="s">
        <v>1556</v>
      </c>
      <c r="G361" s="92" t="s">
        <v>1557</v>
      </c>
      <c r="H361" s="93" t="s">
        <v>2871</v>
      </c>
      <c r="I361" s="87" t="s">
        <v>2872</v>
      </c>
      <c r="J361" s="87" t="s">
        <v>1619</v>
      </c>
      <c r="K361" s="87" t="s">
        <v>2512</v>
      </c>
      <c r="L361" s="126" t="s">
        <v>19</v>
      </c>
      <c r="M361" s="94">
        <v>44278.958333333336</v>
      </c>
      <c r="N361" s="94">
        <v>44279.125</v>
      </c>
      <c r="O361" s="95" t="str">
        <f>PROPER(TEXT(Table1[[#This Row],[Fecha Inicio]],"mmmm"))</f>
        <v>Marzo</v>
      </c>
      <c r="P361" s="96" t="s">
        <v>2873</v>
      </c>
      <c r="Q361" s="97" t="s">
        <v>2874</v>
      </c>
      <c r="R361" s="76">
        <f t="shared" si="25"/>
        <v>3</v>
      </c>
      <c r="S361" s="76">
        <f t="shared" si="26"/>
        <v>3</v>
      </c>
      <c r="T361" s="76" t="str">
        <f t="shared" si="27"/>
        <v>-</v>
      </c>
      <c r="U361" s="76" t="str">
        <f t="shared" si="28"/>
        <v>-</v>
      </c>
      <c r="V361" s="76" t="str">
        <f t="shared" si="29"/>
        <v>-</v>
      </c>
      <c r="Z361" s="62"/>
    </row>
    <row r="362" spans="1:26" ht="40.15" customHeight="1" x14ac:dyDescent="0.25">
      <c r="A362" s="87">
        <v>12</v>
      </c>
      <c r="B362" s="88" t="s">
        <v>1550</v>
      </c>
      <c r="C362" s="89" t="s">
        <v>1578</v>
      </c>
      <c r="D362" s="90" t="s">
        <v>1623</v>
      </c>
      <c r="E362" s="90" t="s">
        <v>1624</v>
      </c>
      <c r="F362" s="87" t="s">
        <v>1556</v>
      </c>
      <c r="G362" s="92" t="s">
        <v>1557</v>
      </c>
      <c r="H362" s="93" t="s">
        <v>2875</v>
      </c>
      <c r="I362" s="87" t="s">
        <v>1930</v>
      </c>
      <c r="J362" s="87" t="s">
        <v>1931</v>
      </c>
      <c r="K362" s="87" t="s">
        <v>1921</v>
      </c>
      <c r="L362" s="126" t="s">
        <v>19</v>
      </c>
      <c r="M362" s="94">
        <v>44279.3125</v>
      </c>
      <c r="N362" s="94">
        <v>44279.4375</v>
      </c>
      <c r="O362" s="95" t="str">
        <f>PROPER(TEXT(Table1[[#This Row],[Fecha Inicio]],"mmmm"))</f>
        <v>Marzo</v>
      </c>
      <c r="P362" s="96" t="s">
        <v>1932</v>
      </c>
      <c r="Q362" s="97" t="s">
        <v>2876</v>
      </c>
      <c r="R362" s="76">
        <f t="shared" si="25"/>
        <v>1</v>
      </c>
      <c r="S362" s="76">
        <f t="shared" si="26"/>
        <v>1</v>
      </c>
      <c r="T362" s="76" t="str">
        <f t="shared" si="27"/>
        <v>-</v>
      </c>
      <c r="U362" s="76" t="str">
        <f t="shared" si="28"/>
        <v>-</v>
      </c>
      <c r="V362" s="76" t="str">
        <f t="shared" si="29"/>
        <v>-</v>
      </c>
      <c r="Z362" s="62"/>
    </row>
    <row r="363" spans="1:26" ht="40.15" customHeight="1" x14ac:dyDescent="0.25">
      <c r="A363" s="87">
        <v>10</v>
      </c>
      <c r="B363" s="88" t="s">
        <v>1550</v>
      </c>
      <c r="C363" s="89" t="s">
        <v>2674</v>
      </c>
      <c r="D363" s="90" t="s">
        <v>326</v>
      </c>
      <c r="E363" s="90" t="s">
        <v>1631</v>
      </c>
      <c r="F363" s="91" t="s">
        <v>1556</v>
      </c>
      <c r="G363" s="92" t="s">
        <v>1557</v>
      </c>
      <c r="H363" s="93" t="s">
        <v>2877</v>
      </c>
      <c r="I363" s="87" t="s">
        <v>1979</v>
      </c>
      <c r="J363" s="87" t="s">
        <v>1980</v>
      </c>
      <c r="K363" s="87" t="s">
        <v>1575</v>
      </c>
      <c r="L363" s="126" t="s">
        <v>19</v>
      </c>
      <c r="M363" s="94">
        <v>44279.333333333336</v>
      </c>
      <c r="N363" s="94">
        <v>44279.395833333336</v>
      </c>
      <c r="O363" s="95" t="str">
        <f>PROPER(TEXT(Table1[[#This Row],[Fecha Inicio]],"mmmm"))</f>
        <v>Marzo</v>
      </c>
      <c r="P363" s="96" t="s">
        <v>1981</v>
      </c>
      <c r="Q363" s="97" t="s">
        <v>2878</v>
      </c>
      <c r="R363" s="76">
        <f t="shared" si="25"/>
        <v>2</v>
      </c>
      <c r="S363" s="76">
        <f t="shared" si="26"/>
        <v>2</v>
      </c>
      <c r="T363" s="76" t="str">
        <f t="shared" si="27"/>
        <v>-</v>
      </c>
      <c r="U363" s="76" t="str">
        <f t="shared" si="28"/>
        <v>-</v>
      </c>
      <c r="V363" s="76" t="str">
        <f t="shared" si="29"/>
        <v>-</v>
      </c>
      <c r="Z363" s="62"/>
    </row>
    <row r="364" spans="1:26" ht="40.15" customHeight="1" x14ac:dyDescent="0.25">
      <c r="A364" s="87">
        <v>12</v>
      </c>
      <c r="B364" s="88" t="s">
        <v>1550</v>
      </c>
      <c r="C364" s="89" t="s">
        <v>1578</v>
      </c>
      <c r="D364" s="90" t="s">
        <v>326</v>
      </c>
      <c r="E364" s="90" t="s">
        <v>1742</v>
      </c>
      <c r="F364" s="87" t="s">
        <v>1556</v>
      </c>
      <c r="G364" s="92" t="s">
        <v>1557</v>
      </c>
      <c r="H364" s="93" t="s">
        <v>2879</v>
      </c>
      <c r="I364" s="87" t="s">
        <v>2880</v>
      </c>
      <c r="J364" s="87" t="s">
        <v>1859</v>
      </c>
      <c r="K364" s="87" t="s">
        <v>1860</v>
      </c>
      <c r="L364" s="87" t="s">
        <v>52</v>
      </c>
      <c r="M364" s="94">
        <v>44279.375</v>
      </c>
      <c r="N364" s="94">
        <v>44279.583333333336</v>
      </c>
      <c r="O364" s="95" t="str">
        <f>PROPER(TEXT(Table1[[#This Row],[Fecha Inicio]],"mmmm"))</f>
        <v>Marzo</v>
      </c>
      <c r="P364" s="96" t="s">
        <v>2881</v>
      </c>
      <c r="Q364" s="97" t="s">
        <v>2882</v>
      </c>
      <c r="R364" s="76">
        <f t="shared" si="25"/>
        <v>1</v>
      </c>
      <c r="S364" s="76">
        <f t="shared" si="26"/>
        <v>1</v>
      </c>
      <c r="T364" s="76" t="str">
        <f t="shared" si="27"/>
        <v>-</v>
      </c>
      <c r="U364" s="76" t="str">
        <f t="shared" si="28"/>
        <v>-</v>
      </c>
      <c r="V364" s="76" t="str">
        <f t="shared" si="29"/>
        <v>-</v>
      </c>
      <c r="Z364" s="62"/>
    </row>
    <row r="365" spans="1:26" ht="40.15" customHeight="1" x14ac:dyDescent="0.25">
      <c r="A365" s="87">
        <v>12</v>
      </c>
      <c r="B365" s="88" t="s">
        <v>1550</v>
      </c>
      <c r="C365" s="89"/>
      <c r="D365" s="90" t="s">
        <v>326</v>
      </c>
      <c r="E365" s="90" t="s">
        <v>1742</v>
      </c>
      <c r="F365" s="87" t="s">
        <v>1556</v>
      </c>
      <c r="G365" s="92" t="s">
        <v>1557</v>
      </c>
      <c r="H365" s="93" t="s">
        <v>2883</v>
      </c>
      <c r="I365" s="87" t="s">
        <v>2804</v>
      </c>
      <c r="J365" s="87" t="s">
        <v>1859</v>
      </c>
      <c r="K365" s="87" t="s">
        <v>1860</v>
      </c>
      <c r="L365" s="87" t="s">
        <v>52</v>
      </c>
      <c r="M365" s="94">
        <v>44279.375</v>
      </c>
      <c r="N365" s="94">
        <v>44279.583333333336</v>
      </c>
      <c r="O365" s="95" t="str">
        <f>PROPER(TEXT(Table1[[#This Row],[Fecha Inicio]],"mmmm"))</f>
        <v>Marzo</v>
      </c>
      <c r="P365" s="96" t="s">
        <v>2884</v>
      </c>
      <c r="Q365" s="97" t="s">
        <v>2885</v>
      </c>
      <c r="R365" s="76">
        <f t="shared" si="25"/>
        <v>5</v>
      </c>
      <c r="S365" s="76">
        <f t="shared" si="26"/>
        <v>5</v>
      </c>
      <c r="T365" s="76" t="str">
        <f t="shared" si="27"/>
        <v>-</v>
      </c>
      <c r="U365" s="76" t="str">
        <f t="shared" si="28"/>
        <v>-</v>
      </c>
      <c r="V365" s="76" t="str">
        <f t="shared" si="29"/>
        <v>-</v>
      </c>
      <c r="Z365" s="62"/>
    </row>
    <row r="366" spans="1:26" ht="40.15" customHeight="1" x14ac:dyDescent="0.25">
      <c r="A366" s="87">
        <v>11</v>
      </c>
      <c r="B366" s="88" t="s">
        <v>1550</v>
      </c>
      <c r="C366" s="89"/>
      <c r="D366" s="89" t="s">
        <v>344</v>
      </c>
      <c r="E366" s="89" t="s">
        <v>1616</v>
      </c>
      <c r="F366" s="87" t="s">
        <v>1556</v>
      </c>
      <c r="G366" s="92" t="s">
        <v>1557</v>
      </c>
      <c r="H366" s="93" t="s">
        <v>2886</v>
      </c>
      <c r="I366" s="87" t="s">
        <v>1942</v>
      </c>
      <c r="J366" s="91" t="s">
        <v>1583</v>
      </c>
      <c r="K366" s="87" t="s">
        <v>1584</v>
      </c>
      <c r="L366" s="126" t="s">
        <v>19</v>
      </c>
      <c r="M366" s="94">
        <v>44279.416666666664</v>
      </c>
      <c r="N366" s="94">
        <v>44279.708333333336</v>
      </c>
      <c r="O366" s="95" t="str">
        <f>PROPER(TEXT(Table1[[#This Row],[Fecha Inicio]],"mmmm"))</f>
        <v>Marzo</v>
      </c>
      <c r="P366" s="96" t="s">
        <v>1943</v>
      </c>
      <c r="Q366" s="97" t="s">
        <v>2887</v>
      </c>
      <c r="R366" s="76">
        <f t="shared" si="25"/>
        <v>3</v>
      </c>
      <c r="S366" s="76">
        <f t="shared" si="26"/>
        <v>3</v>
      </c>
      <c r="T366" s="76" t="str">
        <f t="shared" si="27"/>
        <v>-</v>
      </c>
      <c r="U366" s="76" t="str">
        <f t="shared" si="28"/>
        <v>-</v>
      </c>
      <c r="V366" s="76" t="str">
        <f t="shared" si="29"/>
        <v>-</v>
      </c>
      <c r="Z366" s="62"/>
    </row>
    <row r="367" spans="1:26" ht="40.15" customHeight="1" x14ac:dyDescent="0.25">
      <c r="A367" s="87">
        <v>10</v>
      </c>
      <c r="B367" s="88" t="s">
        <v>1550</v>
      </c>
      <c r="C367" s="89" t="s">
        <v>2674</v>
      </c>
      <c r="D367" s="90" t="s">
        <v>326</v>
      </c>
      <c r="E367" s="90" t="s">
        <v>1631</v>
      </c>
      <c r="F367" s="91" t="s">
        <v>1556</v>
      </c>
      <c r="G367" s="92" t="s">
        <v>1557</v>
      </c>
      <c r="H367" s="93" t="s">
        <v>2888</v>
      </c>
      <c r="I367" s="87" t="s">
        <v>1987</v>
      </c>
      <c r="J367" s="91" t="s">
        <v>1988</v>
      </c>
      <c r="K367" s="91" t="s">
        <v>1575</v>
      </c>
      <c r="L367" s="126" t="s">
        <v>19</v>
      </c>
      <c r="M367" s="94">
        <v>44279.604166666664</v>
      </c>
      <c r="N367" s="94">
        <v>44279.729166666664</v>
      </c>
      <c r="O367" s="95" t="str">
        <f>PROPER(TEXT(Table1[[#This Row],[Fecha Inicio]],"mmmm"))</f>
        <v>Marzo</v>
      </c>
      <c r="P367" s="96" t="s">
        <v>1989</v>
      </c>
      <c r="Q367" s="97" t="s">
        <v>2889</v>
      </c>
      <c r="R367" s="76">
        <f t="shared" si="25"/>
        <v>4</v>
      </c>
      <c r="S367" s="76">
        <f t="shared" si="26"/>
        <v>4</v>
      </c>
      <c r="T367" s="76" t="str">
        <f t="shared" si="27"/>
        <v>-</v>
      </c>
      <c r="U367" s="76" t="str">
        <f t="shared" si="28"/>
        <v>-</v>
      </c>
      <c r="V367" s="76" t="str">
        <f t="shared" si="29"/>
        <v>-</v>
      </c>
      <c r="Z367" s="62"/>
    </row>
    <row r="368" spans="1:26" ht="40.15" customHeight="1" x14ac:dyDescent="0.25">
      <c r="A368" s="87">
        <v>10</v>
      </c>
      <c r="B368" s="88" t="s">
        <v>1550</v>
      </c>
      <c r="C368" s="89"/>
      <c r="D368" s="90" t="s">
        <v>344</v>
      </c>
      <c r="E368" s="90" t="s">
        <v>1799</v>
      </c>
      <c r="F368" s="87" t="s">
        <v>1556</v>
      </c>
      <c r="G368" s="92" t="s">
        <v>1557</v>
      </c>
      <c r="H368" s="93" t="s">
        <v>2890</v>
      </c>
      <c r="I368" s="87" t="s">
        <v>1829</v>
      </c>
      <c r="J368" s="87" t="s">
        <v>1560</v>
      </c>
      <c r="K368" s="87" t="s">
        <v>1561</v>
      </c>
      <c r="L368" s="126" t="s">
        <v>19</v>
      </c>
      <c r="M368" s="94">
        <v>44279.666666666664</v>
      </c>
      <c r="N368" s="94">
        <v>44279.833333333336</v>
      </c>
      <c r="O368" s="95" t="str">
        <f>PROPER(TEXT(Table1[[#This Row],[Fecha Inicio]],"mmmm"))</f>
        <v>Marzo</v>
      </c>
      <c r="P368" s="96" t="s">
        <v>2440</v>
      </c>
      <c r="Q368" s="97" t="s">
        <v>2891</v>
      </c>
      <c r="R368" s="76">
        <f t="shared" si="25"/>
        <v>1</v>
      </c>
      <c r="S368" s="76">
        <f t="shared" si="26"/>
        <v>1</v>
      </c>
      <c r="T368" s="76" t="str">
        <f t="shared" si="27"/>
        <v>-</v>
      </c>
      <c r="U368" s="76" t="str">
        <f t="shared" si="28"/>
        <v>-</v>
      </c>
      <c r="V368" s="76" t="str">
        <f t="shared" si="29"/>
        <v>-</v>
      </c>
      <c r="Z368" s="62"/>
    </row>
    <row r="369" spans="1:26" ht="40.15" customHeight="1" x14ac:dyDescent="0.25">
      <c r="A369" s="87">
        <v>12</v>
      </c>
      <c r="B369" s="88" t="s">
        <v>1550</v>
      </c>
      <c r="C369" s="89" t="s">
        <v>2674</v>
      </c>
      <c r="D369" s="90" t="s">
        <v>326</v>
      </c>
      <c r="E369" s="90" t="s">
        <v>1631</v>
      </c>
      <c r="F369" s="91" t="s">
        <v>1556</v>
      </c>
      <c r="G369" s="92" t="s">
        <v>1557</v>
      </c>
      <c r="H369" s="93" t="s">
        <v>2892</v>
      </c>
      <c r="I369" s="87" t="s">
        <v>1846</v>
      </c>
      <c r="J369" s="87" t="s">
        <v>1560</v>
      </c>
      <c r="K369" s="87" t="s">
        <v>1561</v>
      </c>
      <c r="L369" s="126" t="s">
        <v>19</v>
      </c>
      <c r="M369" s="94">
        <v>44279.958333333336</v>
      </c>
      <c r="N369" s="94">
        <v>44280.291666666664</v>
      </c>
      <c r="O369" s="95" t="str">
        <f>PROPER(TEXT(Table1[[#This Row],[Fecha Inicio]],"mmmm"))</f>
        <v>Marzo</v>
      </c>
      <c r="P369" s="96" t="s">
        <v>1847</v>
      </c>
      <c r="Q369" s="97" t="s">
        <v>2893</v>
      </c>
      <c r="R369" s="76">
        <f t="shared" si="25"/>
        <v>14</v>
      </c>
      <c r="S369" s="76">
        <f t="shared" si="26"/>
        <v>14</v>
      </c>
      <c r="T369" s="76" t="str">
        <f t="shared" si="27"/>
        <v>-</v>
      </c>
      <c r="U369" s="76" t="str">
        <f t="shared" si="28"/>
        <v>-</v>
      </c>
      <c r="V369" s="76" t="str">
        <f t="shared" si="29"/>
        <v>-</v>
      </c>
      <c r="Z369" s="62"/>
    </row>
    <row r="370" spans="1:26" ht="40.15" customHeight="1" x14ac:dyDescent="0.25">
      <c r="A370" s="87">
        <v>12</v>
      </c>
      <c r="B370" s="88" t="s">
        <v>1550</v>
      </c>
      <c r="C370" s="89" t="s">
        <v>2894</v>
      </c>
      <c r="D370" s="89" t="s">
        <v>1623</v>
      </c>
      <c r="E370" s="89" t="s">
        <v>1624</v>
      </c>
      <c r="F370" s="91" t="s">
        <v>1556</v>
      </c>
      <c r="G370" s="92" t="s">
        <v>1557</v>
      </c>
      <c r="H370" s="93" t="s">
        <v>2895</v>
      </c>
      <c r="I370" s="87" t="s">
        <v>2896</v>
      </c>
      <c r="J370" s="87" t="s">
        <v>1560</v>
      </c>
      <c r="K370" s="87" t="s">
        <v>1561</v>
      </c>
      <c r="L370" s="126" t="s">
        <v>19</v>
      </c>
      <c r="M370" s="94">
        <v>44280.333333333336</v>
      </c>
      <c r="N370" s="94">
        <v>44280.375</v>
      </c>
      <c r="O370" s="95" t="str">
        <f>PROPER(TEXT(Table1[[#This Row],[Fecha Inicio]],"mmmm"))</f>
        <v>Marzo</v>
      </c>
      <c r="P370" s="96" t="s">
        <v>2897</v>
      </c>
      <c r="Q370" s="97" t="s">
        <v>2898</v>
      </c>
      <c r="R370" s="76">
        <f t="shared" si="25"/>
        <v>1</v>
      </c>
      <c r="S370" s="76">
        <f t="shared" si="26"/>
        <v>1</v>
      </c>
      <c r="T370" s="76" t="str">
        <f t="shared" si="27"/>
        <v>-</v>
      </c>
      <c r="U370" s="76" t="str">
        <f t="shared" si="28"/>
        <v>-</v>
      </c>
      <c r="V370" s="76" t="str">
        <f t="shared" si="29"/>
        <v>-</v>
      </c>
      <c r="Z370" s="62"/>
    </row>
    <row r="371" spans="1:26" ht="40.15" customHeight="1" x14ac:dyDescent="0.25">
      <c r="A371" s="87">
        <v>12</v>
      </c>
      <c r="B371" s="88" t="s">
        <v>1550</v>
      </c>
      <c r="C371" s="89" t="s">
        <v>1578</v>
      </c>
      <c r="D371" s="89" t="s">
        <v>1554</v>
      </c>
      <c r="E371" s="89" t="s">
        <v>1555</v>
      </c>
      <c r="F371" s="87" t="s">
        <v>1556</v>
      </c>
      <c r="G371" s="92" t="s">
        <v>1557</v>
      </c>
      <c r="H371" s="93" t="s">
        <v>2899</v>
      </c>
      <c r="I371" s="87" t="s">
        <v>2900</v>
      </c>
      <c r="J371" s="87" t="s">
        <v>1560</v>
      </c>
      <c r="K371" s="87" t="s">
        <v>1561</v>
      </c>
      <c r="L371" s="126" t="s">
        <v>19</v>
      </c>
      <c r="M371" s="94">
        <v>44280.333333333336</v>
      </c>
      <c r="N371" s="94">
        <v>44280.375</v>
      </c>
      <c r="O371" s="95" t="str">
        <f>PROPER(TEXT(Table1[[#This Row],[Fecha Inicio]],"mmmm"))</f>
        <v>Marzo</v>
      </c>
      <c r="P371" s="96" t="s">
        <v>2901</v>
      </c>
      <c r="Q371" s="97" t="s">
        <v>2902</v>
      </c>
      <c r="R371" s="76">
        <f t="shared" si="25"/>
        <v>1</v>
      </c>
      <c r="S371" s="76">
        <f t="shared" si="26"/>
        <v>1</v>
      </c>
      <c r="T371" s="76" t="str">
        <f t="shared" si="27"/>
        <v>-</v>
      </c>
      <c r="U371" s="76" t="str">
        <f t="shared" si="28"/>
        <v>-</v>
      </c>
      <c r="V371" s="76" t="str">
        <f t="shared" si="29"/>
        <v>-</v>
      </c>
      <c r="Z371" s="62"/>
    </row>
    <row r="372" spans="1:26" ht="40.15" customHeight="1" x14ac:dyDescent="0.25">
      <c r="A372" s="87">
        <v>12</v>
      </c>
      <c r="B372" s="88" t="s">
        <v>1550</v>
      </c>
      <c r="C372" s="89"/>
      <c r="D372" s="90" t="s">
        <v>326</v>
      </c>
      <c r="E372" s="90" t="s">
        <v>1742</v>
      </c>
      <c r="F372" s="87" t="s">
        <v>1556</v>
      </c>
      <c r="G372" s="92" t="s">
        <v>1557</v>
      </c>
      <c r="H372" s="93" t="s">
        <v>2903</v>
      </c>
      <c r="I372" s="87" t="s">
        <v>2904</v>
      </c>
      <c r="J372" s="87" t="s">
        <v>1859</v>
      </c>
      <c r="K372" s="87" t="s">
        <v>1860</v>
      </c>
      <c r="L372" s="87" t="s">
        <v>52</v>
      </c>
      <c r="M372" s="94">
        <v>44280.375</v>
      </c>
      <c r="N372" s="94">
        <v>44280.583333333336</v>
      </c>
      <c r="O372" s="95" t="str">
        <f>PROPER(TEXT(Table1[[#This Row],[Fecha Inicio]],"mmmm"))</f>
        <v>Marzo</v>
      </c>
      <c r="P372" s="96" t="s">
        <v>2881</v>
      </c>
      <c r="Q372" s="97" t="s">
        <v>2905</v>
      </c>
      <c r="R372" s="76">
        <f t="shared" si="25"/>
        <v>1</v>
      </c>
      <c r="S372" s="76">
        <f t="shared" si="26"/>
        <v>1</v>
      </c>
      <c r="T372" s="76" t="str">
        <f t="shared" si="27"/>
        <v>-</v>
      </c>
      <c r="U372" s="76" t="str">
        <f t="shared" si="28"/>
        <v>-</v>
      </c>
      <c r="V372" s="76" t="str">
        <f t="shared" si="29"/>
        <v>-</v>
      </c>
      <c r="Z372" s="62"/>
    </row>
    <row r="373" spans="1:26" ht="40.15" customHeight="1" x14ac:dyDescent="0.25">
      <c r="A373" s="87">
        <v>11</v>
      </c>
      <c r="B373" s="88" t="s">
        <v>1550</v>
      </c>
      <c r="C373" s="89"/>
      <c r="D373" s="89" t="s">
        <v>344</v>
      </c>
      <c r="E373" s="89" t="s">
        <v>1616</v>
      </c>
      <c r="F373" s="87" t="s">
        <v>1556</v>
      </c>
      <c r="G373" s="92" t="s">
        <v>1557</v>
      </c>
      <c r="H373" s="93" t="s">
        <v>2906</v>
      </c>
      <c r="I373" s="87" t="s">
        <v>1942</v>
      </c>
      <c r="J373" s="91" t="s">
        <v>1583</v>
      </c>
      <c r="K373" s="87" t="s">
        <v>1584</v>
      </c>
      <c r="L373" s="126" t="s">
        <v>19</v>
      </c>
      <c r="M373" s="94">
        <v>44280.416666666664</v>
      </c>
      <c r="N373" s="94">
        <v>44280.708333333336</v>
      </c>
      <c r="O373" s="95" t="str">
        <f>PROPER(TEXT(Table1[[#This Row],[Fecha Inicio]],"mmmm"))</f>
        <v>Marzo</v>
      </c>
      <c r="P373" s="96" t="s">
        <v>1958</v>
      </c>
      <c r="Q373" s="97" t="s">
        <v>2907</v>
      </c>
      <c r="R373" s="76">
        <f t="shared" si="25"/>
        <v>2</v>
      </c>
      <c r="S373" s="76">
        <f t="shared" si="26"/>
        <v>2</v>
      </c>
      <c r="T373" s="76" t="str">
        <f t="shared" si="27"/>
        <v>-</v>
      </c>
      <c r="U373" s="76" t="str">
        <f t="shared" si="28"/>
        <v>-</v>
      </c>
      <c r="V373" s="76" t="str">
        <f t="shared" si="29"/>
        <v>-</v>
      </c>
      <c r="Z373" s="62"/>
    </row>
    <row r="374" spans="1:26" ht="40.15" customHeight="1" x14ac:dyDescent="0.25">
      <c r="A374" s="87">
        <v>12</v>
      </c>
      <c r="B374" s="88" t="s">
        <v>1550</v>
      </c>
      <c r="C374" s="89"/>
      <c r="D374" s="90" t="s">
        <v>1623</v>
      </c>
      <c r="E374" s="90" t="s">
        <v>1624</v>
      </c>
      <c r="F374" s="91" t="s">
        <v>1556</v>
      </c>
      <c r="G374" s="92" t="s">
        <v>1557</v>
      </c>
      <c r="H374" s="93" t="s">
        <v>2908</v>
      </c>
      <c r="I374" s="87" t="s">
        <v>1685</v>
      </c>
      <c r="J374" s="87" t="s">
        <v>1627</v>
      </c>
      <c r="K374" s="87" t="s">
        <v>1575</v>
      </c>
      <c r="L374" s="126" t="s">
        <v>19</v>
      </c>
      <c r="M374" s="94">
        <v>44280.5</v>
      </c>
      <c r="N374" s="94">
        <v>44280.625</v>
      </c>
      <c r="O374" s="95" t="str">
        <f>PROPER(TEXT(Table1[[#This Row],[Fecha Inicio]],"mmmm"))</f>
        <v>Marzo</v>
      </c>
      <c r="P374" s="96" t="s">
        <v>2764</v>
      </c>
      <c r="Q374" s="97" t="s">
        <v>2909</v>
      </c>
      <c r="R374" s="76">
        <f t="shared" si="25"/>
        <v>2</v>
      </c>
      <c r="S374" s="76">
        <f t="shared" si="26"/>
        <v>2</v>
      </c>
      <c r="T374" s="76" t="str">
        <f t="shared" si="27"/>
        <v>-</v>
      </c>
      <c r="U374" s="76" t="str">
        <f t="shared" si="28"/>
        <v>-</v>
      </c>
      <c r="V374" s="76" t="str">
        <f t="shared" si="29"/>
        <v>-</v>
      </c>
      <c r="Z374" s="62"/>
    </row>
    <row r="375" spans="1:26" ht="40.15" customHeight="1" x14ac:dyDescent="0.25">
      <c r="A375" s="87">
        <v>12</v>
      </c>
      <c r="B375" s="88" t="s">
        <v>1550</v>
      </c>
      <c r="C375" s="89" t="s">
        <v>1578</v>
      </c>
      <c r="D375" s="89" t="s">
        <v>1570</v>
      </c>
      <c r="E375" s="89" t="s">
        <v>1571</v>
      </c>
      <c r="F375" s="91" t="s">
        <v>1556</v>
      </c>
      <c r="G375" s="92" t="s">
        <v>1557</v>
      </c>
      <c r="H375" s="93" t="s">
        <v>2910</v>
      </c>
      <c r="I375" s="87" t="s">
        <v>2911</v>
      </c>
      <c r="J375" s="91" t="s">
        <v>1790</v>
      </c>
      <c r="K375" s="91" t="s">
        <v>1791</v>
      </c>
      <c r="L375" s="126" t="s">
        <v>19</v>
      </c>
      <c r="M375" s="94">
        <v>44280.875</v>
      </c>
      <c r="N375" s="94">
        <v>44281</v>
      </c>
      <c r="O375" s="95" t="str">
        <f>PROPER(TEXT(Table1[[#This Row],[Fecha Inicio]],"mmmm"))</f>
        <v>Marzo</v>
      </c>
      <c r="P375" s="96" t="s">
        <v>1792</v>
      </c>
      <c r="Q375" s="97" t="s">
        <v>2912</v>
      </c>
      <c r="R375" s="76">
        <f t="shared" si="25"/>
        <v>113</v>
      </c>
      <c r="S375" s="76">
        <f t="shared" si="26"/>
        <v>113</v>
      </c>
      <c r="T375" s="76" t="str">
        <f t="shared" si="27"/>
        <v>-</v>
      </c>
      <c r="U375" s="76" t="str">
        <f t="shared" si="28"/>
        <v>-</v>
      </c>
      <c r="V375" s="76" t="str">
        <f t="shared" si="29"/>
        <v>-</v>
      </c>
      <c r="Z375" s="62"/>
    </row>
    <row r="376" spans="1:26" ht="40.15" customHeight="1" x14ac:dyDescent="0.25">
      <c r="A376" s="87">
        <v>10</v>
      </c>
      <c r="B376" s="88" t="s">
        <v>1550</v>
      </c>
      <c r="C376" s="89" t="s">
        <v>2913</v>
      </c>
      <c r="D376" s="90" t="s">
        <v>326</v>
      </c>
      <c r="E376" s="90" t="s">
        <v>1631</v>
      </c>
      <c r="F376" s="87" t="s">
        <v>1556</v>
      </c>
      <c r="G376" s="92" t="s">
        <v>1557</v>
      </c>
      <c r="H376" s="93" t="s">
        <v>2914</v>
      </c>
      <c r="I376" s="87" t="s">
        <v>2410</v>
      </c>
      <c r="J376" s="87" t="s">
        <v>1951</v>
      </c>
      <c r="K376" s="87" t="s">
        <v>1575</v>
      </c>
      <c r="L376" s="126" t="s">
        <v>19</v>
      </c>
      <c r="M376" s="94">
        <v>44281</v>
      </c>
      <c r="N376" s="94">
        <v>44281.208333333336</v>
      </c>
      <c r="O376" s="95" t="str">
        <f>PROPER(TEXT(Table1[[#This Row],[Fecha Inicio]],"mmmm"))</f>
        <v>Marzo</v>
      </c>
      <c r="P376" s="96" t="s">
        <v>1952</v>
      </c>
      <c r="Q376" s="97" t="s">
        <v>2915</v>
      </c>
      <c r="R376" s="76">
        <f t="shared" si="25"/>
        <v>7</v>
      </c>
      <c r="S376" s="76">
        <f t="shared" si="26"/>
        <v>7</v>
      </c>
      <c r="T376" s="76" t="str">
        <f t="shared" si="27"/>
        <v>-</v>
      </c>
      <c r="U376" s="76" t="str">
        <f t="shared" si="28"/>
        <v>-</v>
      </c>
      <c r="V376" s="76" t="str">
        <f t="shared" si="29"/>
        <v>-</v>
      </c>
      <c r="Z376" s="62"/>
    </row>
    <row r="377" spans="1:26" ht="40.15" customHeight="1" x14ac:dyDescent="0.25">
      <c r="A377" s="87">
        <v>12</v>
      </c>
      <c r="B377" s="88" t="s">
        <v>1550</v>
      </c>
      <c r="C377" s="89"/>
      <c r="D377" s="90" t="s">
        <v>1623</v>
      </c>
      <c r="E377" s="90" t="s">
        <v>1624</v>
      </c>
      <c r="F377" s="87" t="s">
        <v>1556</v>
      </c>
      <c r="G377" s="92" t="s">
        <v>1557</v>
      </c>
      <c r="H377" s="93" t="s">
        <v>2916</v>
      </c>
      <c r="I377" s="87" t="s">
        <v>2917</v>
      </c>
      <c r="J377" s="91" t="s">
        <v>1583</v>
      </c>
      <c r="K377" s="87" t="s">
        <v>1584</v>
      </c>
      <c r="L377" s="126" t="s">
        <v>19</v>
      </c>
      <c r="M377" s="94">
        <v>44281.354166666664</v>
      </c>
      <c r="N377" s="94">
        <v>44281.458333333336</v>
      </c>
      <c r="O377" s="95" t="str">
        <f>PROPER(TEXT(Table1[[#This Row],[Fecha Inicio]],"mmmm"))</f>
        <v>Marzo</v>
      </c>
      <c r="P377" s="96" t="s">
        <v>2450</v>
      </c>
      <c r="Q377" s="97" t="s">
        <v>2918</v>
      </c>
      <c r="R377" s="76">
        <f t="shared" si="25"/>
        <v>2</v>
      </c>
      <c r="S377" s="76">
        <f t="shared" si="26"/>
        <v>2</v>
      </c>
      <c r="T377" s="76" t="str">
        <f t="shared" si="27"/>
        <v>-</v>
      </c>
      <c r="U377" s="76" t="str">
        <f t="shared" si="28"/>
        <v>-</v>
      </c>
      <c r="V377" s="76" t="str">
        <f t="shared" si="29"/>
        <v>-</v>
      </c>
      <c r="Z377" s="62"/>
    </row>
    <row r="378" spans="1:26" ht="40.15" customHeight="1" x14ac:dyDescent="0.25">
      <c r="A378" s="87">
        <v>12</v>
      </c>
      <c r="B378" s="88" t="s">
        <v>1550</v>
      </c>
      <c r="C378" s="89" t="s">
        <v>1578</v>
      </c>
      <c r="D378" s="89" t="s">
        <v>326</v>
      </c>
      <c r="E378" s="89" t="s">
        <v>1742</v>
      </c>
      <c r="F378" s="87" t="s">
        <v>1556</v>
      </c>
      <c r="G378" s="92" t="s">
        <v>1557</v>
      </c>
      <c r="H378" s="93" t="s">
        <v>2919</v>
      </c>
      <c r="I378" s="87" t="s">
        <v>2920</v>
      </c>
      <c r="J378" s="91" t="s">
        <v>1583</v>
      </c>
      <c r="K378" s="87" t="s">
        <v>1584</v>
      </c>
      <c r="L378" s="87" t="s">
        <v>52</v>
      </c>
      <c r="M378" s="94">
        <v>44281.375</v>
      </c>
      <c r="N378" s="94">
        <v>44281.583333333336</v>
      </c>
      <c r="O378" s="95" t="str">
        <f>PROPER(TEXT(Table1[[#This Row],[Fecha Inicio]],"mmmm"))</f>
        <v>Marzo</v>
      </c>
      <c r="P378" s="96" t="s">
        <v>2921</v>
      </c>
      <c r="Q378" s="97" t="s">
        <v>2922</v>
      </c>
      <c r="R378" s="76">
        <f t="shared" si="25"/>
        <v>1</v>
      </c>
      <c r="S378" s="76">
        <f t="shared" si="26"/>
        <v>1</v>
      </c>
      <c r="T378" s="76" t="str">
        <f t="shared" si="27"/>
        <v>-</v>
      </c>
      <c r="U378" s="76" t="str">
        <f t="shared" si="28"/>
        <v>-</v>
      </c>
      <c r="V378" s="76" t="str">
        <f t="shared" si="29"/>
        <v>-</v>
      </c>
      <c r="Z378" s="62"/>
    </row>
    <row r="379" spans="1:26" ht="40.15" customHeight="1" x14ac:dyDescent="0.25">
      <c r="A379" s="87">
        <v>10</v>
      </c>
      <c r="B379" s="88" t="s">
        <v>1550</v>
      </c>
      <c r="C379" s="89" t="s">
        <v>2674</v>
      </c>
      <c r="D379" s="90" t="s">
        <v>326</v>
      </c>
      <c r="E379" s="90" t="s">
        <v>1631</v>
      </c>
      <c r="F379" s="91" t="s">
        <v>1556</v>
      </c>
      <c r="G379" s="92" t="s">
        <v>1557</v>
      </c>
      <c r="H379" s="93" t="s">
        <v>2923</v>
      </c>
      <c r="I379" s="87" t="s">
        <v>2013</v>
      </c>
      <c r="J379" s="87" t="s">
        <v>2014</v>
      </c>
      <c r="K379" s="87" t="s">
        <v>1575</v>
      </c>
      <c r="L379" s="126" t="s">
        <v>19</v>
      </c>
      <c r="M379" s="94">
        <v>44281.791666666664</v>
      </c>
      <c r="N379" s="94">
        <v>44281.875</v>
      </c>
      <c r="O379" s="95" t="str">
        <f>PROPER(TEXT(Table1[[#This Row],[Fecha Inicio]],"mmmm"))</f>
        <v>Marzo</v>
      </c>
      <c r="P379" s="96" t="s">
        <v>2015</v>
      </c>
      <c r="Q379" s="97" t="s">
        <v>2924</v>
      </c>
      <c r="R379" s="76">
        <f t="shared" si="25"/>
        <v>9</v>
      </c>
      <c r="S379" s="76">
        <f t="shared" si="26"/>
        <v>9</v>
      </c>
      <c r="T379" s="76" t="str">
        <f t="shared" si="27"/>
        <v>-</v>
      </c>
      <c r="U379" s="76" t="str">
        <f t="shared" si="28"/>
        <v>-</v>
      </c>
      <c r="V379" s="76" t="str">
        <f t="shared" si="29"/>
        <v>-</v>
      </c>
      <c r="Z379" s="62"/>
    </row>
    <row r="380" spans="1:26" ht="40.15" customHeight="1" x14ac:dyDescent="0.25">
      <c r="A380" s="87">
        <v>10</v>
      </c>
      <c r="B380" s="88" t="s">
        <v>1550</v>
      </c>
      <c r="C380" s="89" t="s">
        <v>2674</v>
      </c>
      <c r="D380" s="90" t="s">
        <v>326</v>
      </c>
      <c r="E380" s="90" t="s">
        <v>1631</v>
      </c>
      <c r="F380" s="91" t="s">
        <v>1556</v>
      </c>
      <c r="G380" s="92" t="s">
        <v>1557</v>
      </c>
      <c r="H380" s="93" t="s">
        <v>2925</v>
      </c>
      <c r="I380" s="87" t="s">
        <v>2013</v>
      </c>
      <c r="J380" s="87" t="s">
        <v>2014</v>
      </c>
      <c r="K380" s="87" t="s">
        <v>1575</v>
      </c>
      <c r="L380" s="126" t="s">
        <v>19</v>
      </c>
      <c r="M380" s="94">
        <v>44281.833333333336</v>
      </c>
      <c r="N380" s="94">
        <v>44281.875</v>
      </c>
      <c r="O380" s="95" t="str">
        <f>PROPER(TEXT(Table1[[#This Row],[Fecha Inicio]],"mmmm"))</f>
        <v>Marzo</v>
      </c>
      <c r="P380" s="96" t="s">
        <v>219</v>
      </c>
      <c r="Q380" s="97" t="s">
        <v>2926</v>
      </c>
      <c r="R380" s="76">
        <f t="shared" si="25"/>
        <v>1</v>
      </c>
      <c r="S380" s="76">
        <f t="shared" si="26"/>
        <v>1</v>
      </c>
      <c r="T380" s="76" t="str">
        <f t="shared" si="27"/>
        <v>-</v>
      </c>
      <c r="U380" s="76" t="str">
        <f t="shared" si="28"/>
        <v>-</v>
      </c>
      <c r="V380" s="76" t="str">
        <f t="shared" si="29"/>
        <v>-</v>
      </c>
      <c r="Z380" s="62"/>
    </row>
    <row r="381" spans="1:26" ht="40.15" customHeight="1" x14ac:dyDescent="0.25">
      <c r="A381" s="87">
        <v>12</v>
      </c>
      <c r="B381" s="88" t="s">
        <v>1550</v>
      </c>
      <c r="C381" s="89" t="s">
        <v>1578</v>
      </c>
      <c r="D381" s="89" t="s">
        <v>1570</v>
      </c>
      <c r="E381" s="89" t="s">
        <v>1571</v>
      </c>
      <c r="F381" s="91" t="s">
        <v>1556</v>
      </c>
      <c r="G381" s="92" t="s">
        <v>1557</v>
      </c>
      <c r="H381" s="93" t="s">
        <v>2927</v>
      </c>
      <c r="I381" s="87" t="s">
        <v>2928</v>
      </c>
      <c r="J381" s="91" t="s">
        <v>1595</v>
      </c>
      <c r="K381" s="91" t="s">
        <v>1596</v>
      </c>
      <c r="L381" s="126" t="s">
        <v>19</v>
      </c>
      <c r="M381" s="94">
        <v>44281.916666666664</v>
      </c>
      <c r="N381" s="94">
        <v>44281.958333333336</v>
      </c>
      <c r="O381" s="95" t="str">
        <f>PROPER(TEXT(Table1[[#This Row],[Fecha Inicio]],"mmmm"))</f>
        <v>Marzo</v>
      </c>
      <c r="P381" s="96" t="s">
        <v>1597</v>
      </c>
      <c r="Q381" s="97" t="s">
        <v>2929</v>
      </c>
      <c r="R381" s="76">
        <f t="shared" si="25"/>
        <v>2</v>
      </c>
      <c r="S381" s="76">
        <f t="shared" si="26"/>
        <v>2</v>
      </c>
      <c r="T381" s="76" t="str">
        <f t="shared" si="27"/>
        <v>-</v>
      </c>
      <c r="U381" s="76" t="str">
        <f t="shared" si="28"/>
        <v>-</v>
      </c>
      <c r="V381" s="76" t="str">
        <f t="shared" si="29"/>
        <v>-</v>
      </c>
      <c r="Z381" s="62"/>
    </row>
    <row r="382" spans="1:26" ht="40.15" customHeight="1" x14ac:dyDescent="0.25">
      <c r="A382" s="87">
        <v>10</v>
      </c>
      <c r="B382" s="88" t="s">
        <v>1550</v>
      </c>
      <c r="C382" s="89" t="s">
        <v>2674</v>
      </c>
      <c r="D382" s="90" t="s">
        <v>326</v>
      </c>
      <c r="E382" s="90" t="s">
        <v>1631</v>
      </c>
      <c r="F382" s="91" t="s">
        <v>1556</v>
      </c>
      <c r="G382" s="92" t="s">
        <v>1557</v>
      </c>
      <c r="H382" s="93" t="s">
        <v>2930</v>
      </c>
      <c r="I382" s="87" t="s">
        <v>1919</v>
      </c>
      <c r="J382" s="91" t="s">
        <v>1920</v>
      </c>
      <c r="K382" s="87" t="s">
        <v>1921</v>
      </c>
      <c r="L382" s="126" t="s">
        <v>19</v>
      </c>
      <c r="M382" s="94">
        <v>44283</v>
      </c>
      <c r="N382" s="94">
        <v>44283.25</v>
      </c>
      <c r="O382" s="95" t="str">
        <f>PROPER(TEXT(Table1[[#This Row],[Fecha Inicio]],"mmmm"))</f>
        <v>Marzo</v>
      </c>
      <c r="P382" s="96" t="s">
        <v>2020</v>
      </c>
      <c r="Q382" s="97" t="s">
        <v>2931</v>
      </c>
      <c r="R382" s="76">
        <f t="shared" si="25"/>
        <v>18</v>
      </c>
      <c r="S382" s="76">
        <f t="shared" si="26"/>
        <v>18</v>
      </c>
      <c r="T382" s="76" t="str">
        <f t="shared" si="27"/>
        <v>-</v>
      </c>
      <c r="U382" s="76" t="str">
        <f t="shared" si="28"/>
        <v>-</v>
      </c>
      <c r="V382" s="76" t="str">
        <f t="shared" si="29"/>
        <v>-</v>
      </c>
      <c r="Z382" s="62"/>
    </row>
    <row r="383" spans="1:26" ht="40.15" customHeight="1" x14ac:dyDescent="0.25">
      <c r="A383" s="87">
        <v>12</v>
      </c>
      <c r="B383" s="88" t="s">
        <v>1550</v>
      </c>
      <c r="C383" s="89"/>
      <c r="D383" s="89" t="s">
        <v>326</v>
      </c>
      <c r="E383" s="89" t="s">
        <v>1631</v>
      </c>
      <c r="F383" s="87" t="s">
        <v>1556</v>
      </c>
      <c r="G383" s="92" t="s">
        <v>1557</v>
      </c>
      <c r="H383" s="93" t="s">
        <v>2932</v>
      </c>
      <c r="I383" s="87" t="s">
        <v>2933</v>
      </c>
      <c r="J383" s="87" t="s">
        <v>2934</v>
      </c>
      <c r="K383" s="87" t="s">
        <v>2935</v>
      </c>
      <c r="L383" s="87" t="s">
        <v>52</v>
      </c>
      <c r="M383" s="94">
        <v>44283.5</v>
      </c>
      <c r="N383" s="94">
        <v>44283.666666666664</v>
      </c>
      <c r="O383" s="95" t="str">
        <f>PROPER(TEXT(Table1[[#This Row],[Fecha Inicio]],"mmmm"))</f>
        <v>Marzo</v>
      </c>
      <c r="P383" s="96" t="s">
        <v>2936</v>
      </c>
      <c r="Q383" s="97" t="s">
        <v>2937</v>
      </c>
      <c r="R383" s="76">
        <f t="shared" si="25"/>
        <v>4</v>
      </c>
      <c r="S383" s="76">
        <f t="shared" si="26"/>
        <v>4</v>
      </c>
      <c r="T383" s="76" t="str">
        <f t="shared" si="27"/>
        <v>-</v>
      </c>
      <c r="U383" s="76" t="str">
        <f t="shared" si="28"/>
        <v>-</v>
      </c>
      <c r="V383" s="76" t="str">
        <f t="shared" si="29"/>
        <v>-</v>
      </c>
      <c r="Z383" s="62"/>
    </row>
    <row r="384" spans="1:26" ht="40.15" customHeight="1" x14ac:dyDescent="0.25">
      <c r="A384" s="87">
        <v>12</v>
      </c>
      <c r="B384" s="100" t="s">
        <v>1551</v>
      </c>
      <c r="C384" s="89" t="s">
        <v>2938</v>
      </c>
      <c r="D384" s="89" t="s">
        <v>1554</v>
      </c>
      <c r="E384" s="89" t="s">
        <v>1555</v>
      </c>
      <c r="F384" s="87" t="s">
        <v>1556</v>
      </c>
      <c r="G384" s="92" t="s">
        <v>1557</v>
      </c>
      <c r="H384" s="93" t="s">
        <v>2939</v>
      </c>
      <c r="I384" s="87" t="s">
        <v>2940</v>
      </c>
      <c r="J384" s="91" t="s">
        <v>1583</v>
      </c>
      <c r="K384" s="87" t="s">
        <v>1584</v>
      </c>
      <c r="L384" s="87" t="s">
        <v>52</v>
      </c>
      <c r="M384" s="94">
        <v>44284.375</v>
      </c>
      <c r="N384" s="94">
        <v>44285.791666666664</v>
      </c>
      <c r="O384" s="95" t="str">
        <f>PROPER(TEXT(Table1[[#This Row],[Fecha Inicio]],"mmmm"))</f>
        <v>Marzo</v>
      </c>
      <c r="P384" s="96" t="s">
        <v>2941</v>
      </c>
      <c r="Q384" s="97" t="s">
        <v>2942</v>
      </c>
      <c r="R384" s="76">
        <f t="shared" si="25"/>
        <v>38</v>
      </c>
      <c r="S384" s="76" t="str">
        <f t="shared" si="26"/>
        <v>-</v>
      </c>
      <c r="T384" s="76" t="str">
        <f t="shared" si="27"/>
        <v>-</v>
      </c>
      <c r="U384" s="76" t="str">
        <f t="shared" si="28"/>
        <v>-</v>
      </c>
      <c r="V384" s="76" t="str">
        <f t="shared" si="29"/>
        <v>-</v>
      </c>
      <c r="Z384" s="62"/>
    </row>
    <row r="385" spans="1:26" ht="40.15" customHeight="1" x14ac:dyDescent="0.25">
      <c r="A385" s="87">
        <v>13</v>
      </c>
      <c r="B385" s="88" t="s">
        <v>1550</v>
      </c>
      <c r="C385" s="89" t="s">
        <v>1578</v>
      </c>
      <c r="D385" s="90" t="s">
        <v>1665</v>
      </c>
      <c r="E385" s="90" t="s">
        <v>1666</v>
      </c>
      <c r="F385" s="87" t="s">
        <v>1556</v>
      </c>
      <c r="G385" s="92" t="s">
        <v>1557</v>
      </c>
      <c r="H385" s="93" t="s">
        <v>2943</v>
      </c>
      <c r="I385" s="87" t="s">
        <v>2944</v>
      </c>
      <c r="J385" s="87" t="s">
        <v>1669</v>
      </c>
      <c r="K385" s="87" t="s">
        <v>1670</v>
      </c>
      <c r="L385" s="87" t="s">
        <v>52</v>
      </c>
      <c r="M385" s="94">
        <v>44284.666666666664</v>
      </c>
      <c r="N385" s="94">
        <v>44284.75</v>
      </c>
      <c r="O385" s="95" t="str">
        <f>PROPER(TEXT(Table1[[#This Row],[Fecha Inicio]],"mmmm"))</f>
        <v>Marzo</v>
      </c>
      <c r="P385" s="96" t="s">
        <v>2945</v>
      </c>
      <c r="Q385" s="97" t="s">
        <v>2946</v>
      </c>
      <c r="R385" s="76">
        <f t="shared" si="25"/>
        <v>1</v>
      </c>
      <c r="S385" s="76">
        <f t="shared" si="26"/>
        <v>1</v>
      </c>
      <c r="T385" s="76" t="str">
        <f t="shared" si="27"/>
        <v>-</v>
      </c>
      <c r="U385" s="76" t="str">
        <f t="shared" si="28"/>
        <v>-</v>
      </c>
      <c r="V385" s="76" t="str">
        <f t="shared" si="29"/>
        <v>-</v>
      </c>
      <c r="Z385" s="62"/>
    </row>
    <row r="386" spans="1:26" ht="40.15" customHeight="1" x14ac:dyDescent="0.25">
      <c r="A386" s="87">
        <v>10</v>
      </c>
      <c r="B386" s="88" t="s">
        <v>1550</v>
      </c>
      <c r="C386" s="89" t="s">
        <v>2674</v>
      </c>
      <c r="D386" s="90" t="s">
        <v>326</v>
      </c>
      <c r="E386" s="90" t="s">
        <v>1631</v>
      </c>
      <c r="F386" s="91" t="s">
        <v>1556</v>
      </c>
      <c r="G386" s="92" t="s">
        <v>1557</v>
      </c>
      <c r="H386" s="93" t="s">
        <v>2947</v>
      </c>
      <c r="I386" s="87" t="s">
        <v>1910</v>
      </c>
      <c r="J386" s="87" t="s">
        <v>1911</v>
      </c>
      <c r="K386" s="87" t="s">
        <v>1575</v>
      </c>
      <c r="L386" s="126" t="s">
        <v>19</v>
      </c>
      <c r="M386" s="94">
        <v>44284.958333333336</v>
      </c>
      <c r="N386" s="94">
        <v>44285</v>
      </c>
      <c r="O386" s="95" t="str">
        <f>PROPER(TEXT(Table1[[#This Row],[Fecha Inicio]],"mmmm"))</f>
        <v>Marzo</v>
      </c>
      <c r="P386" s="96" t="s">
        <v>1912</v>
      </c>
      <c r="Q386" s="97" t="s">
        <v>2948</v>
      </c>
      <c r="R386" s="76">
        <f t="shared" ref="R386:R449" si="30">LEN(TRIM(P386))-LEN(SUBSTITUTE(TRIM(P386),",",""))+1</f>
        <v>1</v>
      </c>
      <c r="S386" s="76">
        <f t="shared" ref="S386:S449" si="31">IF(B386="CON ÉXITO",R386,"-")</f>
        <v>1</v>
      </c>
      <c r="T386" s="76" t="str">
        <f t="shared" ref="T386:T449" si="32">IF($B386="Éxito con problemas",S386,"-")</f>
        <v>-</v>
      </c>
      <c r="U386" s="76" t="str">
        <f t="shared" ref="U386:U449" si="33">IF($B386="CANCELADO",R386,"-")</f>
        <v>-</v>
      </c>
      <c r="V386" s="76" t="str">
        <f t="shared" ref="V386:V449" si="34">IF($B386="Aplicada marcha atrás",R386,"-")</f>
        <v>-</v>
      </c>
      <c r="Z386" s="62"/>
    </row>
    <row r="387" spans="1:26" ht="40.15" customHeight="1" x14ac:dyDescent="0.25">
      <c r="A387" s="87">
        <v>12</v>
      </c>
      <c r="B387" s="88" t="s">
        <v>1550</v>
      </c>
      <c r="C387" s="89"/>
      <c r="D387" s="89" t="s">
        <v>1554</v>
      </c>
      <c r="E387" s="89" t="s">
        <v>1555</v>
      </c>
      <c r="F387" s="87" t="s">
        <v>1556</v>
      </c>
      <c r="G387" s="92" t="s">
        <v>1557</v>
      </c>
      <c r="H387" s="93" t="s">
        <v>2949</v>
      </c>
      <c r="I387" s="87" t="s">
        <v>1819</v>
      </c>
      <c r="J387" s="91" t="s">
        <v>1583</v>
      </c>
      <c r="K387" s="87" t="s">
        <v>1584</v>
      </c>
      <c r="L387" s="87" t="s">
        <v>52</v>
      </c>
      <c r="M387" s="94">
        <v>44285.375</v>
      </c>
      <c r="N387" s="94">
        <v>44286.791666666664</v>
      </c>
      <c r="O387" s="95" t="str">
        <f>PROPER(TEXT(Table1[[#This Row],[Fecha Inicio]],"mmmm"))</f>
        <v>Marzo</v>
      </c>
      <c r="P387" s="96" t="s">
        <v>2950</v>
      </c>
      <c r="Q387" s="97" t="s">
        <v>2951</v>
      </c>
      <c r="R387" s="76">
        <f t="shared" si="30"/>
        <v>4</v>
      </c>
      <c r="S387" s="76">
        <f t="shared" si="31"/>
        <v>4</v>
      </c>
      <c r="T387" s="76" t="str">
        <f t="shared" si="32"/>
        <v>-</v>
      </c>
      <c r="U387" s="76" t="str">
        <f t="shared" si="33"/>
        <v>-</v>
      </c>
      <c r="V387" s="76" t="str">
        <f t="shared" si="34"/>
        <v>-</v>
      </c>
      <c r="Z387" s="62"/>
    </row>
    <row r="388" spans="1:26" ht="40.15" customHeight="1" x14ac:dyDescent="0.25">
      <c r="A388" s="87">
        <v>13</v>
      </c>
      <c r="B388" s="88" t="s">
        <v>1550</v>
      </c>
      <c r="C388" s="89"/>
      <c r="D388" s="89" t="s">
        <v>1570</v>
      </c>
      <c r="E388" s="89" t="s">
        <v>1571</v>
      </c>
      <c r="F388" s="91" t="s">
        <v>1556</v>
      </c>
      <c r="G388" s="92" t="s">
        <v>1557</v>
      </c>
      <c r="H388" s="93" t="s">
        <v>2952</v>
      </c>
      <c r="I388" s="87" t="s">
        <v>2953</v>
      </c>
      <c r="J388" s="91" t="s">
        <v>1694</v>
      </c>
      <c r="K388" s="91" t="s">
        <v>2240</v>
      </c>
      <c r="L388" s="126" t="s">
        <v>19</v>
      </c>
      <c r="M388" s="94">
        <v>44285.916666666664</v>
      </c>
      <c r="N388" s="94">
        <v>44286</v>
      </c>
      <c r="O388" s="95" t="str">
        <f>PROPER(TEXT(Table1[[#This Row],[Fecha Inicio]],"mmmm"))</f>
        <v>Marzo</v>
      </c>
      <c r="P388" s="96" t="s">
        <v>1696</v>
      </c>
      <c r="Q388" s="97" t="s">
        <v>2954</v>
      </c>
      <c r="R388" s="76">
        <f t="shared" si="30"/>
        <v>1</v>
      </c>
      <c r="S388" s="76">
        <f t="shared" si="31"/>
        <v>1</v>
      </c>
      <c r="T388" s="76" t="str">
        <f t="shared" si="32"/>
        <v>-</v>
      </c>
      <c r="U388" s="76" t="str">
        <f t="shared" si="33"/>
        <v>-</v>
      </c>
      <c r="V388" s="76" t="str">
        <f t="shared" si="34"/>
        <v>-</v>
      </c>
      <c r="Z388" s="62"/>
    </row>
    <row r="389" spans="1:26" ht="40.15" customHeight="1" x14ac:dyDescent="0.25">
      <c r="A389" s="87">
        <v>11</v>
      </c>
      <c r="B389" s="88" t="s">
        <v>1550</v>
      </c>
      <c r="C389" s="98" t="s">
        <v>1599</v>
      </c>
      <c r="D389" s="89" t="s">
        <v>1570</v>
      </c>
      <c r="E389" s="89" t="s">
        <v>1571</v>
      </c>
      <c r="F389" s="87" t="s">
        <v>1600</v>
      </c>
      <c r="G389" s="92" t="s">
        <v>1557</v>
      </c>
      <c r="H389" s="93" t="s">
        <v>2955</v>
      </c>
      <c r="I389" s="87" t="s">
        <v>1602</v>
      </c>
      <c r="J389" s="87" t="s">
        <v>1603</v>
      </c>
      <c r="K389" s="87" t="s">
        <v>1341</v>
      </c>
      <c r="L389" s="89" t="s">
        <v>25</v>
      </c>
      <c r="M389" s="94">
        <v>44288.958333333336</v>
      </c>
      <c r="N389" s="94">
        <v>44289.25</v>
      </c>
      <c r="O389" s="95" t="str">
        <f>PROPER(TEXT(Table1[[#This Row],[Fecha Inicio]],"mmmm"))</f>
        <v>Abril</v>
      </c>
      <c r="P389" s="96" t="s">
        <v>1604</v>
      </c>
      <c r="Q389" s="97" t="s">
        <v>2956</v>
      </c>
      <c r="R389" s="76">
        <f t="shared" si="30"/>
        <v>24</v>
      </c>
      <c r="S389" s="76">
        <f t="shared" si="31"/>
        <v>24</v>
      </c>
      <c r="T389" s="76" t="str">
        <f t="shared" si="32"/>
        <v>-</v>
      </c>
      <c r="U389" s="76" t="str">
        <f t="shared" si="33"/>
        <v>-</v>
      </c>
      <c r="V389" s="76" t="str">
        <f t="shared" si="34"/>
        <v>-</v>
      </c>
      <c r="Z389" s="62"/>
    </row>
    <row r="390" spans="1:26" ht="40.15" customHeight="1" x14ac:dyDescent="0.25">
      <c r="A390" s="87">
        <v>11</v>
      </c>
      <c r="B390" s="88" t="s">
        <v>1550</v>
      </c>
      <c r="C390" s="98" t="s">
        <v>1599</v>
      </c>
      <c r="D390" s="89" t="s">
        <v>1570</v>
      </c>
      <c r="E390" s="89" t="s">
        <v>1571</v>
      </c>
      <c r="F390" s="87" t="s">
        <v>1600</v>
      </c>
      <c r="G390" s="92" t="s">
        <v>1557</v>
      </c>
      <c r="H390" s="93" t="s">
        <v>2957</v>
      </c>
      <c r="I390" s="87" t="s">
        <v>1607</v>
      </c>
      <c r="J390" s="87" t="s">
        <v>1603</v>
      </c>
      <c r="K390" s="87" t="s">
        <v>1341</v>
      </c>
      <c r="L390" s="89" t="s">
        <v>25</v>
      </c>
      <c r="M390" s="94">
        <v>44289.958333333336</v>
      </c>
      <c r="N390" s="94">
        <v>44290.25</v>
      </c>
      <c r="O390" s="95" t="str">
        <f>PROPER(TEXT(Table1[[#This Row],[Fecha Inicio]],"mmmm"))</f>
        <v>Abril</v>
      </c>
      <c r="P390" s="96" t="s">
        <v>2121</v>
      </c>
      <c r="Q390" s="97" t="s">
        <v>2958</v>
      </c>
      <c r="R390" s="76">
        <f t="shared" si="30"/>
        <v>103</v>
      </c>
      <c r="S390" s="76">
        <f t="shared" si="31"/>
        <v>103</v>
      </c>
      <c r="T390" s="76" t="str">
        <f t="shared" si="32"/>
        <v>-</v>
      </c>
      <c r="U390" s="76" t="str">
        <f t="shared" si="33"/>
        <v>-</v>
      </c>
      <c r="V390" s="76" t="str">
        <f t="shared" si="34"/>
        <v>-</v>
      </c>
      <c r="Z390" s="62"/>
    </row>
    <row r="391" spans="1:26" ht="40.15" customHeight="1" x14ac:dyDescent="0.25">
      <c r="A391" s="87">
        <v>13</v>
      </c>
      <c r="B391" s="88" t="s">
        <v>1550</v>
      </c>
      <c r="C391" s="89"/>
      <c r="D391" s="90" t="s">
        <v>1623</v>
      </c>
      <c r="E391" s="90" t="s">
        <v>1624</v>
      </c>
      <c r="F391" s="87" t="s">
        <v>1556</v>
      </c>
      <c r="G391" s="92" t="s">
        <v>1557</v>
      </c>
      <c r="H391" s="93" t="s">
        <v>2959</v>
      </c>
      <c r="I391" s="87" t="s">
        <v>2960</v>
      </c>
      <c r="J391" s="87" t="s">
        <v>1931</v>
      </c>
      <c r="K391" s="87" t="s">
        <v>1921</v>
      </c>
      <c r="L391" s="126" t="s">
        <v>19</v>
      </c>
      <c r="M391" s="94">
        <v>44291.3125</v>
      </c>
      <c r="N391" s="94">
        <v>44291.4375</v>
      </c>
      <c r="O391" s="95" t="str">
        <f>PROPER(TEXT(Table1[[#This Row],[Fecha Inicio]],"mmmm"))</f>
        <v>Abril</v>
      </c>
      <c r="P391" s="96" t="s">
        <v>1932</v>
      </c>
      <c r="Q391" s="97" t="s">
        <v>2961</v>
      </c>
      <c r="R391" s="76">
        <f t="shared" si="30"/>
        <v>1</v>
      </c>
      <c r="S391" s="76">
        <f t="shared" si="31"/>
        <v>1</v>
      </c>
      <c r="T391" s="76" t="str">
        <f t="shared" si="32"/>
        <v>-</v>
      </c>
      <c r="U391" s="76" t="str">
        <f t="shared" si="33"/>
        <v>-</v>
      </c>
      <c r="V391" s="76" t="str">
        <f t="shared" si="34"/>
        <v>-</v>
      </c>
      <c r="Z391" s="62"/>
    </row>
    <row r="392" spans="1:26" ht="40.15" customHeight="1" x14ac:dyDescent="0.25">
      <c r="A392" s="87">
        <v>13</v>
      </c>
      <c r="B392" s="88" t="s">
        <v>1550</v>
      </c>
      <c r="C392" s="89"/>
      <c r="D392" s="89" t="s">
        <v>326</v>
      </c>
      <c r="E392" s="89" t="s">
        <v>1742</v>
      </c>
      <c r="F392" s="87" t="s">
        <v>1556</v>
      </c>
      <c r="G392" s="92" t="s">
        <v>1557</v>
      </c>
      <c r="H392" s="93" t="s">
        <v>2964</v>
      </c>
      <c r="I392" s="87" t="s">
        <v>1819</v>
      </c>
      <c r="J392" s="91" t="s">
        <v>1583</v>
      </c>
      <c r="K392" s="87" t="s">
        <v>1584</v>
      </c>
      <c r="L392" s="87" t="s">
        <v>52</v>
      </c>
      <c r="M392" s="94">
        <v>44291.375</v>
      </c>
      <c r="N392" s="94">
        <v>44291.583333333336</v>
      </c>
      <c r="O392" s="95" t="str">
        <f>PROPER(TEXT(Table1[[#This Row],[Fecha Inicio]],"mmmm"))</f>
        <v>Abril</v>
      </c>
      <c r="P392" s="96" t="s">
        <v>2965</v>
      </c>
      <c r="Q392" s="97" t="s">
        <v>2966</v>
      </c>
      <c r="R392" s="76">
        <f t="shared" si="30"/>
        <v>3</v>
      </c>
      <c r="S392" s="76">
        <f t="shared" si="31"/>
        <v>3</v>
      </c>
      <c r="T392" s="76" t="str">
        <f t="shared" si="32"/>
        <v>-</v>
      </c>
      <c r="U392" s="76" t="str">
        <f t="shared" si="33"/>
        <v>-</v>
      </c>
      <c r="V392" s="76" t="str">
        <f t="shared" si="34"/>
        <v>-</v>
      </c>
      <c r="Z392" s="62"/>
    </row>
    <row r="393" spans="1:26" ht="40.15" customHeight="1" x14ac:dyDescent="0.25">
      <c r="A393" s="87">
        <v>13</v>
      </c>
      <c r="B393" s="88" t="s">
        <v>1550</v>
      </c>
      <c r="C393" s="89"/>
      <c r="D393" s="89" t="s">
        <v>326</v>
      </c>
      <c r="E393" s="89" t="s">
        <v>1742</v>
      </c>
      <c r="F393" s="87" t="s">
        <v>1556</v>
      </c>
      <c r="G393" s="92" t="s">
        <v>1557</v>
      </c>
      <c r="H393" s="93" t="s">
        <v>2967</v>
      </c>
      <c r="I393" s="87" t="s">
        <v>2968</v>
      </c>
      <c r="J393" s="91" t="s">
        <v>1583</v>
      </c>
      <c r="K393" s="87" t="s">
        <v>1584</v>
      </c>
      <c r="L393" s="87" t="s">
        <v>52</v>
      </c>
      <c r="M393" s="94">
        <v>44291.375</v>
      </c>
      <c r="N393" s="94">
        <v>44291.583333333336</v>
      </c>
      <c r="O393" s="95" t="str">
        <f>PROPER(TEXT(Table1[[#This Row],[Fecha Inicio]],"mmmm"))</f>
        <v>Abril</v>
      </c>
      <c r="P393" s="87" t="s">
        <v>2969</v>
      </c>
      <c r="Q393" s="97" t="s">
        <v>2970</v>
      </c>
      <c r="R393" s="76">
        <f t="shared" si="30"/>
        <v>1</v>
      </c>
      <c r="S393" s="76">
        <f t="shared" si="31"/>
        <v>1</v>
      </c>
      <c r="T393" s="76" t="str">
        <f t="shared" si="32"/>
        <v>-</v>
      </c>
      <c r="U393" s="76" t="str">
        <f t="shared" si="33"/>
        <v>-</v>
      </c>
      <c r="V393" s="76" t="str">
        <f t="shared" si="34"/>
        <v>-</v>
      </c>
      <c r="Z393" s="62"/>
    </row>
    <row r="394" spans="1:26" ht="40.15" customHeight="1" x14ac:dyDescent="0.25">
      <c r="A394" s="87">
        <v>13</v>
      </c>
      <c r="B394" s="88" t="s">
        <v>1550</v>
      </c>
      <c r="C394" s="89"/>
      <c r="D394" s="89" t="s">
        <v>326</v>
      </c>
      <c r="E394" s="89" t="s">
        <v>1631</v>
      </c>
      <c r="F394" s="87" t="s">
        <v>1556</v>
      </c>
      <c r="G394" s="92" t="s">
        <v>1557</v>
      </c>
      <c r="H394" s="93" t="s">
        <v>2962</v>
      </c>
      <c r="I394" s="87" t="s">
        <v>2851</v>
      </c>
      <c r="J394" s="87" t="s">
        <v>1760</v>
      </c>
      <c r="K394" s="87" t="s">
        <v>1761</v>
      </c>
      <c r="L394" s="87" t="s">
        <v>52</v>
      </c>
      <c r="M394" s="94">
        <v>44291.375</v>
      </c>
      <c r="N394" s="94">
        <v>44292.791666666664</v>
      </c>
      <c r="O394" s="95" t="str">
        <f>PROPER(TEXT(Table1[[#This Row],[Fecha Inicio]],"mmmm"))</f>
        <v>Abril</v>
      </c>
      <c r="P394" s="96" t="s">
        <v>2852</v>
      </c>
      <c r="Q394" s="97" t="s">
        <v>2963</v>
      </c>
      <c r="R394" s="76">
        <f t="shared" si="30"/>
        <v>1</v>
      </c>
      <c r="S394" s="76">
        <f t="shared" si="31"/>
        <v>1</v>
      </c>
      <c r="T394" s="76" t="str">
        <f t="shared" si="32"/>
        <v>-</v>
      </c>
      <c r="U394" s="76" t="str">
        <f t="shared" si="33"/>
        <v>-</v>
      </c>
      <c r="V394" s="76" t="str">
        <f t="shared" si="34"/>
        <v>-</v>
      </c>
      <c r="Z394" s="62"/>
    </row>
    <row r="395" spans="1:26" ht="40.15" customHeight="1" x14ac:dyDescent="0.25">
      <c r="A395" s="87">
        <v>14</v>
      </c>
      <c r="B395" s="100" t="s">
        <v>1551</v>
      </c>
      <c r="C395" s="89" t="s">
        <v>2971</v>
      </c>
      <c r="D395" s="90" t="s">
        <v>1579</v>
      </c>
      <c r="E395" s="90" t="s">
        <v>2972</v>
      </c>
      <c r="F395" s="87" t="s">
        <v>1556</v>
      </c>
      <c r="G395" s="92" t="s">
        <v>1557</v>
      </c>
      <c r="H395" s="93" t="s">
        <v>2973</v>
      </c>
      <c r="I395" s="87" t="s">
        <v>2974</v>
      </c>
      <c r="J395" s="87" t="s">
        <v>1560</v>
      </c>
      <c r="K395" s="87" t="s">
        <v>1561</v>
      </c>
      <c r="L395" s="126" t="s">
        <v>19</v>
      </c>
      <c r="M395" s="94">
        <v>44291.5</v>
      </c>
      <c r="N395" s="94">
        <v>44291.75</v>
      </c>
      <c r="O395" s="95" t="str">
        <f>PROPER(TEXT(Table1[[#This Row],[Fecha Inicio]],"mmmm"))</f>
        <v>Abril</v>
      </c>
      <c r="P395" s="96" t="s">
        <v>2901</v>
      </c>
      <c r="Q395" s="97" t="s">
        <v>2975</v>
      </c>
      <c r="R395" s="76">
        <f t="shared" si="30"/>
        <v>1</v>
      </c>
      <c r="S395" s="76" t="str">
        <f t="shared" si="31"/>
        <v>-</v>
      </c>
      <c r="T395" s="76" t="str">
        <f t="shared" si="32"/>
        <v>-</v>
      </c>
      <c r="U395" s="76" t="str">
        <f t="shared" si="33"/>
        <v>-</v>
      </c>
      <c r="V395" s="76" t="str">
        <f t="shared" si="34"/>
        <v>-</v>
      </c>
      <c r="Z395" s="62"/>
    </row>
    <row r="396" spans="1:26" ht="40.15" customHeight="1" x14ac:dyDescent="0.25">
      <c r="A396" s="87">
        <v>14</v>
      </c>
      <c r="B396" s="100" t="s">
        <v>1552</v>
      </c>
      <c r="C396" s="89" t="s">
        <v>2976</v>
      </c>
      <c r="D396" s="90" t="s">
        <v>1579</v>
      </c>
      <c r="E396" s="90" t="s">
        <v>2972</v>
      </c>
      <c r="F396" s="87" t="s">
        <v>1556</v>
      </c>
      <c r="G396" s="92" t="s">
        <v>1965</v>
      </c>
      <c r="H396" s="93" t="s">
        <v>2977</v>
      </c>
      <c r="I396" s="87" t="s">
        <v>2978</v>
      </c>
      <c r="J396" s="87" t="s">
        <v>1719</v>
      </c>
      <c r="K396" s="91" t="s">
        <v>1575</v>
      </c>
      <c r="L396" s="126" t="s">
        <v>19</v>
      </c>
      <c r="M396" s="94">
        <v>44291.791666666664</v>
      </c>
      <c r="N396" s="94">
        <v>44291.916666666664</v>
      </c>
      <c r="O396" s="95" t="str">
        <f>PROPER(TEXT(Table1[[#This Row],[Fecha Inicio]],"mmmm"))</f>
        <v>Abril</v>
      </c>
      <c r="P396" s="96" t="s">
        <v>266</v>
      </c>
      <c r="Q396" s="97" t="s">
        <v>2979</v>
      </c>
      <c r="R396" s="76">
        <f t="shared" si="30"/>
        <v>1</v>
      </c>
      <c r="S396" s="76" t="str">
        <f t="shared" si="31"/>
        <v>-</v>
      </c>
      <c r="T396" s="76" t="str">
        <f t="shared" si="32"/>
        <v>-</v>
      </c>
      <c r="U396" s="76">
        <f t="shared" si="33"/>
        <v>1</v>
      </c>
      <c r="V396" s="76" t="str">
        <f t="shared" si="34"/>
        <v>-</v>
      </c>
      <c r="Z396" s="62"/>
    </row>
    <row r="397" spans="1:26" ht="40.15" customHeight="1" x14ac:dyDescent="0.25">
      <c r="A397" s="87">
        <v>12</v>
      </c>
      <c r="B397" s="88" t="s">
        <v>1550</v>
      </c>
      <c r="C397" s="89"/>
      <c r="D397" s="89" t="s">
        <v>1570</v>
      </c>
      <c r="E397" s="89" t="s">
        <v>1571</v>
      </c>
      <c r="F397" s="91" t="s">
        <v>1556</v>
      </c>
      <c r="G397" s="92" t="s">
        <v>1557</v>
      </c>
      <c r="H397" s="93" t="s">
        <v>2980</v>
      </c>
      <c r="I397" s="87" t="s">
        <v>2981</v>
      </c>
      <c r="J397" s="91" t="s">
        <v>1574</v>
      </c>
      <c r="K397" s="91" t="s">
        <v>1575</v>
      </c>
      <c r="L397" s="126" t="s">
        <v>19</v>
      </c>
      <c r="M397" s="94">
        <v>44291.916666666664</v>
      </c>
      <c r="N397" s="94">
        <v>44291.958333333336</v>
      </c>
      <c r="O397" s="95" t="str">
        <f>PROPER(TEXT(Table1[[#This Row],[Fecha Inicio]],"mmmm"))</f>
        <v>Abril</v>
      </c>
      <c r="P397" s="87" t="s">
        <v>1576</v>
      </c>
      <c r="Q397" s="97" t="s">
        <v>2982</v>
      </c>
      <c r="R397" s="76">
        <f t="shared" si="30"/>
        <v>5</v>
      </c>
      <c r="S397" s="76">
        <f t="shared" si="31"/>
        <v>5</v>
      </c>
      <c r="T397" s="76" t="str">
        <f t="shared" si="32"/>
        <v>-</v>
      </c>
      <c r="U397" s="76" t="str">
        <f t="shared" si="33"/>
        <v>-</v>
      </c>
      <c r="V397" s="76" t="str">
        <f t="shared" si="34"/>
        <v>-</v>
      </c>
      <c r="Z397" s="62"/>
    </row>
    <row r="398" spans="1:26" ht="40.15" customHeight="1" x14ac:dyDescent="0.25">
      <c r="A398" s="87">
        <v>13</v>
      </c>
      <c r="B398" s="88" t="s">
        <v>1550</v>
      </c>
      <c r="C398" s="89"/>
      <c r="D398" s="90" t="s">
        <v>344</v>
      </c>
      <c r="E398" s="90" t="s">
        <v>1616</v>
      </c>
      <c r="F398" s="87" t="s">
        <v>1556</v>
      </c>
      <c r="G398" s="92" t="s">
        <v>1557</v>
      </c>
      <c r="H398" s="93" t="s">
        <v>2983</v>
      </c>
      <c r="I398" s="87" t="s">
        <v>2036</v>
      </c>
      <c r="J398" s="87" t="s">
        <v>1802</v>
      </c>
      <c r="K398" s="87" t="s">
        <v>1596</v>
      </c>
      <c r="L398" s="126" t="s">
        <v>19</v>
      </c>
      <c r="M398" s="94">
        <v>44291.958333333336</v>
      </c>
      <c r="N398" s="94">
        <v>44292.125</v>
      </c>
      <c r="O398" s="95" t="str">
        <f>PROPER(TEXT(Table1[[#This Row],[Fecha Inicio]],"mmmm"))</f>
        <v>Abril</v>
      </c>
      <c r="P398" s="96" t="s">
        <v>2507</v>
      </c>
      <c r="Q398" s="97" t="s">
        <v>2984</v>
      </c>
      <c r="R398" s="76">
        <f t="shared" si="30"/>
        <v>5</v>
      </c>
      <c r="S398" s="76">
        <f t="shared" si="31"/>
        <v>5</v>
      </c>
      <c r="T398" s="76" t="str">
        <f t="shared" si="32"/>
        <v>-</v>
      </c>
      <c r="U398" s="76" t="str">
        <f t="shared" si="33"/>
        <v>-</v>
      </c>
      <c r="V398" s="76" t="str">
        <f t="shared" si="34"/>
        <v>-</v>
      </c>
      <c r="Z398" s="62"/>
    </row>
    <row r="399" spans="1:26" ht="40.15" customHeight="1" x14ac:dyDescent="0.25">
      <c r="A399" s="87">
        <v>13</v>
      </c>
      <c r="B399" s="88" t="s">
        <v>1550</v>
      </c>
      <c r="C399" s="89"/>
      <c r="D399" s="90" t="s">
        <v>1623</v>
      </c>
      <c r="E399" s="90" t="s">
        <v>1624</v>
      </c>
      <c r="F399" s="91" t="s">
        <v>1556</v>
      </c>
      <c r="G399" s="92" t="s">
        <v>1557</v>
      </c>
      <c r="H399" s="93" t="s">
        <v>2985</v>
      </c>
      <c r="I399" s="87" t="s">
        <v>2040</v>
      </c>
      <c r="J399" s="87" t="s">
        <v>1771</v>
      </c>
      <c r="K399" s="87" t="s">
        <v>1575</v>
      </c>
      <c r="L399" s="126" t="s">
        <v>19</v>
      </c>
      <c r="M399" s="94">
        <v>44292.291666666664</v>
      </c>
      <c r="N399" s="94">
        <v>44292.5</v>
      </c>
      <c r="O399" s="95" t="str">
        <f>PROPER(TEXT(Table1[[#This Row],[Fecha Inicio]],"mmmm"))</f>
        <v>Abril</v>
      </c>
      <c r="P399" s="96" t="s">
        <v>1772</v>
      </c>
      <c r="Q399" s="97" t="s">
        <v>2986</v>
      </c>
      <c r="R399" s="76">
        <f t="shared" si="30"/>
        <v>2</v>
      </c>
      <c r="S399" s="76">
        <f t="shared" si="31"/>
        <v>2</v>
      </c>
      <c r="T399" s="76" t="str">
        <f t="shared" si="32"/>
        <v>-</v>
      </c>
      <c r="U399" s="76" t="str">
        <f t="shared" si="33"/>
        <v>-</v>
      </c>
      <c r="V399" s="76" t="str">
        <f t="shared" si="34"/>
        <v>-</v>
      </c>
      <c r="Z399" s="62"/>
    </row>
    <row r="400" spans="1:26" ht="40.15" customHeight="1" x14ac:dyDescent="0.25">
      <c r="A400" s="87">
        <v>13</v>
      </c>
      <c r="B400" s="88" t="s">
        <v>1550</v>
      </c>
      <c r="C400" s="89"/>
      <c r="D400" s="89" t="s">
        <v>1623</v>
      </c>
      <c r="E400" s="89" t="s">
        <v>1624</v>
      </c>
      <c r="F400" s="91" t="s">
        <v>1556</v>
      </c>
      <c r="G400" s="92" t="s">
        <v>1557</v>
      </c>
      <c r="H400" s="93" t="s">
        <v>2987</v>
      </c>
      <c r="I400" s="87" t="s">
        <v>2988</v>
      </c>
      <c r="J400" s="87" t="s">
        <v>1560</v>
      </c>
      <c r="K400" s="87" t="s">
        <v>1561</v>
      </c>
      <c r="L400" s="126" t="s">
        <v>19</v>
      </c>
      <c r="M400" s="94">
        <v>44292.354166666664</v>
      </c>
      <c r="N400" s="94">
        <v>44292.375</v>
      </c>
      <c r="O400" s="95" t="str">
        <f>PROPER(TEXT(Table1[[#This Row],[Fecha Inicio]],"mmmm"))</f>
        <v>Abril</v>
      </c>
      <c r="P400" s="96" t="s">
        <v>2989</v>
      </c>
      <c r="Q400" s="97" t="s">
        <v>2990</v>
      </c>
      <c r="R400" s="76">
        <f t="shared" si="30"/>
        <v>1</v>
      </c>
      <c r="S400" s="76">
        <f t="shared" si="31"/>
        <v>1</v>
      </c>
      <c r="T400" s="76" t="str">
        <f t="shared" si="32"/>
        <v>-</v>
      </c>
      <c r="U400" s="76" t="str">
        <f t="shared" si="33"/>
        <v>-</v>
      </c>
      <c r="V400" s="76" t="str">
        <f t="shared" si="34"/>
        <v>-</v>
      </c>
      <c r="Z400" s="62"/>
    </row>
    <row r="401" spans="1:26" ht="40.15" customHeight="1" x14ac:dyDescent="0.25">
      <c r="A401" s="87">
        <v>12</v>
      </c>
      <c r="B401" s="88" t="s">
        <v>1550</v>
      </c>
      <c r="C401" s="89"/>
      <c r="D401" s="89" t="s">
        <v>1570</v>
      </c>
      <c r="E401" s="89" t="s">
        <v>1571</v>
      </c>
      <c r="F401" s="91" t="s">
        <v>1556</v>
      </c>
      <c r="G401" s="92" t="s">
        <v>1557</v>
      </c>
      <c r="H401" s="93" t="s">
        <v>2991</v>
      </c>
      <c r="I401" s="87" t="s">
        <v>2992</v>
      </c>
      <c r="J401" s="91" t="s">
        <v>1755</v>
      </c>
      <c r="K401" s="91" t="s">
        <v>2136</v>
      </c>
      <c r="L401" s="126" t="s">
        <v>19</v>
      </c>
      <c r="M401" s="94">
        <v>44292.916666666664</v>
      </c>
      <c r="N401" s="94">
        <v>44292.958333333336</v>
      </c>
      <c r="O401" s="95" t="str">
        <f>PROPER(TEXT(Table1[[#This Row],[Fecha Inicio]],"mmmm"))</f>
        <v>Abril</v>
      </c>
      <c r="P401" s="96" t="s">
        <v>1756</v>
      </c>
      <c r="Q401" s="97" t="s">
        <v>2993</v>
      </c>
      <c r="R401" s="76">
        <f t="shared" si="30"/>
        <v>1</v>
      </c>
      <c r="S401" s="76">
        <f t="shared" si="31"/>
        <v>1</v>
      </c>
      <c r="T401" s="76" t="str">
        <f t="shared" si="32"/>
        <v>-</v>
      </c>
      <c r="U401" s="76" t="str">
        <f t="shared" si="33"/>
        <v>-</v>
      </c>
      <c r="V401" s="76" t="str">
        <f t="shared" si="34"/>
        <v>-</v>
      </c>
      <c r="Z401" s="62"/>
    </row>
    <row r="402" spans="1:26" ht="40.15" customHeight="1" x14ac:dyDescent="0.25">
      <c r="A402" s="87">
        <v>13</v>
      </c>
      <c r="B402" s="88" t="s">
        <v>1550</v>
      </c>
      <c r="C402" s="89"/>
      <c r="D402" s="89" t="s">
        <v>326</v>
      </c>
      <c r="E402" s="89" t="s">
        <v>1631</v>
      </c>
      <c r="F402" s="87" t="s">
        <v>1556</v>
      </c>
      <c r="G402" s="92" t="s">
        <v>1557</v>
      </c>
      <c r="H402" s="93" t="s">
        <v>2996</v>
      </c>
      <c r="I402" s="87" t="s">
        <v>2997</v>
      </c>
      <c r="J402" s="87" t="s">
        <v>1760</v>
      </c>
      <c r="K402" s="87" t="s">
        <v>1761</v>
      </c>
      <c r="L402" s="126" t="s">
        <v>19</v>
      </c>
      <c r="M402" s="94">
        <v>44292.958333333336</v>
      </c>
      <c r="N402" s="94">
        <v>44293.000694444447</v>
      </c>
      <c r="O402" s="95" t="str">
        <f>PROPER(TEXT(Table1[[#This Row],[Fecha Inicio]],"mmmm"))</f>
        <v>Abril</v>
      </c>
      <c r="P402" s="96" t="s">
        <v>2998</v>
      </c>
      <c r="Q402" s="97" t="s">
        <v>2999</v>
      </c>
      <c r="R402" s="76">
        <f t="shared" si="30"/>
        <v>2</v>
      </c>
      <c r="S402" s="76">
        <f t="shared" si="31"/>
        <v>2</v>
      </c>
      <c r="T402" s="76" t="str">
        <f t="shared" si="32"/>
        <v>-</v>
      </c>
      <c r="U402" s="76" t="str">
        <f t="shared" si="33"/>
        <v>-</v>
      </c>
      <c r="V402" s="76" t="str">
        <f t="shared" si="34"/>
        <v>-</v>
      </c>
      <c r="Z402" s="62"/>
    </row>
    <row r="403" spans="1:26" ht="40.15" customHeight="1" x14ac:dyDescent="0.25">
      <c r="A403" s="87">
        <v>13</v>
      </c>
      <c r="B403" s="88" t="s">
        <v>1550</v>
      </c>
      <c r="C403" s="89"/>
      <c r="D403" s="90" t="s">
        <v>344</v>
      </c>
      <c r="E403" s="90" t="s">
        <v>1616</v>
      </c>
      <c r="F403" s="87" t="s">
        <v>1556</v>
      </c>
      <c r="G403" s="92" t="s">
        <v>1557</v>
      </c>
      <c r="H403" s="93" t="s">
        <v>2994</v>
      </c>
      <c r="I403" s="87" t="s">
        <v>2067</v>
      </c>
      <c r="J403" s="87" t="s">
        <v>1802</v>
      </c>
      <c r="K403" s="87" t="s">
        <v>1596</v>
      </c>
      <c r="L403" s="126" t="s">
        <v>19</v>
      </c>
      <c r="M403" s="94">
        <v>44292.958333333336</v>
      </c>
      <c r="N403" s="94">
        <v>44293.125</v>
      </c>
      <c r="O403" s="95" t="str">
        <f>PROPER(TEXT(Table1[[#This Row],[Fecha Inicio]],"mmmm"))</f>
        <v>Abril</v>
      </c>
      <c r="P403" s="96" t="s">
        <v>2534</v>
      </c>
      <c r="Q403" s="97" t="s">
        <v>2995</v>
      </c>
      <c r="R403" s="76">
        <f t="shared" si="30"/>
        <v>6</v>
      </c>
      <c r="S403" s="76">
        <f t="shared" si="31"/>
        <v>6</v>
      </c>
      <c r="T403" s="76" t="str">
        <f t="shared" si="32"/>
        <v>-</v>
      </c>
      <c r="U403" s="76" t="str">
        <f t="shared" si="33"/>
        <v>-</v>
      </c>
      <c r="V403" s="76" t="str">
        <f t="shared" si="34"/>
        <v>-</v>
      </c>
      <c r="Z403" s="62"/>
    </row>
    <row r="404" spans="1:26" ht="40.15" customHeight="1" x14ac:dyDescent="0.25">
      <c r="A404" s="87">
        <v>13</v>
      </c>
      <c r="B404" s="88" t="s">
        <v>1550</v>
      </c>
      <c r="C404" s="89"/>
      <c r="D404" s="89" t="s">
        <v>344</v>
      </c>
      <c r="E404" s="89" t="s">
        <v>1616</v>
      </c>
      <c r="F404" s="91" t="s">
        <v>1556</v>
      </c>
      <c r="G404" s="92" t="s">
        <v>1557</v>
      </c>
      <c r="H404" s="93" t="s">
        <v>3000</v>
      </c>
      <c r="I404" s="87" t="s">
        <v>1823</v>
      </c>
      <c r="J404" s="87" t="s">
        <v>1824</v>
      </c>
      <c r="K404" s="87" t="s">
        <v>1825</v>
      </c>
      <c r="L404" s="126" t="s">
        <v>19</v>
      </c>
      <c r="M404" s="94">
        <v>44293.416666666664</v>
      </c>
      <c r="N404" s="94">
        <v>44293.666666666664</v>
      </c>
      <c r="O404" s="95" t="str">
        <f>PROPER(TEXT(Table1[[#This Row],[Fecha Inicio]],"mmmm"))</f>
        <v>Abril</v>
      </c>
      <c r="P404" s="96" t="s">
        <v>2553</v>
      </c>
      <c r="Q404" s="97" t="s">
        <v>3001</v>
      </c>
      <c r="R404" s="76">
        <f t="shared" si="30"/>
        <v>3</v>
      </c>
      <c r="S404" s="76">
        <f t="shared" si="31"/>
        <v>3</v>
      </c>
      <c r="T404" s="76" t="str">
        <f t="shared" si="32"/>
        <v>-</v>
      </c>
      <c r="U404" s="76" t="str">
        <f t="shared" si="33"/>
        <v>-</v>
      </c>
      <c r="V404" s="76" t="str">
        <f t="shared" si="34"/>
        <v>-</v>
      </c>
      <c r="Z404" s="62"/>
    </row>
    <row r="405" spans="1:26" ht="40.15" customHeight="1" x14ac:dyDescent="0.25">
      <c r="A405" s="87">
        <v>12</v>
      </c>
      <c r="B405" s="89" t="s">
        <v>1550</v>
      </c>
      <c r="C405" s="89"/>
      <c r="D405" s="89" t="s">
        <v>1570</v>
      </c>
      <c r="E405" s="89" t="s">
        <v>1571</v>
      </c>
      <c r="F405" s="91" t="s">
        <v>1556</v>
      </c>
      <c r="G405" s="92" t="s">
        <v>1557</v>
      </c>
      <c r="H405" s="93" t="s">
        <v>3002</v>
      </c>
      <c r="I405" s="87" t="s">
        <v>3003</v>
      </c>
      <c r="J405" s="91" t="s">
        <v>1654</v>
      </c>
      <c r="K405" s="91" t="s">
        <v>1575</v>
      </c>
      <c r="L405" s="126" t="s">
        <v>19</v>
      </c>
      <c r="M405" s="94">
        <v>44293.666666666664</v>
      </c>
      <c r="N405" s="94">
        <v>44295.375</v>
      </c>
      <c r="O405" s="95" t="str">
        <f>PROPER(TEXT(Table1[[#This Row],[Fecha Inicio]],"mmmm"))</f>
        <v>Abril</v>
      </c>
      <c r="P405" s="96" t="s">
        <v>2095</v>
      </c>
      <c r="Q405" s="97" t="s">
        <v>3004</v>
      </c>
      <c r="R405" s="76">
        <f t="shared" si="30"/>
        <v>8</v>
      </c>
      <c r="S405" s="76">
        <f t="shared" si="31"/>
        <v>8</v>
      </c>
      <c r="T405" s="76" t="str">
        <f t="shared" si="32"/>
        <v>-</v>
      </c>
      <c r="U405" s="76" t="str">
        <f t="shared" si="33"/>
        <v>-</v>
      </c>
      <c r="V405" s="76" t="str">
        <f t="shared" si="34"/>
        <v>-</v>
      </c>
      <c r="Z405" s="62"/>
    </row>
    <row r="406" spans="1:26" ht="40.15" customHeight="1" x14ac:dyDescent="0.25">
      <c r="A406" s="87">
        <v>14</v>
      </c>
      <c r="B406" s="100" t="s">
        <v>1552</v>
      </c>
      <c r="C406" s="89" t="s">
        <v>3005</v>
      </c>
      <c r="D406" s="89" t="s">
        <v>1554</v>
      </c>
      <c r="E406" s="89" t="s">
        <v>1555</v>
      </c>
      <c r="F406" s="87" t="s">
        <v>1556</v>
      </c>
      <c r="G406" s="92" t="s">
        <v>1965</v>
      </c>
      <c r="H406" s="93" t="s">
        <v>3006</v>
      </c>
      <c r="I406" s="87" t="s">
        <v>3007</v>
      </c>
      <c r="J406" s="87" t="s">
        <v>3008</v>
      </c>
      <c r="K406" s="87" t="s">
        <v>2826</v>
      </c>
      <c r="L406" s="87" t="s">
        <v>52</v>
      </c>
      <c r="M406" s="94">
        <v>44294.375</v>
      </c>
      <c r="N406" s="94">
        <v>44294.625</v>
      </c>
      <c r="O406" s="95" t="str">
        <f>PROPER(TEXT(Table1[[#This Row],[Fecha Inicio]],"mmmm"))</f>
        <v>Abril</v>
      </c>
      <c r="P406" s="96" t="s">
        <v>3009</v>
      </c>
      <c r="Q406" s="97" t="s">
        <v>3010</v>
      </c>
      <c r="R406" s="76">
        <f t="shared" si="30"/>
        <v>18</v>
      </c>
      <c r="S406" s="76" t="str">
        <f t="shared" si="31"/>
        <v>-</v>
      </c>
      <c r="T406" s="76" t="str">
        <f t="shared" si="32"/>
        <v>-</v>
      </c>
      <c r="U406" s="76">
        <f t="shared" si="33"/>
        <v>18</v>
      </c>
      <c r="V406" s="76" t="str">
        <f t="shared" si="34"/>
        <v>-</v>
      </c>
      <c r="Z406" s="62"/>
    </row>
    <row r="407" spans="1:26" ht="40.15" customHeight="1" x14ac:dyDescent="0.25">
      <c r="A407" s="87">
        <v>13</v>
      </c>
      <c r="B407" s="89" t="s">
        <v>1550</v>
      </c>
      <c r="C407" s="89"/>
      <c r="D407" s="89" t="s">
        <v>344</v>
      </c>
      <c r="E407" s="89" t="s">
        <v>1616</v>
      </c>
      <c r="F407" s="91" t="s">
        <v>1556</v>
      </c>
      <c r="G407" s="92" t="s">
        <v>1557</v>
      </c>
      <c r="H407" s="93" t="s">
        <v>3011</v>
      </c>
      <c r="I407" s="87" t="s">
        <v>1871</v>
      </c>
      <c r="J407" s="87" t="s">
        <v>1824</v>
      </c>
      <c r="K407" s="87" t="s">
        <v>1825</v>
      </c>
      <c r="L407" s="126" t="s">
        <v>19</v>
      </c>
      <c r="M407" s="94">
        <v>44294.416666666664</v>
      </c>
      <c r="N407" s="94">
        <v>44294.666666666664</v>
      </c>
      <c r="O407" s="95" t="str">
        <f>PROPER(TEXT(Table1[[#This Row],[Fecha Inicio]],"mmmm"))</f>
        <v>Abril</v>
      </c>
      <c r="P407" s="96" t="s">
        <v>2568</v>
      </c>
      <c r="Q407" s="97" t="s">
        <v>3012</v>
      </c>
      <c r="R407" s="76">
        <f t="shared" si="30"/>
        <v>3</v>
      </c>
      <c r="S407" s="76">
        <f t="shared" si="31"/>
        <v>3</v>
      </c>
      <c r="T407" s="76" t="str">
        <f t="shared" si="32"/>
        <v>-</v>
      </c>
      <c r="U407" s="76" t="str">
        <f t="shared" si="33"/>
        <v>-</v>
      </c>
      <c r="V407" s="76" t="str">
        <f t="shared" si="34"/>
        <v>-</v>
      </c>
      <c r="Z407" s="62"/>
    </row>
    <row r="408" spans="1:26" ht="40.15" customHeight="1" x14ac:dyDescent="0.25">
      <c r="A408" s="87">
        <v>14</v>
      </c>
      <c r="B408" s="89" t="s">
        <v>1550</v>
      </c>
      <c r="C408" s="89"/>
      <c r="D408" s="90" t="s">
        <v>1623</v>
      </c>
      <c r="E408" s="90" t="s">
        <v>1624</v>
      </c>
      <c r="F408" s="91" t="s">
        <v>1556</v>
      </c>
      <c r="G408" s="92" t="s">
        <v>1557</v>
      </c>
      <c r="H408" s="93" t="s">
        <v>3013</v>
      </c>
      <c r="I408" s="87" t="s">
        <v>1685</v>
      </c>
      <c r="J408" s="87" t="s">
        <v>1627</v>
      </c>
      <c r="K408" s="87" t="s">
        <v>1575</v>
      </c>
      <c r="L408" s="126" t="s">
        <v>19</v>
      </c>
      <c r="M408" s="94">
        <v>44294.5</v>
      </c>
      <c r="N408" s="94">
        <v>44294.625</v>
      </c>
      <c r="O408" s="95" t="str">
        <f>PROPER(TEXT(Table1[[#This Row],[Fecha Inicio]],"mmmm"))</f>
        <v>Abril</v>
      </c>
      <c r="P408" s="96" t="s">
        <v>2764</v>
      </c>
      <c r="Q408" s="97" t="s">
        <v>3014</v>
      </c>
      <c r="R408" s="76">
        <f t="shared" si="30"/>
        <v>2</v>
      </c>
      <c r="S408" s="76">
        <f t="shared" si="31"/>
        <v>2</v>
      </c>
      <c r="T408" s="76" t="str">
        <f t="shared" si="32"/>
        <v>-</v>
      </c>
      <c r="U408" s="76" t="str">
        <f t="shared" si="33"/>
        <v>-</v>
      </c>
      <c r="V408" s="76" t="str">
        <f t="shared" si="34"/>
        <v>-</v>
      </c>
      <c r="Z408" s="62"/>
    </row>
    <row r="409" spans="1:26" ht="40.15" customHeight="1" x14ac:dyDescent="0.25">
      <c r="A409" s="87">
        <v>14</v>
      </c>
      <c r="B409" s="89" t="s">
        <v>1550</v>
      </c>
      <c r="C409" s="89" t="s">
        <v>1578</v>
      </c>
      <c r="D409" s="90" t="s">
        <v>1665</v>
      </c>
      <c r="E409" s="90" t="s">
        <v>1666</v>
      </c>
      <c r="F409" s="87" t="s">
        <v>1556</v>
      </c>
      <c r="G409" s="92" t="s">
        <v>1557</v>
      </c>
      <c r="H409" s="93" t="s">
        <v>3015</v>
      </c>
      <c r="I409" s="87" t="s">
        <v>3016</v>
      </c>
      <c r="J409" s="87" t="s">
        <v>1669</v>
      </c>
      <c r="K409" s="87" t="s">
        <v>1670</v>
      </c>
      <c r="L409" s="87" t="s">
        <v>52</v>
      </c>
      <c r="M409" s="94">
        <v>44294.666666666664</v>
      </c>
      <c r="N409" s="94">
        <v>44294.75</v>
      </c>
      <c r="O409" s="95" t="str">
        <f>PROPER(TEXT(Table1[[#This Row],[Fecha Inicio]],"mmmm"))</f>
        <v>Abril</v>
      </c>
      <c r="P409" s="96" t="s">
        <v>3017</v>
      </c>
      <c r="Q409" s="97" t="s">
        <v>3018</v>
      </c>
      <c r="R409" s="76">
        <f t="shared" si="30"/>
        <v>1</v>
      </c>
      <c r="S409" s="76">
        <f t="shared" si="31"/>
        <v>1</v>
      </c>
      <c r="T409" s="76" t="str">
        <f t="shared" si="32"/>
        <v>-</v>
      </c>
      <c r="U409" s="76" t="str">
        <f t="shared" si="33"/>
        <v>-</v>
      </c>
      <c r="V409" s="76" t="str">
        <f t="shared" si="34"/>
        <v>-</v>
      </c>
      <c r="Z409" s="62"/>
    </row>
    <row r="410" spans="1:26" ht="40.15" customHeight="1" x14ac:dyDescent="0.25">
      <c r="A410" s="87">
        <v>13</v>
      </c>
      <c r="B410" s="89" t="s">
        <v>1550</v>
      </c>
      <c r="C410" s="89"/>
      <c r="D410" s="89" t="s">
        <v>1570</v>
      </c>
      <c r="E410" s="89" t="s">
        <v>1571</v>
      </c>
      <c r="F410" s="91" t="s">
        <v>1556</v>
      </c>
      <c r="G410" s="92" t="s">
        <v>1557</v>
      </c>
      <c r="H410" s="93" t="s">
        <v>3019</v>
      </c>
      <c r="I410" s="87" t="s">
        <v>3020</v>
      </c>
      <c r="J410" s="91" t="s">
        <v>1708</v>
      </c>
      <c r="K410" s="91" t="s">
        <v>1709</v>
      </c>
      <c r="L410" s="126" t="s">
        <v>19</v>
      </c>
      <c r="M410" s="94">
        <v>44294.916666666664</v>
      </c>
      <c r="N410" s="94">
        <v>44294.958333333336</v>
      </c>
      <c r="O410" s="95" t="str">
        <f>PROPER(TEXT(Table1[[#This Row],[Fecha Inicio]],"mmmm"))</f>
        <v>Abril</v>
      </c>
      <c r="P410" s="96" t="s">
        <v>1710</v>
      </c>
      <c r="Q410" s="97" t="s">
        <v>3021</v>
      </c>
      <c r="R410" s="76">
        <f t="shared" si="30"/>
        <v>15</v>
      </c>
      <c r="S410" s="76">
        <f t="shared" si="31"/>
        <v>15</v>
      </c>
      <c r="T410" s="76" t="str">
        <f t="shared" si="32"/>
        <v>-</v>
      </c>
      <c r="U410" s="76" t="str">
        <f t="shared" si="33"/>
        <v>-</v>
      </c>
      <c r="V410" s="76" t="str">
        <f t="shared" si="34"/>
        <v>-</v>
      </c>
      <c r="Z410" s="62"/>
    </row>
    <row r="411" spans="1:26" ht="40.15" customHeight="1" x14ac:dyDescent="0.25">
      <c r="A411" s="87">
        <v>14</v>
      </c>
      <c r="B411" s="89" t="s">
        <v>1550</v>
      </c>
      <c r="C411" s="89"/>
      <c r="D411" s="89" t="s">
        <v>1554</v>
      </c>
      <c r="E411" s="89" t="s">
        <v>1555</v>
      </c>
      <c r="F411" s="87" t="s">
        <v>1556</v>
      </c>
      <c r="G411" s="92" t="s">
        <v>1557</v>
      </c>
      <c r="H411" s="93" t="s">
        <v>3022</v>
      </c>
      <c r="I411" s="87" t="s">
        <v>1819</v>
      </c>
      <c r="J411" s="91" t="s">
        <v>1583</v>
      </c>
      <c r="K411" s="87" t="s">
        <v>1584</v>
      </c>
      <c r="L411" s="87" t="s">
        <v>52</v>
      </c>
      <c r="M411" s="94">
        <v>44295.375</v>
      </c>
      <c r="N411" s="94">
        <v>44295.625</v>
      </c>
      <c r="O411" s="95" t="str">
        <f>PROPER(TEXT(Table1[[#This Row],[Fecha Inicio]],"mmmm"))</f>
        <v>Abril</v>
      </c>
      <c r="P411" s="96" t="s">
        <v>3023</v>
      </c>
      <c r="Q411" s="97" t="s">
        <v>3024</v>
      </c>
      <c r="R411" s="76">
        <f t="shared" si="30"/>
        <v>2</v>
      </c>
      <c r="S411" s="76">
        <f t="shared" si="31"/>
        <v>2</v>
      </c>
      <c r="T411" s="76" t="str">
        <f t="shared" si="32"/>
        <v>-</v>
      </c>
      <c r="U411" s="76" t="str">
        <f t="shared" si="33"/>
        <v>-</v>
      </c>
      <c r="V411" s="76" t="str">
        <f t="shared" si="34"/>
        <v>-</v>
      </c>
      <c r="Z411" s="62"/>
    </row>
    <row r="412" spans="1:26" ht="40.15" customHeight="1" x14ac:dyDescent="0.25">
      <c r="A412" s="87">
        <v>14</v>
      </c>
      <c r="B412" s="89" t="s">
        <v>1550</v>
      </c>
      <c r="C412" s="89"/>
      <c r="D412" s="89" t="s">
        <v>1554</v>
      </c>
      <c r="E412" s="89" t="s">
        <v>1555</v>
      </c>
      <c r="F412" s="87" t="s">
        <v>1556</v>
      </c>
      <c r="G412" s="92" t="s">
        <v>1557</v>
      </c>
      <c r="H412" s="93" t="s">
        <v>3025</v>
      </c>
      <c r="I412" s="87" t="s">
        <v>1819</v>
      </c>
      <c r="J412" s="91" t="s">
        <v>1583</v>
      </c>
      <c r="K412" s="87" t="s">
        <v>1584</v>
      </c>
      <c r="L412" s="87" t="s">
        <v>52</v>
      </c>
      <c r="M412" s="94">
        <v>44295.375</v>
      </c>
      <c r="N412" s="94">
        <v>44295.625</v>
      </c>
      <c r="O412" s="95" t="str">
        <f>PROPER(TEXT(Table1[[#This Row],[Fecha Inicio]],"mmmm"))</f>
        <v>Abril</v>
      </c>
      <c r="P412" s="96" t="s">
        <v>3026</v>
      </c>
      <c r="Q412" s="97" t="s">
        <v>3027</v>
      </c>
      <c r="R412" s="76">
        <f t="shared" si="30"/>
        <v>5</v>
      </c>
      <c r="S412" s="76">
        <f t="shared" si="31"/>
        <v>5</v>
      </c>
      <c r="T412" s="76" t="str">
        <f t="shared" si="32"/>
        <v>-</v>
      </c>
      <c r="U412" s="76" t="str">
        <f t="shared" si="33"/>
        <v>-</v>
      </c>
      <c r="V412" s="76" t="str">
        <f t="shared" si="34"/>
        <v>-</v>
      </c>
      <c r="Z412" s="62"/>
    </row>
    <row r="413" spans="1:26" ht="40.15" customHeight="1" x14ac:dyDescent="0.25">
      <c r="A413" s="87">
        <v>14</v>
      </c>
      <c r="B413" s="89" t="s">
        <v>1550</v>
      </c>
      <c r="C413" s="89"/>
      <c r="D413" s="89" t="s">
        <v>1554</v>
      </c>
      <c r="E413" s="89" t="s">
        <v>1555</v>
      </c>
      <c r="F413" s="87" t="s">
        <v>1556</v>
      </c>
      <c r="G413" s="92" t="s">
        <v>1557</v>
      </c>
      <c r="H413" s="93" t="s">
        <v>3028</v>
      </c>
      <c r="I413" s="87" t="s">
        <v>3029</v>
      </c>
      <c r="J413" s="87" t="s">
        <v>3030</v>
      </c>
      <c r="K413" s="93" t="s">
        <v>1575</v>
      </c>
      <c r="L413" s="87" t="s">
        <v>52</v>
      </c>
      <c r="M413" s="94">
        <v>44295.375</v>
      </c>
      <c r="N413" s="94">
        <v>44295.625</v>
      </c>
      <c r="O413" s="95" t="str">
        <f>PROPER(TEXT(Table1[[#This Row],[Fecha Inicio]],"mmmm"))</f>
        <v>Abril</v>
      </c>
      <c r="P413" s="96" t="s">
        <v>3031</v>
      </c>
      <c r="Q413" s="97" t="s">
        <v>3032</v>
      </c>
      <c r="R413" s="76">
        <f t="shared" si="30"/>
        <v>2</v>
      </c>
      <c r="S413" s="76">
        <f t="shared" si="31"/>
        <v>2</v>
      </c>
      <c r="T413" s="76" t="str">
        <f t="shared" si="32"/>
        <v>-</v>
      </c>
      <c r="U413" s="76" t="str">
        <f t="shared" si="33"/>
        <v>-</v>
      </c>
      <c r="V413" s="76" t="str">
        <f t="shared" si="34"/>
        <v>-</v>
      </c>
      <c r="Z413" s="62"/>
    </row>
    <row r="414" spans="1:26" ht="40.15" customHeight="1" x14ac:dyDescent="0.25">
      <c r="A414" s="87">
        <v>14</v>
      </c>
      <c r="B414" s="89" t="s">
        <v>1550</v>
      </c>
      <c r="C414" s="89"/>
      <c r="D414" s="89" t="s">
        <v>326</v>
      </c>
      <c r="E414" s="89" t="s">
        <v>1742</v>
      </c>
      <c r="F414" s="87" t="s">
        <v>1556</v>
      </c>
      <c r="G414" s="92" t="s">
        <v>1557</v>
      </c>
      <c r="H414" s="93" t="s">
        <v>3033</v>
      </c>
      <c r="I414" s="87" t="s">
        <v>3034</v>
      </c>
      <c r="J414" s="87" t="s">
        <v>1902</v>
      </c>
      <c r="K414" s="87" t="s">
        <v>1575</v>
      </c>
      <c r="L414" s="87" t="s">
        <v>52</v>
      </c>
      <c r="M414" s="94">
        <v>44295.375</v>
      </c>
      <c r="N414" s="94">
        <v>44295.625</v>
      </c>
      <c r="O414" s="95" t="str">
        <f>PROPER(TEXT(Table1[[#This Row],[Fecha Inicio]],"mmmm"))</f>
        <v>Abril</v>
      </c>
      <c r="P414" s="96" t="s">
        <v>3035</v>
      </c>
      <c r="Q414" s="97" t="s">
        <v>3036</v>
      </c>
      <c r="R414" s="76">
        <f t="shared" si="30"/>
        <v>2</v>
      </c>
      <c r="S414" s="76">
        <f t="shared" si="31"/>
        <v>2</v>
      </c>
      <c r="T414" s="76" t="str">
        <f t="shared" si="32"/>
        <v>-</v>
      </c>
      <c r="U414" s="76" t="str">
        <f t="shared" si="33"/>
        <v>-</v>
      </c>
      <c r="V414" s="76" t="str">
        <f t="shared" si="34"/>
        <v>-</v>
      </c>
      <c r="Z414" s="62"/>
    </row>
    <row r="415" spans="1:26" ht="40.15" customHeight="1" x14ac:dyDescent="0.25">
      <c r="A415" s="87">
        <v>11</v>
      </c>
      <c r="B415" s="89" t="s">
        <v>1550</v>
      </c>
      <c r="C415" s="89"/>
      <c r="D415" s="89" t="s">
        <v>1570</v>
      </c>
      <c r="E415" s="89" t="s">
        <v>1571</v>
      </c>
      <c r="F415" s="91" t="s">
        <v>1556</v>
      </c>
      <c r="G415" s="92" t="s">
        <v>1557</v>
      </c>
      <c r="H415" s="93" t="s">
        <v>3037</v>
      </c>
      <c r="I415" s="87" t="s">
        <v>3038</v>
      </c>
      <c r="J415" s="91" t="s">
        <v>1640</v>
      </c>
      <c r="K415" s="91" t="s">
        <v>1641</v>
      </c>
      <c r="L415" s="126" t="s">
        <v>19</v>
      </c>
      <c r="M415" s="94">
        <v>44296.458333333336</v>
      </c>
      <c r="N415" s="94">
        <v>44296.5625</v>
      </c>
      <c r="O415" s="95" t="str">
        <f>PROPER(TEXT(Table1[[#This Row],[Fecha Inicio]],"mmmm"))</f>
        <v>Abril</v>
      </c>
      <c r="P415" s="96" t="s">
        <v>3039</v>
      </c>
      <c r="Q415" s="97" t="s">
        <v>3040</v>
      </c>
      <c r="R415" s="76">
        <f t="shared" si="30"/>
        <v>8</v>
      </c>
      <c r="S415" s="76">
        <f t="shared" si="31"/>
        <v>8</v>
      </c>
      <c r="T415" s="76" t="str">
        <f t="shared" si="32"/>
        <v>-</v>
      </c>
      <c r="U415" s="76" t="str">
        <f t="shared" si="33"/>
        <v>-</v>
      </c>
      <c r="V415" s="76" t="str">
        <f t="shared" si="34"/>
        <v>-</v>
      </c>
      <c r="Z415" s="62"/>
    </row>
    <row r="416" spans="1:26" ht="40.15" customHeight="1" x14ac:dyDescent="0.25">
      <c r="A416" s="87">
        <v>13</v>
      </c>
      <c r="B416" s="89" t="s">
        <v>1550</v>
      </c>
      <c r="C416" s="89"/>
      <c r="D416" s="89" t="s">
        <v>1570</v>
      </c>
      <c r="E416" s="89" t="s">
        <v>1571</v>
      </c>
      <c r="F416" s="91" t="s">
        <v>1556</v>
      </c>
      <c r="G416" s="92" t="s">
        <v>1557</v>
      </c>
      <c r="H416" s="93" t="s">
        <v>3041</v>
      </c>
      <c r="I416" s="87" t="s">
        <v>3042</v>
      </c>
      <c r="J416" s="91" t="s">
        <v>1724</v>
      </c>
      <c r="K416" s="91" t="s">
        <v>1575</v>
      </c>
      <c r="L416" s="126" t="s">
        <v>19</v>
      </c>
      <c r="M416" s="94">
        <v>44297.375</v>
      </c>
      <c r="N416" s="94">
        <v>44297.458333333336</v>
      </c>
      <c r="O416" s="95" t="str">
        <f>PROPER(TEXT(Table1[[#This Row],[Fecha Inicio]],"mmmm"))</f>
        <v>Abril</v>
      </c>
      <c r="P416" s="87" t="s">
        <v>1725</v>
      </c>
      <c r="Q416" s="97" t="s">
        <v>3043</v>
      </c>
      <c r="R416" s="76">
        <f t="shared" si="30"/>
        <v>13</v>
      </c>
      <c r="S416" s="76">
        <f t="shared" si="31"/>
        <v>13</v>
      </c>
      <c r="T416" s="76" t="str">
        <f t="shared" si="32"/>
        <v>-</v>
      </c>
      <c r="U416" s="76" t="str">
        <f t="shared" si="33"/>
        <v>-</v>
      </c>
      <c r="V416" s="76" t="str">
        <f t="shared" si="34"/>
        <v>-</v>
      </c>
      <c r="Z416" s="62"/>
    </row>
    <row r="417" spans="1:26" ht="40.15" customHeight="1" x14ac:dyDescent="0.25">
      <c r="A417" s="87">
        <v>14</v>
      </c>
      <c r="B417" s="89" t="s">
        <v>1551</v>
      </c>
      <c r="C417" s="89" t="s">
        <v>3044</v>
      </c>
      <c r="D417" s="89" t="s">
        <v>326</v>
      </c>
      <c r="E417" s="89" t="s">
        <v>1742</v>
      </c>
      <c r="F417" s="87" t="s">
        <v>1556</v>
      </c>
      <c r="G417" s="92" t="s">
        <v>1557</v>
      </c>
      <c r="H417" s="93" t="s">
        <v>3045</v>
      </c>
      <c r="I417" s="87" t="s">
        <v>3046</v>
      </c>
      <c r="J417" s="91" t="s">
        <v>1583</v>
      </c>
      <c r="K417" s="87" t="s">
        <v>1584</v>
      </c>
      <c r="L417" s="87" t="s">
        <v>52</v>
      </c>
      <c r="M417" s="94">
        <v>44298.375</v>
      </c>
      <c r="N417" s="94">
        <v>44298.583333333336</v>
      </c>
      <c r="O417" s="95" t="str">
        <f>PROPER(TEXT(Table1[[#This Row],[Fecha Inicio]],"mmmm"))</f>
        <v>Abril</v>
      </c>
      <c r="P417" s="96" t="s">
        <v>3047</v>
      </c>
      <c r="Q417" s="97" t="s">
        <v>3048</v>
      </c>
      <c r="R417" s="76">
        <f t="shared" si="30"/>
        <v>3</v>
      </c>
      <c r="S417" s="76" t="str">
        <f t="shared" si="31"/>
        <v>-</v>
      </c>
      <c r="T417" s="76" t="str">
        <f t="shared" si="32"/>
        <v>-</v>
      </c>
      <c r="U417" s="76" t="str">
        <f t="shared" si="33"/>
        <v>-</v>
      </c>
      <c r="V417" s="76" t="str">
        <f t="shared" si="34"/>
        <v>-</v>
      </c>
      <c r="Z417" s="62"/>
    </row>
    <row r="418" spans="1:26" ht="40.15" customHeight="1" x14ac:dyDescent="0.25">
      <c r="A418" s="87">
        <v>14</v>
      </c>
      <c r="B418" s="89" t="s">
        <v>1550</v>
      </c>
      <c r="C418" s="89"/>
      <c r="D418" s="89" t="s">
        <v>344</v>
      </c>
      <c r="E418" s="89" t="s">
        <v>1616</v>
      </c>
      <c r="F418" s="91" t="s">
        <v>1556</v>
      </c>
      <c r="G418" s="92" t="s">
        <v>1557</v>
      </c>
      <c r="H418" s="93" t="s">
        <v>3049</v>
      </c>
      <c r="I418" s="87" t="s">
        <v>2603</v>
      </c>
      <c r="J418" s="91" t="s">
        <v>1920</v>
      </c>
      <c r="K418" s="91" t="s">
        <v>1921</v>
      </c>
      <c r="L418" s="126" t="s">
        <v>19</v>
      </c>
      <c r="M418" s="94">
        <v>44298.416666666664</v>
      </c>
      <c r="N418" s="94">
        <v>44298.583333333336</v>
      </c>
      <c r="O418" s="95" t="str">
        <f>PROPER(TEXT(Table1[[#This Row],[Fecha Inicio]],"mmmm"))</f>
        <v>Abril</v>
      </c>
      <c r="P418" s="87" t="s">
        <v>2604</v>
      </c>
      <c r="Q418" s="97" t="s">
        <v>3050</v>
      </c>
      <c r="R418" s="76">
        <f t="shared" si="30"/>
        <v>3</v>
      </c>
      <c r="S418" s="76">
        <f t="shared" si="31"/>
        <v>3</v>
      </c>
      <c r="T418" s="76" t="str">
        <f t="shared" si="32"/>
        <v>-</v>
      </c>
      <c r="U418" s="76" t="str">
        <f t="shared" si="33"/>
        <v>-</v>
      </c>
      <c r="V418" s="76" t="str">
        <f t="shared" si="34"/>
        <v>-</v>
      </c>
      <c r="Z418" s="62"/>
    </row>
    <row r="419" spans="1:26" ht="40.15" customHeight="1" x14ac:dyDescent="0.25">
      <c r="A419" s="87">
        <v>14</v>
      </c>
      <c r="B419" s="89" t="s">
        <v>1550</v>
      </c>
      <c r="C419" s="89"/>
      <c r="D419" s="89" t="s">
        <v>1623</v>
      </c>
      <c r="E419" s="89" t="s">
        <v>1624</v>
      </c>
      <c r="F419" s="87" t="s">
        <v>1556</v>
      </c>
      <c r="G419" s="92" t="s">
        <v>1557</v>
      </c>
      <c r="H419" s="93" t="s">
        <v>3051</v>
      </c>
      <c r="I419" s="87" t="s">
        <v>3052</v>
      </c>
      <c r="J419" s="87" t="s">
        <v>3053</v>
      </c>
      <c r="K419" s="87" t="s">
        <v>1575</v>
      </c>
      <c r="L419" s="126" t="s">
        <v>19</v>
      </c>
      <c r="M419" s="94">
        <v>44298.458333333336</v>
      </c>
      <c r="N419" s="94">
        <v>44298.541666666664</v>
      </c>
      <c r="O419" s="95" t="str">
        <f>PROPER(TEXT(Table1[[#This Row],[Fecha Inicio]],"mmmm"))</f>
        <v>Abril</v>
      </c>
      <c r="P419" s="96" t="s">
        <v>3054</v>
      </c>
      <c r="Q419" s="97" t="s">
        <v>3055</v>
      </c>
      <c r="R419" s="76">
        <f t="shared" si="30"/>
        <v>2</v>
      </c>
      <c r="S419" s="76">
        <f t="shared" si="31"/>
        <v>2</v>
      </c>
      <c r="T419" s="76" t="str">
        <f t="shared" si="32"/>
        <v>-</v>
      </c>
      <c r="U419" s="76" t="str">
        <f t="shared" si="33"/>
        <v>-</v>
      </c>
      <c r="V419" s="76" t="str">
        <f t="shared" si="34"/>
        <v>-</v>
      </c>
      <c r="Z419" s="62"/>
    </row>
    <row r="420" spans="1:26" ht="40.15" customHeight="1" x14ac:dyDescent="0.25">
      <c r="A420" s="87">
        <v>13</v>
      </c>
      <c r="B420" s="89" t="s">
        <v>1550</v>
      </c>
      <c r="C420" s="89"/>
      <c r="D420" s="89" t="s">
        <v>1570</v>
      </c>
      <c r="E420" s="89" t="s">
        <v>1571</v>
      </c>
      <c r="F420" s="91" t="s">
        <v>1556</v>
      </c>
      <c r="G420" s="92" t="s">
        <v>1557</v>
      </c>
      <c r="H420" s="93" t="s">
        <v>3056</v>
      </c>
      <c r="I420" s="87" t="s">
        <v>3057</v>
      </c>
      <c r="J420" s="91" t="s">
        <v>1612</v>
      </c>
      <c r="K420" s="91" t="s">
        <v>1613</v>
      </c>
      <c r="L420" s="126" t="s">
        <v>19</v>
      </c>
      <c r="M420" s="94">
        <v>44298.916666666664</v>
      </c>
      <c r="N420" s="94">
        <v>44298.958333333336</v>
      </c>
      <c r="O420" s="95" t="str">
        <f>PROPER(TEXT(Table1[[#This Row],[Fecha Inicio]],"mmmm"))</f>
        <v>Abril</v>
      </c>
      <c r="P420" s="87" t="s">
        <v>3058</v>
      </c>
      <c r="Q420" s="97" t="s">
        <v>3059</v>
      </c>
      <c r="R420" s="76">
        <f t="shared" si="30"/>
        <v>19</v>
      </c>
      <c r="S420" s="76">
        <f t="shared" si="31"/>
        <v>19</v>
      </c>
      <c r="T420" s="76" t="str">
        <f t="shared" si="32"/>
        <v>-</v>
      </c>
      <c r="U420" s="76" t="str">
        <f t="shared" si="33"/>
        <v>-</v>
      </c>
      <c r="V420" s="76" t="str">
        <f t="shared" si="34"/>
        <v>-</v>
      </c>
      <c r="Z420" s="62"/>
    </row>
    <row r="421" spans="1:26" ht="40.15" customHeight="1" x14ac:dyDescent="0.25">
      <c r="A421" s="87">
        <v>15</v>
      </c>
      <c r="B421" s="89" t="s">
        <v>1550</v>
      </c>
      <c r="C421" s="89" t="s">
        <v>1578</v>
      </c>
      <c r="D421" s="89" t="s">
        <v>326</v>
      </c>
      <c r="E421" s="89" t="s">
        <v>1631</v>
      </c>
      <c r="F421" s="87" t="s">
        <v>1556</v>
      </c>
      <c r="G421" s="92" t="s">
        <v>1557</v>
      </c>
      <c r="H421" s="93" t="s">
        <v>3060</v>
      </c>
      <c r="I421" s="87" t="s">
        <v>3061</v>
      </c>
      <c r="J421" s="87" t="s">
        <v>3062</v>
      </c>
      <c r="K421" s="87" t="s">
        <v>1575</v>
      </c>
      <c r="L421" s="126" t="s">
        <v>19</v>
      </c>
      <c r="M421" s="94">
        <v>44298.9375</v>
      </c>
      <c r="N421" s="94">
        <v>44299</v>
      </c>
      <c r="O421" s="95" t="str">
        <f>PROPER(TEXT(Table1[[#This Row],[Fecha Inicio]],"mmmm"))</f>
        <v>Abril</v>
      </c>
      <c r="P421" s="96" t="s">
        <v>3063</v>
      </c>
      <c r="Q421" s="97" t="s">
        <v>3064</v>
      </c>
      <c r="R421" s="76">
        <f t="shared" si="30"/>
        <v>1</v>
      </c>
      <c r="S421" s="76">
        <f t="shared" si="31"/>
        <v>1</v>
      </c>
      <c r="T421" s="76" t="str">
        <f t="shared" si="32"/>
        <v>-</v>
      </c>
      <c r="U421" s="76" t="str">
        <f t="shared" si="33"/>
        <v>-</v>
      </c>
      <c r="V421" s="76" t="str">
        <f t="shared" si="34"/>
        <v>-</v>
      </c>
      <c r="Z421" s="62"/>
    </row>
    <row r="422" spans="1:26" ht="40.15" customHeight="1" x14ac:dyDescent="0.25">
      <c r="A422" s="87">
        <v>14</v>
      </c>
      <c r="B422" s="89" t="s">
        <v>1550</v>
      </c>
      <c r="C422" s="89"/>
      <c r="D422" s="89" t="s">
        <v>1554</v>
      </c>
      <c r="E422" s="89" t="s">
        <v>1555</v>
      </c>
      <c r="F422" s="87" t="s">
        <v>1556</v>
      </c>
      <c r="G422" s="92" t="s">
        <v>1557</v>
      </c>
      <c r="H422" s="93" t="s">
        <v>3065</v>
      </c>
      <c r="I422" s="87" t="s">
        <v>3066</v>
      </c>
      <c r="J422" s="91" t="s">
        <v>1583</v>
      </c>
      <c r="K422" s="87" t="s">
        <v>1584</v>
      </c>
      <c r="L422" s="87" t="s">
        <v>52</v>
      </c>
      <c r="M422" s="94">
        <v>44299.375</v>
      </c>
      <c r="N422" s="94">
        <v>44299.625</v>
      </c>
      <c r="O422" s="95" t="str">
        <f>PROPER(TEXT(Table1[[#This Row],[Fecha Inicio]],"mmmm"))</f>
        <v>Abril</v>
      </c>
      <c r="P422" s="96" t="s">
        <v>3026</v>
      </c>
      <c r="Q422" s="97" t="s">
        <v>3067</v>
      </c>
      <c r="R422" s="76">
        <f t="shared" si="30"/>
        <v>5</v>
      </c>
      <c r="S422" s="76">
        <f t="shared" si="31"/>
        <v>5</v>
      </c>
      <c r="T422" s="76" t="str">
        <f t="shared" si="32"/>
        <v>-</v>
      </c>
      <c r="U422" s="76" t="str">
        <f t="shared" si="33"/>
        <v>-</v>
      </c>
      <c r="V422" s="76" t="str">
        <f t="shared" si="34"/>
        <v>-</v>
      </c>
      <c r="Z422" s="62"/>
    </row>
    <row r="423" spans="1:26" ht="40.15" customHeight="1" x14ac:dyDescent="0.25">
      <c r="A423" s="87">
        <v>14</v>
      </c>
      <c r="B423" s="89" t="s">
        <v>1550</v>
      </c>
      <c r="C423" s="89"/>
      <c r="D423" s="89" t="s">
        <v>1554</v>
      </c>
      <c r="E423" s="89" t="s">
        <v>1555</v>
      </c>
      <c r="F423" s="87" t="s">
        <v>1556</v>
      </c>
      <c r="G423" s="92" t="s">
        <v>1557</v>
      </c>
      <c r="H423" s="93" t="s">
        <v>3068</v>
      </c>
      <c r="I423" s="87" t="s">
        <v>3066</v>
      </c>
      <c r="J423" s="91" t="s">
        <v>1583</v>
      </c>
      <c r="K423" s="87" t="s">
        <v>1584</v>
      </c>
      <c r="L423" s="87" t="s">
        <v>52</v>
      </c>
      <c r="M423" s="94">
        <v>44299.375</v>
      </c>
      <c r="N423" s="94">
        <v>44299.625</v>
      </c>
      <c r="O423" s="95" t="str">
        <f>PROPER(TEXT(Table1[[#This Row],[Fecha Inicio]],"mmmm"))</f>
        <v>Abril</v>
      </c>
      <c r="P423" s="96" t="s">
        <v>2859</v>
      </c>
      <c r="Q423" s="97" t="s">
        <v>3069</v>
      </c>
      <c r="R423" s="76">
        <f t="shared" si="30"/>
        <v>1</v>
      </c>
      <c r="S423" s="76">
        <f t="shared" si="31"/>
        <v>1</v>
      </c>
      <c r="T423" s="76" t="str">
        <f t="shared" si="32"/>
        <v>-</v>
      </c>
      <c r="U423" s="76" t="str">
        <f t="shared" si="33"/>
        <v>-</v>
      </c>
      <c r="V423" s="76" t="str">
        <f t="shared" si="34"/>
        <v>-</v>
      </c>
      <c r="Z423" s="62"/>
    </row>
    <row r="424" spans="1:26" ht="40.15" customHeight="1" x14ac:dyDescent="0.25">
      <c r="A424" s="87">
        <v>14</v>
      </c>
      <c r="B424" s="89" t="s">
        <v>1550</v>
      </c>
      <c r="C424" s="89"/>
      <c r="D424" s="89" t="s">
        <v>1554</v>
      </c>
      <c r="E424" s="89" t="s">
        <v>1555</v>
      </c>
      <c r="F424" s="87" t="s">
        <v>1556</v>
      </c>
      <c r="G424" s="92" t="s">
        <v>1557</v>
      </c>
      <c r="H424" s="93" t="s">
        <v>3070</v>
      </c>
      <c r="I424" s="87" t="s">
        <v>3071</v>
      </c>
      <c r="J424" s="87" t="s">
        <v>3030</v>
      </c>
      <c r="K424" s="93" t="s">
        <v>1575</v>
      </c>
      <c r="L424" s="87" t="s">
        <v>52</v>
      </c>
      <c r="M424" s="94">
        <v>44299.375</v>
      </c>
      <c r="N424" s="94">
        <v>44299.625</v>
      </c>
      <c r="O424" s="95" t="str">
        <f>PROPER(TEXT(Table1[[#This Row],[Fecha Inicio]],"mmmm"))</f>
        <v>Abril</v>
      </c>
      <c r="P424" s="96" t="s">
        <v>3031</v>
      </c>
      <c r="Q424" s="97" t="s">
        <v>3072</v>
      </c>
      <c r="R424" s="76">
        <f t="shared" si="30"/>
        <v>2</v>
      </c>
      <c r="S424" s="76">
        <f t="shared" si="31"/>
        <v>2</v>
      </c>
      <c r="T424" s="76" t="str">
        <f t="shared" si="32"/>
        <v>-</v>
      </c>
      <c r="U424" s="76" t="str">
        <f t="shared" si="33"/>
        <v>-</v>
      </c>
      <c r="V424" s="76" t="str">
        <f t="shared" si="34"/>
        <v>-</v>
      </c>
      <c r="Z424" s="62"/>
    </row>
    <row r="425" spans="1:26" ht="40.15" customHeight="1" x14ac:dyDescent="0.25">
      <c r="A425" s="87">
        <v>14</v>
      </c>
      <c r="B425" s="89" t="s">
        <v>1550</v>
      </c>
      <c r="C425" s="89"/>
      <c r="D425" s="89" t="s">
        <v>344</v>
      </c>
      <c r="E425" s="89" t="s">
        <v>1616</v>
      </c>
      <c r="F425" s="91" t="s">
        <v>1556</v>
      </c>
      <c r="G425" s="92" t="s">
        <v>1557</v>
      </c>
      <c r="H425" s="93" t="s">
        <v>3073</v>
      </c>
      <c r="I425" s="87" t="s">
        <v>2635</v>
      </c>
      <c r="J425" s="91" t="s">
        <v>1920</v>
      </c>
      <c r="K425" s="91" t="s">
        <v>1921</v>
      </c>
      <c r="L425" s="126" t="s">
        <v>19</v>
      </c>
      <c r="M425" s="94">
        <v>44299.416666666664</v>
      </c>
      <c r="N425" s="94">
        <v>44299.583333333336</v>
      </c>
      <c r="O425" s="95" t="str">
        <f>PROPER(TEXT(Table1[[#This Row],[Fecha Inicio]],"mmmm"))</f>
        <v>Abril</v>
      </c>
      <c r="P425" s="87" t="s">
        <v>2636</v>
      </c>
      <c r="Q425" s="97" t="s">
        <v>3074</v>
      </c>
      <c r="R425" s="76">
        <f t="shared" si="30"/>
        <v>3</v>
      </c>
      <c r="S425" s="76">
        <f t="shared" si="31"/>
        <v>3</v>
      </c>
      <c r="T425" s="76" t="str">
        <f t="shared" si="32"/>
        <v>-</v>
      </c>
      <c r="U425" s="76" t="str">
        <f t="shared" si="33"/>
        <v>-</v>
      </c>
      <c r="V425" s="76" t="str">
        <f t="shared" si="34"/>
        <v>-</v>
      </c>
      <c r="Z425" s="62"/>
    </row>
    <row r="426" spans="1:26" ht="40.15" customHeight="1" x14ac:dyDescent="0.25">
      <c r="A426" s="87">
        <v>14</v>
      </c>
      <c r="B426" s="89" t="s">
        <v>1550</v>
      </c>
      <c r="C426" s="89" t="s">
        <v>2674</v>
      </c>
      <c r="D426" s="90" t="s">
        <v>326</v>
      </c>
      <c r="E426" s="90" t="s">
        <v>1631</v>
      </c>
      <c r="F426" s="91" t="s">
        <v>1556</v>
      </c>
      <c r="G426" s="92" t="s">
        <v>1557</v>
      </c>
      <c r="H426" s="93" t="s">
        <v>3075</v>
      </c>
      <c r="I426" s="87" t="s">
        <v>1633</v>
      </c>
      <c r="J426" s="87" t="s">
        <v>1634</v>
      </c>
      <c r="K426" s="87" t="s">
        <v>1635</v>
      </c>
      <c r="L426" s="126" t="s">
        <v>19</v>
      </c>
      <c r="M426" s="94">
        <v>44299.895833333336</v>
      </c>
      <c r="N426" s="94">
        <v>44299.979166666664</v>
      </c>
      <c r="O426" s="95" t="str">
        <f>PROPER(TEXT(Table1[[#This Row],[Fecha Inicio]],"mmmm"))</f>
        <v>Abril</v>
      </c>
      <c r="P426" s="96" t="s">
        <v>1636</v>
      </c>
      <c r="Q426" s="97" t="s">
        <v>3076</v>
      </c>
      <c r="R426" s="76">
        <f t="shared" si="30"/>
        <v>6</v>
      </c>
      <c r="S426" s="76">
        <f t="shared" si="31"/>
        <v>6</v>
      </c>
      <c r="T426" s="76" t="str">
        <f t="shared" si="32"/>
        <v>-</v>
      </c>
      <c r="U426" s="76" t="str">
        <f t="shared" si="33"/>
        <v>-</v>
      </c>
      <c r="V426" s="76" t="str">
        <f t="shared" si="34"/>
        <v>-</v>
      </c>
      <c r="Z426" s="62"/>
    </row>
    <row r="427" spans="1:26" ht="40.15" customHeight="1" x14ac:dyDescent="0.25">
      <c r="A427" s="87">
        <v>15</v>
      </c>
      <c r="B427" s="89" t="s">
        <v>1550</v>
      </c>
      <c r="C427" s="89" t="s">
        <v>1578</v>
      </c>
      <c r="D427" s="90" t="s">
        <v>1665</v>
      </c>
      <c r="E427" s="90" t="s">
        <v>2228</v>
      </c>
      <c r="F427" s="87" t="s">
        <v>1556</v>
      </c>
      <c r="G427" s="92" t="s">
        <v>1557</v>
      </c>
      <c r="H427" s="93" t="s">
        <v>3077</v>
      </c>
      <c r="I427" s="87" t="s">
        <v>3078</v>
      </c>
      <c r="J427" s="87" t="s">
        <v>1669</v>
      </c>
      <c r="K427" s="87" t="s">
        <v>1670</v>
      </c>
      <c r="L427" s="89" t="s">
        <v>41</v>
      </c>
      <c r="M427" s="94">
        <v>44299.999305555553</v>
      </c>
      <c r="N427" s="94">
        <v>44300.083333333336</v>
      </c>
      <c r="O427" s="95" t="str">
        <f>PROPER(TEXT(Table1[[#This Row],[Fecha Inicio]],"mmmm"))</f>
        <v>Abril</v>
      </c>
      <c r="P427" s="96" t="s">
        <v>2346</v>
      </c>
      <c r="Q427" s="97" t="s">
        <v>3079</v>
      </c>
      <c r="R427" s="76">
        <f t="shared" si="30"/>
        <v>1</v>
      </c>
      <c r="S427" s="76">
        <f t="shared" si="31"/>
        <v>1</v>
      </c>
      <c r="T427" s="76" t="str">
        <f t="shared" si="32"/>
        <v>-</v>
      </c>
      <c r="U427" s="76" t="str">
        <f t="shared" si="33"/>
        <v>-</v>
      </c>
      <c r="V427" s="76" t="str">
        <f t="shared" si="34"/>
        <v>-</v>
      </c>
      <c r="Z427" s="62"/>
    </row>
    <row r="428" spans="1:26" ht="40.15" customHeight="1" x14ac:dyDescent="0.25">
      <c r="A428" s="87">
        <v>13</v>
      </c>
      <c r="B428" s="89" t="s">
        <v>1550</v>
      </c>
      <c r="C428" s="89"/>
      <c r="D428" s="89" t="s">
        <v>1570</v>
      </c>
      <c r="E428" s="89" t="s">
        <v>1571</v>
      </c>
      <c r="F428" s="91" t="s">
        <v>1556</v>
      </c>
      <c r="G428" s="92" t="s">
        <v>1557</v>
      </c>
      <c r="H428" s="93" t="s">
        <v>3080</v>
      </c>
      <c r="I428" s="87" t="s">
        <v>3081</v>
      </c>
      <c r="J428" s="91" t="s">
        <v>1640</v>
      </c>
      <c r="K428" s="91" t="s">
        <v>1641</v>
      </c>
      <c r="L428" s="126" t="s">
        <v>19</v>
      </c>
      <c r="M428" s="94">
        <v>44300</v>
      </c>
      <c r="N428" s="94">
        <v>44300.083333333336</v>
      </c>
      <c r="O428" s="95" t="str">
        <f>PROPER(TEXT(Table1[[#This Row],[Fecha Inicio]],"mmmm"))</f>
        <v>Abril</v>
      </c>
      <c r="P428" s="96" t="s">
        <v>1642</v>
      </c>
      <c r="Q428" s="97" t="s">
        <v>3082</v>
      </c>
      <c r="R428" s="76">
        <f t="shared" si="30"/>
        <v>8</v>
      </c>
      <c r="S428" s="76">
        <f t="shared" si="31"/>
        <v>8</v>
      </c>
      <c r="T428" s="76" t="str">
        <f t="shared" si="32"/>
        <v>-</v>
      </c>
      <c r="U428" s="76" t="str">
        <f t="shared" si="33"/>
        <v>-</v>
      </c>
      <c r="V428" s="76" t="str">
        <f t="shared" si="34"/>
        <v>-</v>
      </c>
      <c r="Z428" s="62"/>
    </row>
    <row r="429" spans="1:26" ht="40.15" customHeight="1" x14ac:dyDescent="0.25">
      <c r="A429" s="87">
        <v>15</v>
      </c>
      <c r="B429" s="89" t="s">
        <v>1550</v>
      </c>
      <c r="C429" s="89" t="s">
        <v>1578</v>
      </c>
      <c r="D429" s="90" t="s">
        <v>1579</v>
      </c>
      <c r="E429" s="90" t="s">
        <v>1580</v>
      </c>
      <c r="F429" s="91" t="s">
        <v>1556</v>
      </c>
      <c r="G429" s="92" t="s">
        <v>1557</v>
      </c>
      <c r="H429" s="93" t="s">
        <v>3083</v>
      </c>
      <c r="I429" s="87" t="s">
        <v>3084</v>
      </c>
      <c r="J429" s="87" t="s">
        <v>1560</v>
      </c>
      <c r="K429" s="87" t="s">
        <v>1561</v>
      </c>
      <c r="L429" s="126" t="s">
        <v>19</v>
      </c>
      <c r="M429" s="94">
        <v>44300.375</v>
      </c>
      <c r="N429" s="94">
        <v>44300.708333333336</v>
      </c>
      <c r="O429" s="95" t="str">
        <f>PROPER(TEXT(Table1[[#This Row],[Fecha Inicio]],"mmmm"))</f>
        <v>Abril</v>
      </c>
      <c r="P429" s="96" t="s">
        <v>3085</v>
      </c>
      <c r="Q429" s="97" t="s">
        <v>3086</v>
      </c>
      <c r="R429" s="76">
        <f t="shared" si="30"/>
        <v>1</v>
      </c>
      <c r="S429" s="76">
        <f t="shared" si="31"/>
        <v>1</v>
      </c>
      <c r="T429" s="76" t="str">
        <f t="shared" si="32"/>
        <v>-</v>
      </c>
      <c r="U429" s="76" t="str">
        <f t="shared" si="33"/>
        <v>-</v>
      </c>
      <c r="V429" s="76" t="str">
        <f t="shared" si="34"/>
        <v>-</v>
      </c>
      <c r="Z429" s="62"/>
    </row>
    <row r="430" spans="1:26" ht="40.15" customHeight="1" x14ac:dyDescent="0.25">
      <c r="A430" s="87">
        <v>14</v>
      </c>
      <c r="B430" s="89" t="s">
        <v>1550</v>
      </c>
      <c r="C430" s="89"/>
      <c r="D430" s="89" t="s">
        <v>344</v>
      </c>
      <c r="E430" s="89" t="s">
        <v>1616</v>
      </c>
      <c r="F430" s="87" t="s">
        <v>1556</v>
      </c>
      <c r="G430" s="92" t="s">
        <v>1557</v>
      </c>
      <c r="H430" s="93" t="s">
        <v>3087</v>
      </c>
      <c r="I430" s="87" t="s">
        <v>1765</v>
      </c>
      <c r="J430" s="87" t="s">
        <v>1766</v>
      </c>
      <c r="K430" s="93" t="s">
        <v>1575</v>
      </c>
      <c r="L430" s="126" t="s">
        <v>19</v>
      </c>
      <c r="M430" s="94">
        <v>44300.958333333336</v>
      </c>
      <c r="N430" s="94">
        <v>44301.125</v>
      </c>
      <c r="O430" s="95" t="str">
        <f>PROPER(TEXT(Table1[[#This Row],[Fecha Inicio]],"mmmm"))</f>
        <v>Abril</v>
      </c>
      <c r="P430" s="96" t="s">
        <v>2658</v>
      </c>
      <c r="Q430" s="97" t="s">
        <v>3088</v>
      </c>
      <c r="R430" s="76">
        <f t="shared" si="30"/>
        <v>3</v>
      </c>
      <c r="S430" s="76">
        <f t="shared" si="31"/>
        <v>3</v>
      </c>
      <c r="T430" s="76" t="str">
        <f t="shared" si="32"/>
        <v>-</v>
      </c>
      <c r="U430" s="76" t="str">
        <f t="shared" si="33"/>
        <v>-</v>
      </c>
      <c r="V430" s="76" t="str">
        <f t="shared" si="34"/>
        <v>-</v>
      </c>
      <c r="Z430" s="62"/>
    </row>
    <row r="431" spans="1:26" ht="40.15" customHeight="1" x14ac:dyDescent="0.25">
      <c r="A431" s="87">
        <v>15</v>
      </c>
      <c r="B431" s="89" t="s">
        <v>1550</v>
      </c>
      <c r="C431" s="89"/>
      <c r="D431" s="89" t="s">
        <v>326</v>
      </c>
      <c r="E431" s="89" t="s">
        <v>1742</v>
      </c>
      <c r="F431" s="87" t="s">
        <v>1556</v>
      </c>
      <c r="G431" s="92" t="s">
        <v>1557</v>
      </c>
      <c r="H431" s="93" t="s">
        <v>3089</v>
      </c>
      <c r="I431" s="87" t="s">
        <v>3090</v>
      </c>
      <c r="J431" s="87" t="s">
        <v>1902</v>
      </c>
      <c r="K431" s="87" t="s">
        <v>1575</v>
      </c>
      <c r="L431" s="87" t="s">
        <v>52</v>
      </c>
      <c r="M431" s="94">
        <v>44301.375</v>
      </c>
      <c r="N431" s="94">
        <v>44301.625</v>
      </c>
      <c r="O431" s="95" t="str">
        <f>PROPER(TEXT(Table1[[#This Row],[Fecha Inicio]],"mmmm"))</f>
        <v>Abril</v>
      </c>
      <c r="P431" s="96" t="s">
        <v>3035</v>
      </c>
      <c r="Q431" s="97" t="s">
        <v>3091</v>
      </c>
      <c r="R431" s="76">
        <f t="shared" si="30"/>
        <v>2</v>
      </c>
      <c r="S431" s="76">
        <f t="shared" si="31"/>
        <v>2</v>
      </c>
      <c r="T431" s="76" t="str">
        <f t="shared" si="32"/>
        <v>-</v>
      </c>
      <c r="U431" s="76" t="str">
        <f t="shared" si="33"/>
        <v>-</v>
      </c>
      <c r="V431" s="76" t="str">
        <f t="shared" si="34"/>
        <v>-</v>
      </c>
      <c r="Z431" s="62"/>
    </row>
    <row r="432" spans="1:26" ht="40.15" customHeight="1" x14ac:dyDescent="0.25">
      <c r="A432" s="87">
        <v>15</v>
      </c>
      <c r="B432" s="89" t="s">
        <v>1550</v>
      </c>
      <c r="C432" s="89" t="s">
        <v>1578</v>
      </c>
      <c r="D432" s="89" t="s">
        <v>1623</v>
      </c>
      <c r="E432" s="89" t="s">
        <v>1624</v>
      </c>
      <c r="F432" s="87" t="s">
        <v>1556</v>
      </c>
      <c r="G432" s="92" t="s">
        <v>1557</v>
      </c>
      <c r="H432" s="93" t="s">
        <v>3092</v>
      </c>
      <c r="I432" s="87" t="s">
        <v>3093</v>
      </c>
      <c r="J432" s="87" t="s">
        <v>3053</v>
      </c>
      <c r="K432" s="87" t="s">
        <v>1575</v>
      </c>
      <c r="L432" s="126" t="s">
        <v>19</v>
      </c>
      <c r="M432" s="94">
        <v>44301.458333333336</v>
      </c>
      <c r="N432" s="94">
        <v>44301.583333333336</v>
      </c>
      <c r="O432" s="95" t="str">
        <f>PROPER(TEXT(Table1[[#This Row],[Fecha Inicio]],"mmmm"))</f>
        <v>Abril</v>
      </c>
      <c r="P432" s="96" t="s">
        <v>3094</v>
      </c>
      <c r="Q432" s="97" t="s">
        <v>3095</v>
      </c>
      <c r="R432" s="76">
        <f t="shared" si="30"/>
        <v>1</v>
      </c>
      <c r="S432" s="76">
        <f t="shared" si="31"/>
        <v>1</v>
      </c>
      <c r="T432" s="76" t="str">
        <f t="shared" si="32"/>
        <v>-</v>
      </c>
      <c r="U432" s="76" t="str">
        <f t="shared" si="33"/>
        <v>-</v>
      </c>
      <c r="V432" s="76" t="str">
        <f t="shared" si="34"/>
        <v>-</v>
      </c>
      <c r="Z432" s="62"/>
    </row>
    <row r="433" spans="1:26" ht="40.15" customHeight="1" x14ac:dyDescent="0.25">
      <c r="A433" s="87">
        <v>15</v>
      </c>
      <c r="B433" s="89" t="s">
        <v>1550</v>
      </c>
      <c r="C433" s="89" t="s">
        <v>1578</v>
      </c>
      <c r="D433" s="90" t="s">
        <v>1623</v>
      </c>
      <c r="E433" s="90" t="s">
        <v>1624</v>
      </c>
      <c r="F433" s="91" t="s">
        <v>1556</v>
      </c>
      <c r="G433" s="92" t="s">
        <v>1557</v>
      </c>
      <c r="H433" s="93" t="s">
        <v>3096</v>
      </c>
      <c r="I433" s="87" t="s">
        <v>1685</v>
      </c>
      <c r="J433" s="87" t="s">
        <v>1627</v>
      </c>
      <c r="K433" s="87" t="s">
        <v>1575</v>
      </c>
      <c r="L433" s="126" t="s">
        <v>19</v>
      </c>
      <c r="M433" s="94">
        <v>44301.5</v>
      </c>
      <c r="N433" s="94">
        <v>44301.625</v>
      </c>
      <c r="O433" s="95" t="str">
        <f>PROPER(TEXT(Table1[[#This Row],[Fecha Inicio]],"mmmm"))</f>
        <v>Abril</v>
      </c>
      <c r="P433" s="96" t="s">
        <v>2764</v>
      </c>
      <c r="Q433" s="97" t="s">
        <v>3097</v>
      </c>
      <c r="R433" s="76">
        <f t="shared" si="30"/>
        <v>2</v>
      </c>
      <c r="S433" s="76">
        <f t="shared" si="31"/>
        <v>2</v>
      </c>
      <c r="T433" s="76" t="str">
        <f t="shared" si="32"/>
        <v>-</v>
      </c>
      <c r="U433" s="76" t="str">
        <f t="shared" si="33"/>
        <v>-</v>
      </c>
      <c r="V433" s="76" t="str">
        <f t="shared" si="34"/>
        <v>-</v>
      </c>
      <c r="Z433" s="62"/>
    </row>
    <row r="434" spans="1:26" ht="40.15" customHeight="1" x14ac:dyDescent="0.25">
      <c r="A434" s="87">
        <v>14</v>
      </c>
      <c r="B434" s="89" t="s">
        <v>1550</v>
      </c>
      <c r="C434" s="89" t="s">
        <v>2674</v>
      </c>
      <c r="D434" s="90" t="s">
        <v>326</v>
      </c>
      <c r="E434" s="90" t="s">
        <v>1631</v>
      </c>
      <c r="F434" s="91" t="s">
        <v>1556</v>
      </c>
      <c r="G434" s="92" t="s">
        <v>1557</v>
      </c>
      <c r="H434" s="93" t="s">
        <v>3098</v>
      </c>
      <c r="I434" s="87" t="s">
        <v>1689</v>
      </c>
      <c r="J434" s="87" t="s">
        <v>1634</v>
      </c>
      <c r="K434" s="87" t="s">
        <v>1635</v>
      </c>
      <c r="L434" s="126" t="s">
        <v>19</v>
      </c>
      <c r="M434" s="94">
        <v>44301.916666666664</v>
      </c>
      <c r="N434" s="94">
        <v>44302.083333333336</v>
      </c>
      <c r="O434" s="95" t="str">
        <f>PROPER(TEXT(Table1[[#This Row],[Fecha Inicio]],"mmmm"))</f>
        <v>Abril</v>
      </c>
      <c r="P434" s="96" t="s">
        <v>2664</v>
      </c>
      <c r="Q434" s="97" t="s">
        <v>3099</v>
      </c>
      <c r="R434" s="76">
        <f t="shared" si="30"/>
        <v>22</v>
      </c>
      <c r="S434" s="76">
        <f t="shared" si="31"/>
        <v>22</v>
      </c>
      <c r="T434" s="76" t="str">
        <f t="shared" si="32"/>
        <v>-</v>
      </c>
      <c r="U434" s="76" t="str">
        <f t="shared" si="33"/>
        <v>-</v>
      </c>
      <c r="V434" s="76" t="str">
        <f t="shared" si="34"/>
        <v>-</v>
      </c>
      <c r="Z434" s="62"/>
    </row>
    <row r="435" spans="1:26" ht="40.15" customHeight="1" x14ac:dyDescent="0.25">
      <c r="A435" s="87">
        <v>15</v>
      </c>
      <c r="B435" s="89" t="s">
        <v>1550</v>
      </c>
      <c r="C435" s="89" t="s">
        <v>1578</v>
      </c>
      <c r="D435" s="90" t="s">
        <v>326</v>
      </c>
      <c r="E435" s="90" t="s">
        <v>1631</v>
      </c>
      <c r="F435" s="91" t="s">
        <v>1556</v>
      </c>
      <c r="G435" s="92" t="s">
        <v>1557</v>
      </c>
      <c r="H435" s="93" t="s">
        <v>3100</v>
      </c>
      <c r="I435" s="87" t="s">
        <v>3101</v>
      </c>
      <c r="J435" s="87" t="s">
        <v>2072</v>
      </c>
      <c r="K435" s="87" t="s">
        <v>1575</v>
      </c>
      <c r="L435" s="91" t="s">
        <v>52</v>
      </c>
      <c r="M435" s="94">
        <v>44301.958333333336</v>
      </c>
      <c r="N435" s="94">
        <v>44302.041666666664</v>
      </c>
      <c r="O435" s="95" t="str">
        <f>PROPER(TEXT(Table1[[#This Row],[Fecha Inicio]],"mmmm"))</f>
        <v>Abril</v>
      </c>
      <c r="P435" s="96" t="s">
        <v>3102</v>
      </c>
      <c r="Q435" s="97" t="s">
        <v>3103</v>
      </c>
      <c r="R435" s="76">
        <f t="shared" si="30"/>
        <v>3</v>
      </c>
      <c r="S435" s="76">
        <f t="shared" si="31"/>
        <v>3</v>
      </c>
      <c r="T435" s="76" t="str">
        <f t="shared" si="32"/>
        <v>-</v>
      </c>
      <c r="U435" s="76" t="str">
        <f t="shared" si="33"/>
        <v>-</v>
      </c>
      <c r="V435" s="76" t="str">
        <f t="shared" si="34"/>
        <v>-</v>
      </c>
      <c r="Z435" s="62"/>
    </row>
    <row r="436" spans="1:26" ht="40.15" customHeight="1" x14ac:dyDescent="0.25">
      <c r="A436" s="87">
        <v>14</v>
      </c>
      <c r="B436" s="89" t="s">
        <v>1552</v>
      </c>
      <c r="C436" s="89" t="s">
        <v>3104</v>
      </c>
      <c r="D436" s="89" t="s">
        <v>344</v>
      </c>
      <c r="E436" s="89" t="s">
        <v>1616</v>
      </c>
      <c r="F436" s="87" t="s">
        <v>1556</v>
      </c>
      <c r="G436" s="92" t="s">
        <v>1965</v>
      </c>
      <c r="H436" s="93" t="s">
        <v>3105</v>
      </c>
      <c r="I436" s="87" t="s">
        <v>1806</v>
      </c>
      <c r="J436" s="87" t="s">
        <v>1766</v>
      </c>
      <c r="K436" s="93" t="s">
        <v>1575</v>
      </c>
      <c r="L436" s="126" t="s">
        <v>19</v>
      </c>
      <c r="M436" s="94">
        <v>44301.958333333336</v>
      </c>
      <c r="N436" s="94">
        <v>44302.125</v>
      </c>
      <c r="O436" s="95" t="str">
        <f>PROPER(TEXT(Table1[[#This Row],[Fecha Inicio]],"mmmm"))</f>
        <v>Abril</v>
      </c>
      <c r="P436" s="96" t="s">
        <v>2672</v>
      </c>
      <c r="Q436" s="97" t="s">
        <v>3106</v>
      </c>
      <c r="R436" s="76">
        <f t="shared" si="30"/>
        <v>3</v>
      </c>
      <c r="S436" s="76" t="str">
        <f t="shared" si="31"/>
        <v>-</v>
      </c>
      <c r="T436" s="76" t="str">
        <f t="shared" si="32"/>
        <v>-</v>
      </c>
      <c r="U436" s="76">
        <f t="shared" si="33"/>
        <v>3</v>
      </c>
      <c r="V436" s="76" t="str">
        <f t="shared" si="34"/>
        <v>-</v>
      </c>
      <c r="Z436" s="62"/>
    </row>
    <row r="437" spans="1:26" ht="40.15" customHeight="1" x14ac:dyDescent="0.25">
      <c r="A437" s="87">
        <v>15</v>
      </c>
      <c r="B437" s="89" t="s">
        <v>1550</v>
      </c>
      <c r="C437" s="89"/>
      <c r="D437" s="90" t="s">
        <v>326</v>
      </c>
      <c r="E437" s="90" t="s">
        <v>1742</v>
      </c>
      <c r="F437" s="91" t="s">
        <v>1556</v>
      </c>
      <c r="G437" s="92" t="s">
        <v>1557</v>
      </c>
      <c r="H437" s="93" t="s">
        <v>3107</v>
      </c>
      <c r="I437" s="87" t="s">
        <v>3108</v>
      </c>
      <c r="J437" s="87" t="s">
        <v>1566</v>
      </c>
      <c r="K437" s="87" t="s">
        <v>1567</v>
      </c>
      <c r="L437" s="91" t="s">
        <v>52</v>
      </c>
      <c r="M437" s="94">
        <v>44302.375</v>
      </c>
      <c r="N437" s="94">
        <v>44302.625</v>
      </c>
      <c r="O437" s="95" t="str">
        <f>PROPER(TEXT(Table1[[#This Row],[Fecha Inicio]],"mmmm"))</f>
        <v>Abril</v>
      </c>
      <c r="P437" s="96" t="s">
        <v>3109</v>
      </c>
      <c r="Q437" s="97" t="s">
        <v>3110</v>
      </c>
      <c r="R437" s="76">
        <f t="shared" si="30"/>
        <v>2</v>
      </c>
      <c r="S437" s="76">
        <f t="shared" si="31"/>
        <v>2</v>
      </c>
      <c r="T437" s="76" t="str">
        <f t="shared" si="32"/>
        <v>-</v>
      </c>
      <c r="U437" s="76" t="str">
        <f t="shared" si="33"/>
        <v>-</v>
      </c>
      <c r="V437" s="76" t="str">
        <f t="shared" si="34"/>
        <v>-</v>
      </c>
      <c r="Z437" s="62"/>
    </row>
    <row r="438" spans="1:26" ht="40.15" customHeight="1" x14ac:dyDescent="0.25">
      <c r="A438" s="87">
        <v>14</v>
      </c>
      <c r="B438" s="89" t="s">
        <v>1550</v>
      </c>
      <c r="C438" s="89" t="s">
        <v>3111</v>
      </c>
      <c r="D438" s="90" t="s">
        <v>326</v>
      </c>
      <c r="E438" s="90" t="s">
        <v>1631</v>
      </c>
      <c r="F438" s="91" t="s">
        <v>1556</v>
      </c>
      <c r="G438" s="92" t="s">
        <v>1557</v>
      </c>
      <c r="H438" s="93" t="s">
        <v>3112</v>
      </c>
      <c r="I438" s="87" t="s">
        <v>1718</v>
      </c>
      <c r="J438" s="87" t="s">
        <v>1719</v>
      </c>
      <c r="K438" s="91" t="s">
        <v>1575</v>
      </c>
      <c r="L438" s="126" t="s">
        <v>19</v>
      </c>
      <c r="M438" s="94">
        <v>44304</v>
      </c>
      <c r="N438" s="94">
        <v>44304.25</v>
      </c>
      <c r="O438" s="95" t="str">
        <f>PROPER(TEXT(Table1[[#This Row],[Fecha Inicio]],"mmmm"))</f>
        <v>Abril</v>
      </c>
      <c r="P438" s="96" t="s">
        <v>1720</v>
      </c>
      <c r="Q438" s="97" t="s">
        <v>3113</v>
      </c>
      <c r="R438" s="76">
        <f t="shared" si="30"/>
        <v>15</v>
      </c>
      <c r="S438" s="76">
        <f t="shared" si="31"/>
        <v>15</v>
      </c>
      <c r="T438" s="76" t="str">
        <f t="shared" si="32"/>
        <v>-</v>
      </c>
      <c r="U438" s="76" t="str">
        <f t="shared" si="33"/>
        <v>-</v>
      </c>
      <c r="V438" s="76" t="str">
        <f t="shared" si="34"/>
        <v>-</v>
      </c>
      <c r="Z438" s="62"/>
    </row>
    <row r="439" spans="1:26" ht="40.15" customHeight="1" x14ac:dyDescent="0.25">
      <c r="A439" s="87">
        <v>15</v>
      </c>
      <c r="B439" s="89" t="s">
        <v>1552</v>
      </c>
      <c r="C439" s="89" t="s">
        <v>3114</v>
      </c>
      <c r="D439" s="90" t="s">
        <v>326</v>
      </c>
      <c r="E439" s="90" t="s">
        <v>1631</v>
      </c>
      <c r="F439" s="91" t="s">
        <v>1556</v>
      </c>
      <c r="G439" s="92" t="s">
        <v>1965</v>
      </c>
      <c r="H439" s="93" t="s">
        <v>3115</v>
      </c>
      <c r="I439" s="87" t="s">
        <v>2276</v>
      </c>
      <c r="J439" s="87" t="s">
        <v>1734</v>
      </c>
      <c r="K439" s="87" t="s">
        <v>1921</v>
      </c>
      <c r="L439" s="126" t="s">
        <v>19</v>
      </c>
      <c r="M439" s="94">
        <v>44305.291666666664</v>
      </c>
      <c r="N439" s="94">
        <v>44305.333333333336</v>
      </c>
      <c r="O439" s="95" t="str">
        <f>PROPER(TEXT(Table1[[#This Row],[Fecha Inicio]],"mmmm"))</f>
        <v>Abril</v>
      </c>
      <c r="P439" s="96" t="s">
        <v>277</v>
      </c>
      <c r="Q439" s="97" t="s">
        <v>3116</v>
      </c>
      <c r="R439" s="76">
        <f t="shared" si="30"/>
        <v>1</v>
      </c>
      <c r="S439" s="76" t="str">
        <f t="shared" si="31"/>
        <v>-</v>
      </c>
      <c r="T439" s="76" t="str">
        <f t="shared" si="32"/>
        <v>-</v>
      </c>
      <c r="U439" s="76">
        <f t="shared" si="33"/>
        <v>1</v>
      </c>
      <c r="V439" s="76" t="str">
        <f t="shared" si="34"/>
        <v>-</v>
      </c>
      <c r="Z439" s="62"/>
    </row>
    <row r="440" spans="1:26" ht="40.15" customHeight="1" x14ac:dyDescent="0.25">
      <c r="A440" s="87">
        <v>15</v>
      </c>
      <c r="B440" s="89" t="s">
        <v>1550</v>
      </c>
      <c r="C440" s="89"/>
      <c r="D440" s="90" t="s">
        <v>1623</v>
      </c>
      <c r="E440" s="90" t="s">
        <v>1624</v>
      </c>
      <c r="F440" s="87" t="s">
        <v>1556</v>
      </c>
      <c r="G440" s="92" t="s">
        <v>1557</v>
      </c>
      <c r="H440" s="93" t="s">
        <v>3117</v>
      </c>
      <c r="I440" s="87" t="s">
        <v>1930</v>
      </c>
      <c r="J440" s="87" t="s">
        <v>1931</v>
      </c>
      <c r="K440" s="87" t="s">
        <v>1921</v>
      </c>
      <c r="L440" s="126" t="s">
        <v>19</v>
      </c>
      <c r="M440" s="94">
        <v>44305.3125</v>
      </c>
      <c r="N440" s="94">
        <v>44305.4375</v>
      </c>
      <c r="O440" s="95" t="str">
        <f>PROPER(TEXT(Table1[[#This Row],[Fecha Inicio]],"mmmm"))</f>
        <v>Abril</v>
      </c>
      <c r="P440" s="96" t="s">
        <v>1932</v>
      </c>
      <c r="Q440" s="97" t="s">
        <v>3118</v>
      </c>
      <c r="R440" s="76">
        <f t="shared" si="30"/>
        <v>1</v>
      </c>
      <c r="S440" s="76">
        <f t="shared" si="31"/>
        <v>1</v>
      </c>
      <c r="T440" s="76" t="str">
        <f t="shared" si="32"/>
        <v>-</v>
      </c>
      <c r="U440" s="76" t="str">
        <f t="shared" si="33"/>
        <v>-</v>
      </c>
      <c r="V440" s="76" t="str">
        <f t="shared" si="34"/>
        <v>-</v>
      </c>
      <c r="Z440" s="62"/>
    </row>
    <row r="441" spans="1:26" ht="40.15" customHeight="1" x14ac:dyDescent="0.25">
      <c r="A441" s="87">
        <v>15</v>
      </c>
      <c r="B441" s="89" t="s">
        <v>1550</v>
      </c>
      <c r="C441" s="89"/>
      <c r="D441" s="90" t="s">
        <v>1554</v>
      </c>
      <c r="E441" s="90" t="s">
        <v>1555</v>
      </c>
      <c r="F441" s="91" t="s">
        <v>1556</v>
      </c>
      <c r="G441" s="92" t="s">
        <v>1557</v>
      </c>
      <c r="H441" s="93" t="s">
        <v>3119</v>
      </c>
      <c r="I441" s="87" t="s">
        <v>3120</v>
      </c>
      <c r="J441" s="87" t="s">
        <v>2239</v>
      </c>
      <c r="K441" s="87" t="s">
        <v>1575</v>
      </c>
      <c r="L441" s="89" t="s">
        <v>52</v>
      </c>
      <c r="M441" s="94">
        <v>44305.375</v>
      </c>
      <c r="N441" s="94">
        <v>44305.625</v>
      </c>
      <c r="O441" s="95" t="str">
        <f>PROPER(TEXT(Table1[[#This Row],[Fecha Inicio]],"mmmm"))</f>
        <v>Abril</v>
      </c>
      <c r="P441" s="96" t="s">
        <v>3121</v>
      </c>
      <c r="Q441" s="97" t="s">
        <v>3122</v>
      </c>
      <c r="R441" s="76">
        <f t="shared" si="30"/>
        <v>10</v>
      </c>
      <c r="S441" s="76">
        <f t="shared" si="31"/>
        <v>10</v>
      </c>
      <c r="T441" s="76" t="str">
        <f t="shared" si="32"/>
        <v>-</v>
      </c>
      <c r="U441" s="76" t="str">
        <f t="shared" si="33"/>
        <v>-</v>
      </c>
      <c r="V441" s="76" t="str">
        <f t="shared" si="34"/>
        <v>-</v>
      </c>
      <c r="Z441" s="62"/>
    </row>
    <row r="442" spans="1:26" ht="40.15" customHeight="1" x14ac:dyDescent="0.25">
      <c r="A442" s="87">
        <v>15</v>
      </c>
      <c r="B442" s="89" t="s">
        <v>1550</v>
      </c>
      <c r="C442" s="89"/>
      <c r="D442" s="90" t="s">
        <v>1554</v>
      </c>
      <c r="E442" s="90" t="s">
        <v>1555</v>
      </c>
      <c r="F442" s="91" t="s">
        <v>1556</v>
      </c>
      <c r="G442" s="92" t="s">
        <v>1557</v>
      </c>
      <c r="H442" s="93" t="s">
        <v>3123</v>
      </c>
      <c r="I442" s="87" t="s">
        <v>3120</v>
      </c>
      <c r="J442" s="87" t="s">
        <v>2239</v>
      </c>
      <c r="K442" s="87" t="s">
        <v>1575</v>
      </c>
      <c r="L442" s="89" t="s">
        <v>52</v>
      </c>
      <c r="M442" s="94">
        <v>44305.375</v>
      </c>
      <c r="N442" s="94">
        <v>44305.625</v>
      </c>
      <c r="O442" s="95" t="str">
        <f>PROPER(TEXT(Table1[[#This Row],[Fecha Inicio]],"mmmm"))</f>
        <v>Abril</v>
      </c>
      <c r="P442" s="96" t="s">
        <v>3124</v>
      </c>
      <c r="Q442" s="97" t="s">
        <v>3125</v>
      </c>
      <c r="R442" s="76">
        <f t="shared" si="30"/>
        <v>15</v>
      </c>
      <c r="S442" s="76">
        <f t="shared" si="31"/>
        <v>15</v>
      </c>
      <c r="T442" s="76" t="str">
        <f t="shared" si="32"/>
        <v>-</v>
      </c>
      <c r="U442" s="76" t="str">
        <f t="shared" si="33"/>
        <v>-</v>
      </c>
      <c r="V442" s="76" t="str">
        <f t="shared" si="34"/>
        <v>-</v>
      </c>
      <c r="Z442" s="62"/>
    </row>
    <row r="443" spans="1:26" ht="40.15" customHeight="1" x14ac:dyDescent="0.25">
      <c r="A443" s="87">
        <v>15</v>
      </c>
      <c r="B443" s="89" t="s">
        <v>1550</v>
      </c>
      <c r="C443" s="89" t="s">
        <v>3111</v>
      </c>
      <c r="D443" s="90" t="s">
        <v>326</v>
      </c>
      <c r="E443" s="90" t="s">
        <v>1631</v>
      </c>
      <c r="F443" s="91" t="s">
        <v>1556</v>
      </c>
      <c r="G443" s="92" t="s">
        <v>1557</v>
      </c>
      <c r="H443" s="93" t="s">
        <v>3126</v>
      </c>
      <c r="I443" s="87" t="s">
        <v>1750</v>
      </c>
      <c r="J443" s="87" t="s">
        <v>1560</v>
      </c>
      <c r="K443" s="87" t="s">
        <v>1561</v>
      </c>
      <c r="L443" s="126" t="s">
        <v>19</v>
      </c>
      <c r="M443" s="94">
        <v>44305.791666666664</v>
      </c>
      <c r="N443" s="94">
        <v>44306.083333333336</v>
      </c>
      <c r="O443" s="95" t="str">
        <f>PROPER(TEXT(Table1[[#This Row],[Fecha Inicio]],"mmmm"))</f>
        <v>Abril</v>
      </c>
      <c r="P443" s="96" t="s">
        <v>1751</v>
      </c>
      <c r="Q443" s="97" t="s">
        <v>3127</v>
      </c>
      <c r="R443" s="76">
        <f t="shared" si="30"/>
        <v>4</v>
      </c>
      <c r="S443" s="76">
        <f t="shared" si="31"/>
        <v>4</v>
      </c>
      <c r="T443" s="76" t="str">
        <f t="shared" si="32"/>
        <v>-</v>
      </c>
      <c r="U443" s="76" t="str">
        <f t="shared" si="33"/>
        <v>-</v>
      </c>
      <c r="V443" s="76" t="str">
        <f t="shared" si="34"/>
        <v>-</v>
      </c>
      <c r="Z443" s="62"/>
    </row>
    <row r="444" spans="1:26" ht="40.15" customHeight="1" x14ac:dyDescent="0.25">
      <c r="A444" s="87">
        <v>15</v>
      </c>
      <c r="B444" s="89" t="s">
        <v>1550</v>
      </c>
      <c r="C444" s="89" t="s">
        <v>3111</v>
      </c>
      <c r="D444" s="90" t="s">
        <v>326</v>
      </c>
      <c r="E444" s="90" t="s">
        <v>1631</v>
      </c>
      <c r="F444" s="91" t="s">
        <v>1556</v>
      </c>
      <c r="G444" s="92" t="s">
        <v>1557</v>
      </c>
      <c r="H444" s="93" t="s">
        <v>3128</v>
      </c>
      <c r="I444" s="87" t="s">
        <v>1759</v>
      </c>
      <c r="J444" s="87" t="s">
        <v>1760</v>
      </c>
      <c r="K444" s="87" t="s">
        <v>1761</v>
      </c>
      <c r="L444" s="126" t="s">
        <v>19</v>
      </c>
      <c r="M444" s="94">
        <v>44305.916666666664</v>
      </c>
      <c r="N444" s="94">
        <v>44306.041666666664</v>
      </c>
      <c r="O444" s="95" t="str">
        <f>PROPER(TEXT(Table1[[#This Row],[Fecha Inicio]],"mmmm"))</f>
        <v>Abril</v>
      </c>
      <c r="P444" s="96" t="s">
        <v>1762</v>
      </c>
      <c r="Q444" s="97" t="s">
        <v>3129</v>
      </c>
      <c r="R444" s="76">
        <f t="shared" si="30"/>
        <v>9</v>
      </c>
      <c r="S444" s="76">
        <f t="shared" si="31"/>
        <v>9</v>
      </c>
      <c r="T444" s="76" t="str">
        <f t="shared" si="32"/>
        <v>-</v>
      </c>
      <c r="U444" s="76" t="str">
        <f t="shared" si="33"/>
        <v>-</v>
      </c>
      <c r="V444" s="76" t="str">
        <f t="shared" si="34"/>
        <v>-</v>
      </c>
      <c r="Z444" s="62"/>
    </row>
    <row r="445" spans="1:26" ht="40.15" customHeight="1" x14ac:dyDescent="0.25">
      <c r="A445" s="87">
        <v>15</v>
      </c>
      <c r="B445" s="89" t="s">
        <v>1550</v>
      </c>
      <c r="C445" s="89" t="s">
        <v>3111</v>
      </c>
      <c r="D445" s="90" t="s">
        <v>326</v>
      </c>
      <c r="E445" s="90" t="s">
        <v>1631</v>
      </c>
      <c r="F445" s="91" t="s">
        <v>1556</v>
      </c>
      <c r="G445" s="92" t="s">
        <v>1557</v>
      </c>
      <c r="H445" s="93" t="s">
        <v>3130</v>
      </c>
      <c r="I445" s="87" t="s">
        <v>1728</v>
      </c>
      <c r="J445" s="87" t="s">
        <v>1729</v>
      </c>
      <c r="K445" s="87" t="s">
        <v>1575</v>
      </c>
      <c r="L445" s="126" t="s">
        <v>19</v>
      </c>
      <c r="M445" s="94">
        <v>44306.25</v>
      </c>
      <c r="N445" s="94">
        <v>44306.333333333336</v>
      </c>
      <c r="O445" s="95" t="str">
        <f>PROPER(TEXT(Table1[[#This Row],[Fecha Inicio]],"mmmm"))</f>
        <v>Abril</v>
      </c>
      <c r="P445" s="96" t="s">
        <v>1730</v>
      </c>
      <c r="Q445" s="97" t="s">
        <v>3131</v>
      </c>
      <c r="R445" s="76">
        <f t="shared" si="30"/>
        <v>5</v>
      </c>
      <c r="S445" s="76">
        <f t="shared" si="31"/>
        <v>5</v>
      </c>
      <c r="T445" s="76" t="str">
        <f t="shared" si="32"/>
        <v>-</v>
      </c>
      <c r="U445" s="76" t="str">
        <f t="shared" si="33"/>
        <v>-</v>
      </c>
      <c r="V445" s="76" t="str">
        <f t="shared" si="34"/>
        <v>-</v>
      </c>
      <c r="Z445" s="62"/>
    </row>
    <row r="446" spans="1:26" ht="40.15" customHeight="1" x14ac:dyDescent="0.25">
      <c r="A446" s="87">
        <v>15</v>
      </c>
      <c r="B446" s="89" t="s">
        <v>1550</v>
      </c>
      <c r="C446" s="89"/>
      <c r="D446" s="90" t="s">
        <v>1623</v>
      </c>
      <c r="E446" s="90" t="s">
        <v>1624</v>
      </c>
      <c r="F446" s="91" t="s">
        <v>1556</v>
      </c>
      <c r="G446" s="92" t="s">
        <v>1557</v>
      </c>
      <c r="H446" s="93" t="s">
        <v>3132</v>
      </c>
      <c r="I446" s="87" t="s">
        <v>2040</v>
      </c>
      <c r="J446" s="87" t="s">
        <v>1771</v>
      </c>
      <c r="K446" s="87" t="s">
        <v>1575</v>
      </c>
      <c r="L446" s="126" t="s">
        <v>19</v>
      </c>
      <c r="M446" s="94">
        <v>44306.291666666664</v>
      </c>
      <c r="N446" s="94">
        <v>44306.5</v>
      </c>
      <c r="O446" s="95" t="str">
        <f>PROPER(TEXT(Table1[[#This Row],[Fecha Inicio]],"mmmm"))</f>
        <v>Abril</v>
      </c>
      <c r="P446" s="96" t="s">
        <v>1772</v>
      </c>
      <c r="Q446" s="97" t="s">
        <v>3133</v>
      </c>
      <c r="R446" s="76">
        <f t="shared" si="30"/>
        <v>2</v>
      </c>
      <c r="S446" s="76">
        <f t="shared" si="31"/>
        <v>2</v>
      </c>
      <c r="T446" s="76" t="str">
        <f t="shared" si="32"/>
        <v>-</v>
      </c>
      <c r="U446" s="76" t="str">
        <f t="shared" si="33"/>
        <v>-</v>
      </c>
      <c r="V446" s="76" t="str">
        <f t="shared" si="34"/>
        <v>-</v>
      </c>
      <c r="Z446" s="62"/>
    </row>
    <row r="447" spans="1:26" ht="40.15" customHeight="1" x14ac:dyDescent="0.25">
      <c r="A447" s="87">
        <v>15</v>
      </c>
      <c r="B447" s="89" t="s">
        <v>1550</v>
      </c>
      <c r="C447" s="89"/>
      <c r="D447" s="89" t="s">
        <v>1623</v>
      </c>
      <c r="E447" s="89" t="s">
        <v>1624</v>
      </c>
      <c r="F447" s="87" t="s">
        <v>1556</v>
      </c>
      <c r="G447" s="92" t="s">
        <v>1557</v>
      </c>
      <c r="H447" s="93" t="s">
        <v>3134</v>
      </c>
      <c r="I447" s="87" t="s">
        <v>3052</v>
      </c>
      <c r="J447" s="87" t="s">
        <v>3053</v>
      </c>
      <c r="K447" s="87" t="s">
        <v>1575</v>
      </c>
      <c r="L447" s="126" t="s">
        <v>19</v>
      </c>
      <c r="M447" s="94">
        <v>44306.458333333336</v>
      </c>
      <c r="N447" s="94">
        <v>44306.583333333336</v>
      </c>
      <c r="O447" s="95" t="str">
        <f>PROPER(TEXT(Table1[[#This Row],[Fecha Inicio]],"mmmm"))</f>
        <v>Abril</v>
      </c>
      <c r="P447" s="96" t="s">
        <v>3054</v>
      </c>
      <c r="Q447" s="97" t="s">
        <v>3135</v>
      </c>
      <c r="R447" s="76">
        <f t="shared" si="30"/>
        <v>2</v>
      </c>
      <c r="S447" s="76">
        <f t="shared" si="31"/>
        <v>2</v>
      </c>
      <c r="T447" s="76" t="str">
        <f t="shared" si="32"/>
        <v>-</v>
      </c>
      <c r="U447" s="76" t="str">
        <f t="shared" si="33"/>
        <v>-</v>
      </c>
      <c r="V447" s="76" t="str">
        <f t="shared" si="34"/>
        <v>-</v>
      </c>
      <c r="Z447" s="62"/>
    </row>
    <row r="448" spans="1:26" ht="40.15" customHeight="1" x14ac:dyDescent="0.25">
      <c r="A448" s="87">
        <v>15</v>
      </c>
      <c r="B448" s="89" t="s">
        <v>1550</v>
      </c>
      <c r="C448" s="89" t="s">
        <v>3111</v>
      </c>
      <c r="D448" s="90" t="s">
        <v>326</v>
      </c>
      <c r="E448" s="90" t="s">
        <v>1631</v>
      </c>
      <c r="F448" s="91" t="s">
        <v>1556</v>
      </c>
      <c r="G448" s="92" t="s">
        <v>1557</v>
      </c>
      <c r="H448" s="93" t="s">
        <v>3136</v>
      </c>
      <c r="I448" s="87" t="s">
        <v>1775</v>
      </c>
      <c r="J448" s="87" t="s">
        <v>1776</v>
      </c>
      <c r="K448" s="87" t="s">
        <v>1575</v>
      </c>
      <c r="L448" s="126" t="s">
        <v>19</v>
      </c>
      <c r="M448" s="94">
        <v>44306.666666666664</v>
      </c>
      <c r="N448" s="94">
        <v>44306.75</v>
      </c>
      <c r="O448" s="95" t="str">
        <f>PROPER(TEXT(Table1[[#This Row],[Fecha Inicio]],"mmmm"))</f>
        <v>Abril</v>
      </c>
      <c r="P448" s="96" t="s">
        <v>1777</v>
      </c>
      <c r="Q448" s="97" t="s">
        <v>3137</v>
      </c>
      <c r="R448" s="76">
        <f t="shared" si="30"/>
        <v>2</v>
      </c>
      <c r="S448" s="76">
        <f t="shared" si="31"/>
        <v>2</v>
      </c>
      <c r="T448" s="76" t="str">
        <f t="shared" si="32"/>
        <v>-</v>
      </c>
      <c r="U448" s="76" t="str">
        <f t="shared" si="33"/>
        <v>-</v>
      </c>
      <c r="V448" s="76" t="str">
        <f t="shared" si="34"/>
        <v>-</v>
      </c>
      <c r="Z448" s="62"/>
    </row>
    <row r="449" spans="1:26" ht="40.15" customHeight="1" x14ac:dyDescent="0.25">
      <c r="A449" s="87">
        <v>15</v>
      </c>
      <c r="B449" s="89" t="s">
        <v>1550</v>
      </c>
      <c r="C449" s="89" t="s">
        <v>3111</v>
      </c>
      <c r="D449" s="90" t="s">
        <v>326</v>
      </c>
      <c r="E449" s="90" t="s">
        <v>1631</v>
      </c>
      <c r="F449" s="91" t="s">
        <v>1556</v>
      </c>
      <c r="G449" s="92" t="s">
        <v>1557</v>
      </c>
      <c r="H449" s="93" t="s">
        <v>3138</v>
      </c>
      <c r="I449" s="87" t="s">
        <v>2306</v>
      </c>
      <c r="J449" s="87" t="s">
        <v>1786</v>
      </c>
      <c r="K449" s="87" t="s">
        <v>2307</v>
      </c>
      <c r="L449" s="126" t="s">
        <v>19</v>
      </c>
      <c r="M449" s="94">
        <v>44306.833333333336</v>
      </c>
      <c r="N449" s="94">
        <v>44306.875</v>
      </c>
      <c r="O449" s="95" t="str">
        <f>PROPER(TEXT(Table1[[#This Row],[Fecha Inicio]],"mmmm"))</f>
        <v>Abril</v>
      </c>
      <c r="P449" s="96" t="s">
        <v>250</v>
      </c>
      <c r="Q449" s="97" t="s">
        <v>3139</v>
      </c>
      <c r="R449" s="76">
        <f t="shared" si="30"/>
        <v>1</v>
      </c>
      <c r="S449" s="76">
        <f t="shared" si="31"/>
        <v>1</v>
      </c>
      <c r="T449" s="76" t="str">
        <f t="shared" si="32"/>
        <v>-</v>
      </c>
      <c r="U449" s="76" t="str">
        <f t="shared" si="33"/>
        <v>-</v>
      </c>
      <c r="V449" s="76" t="str">
        <f t="shared" si="34"/>
        <v>-</v>
      </c>
      <c r="Z449" s="62"/>
    </row>
    <row r="450" spans="1:26" ht="40.15" customHeight="1" x14ac:dyDescent="0.25">
      <c r="A450" s="87">
        <v>15</v>
      </c>
      <c r="B450" s="89" t="s">
        <v>1550</v>
      </c>
      <c r="C450" s="89"/>
      <c r="D450" s="89" t="s">
        <v>1570</v>
      </c>
      <c r="E450" s="89" t="s">
        <v>1571</v>
      </c>
      <c r="F450" s="91" t="s">
        <v>1556</v>
      </c>
      <c r="G450" s="92" t="s">
        <v>1557</v>
      </c>
      <c r="H450" s="93" t="s">
        <v>3140</v>
      </c>
      <c r="I450" s="87" t="s">
        <v>3141</v>
      </c>
      <c r="J450" s="87" t="s">
        <v>1790</v>
      </c>
      <c r="K450" s="91" t="s">
        <v>1791</v>
      </c>
      <c r="L450" s="126" t="s">
        <v>19</v>
      </c>
      <c r="M450" s="94">
        <v>44306.875</v>
      </c>
      <c r="N450" s="94">
        <v>44307</v>
      </c>
      <c r="O450" s="95" t="str">
        <f>PROPER(TEXT(Table1[[#This Row],[Fecha Inicio]],"mmmm"))</f>
        <v>Abril</v>
      </c>
      <c r="P450" s="96" t="s">
        <v>1792</v>
      </c>
      <c r="Q450" s="97" t="s">
        <v>3142</v>
      </c>
      <c r="R450" s="76">
        <f t="shared" ref="R450:R513" si="35">LEN(TRIM(P450))-LEN(SUBSTITUTE(TRIM(P450),",",""))+1</f>
        <v>113</v>
      </c>
      <c r="S450" s="76">
        <f t="shared" ref="S450:S513" si="36">IF(B450="CON ÉXITO",R450,"-")</f>
        <v>113</v>
      </c>
      <c r="T450" s="76" t="str">
        <f t="shared" ref="T450:T513" si="37">IF($B450="Éxito con problemas",S450,"-")</f>
        <v>-</v>
      </c>
      <c r="U450" s="76" t="str">
        <f t="shared" ref="U450:U513" si="38">IF($B450="CANCELADO",R450,"-")</f>
        <v>-</v>
      </c>
      <c r="V450" s="76" t="str">
        <f t="shared" ref="V450:V513" si="39">IF($B450="Aplicada marcha atrás",R450,"-")</f>
        <v>-</v>
      </c>
      <c r="Z450" s="62"/>
    </row>
    <row r="451" spans="1:26" ht="40.15" customHeight="1" x14ac:dyDescent="0.25">
      <c r="A451" s="87">
        <v>16</v>
      </c>
      <c r="B451" s="89" t="s">
        <v>1550</v>
      </c>
      <c r="C451" s="89"/>
      <c r="D451" s="90" t="s">
        <v>344</v>
      </c>
      <c r="E451" s="90" t="s">
        <v>1799</v>
      </c>
      <c r="F451" s="87" t="s">
        <v>1556</v>
      </c>
      <c r="G451" s="92" t="s">
        <v>1557</v>
      </c>
      <c r="H451" s="93" t="s">
        <v>3143</v>
      </c>
      <c r="I451" s="87" t="s">
        <v>1801</v>
      </c>
      <c r="J451" s="87" t="s">
        <v>1802</v>
      </c>
      <c r="K451" s="87" t="s">
        <v>1596</v>
      </c>
      <c r="L451" s="126" t="s">
        <v>19</v>
      </c>
      <c r="M451" s="94">
        <v>44306.958333333336</v>
      </c>
      <c r="N451" s="94">
        <v>44307.125</v>
      </c>
      <c r="O451" s="95" t="str">
        <f>PROPER(TEXT(Table1[[#This Row],[Fecha Inicio]],"mmmm"))</f>
        <v>Abril</v>
      </c>
      <c r="P451" s="96" t="s">
        <v>2422</v>
      </c>
      <c r="Q451" s="97" t="s">
        <v>3144</v>
      </c>
      <c r="R451" s="76">
        <f t="shared" si="35"/>
        <v>2</v>
      </c>
      <c r="S451" s="76">
        <f t="shared" si="36"/>
        <v>2</v>
      </c>
      <c r="T451" s="76" t="str">
        <f t="shared" si="37"/>
        <v>-</v>
      </c>
      <c r="U451" s="76" t="str">
        <f t="shared" si="38"/>
        <v>-</v>
      </c>
      <c r="V451" s="76" t="str">
        <f t="shared" si="39"/>
        <v>-</v>
      </c>
      <c r="Z451" s="62"/>
    </row>
    <row r="452" spans="1:26" ht="40.15" customHeight="1" x14ac:dyDescent="0.25">
      <c r="A452" s="87">
        <v>15</v>
      </c>
      <c r="B452" s="89" t="s">
        <v>1550</v>
      </c>
      <c r="C452" s="89" t="s">
        <v>3111</v>
      </c>
      <c r="D452" s="90" t="s">
        <v>326</v>
      </c>
      <c r="E452" s="90" t="s">
        <v>1631</v>
      </c>
      <c r="F452" s="91" t="s">
        <v>1556</v>
      </c>
      <c r="G452" s="92" t="s">
        <v>1557</v>
      </c>
      <c r="H452" s="93" t="s">
        <v>3145</v>
      </c>
      <c r="I452" s="87" t="s">
        <v>1759</v>
      </c>
      <c r="J452" s="87" t="s">
        <v>1760</v>
      </c>
      <c r="K452" s="87" t="s">
        <v>1761</v>
      </c>
      <c r="L452" s="126" t="s">
        <v>19</v>
      </c>
      <c r="M452" s="94">
        <v>44307.041666666664</v>
      </c>
      <c r="N452" s="94">
        <v>44307.166666666664</v>
      </c>
      <c r="O452" s="95" t="str">
        <f>PROPER(TEXT(Table1[[#This Row],[Fecha Inicio]],"mmmm"))</f>
        <v>Abril</v>
      </c>
      <c r="P452" s="96" t="s">
        <v>2739</v>
      </c>
      <c r="Q452" s="97" t="s">
        <v>3146</v>
      </c>
      <c r="R452" s="76">
        <f t="shared" si="35"/>
        <v>7</v>
      </c>
      <c r="S452" s="76">
        <f t="shared" si="36"/>
        <v>7</v>
      </c>
      <c r="T452" s="76" t="str">
        <f t="shared" si="37"/>
        <v>-</v>
      </c>
      <c r="U452" s="76" t="str">
        <f t="shared" si="38"/>
        <v>-</v>
      </c>
      <c r="V452" s="76" t="str">
        <f t="shared" si="39"/>
        <v>-</v>
      </c>
      <c r="Z452" s="62"/>
    </row>
    <row r="453" spans="1:26" ht="40.15" customHeight="1" x14ac:dyDescent="0.25">
      <c r="A453" s="87">
        <v>15</v>
      </c>
      <c r="B453" s="89" t="s">
        <v>1550</v>
      </c>
      <c r="C453" s="89" t="s">
        <v>3111</v>
      </c>
      <c r="D453" s="90" t="s">
        <v>326</v>
      </c>
      <c r="E453" s="90" t="s">
        <v>1631</v>
      </c>
      <c r="F453" s="91" t="s">
        <v>1556</v>
      </c>
      <c r="G453" s="92" t="s">
        <v>1557</v>
      </c>
      <c r="H453" s="93" t="s">
        <v>3147</v>
      </c>
      <c r="I453" s="87" t="s">
        <v>1813</v>
      </c>
      <c r="J453" s="91" t="s">
        <v>1814</v>
      </c>
      <c r="K453" s="91" t="s">
        <v>1761</v>
      </c>
      <c r="L453" s="126" t="s">
        <v>19</v>
      </c>
      <c r="M453" s="94">
        <v>44307.291666666664</v>
      </c>
      <c r="N453" s="94">
        <v>44307.333333333336</v>
      </c>
      <c r="O453" s="95" t="str">
        <f>PROPER(TEXT(Table1[[#This Row],[Fecha Inicio]],"mmmm"))</f>
        <v>Abril</v>
      </c>
      <c r="P453" s="96" t="s">
        <v>109</v>
      </c>
      <c r="Q453" s="97" t="s">
        <v>3148</v>
      </c>
      <c r="R453" s="76">
        <f t="shared" si="35"/>
        <v>1</v>
      </c>
      <c r="S453" s="76">
        <f t="shared" si="36"/>
        <v>1</v>
      </c>
      <c r="T453" s="76" t="str">
        <f t="shared" si="37"/>
        <v>-</v>
      </c>
      <c r="U453" s="76" t="str">
        <f t="shared" si="38"/>
        <v>-</v>
      </c>
      <c r="V453" s="76" t="str">
        <f t="shared" si="39"/>
        <v>-</v>
      </c>
      <c r="Z453" s="62"/>
    </row>
    <row r="454" spans="1:26" ht="40.15" customHeight="1" x14ac:dyDescent="0.25">
      <c r="A454" s="87">
        <v>15</v>
      </c>
      <c r="B454" s="89" t="s">
        <v>1552</v>
      </c>
      <c r="C454" s="89" t="s">
        <v>3149</v>
      </c>
      <c r="D454" s="90" t="s">
        <v>326</v>
      </c>
      <c r="E454" s="90" t="s">
        <v>1631</v>
      </c>
      <c r="F454" s="91" t="s">
        <v>1556</v>
      </c>
      <c r="G454" s="92" t="s">
        <v>1965</v>
      </c>
      <c r="H454" s="93" t="s">
        <v>3150</v>
      </c>
      <c r="I454" s="87" t="s">
        <v>2276</v>
      </c>
      <c r="J454" s="87" t="s">
        <v>1734</v>
      </c>
      <c r="K454" s="87" t="s">
        <v>1921</v>
      </c>
      <c r="L454" s="126" t="s">
        <v>19</v>
      </c>
      <c r="M454" s="94">
        <v>44307.291666666664</v>
      </c>
      <c r="N454" s="94">
        <v>44307.333333333336</v>
      </c>
      <c r="O454" s="95" t="str">
        <f>PROPER(TEXT(Table1[[#This Row],[Fecha Inicio]],"mmmm"))</f>
        <v>Abril</v>
      </c>
      <c r="P454" s="96" t="s">
        <v>111</v>
      </c>
      <c r="Q454" s="97" t="s">
        <v>3151</v>
      </c>
      <c r="R454" s="76">
        <f t="shared" si="35"/>
        <v>1</v>
      </c>
      <c r="S454" s="76" t="str">
        <f t="shared" si="36"/>
        <v>-</v>
      </c>
      <c r="T454" s="76" t="str">
        <f t="shared" si="37"/>
        <v>-</v>
      </c>
      <c r="U454" s="76">
        <f t="shared" si="38"/>
        <v>1</v>
      </c>
      <c r="V454" s="76" t="str">
        <f t="shared" si="39"/>
        <v>-</v>
      </c>
      <c r="Z454" s="62"/>
    </row>
    <row r="455" spans="1:26" ht="40.15" customHeight="1" x14ac:dyDescent="0.25">
      <c r="A455" s="87">
        <v>16</v>
      </c>
      <c r="B455" s="89" t="s">
        <v>1550</v>
      </c>
      <c r="C455" s="89" t="s">
        <v>1578</v>
      </c>
      <c r="D455" s="90" t="s">
        <v>326</v>
      </c>
      <c r="E455" s="90" t="s">
        <v>1742</v>
      </c>
      <c r="F455" s="91" t="s">
        <v>1556</v>
      </c>
      <c r="G455" s="92" t="s">
        <v>1557</v>
      </c>
      <c r="H455" s="93" t="s">
        <v>3152</v>
      </c>
      <c r="I455" s="87" t="s">
        <v>3153</v>
      </c>
      <c r="J455" s="87" t="s">
        <v>2085</v>
      </c>
      <c r="K455" s="87" t="s">
        <v>1575</v>
      </c>
      <c r="L455" s="87" t="s">
        <v>52</v>
      </c>
      <c r="M455" s="94">
        <v>44307.416666666664</v>
      </c>
      <c r="N455" s="94">
        <v>44307.458333333336</v>
      </c>
      <c r="O455" s="95" t="str">
        <f>PROPER(TEXT(Table1[[#This Row],[Fecha Inicio]],"mmmm"))</f>
        <v>Abril</v>
      </c>
      <c r="P455" s="96" t="s">
        <v>3154</v>
      </c>
      <c r="Q455" s="97" t="s">
        <v>3155</v>
      </c>
      <c r="R455" s="76">
        <f t="shared" si="35"/>
        <v>4</v>
      </c>
      <c r="S455" s="76">
        <f t="shared" si="36"/>
        <v>4</v>
      </c>
      <c r="T455" s="76" t="str">
        <f t="shared" si="37"/>
        <v>-</v>
      </c>
      <c r="U455" s="76" t="str">
        <f t="shared" si="38"/>
        <v>-</v>
      </c>
      <c r="V455" s="76" t="str">
        <f t="shared" si="39"/>
        <v>-</v>
      </c>
      <c r="Z455" s="62"/>
    </row>
    <row r="456" spans="1:26" ht="40.15" customHeight="1" x14ac:dyDescent="0.25">
      <c r="A456" s="87">
        <v>16</v>
      </c>
      <c r="B456" s="89" t="s">
        <v>1550</v>
      </c>
      <c r="C456" s="89" t="s">
        <v>1578</v>
      </c>
      <c r="D456" s="90" t="s">
        <v>1665</v>
      </c>
      <c r="E456" s="90" t="s">
        <v>1666</v>
      </c>
      <c r="F456" s="87" t="s">
        <v>1556</v>
      </c>
      <c r="G456" s="92" t="s">
        <v>1557</v>
      </c>
      <c r="H456" s="93" t="s">
        <v>3156</v>
      </c>
      <c r="I456" s="87" t="s">
        <v>3157</v>
      </c>
      <c r="J456" s="87" t="s">
        <v>1669</v>
      </c>
      <c r="K456" s="87" t="s">
        <v>1670</v>
      </c>
      <c r="L456" s="87" t="s">
        <v>52</v>
      </c>
      <c r="M456" s="94">
        <v>44307.666666666664</v>
      </c>
      <c r="N456" s="94">
        <v>44307.75</v>
      </c>
      <c r="O456" s="95" t="str">
        <f>PROPER(TEXT(Table1[[#This Row],[Fecha Inicio]],"mmmm"))</f>
        <v>Abril</v>
      </c>
      <c r="P456" s="96" t="s">
        <v>1341</v>
      </c>
      <c r="Q456" s="97" t="s">
        <v>3158</v>
      </c>
      <c r="R456" s="76">
        <f t="shared" si="35"/>
        <v>1</v>
      </c>
      <c r="S456" s="76">
        <f t="shared" si="36"/>
        <v>1</v>
      </c>
      <c r="T456" s="76" t="str">
        <f t="shared" si="37"/>
        <v>-</v>
      </c>
      <c r="U456" s="76" t="str">
        <f t="shared" si="38"/>
        <v>-</v>
      </c>
      <c r="V456" s="76" t="str">
        <f t="shared" si="39"/>
        <v>-</v>
      </c>
      <c r="Z456" s="62"/>
    </row>
    <row r="457" spans="1:26" ht="40.15" customHeight="1" x14ac:dyDescent="0.25">
      <c r="A457" s="87">
        <v>16</v>
      </c>
      <c r="B457" s="89" t="s">
        <v>1550</v>
      </c>
      <c r="C457" s="89"/>
      <c r="D457" s="90" t="s">
        <v>344</v>
      </c>
      <c r="E457" s="90" t="s">
        <v>1799</v>
      </c>
      <c r="F457" s="91" t="s">
        <v>1556</v>
      </c>
      <c r="G457" s="92" t="s">
        <v>1557</v>
      </c>
      <c r="H457" s="93" t="s">
        <v>3159</v>
      </c>
      <c r="I457" s="87" t="s">
        <v>1829</v>
      </c>
      <c r="J457" s="87" t="s">
        <v>1560</v>
      </c>
      <c r="K457" s="87" t="s">
        <v>1561</v>
      </c>
      <c r="L457" s="126" t="s">
        <v>19</v>
      </c>
      <c r="M457" s="94">
        <v>44307.666666666664</v>
      </c>
      <c r="N457" s="94">
        <v>44307.833333333336</v>
      </c>
      <c r="O457" s="95" t="str">
        <f>PROPER(TEXT(Table1[[#This Row],[Fecha Inicio]],"mmmm"))</f>
        <v>Abril</v>
      </c>
      <c r="P457" s="96" t="s">
        <v>2440</v>
      </c>
      <c r="Q457" s="97" t="s">
        <v>3160</v>
      </c>
      <c r="R457" s="76">
        <f t="shared" si="35"/>
        <v>1</v>
      </c>
      <c r="S457" s="76">
        <f t="shared" si="36"/>
        <v>1</v>
      </c>
      <c r="T457" s="76" t="str">
        <f t="shared" si="37"/>
        <v>-</v>
      </c>
      <c r="U457" s="76" t="str">
        <f t="shared" si="38"/>
        <v>-</v>
      </c>
      <c r="V457" s="76" t="str">
        <f t="shared" si="39"/>
        <v>-</v>
      </c>
      <c r="Z457" s="62"/>
    </row>
    <row r="458" spans="1:26" ht="40.15" customHeight="1" x14ac:dyDescent="0.25">
      <c r="A458" s="87">
        <v>15</v>
      </c>
      <c r="B458" s="89" t="s">
        <v>1550</v>
      </c>
      <c r="C458" s="89" t="s">
        <v>3111</v>
      </c>
      <c r="D458" s="90" t="s">
        <v>326</v>
      </c>
      <c r="E458" s="90" t="s">
        <v>1631</v>
      </c>
      <c r="F458" s="91" t="s">
        <v>1556</v>
      </c>
      <c r="G458" s="92" t="s">
        <v>1557</v>
      </c>
      <c r="H458" s="93" t="s">
        <v>3161</v>
      </c>
      <c r="I458" s="91" t="s">
        <v>1780</v>
      </c>
      <c r="J458" s="87" t="s">
        <v>1781</v>
      </c>
      <c r="K458" s="91" t="s">
        <v>1575</v>
      </c>
      <c r="L458" s="126" t="s">
        <v>19</v>
      </c>
      <c r="M458" s="94">
        <v>44307.708333333336</v>
      </c>
      <c r="N458" s="94">
        <v>44307.791666666664</v>
      </c>
      <c r="O458" s="95" t="str">
        <f>PROPER(TEXT(Table1[[#This Row],[Fecha Inicio]],"mmmm"))</f>
        <v>Abril</v>
      </c>
      <c r="P458" s="96" t="s">
        <v>1782</v>
      </c>
      <c r="Q458" s="97" t="s">
        <v>3162</v>
      </c>
      <c r="R458" s="76">
        <f t="shared" si="35"/>
        <v>7</v>
      </c>
      <c r="S458" s="76">
        <f t="shared" si="36"/>
        <v>7</v>
      </c>
      <c r="T458" s="76" t="str">
        <f t="shared" si="37"/>
        <v>-</v>
      </c>
      <c r="U458" s="76" t="str">
        <f t="shared" si="38"/>
        <v>-</v>
      </c>
      <c r="V458" s="76" t="str">
        <f t="shared" si="39"/>
        <v>-</v>
      </c>
      <c r="Z458" s="62"/>
    </row>
    <row r="459" spans="1:26" ht="40.15" customHeight="1" x14ac:dyDescent="0.25">
      <c r="A459" s="87">
        <v>15</v>
      </c>
      <c r="B459" s="89" t="s">
        <v>1550</v>
      </c>
      <c r="C459" s="89" t="s">
        <v>3111</v>
      </c>
      <c r="D459" s="90" t="s">
        <v>326</v>
      </c>
      <c r="E459" s="90" t="s">
        <v>1631</v>
      </c>
      <c r="F459" s="91" t="s">
        <v>1556</v>
      </c>
      <c r="G459" s="92" t="s">
        <v>1557</v>
      </c>
      <c r="H459" s="93" t="s">
        <v>3163</v>
      </c>
      <c r="I459" s="87" t="s">
        <v>1833</v>
      </c>
      <c r="J459" s="87" t="s">
        <v>1834</v>
      </c>
      <c r="K459" s="87" t="s">
        <v>1596</v>
      </c>
      <c r="L459" s="126" t="s">
        <v>19</v>
      </c>
      <c r="M459" s="94">
        <v>44307.916666666664</v>
      </c>
      <c r="N459" s="94">
        <v>44307.958333333336</v>
      </c>
      <c r="O459" s="95" t="str">
        <f>PROPER(TEXT(Table1[[#This Row],[Fecha Inicio]],"mmmm"))</f>
        <v>Abril</v>
      </c>
      <c r="P459" s="96" t="s">
        <v>1835</v>
      </c>
      <c r="Q459" s="97" t="s">
        <v>3164</v>
      </c>
      <c r="R459" s="76">
        <f t="shared" si="35"/>
        <v>2</v>
      </c>
      <c r="S459" s="76">
        <f t="shared" si="36"/>
        <v>2</v>
      </c>
      <c r="T459" s="76" t="str">
        <f t="shared" si="37"/>
        <v>-</v>
      </c>
      <c r="U459" s="76" t="str">
        <f t="shared" si="38"/>
        <v>-</v>
      </c>
      <c r="V459" s="76" t="str">
        <f t="shared" si="39"/>
        <v>-</v>
      </c>
      <c r="Z459" s="62"/>
    </row>
    <row r="460" spans="1:26" ht="40.15" customHeight="1" x14ac:dyDescent="0.25">
      <c r="A460" s="87">
        <v>15</v>
      </c>
      <c r="B460" s="89" t="s">
        <v>1550</v>
      </c>
      <c r="C460" s="89" t="s">
        <v>3111</v>
      </c>
      <c r="D460" s="90" t="s">
        <v>326</v>
      </c>
      <c r="E460" s="90" t="s">
        <v>1631</v>
      </c>
      <c r="F460" s="91" t="s">
        <v>1556</v>
      </c>
      <c r="G460" s="92" t="s">
        <v>1557</v>
      </c>
      <c r="H460" s="93" t="s">
        <v>3165</v>
      </c>
      <c r="I460" s="87" t="s">
        <v>1842</v>
      </c>
      <c r="J460" s="87" t="s">
        <v>1612</v>
      </c>
      <c r="K460" s="91" t="s">
        <v>1613</v>
      </c>
      <c r="L460" s="126" t="s">
        <v>19</v>
      </c>
      <c r="M460" s="94">
        <v>44307.9375</v>
      </c>
      <c r="N460" s="94">
        <v>44308.104166666664</v>
      </c>
      <c r="O460" s="95" t="str">
        <f>PROPER(TEXT(Table1[[#This Row],[Fecha Inicio]],"mmmm"))</f>
        <v>Abril</v>
      </c>
      <c r="P460" s="96" t="s">
        <v>1843</v>
      </c>
      <c r="Q460" s="97" t="s">
        <v>3166</v>
      </c>
      <c r="R460" s="76">
        <f t="shared" si="35"/>
        <v>19</v>
      </c>
      <c r="S460" s="76">
        <f t="shared" si="36"/>
        <v>19</v>
      </c>
      <c r="T460" s="76" t="str">
        <f t="shared" si="37"/>
        <v>-</v>
      </c>
      <c r="U460" s="76" t="str">
        <f t="shared" si="38"/>
        <v>-</v>
      </c>
      <c r="V460" s="76" t="str">
        <f t="shared" si="39"/>
        <v>-</v>
      </c>
      <c r="Z460" s="62"/>
    </row>
    <row r="461" spans="1:26" ht="40.15" customHeight="1" x14ac:dyDescent="0.25">
      <c r="A461" s="87">
        <v>15</v>
      </c>
      <c r="B461" s="89" t="s">
        <v>1550</v>
      </c>
      <c r="C461" s="89" t="s">
        <v>3111</v>
      </c>
      <c r="D461" s="90" t="s">
        <v>326</v>
      </c>
      <c r="E461" s="90" t="s">
        <v>1631</v>
      </c>
      <c r="F461" s="91" t="s">
        <v>1556</v>
      </c>
      <c r="G461" s="92" t="s">
        <v>1557</v>
      </c>
      <c r="H461" s="93" t="s">
        <v>3167</v>
      </c>
      <c r="I461" s="87" t="s">
        <v>1846</v>
      </c>
      <c r="J461" s="87" t="s">
        <v>1560</v>
      </c>
      <c r="K461" s="87" t="s">
        <v>1561</v>
      </c>
      <c r="L461" s="126" t="s">
        <v>19</v>
      </c>
      <c r="M461" s="94">
        <v>44307.958333333336</v>
      </c>
      <c r="N461" s="94">
        <v>44308.291666666664</v>
      </c>
      <c r="O461" s="95" t="str">
        <f>PROPER(TEXT(Table1[[#This Row],[Fecha Inicio]],"mmmm"))</f>
        <v>Abril</v>
      </c>
      <c r="P461" s="96" t="s">
        <v>1847</v>
      </c>
      <c r="Q461" s="97" t="s">
        <v>3168</v>
      </c>
      <c r="R461" s="76">
        <f t="shared" si="35"/>
        <v>14</v>
      </c>
      <c r="S461" s="76">
        <f t="shared" si="36"/>
        <v>14</v>
      </c>
      <c r="T461" s="76" t="str">
        <f t="shared" si="37"/>
        <v>-</v>
      </c>
      <c r="U461" s="76" t="str">
        <f t="shared" si="38"/>
        <v>-</v>
      </c>
      <c r="V461" s="76" t="str">
        <f t="shared" si="39"/>
        <v>-</v>
      </c>
      <c r="Z461" s="62"/>
    </row>
    <row r="462" spans="1:26" ht="40.15" customHeight="1" x14ac:dyDescent="0.25">
      <c r="A462" s="87">
        <v>15</v>
      </c>
      <c r="B462" s="89" t="s">
        <v>1550</v>
      </c>
      <c r="C462" s="89" t="s">
        <v>3111</v>
      </c>
      <c r="D462" s="90" t="s">
        <v>326</v>
      </c>
      <c r="E462" s="90" t="s">
        <v>1631</v>
      </c>
      <c r="F462" s="91" t="s">
        <v>1556</v>
      </c>
      <c r="G462" s="92" t="s">
        <v>1557</v>
      </c>
      <c r="H462" s="93" t="s">
        <v>3169</v>
      </c>
      <c r="I462" s="87" t="s">
        <v>1850</v>
      </c>
      <c r="J462" s="87" t="s">
        <v>1771</v>
      </c>
      <c r="K462" s="87" t="s">
        <v>1575</v>
      </c>
      <c r="L462" s="126" t="s">
        <v>19</v>
      </c>
      <c r="M462" s="94">
        <v>44308.291666666664</v>
      </c>
      <c r="N462" s="94">
        <v>44308.333333333336</v>
      </c>
      <c r="O462" s="95" t="str">
        <f>PROPER(TEXT(Table1[[#This Row],[Fecha Inicio]],"mmmm"))</f>
        <v>Abril</v>
      </c>
      <c r="P462" s="96" t="s">
        <v>1772</v>
      </c>
      <c r="Q462" s="97" t="s">
        <v>3170</v>
      </c>
      <c r="R462" s="76">
        <f t="shared" si="35"/>
        <v>2</v>
      </c>
      <c r="S462" s="76">
        <f t="shared" si="36"/>
        <v>2</v>
      </c>
      <c r="T462" s="76" t="str">
        <f t="shared" si="37"/>
        <v>-</v>
      </c>
      <c r="U462" s="76" t="str">
        <f t="shared" si="38"/>
        <v>-</v>
      </c>
      <c r="V462" s="76" t="str">
        <f t="shared" si="39"/>
        <v>-</v>
      </c>
      <c r="Z462" s="62"/>
    </row>
    <row r="463" spans="1:26" ht="40.15" customHeight="1" x14ac:dyDescent="0.25">
      <c r="A463" s="87">
        <v>15</v>
      </c>
      <c r="B463" s="89" t="s">
        <v>1550</v>
      </c>
      <c r="C463" s="89" t="s">
        <v>3111</v>
      </c>
      <c r="D463" s="90" t="s">
        <v>326</v>
      </c>
      <c r="E463" s="90" t="s">
        <v>1631</v>
      </c>
      <c r="F463" s="91" t="s">
        <v>1556</v>
      </c>
      <c r="G463" s="92" t="s">
        <v>1557</v>
      </c>
      <c r="H463" s="93" t="s">
        <v>3171</v>
      </c>
      <c r="I463" s="87" t="s">
        <v>1853</v>
      </c>
      <c r="J463" s="87" t="s">
        <v>1854</v>
      </c>
      <c r="K463" s="87" t="s">
        <v>1575</v>
      </c>
      <c r="L463" s="126" t="s">
        <v>19</v>
      </c>
      <c r="M463" s="94">
        <v>44308.333333333336</v>
      </c>
      <c r="N463" s="94">
        <v>44308.5</v>
      </c>
      <c r="O463" s="95" t="str">
        <f>PROPER(TEXT(Table1[[#This Row],[Fecha Inicio]],"mmmm"))</f>
        <v>Abril</v>
      </c>
      <c r="P463" s="96" t="s">
        <v>1855</v>
      </c>
      <c r="Q463" s="97" t="s">
        <v>3172</v>
      </c>
      <c r="R463" s="76">
        <f t="shared" si="35"/>
        <v>4</v>
      </c>
      <c r="S463" s="76">
        <f t="shared" si="36"/>
        <v>4</v>
      </c>
      <c r="T463" s="76" t="str">
        <f t="shared" si="37"/>
        <v>-</v>
      </c>
      <c r="U463" s="76" t="str">
        <f t="shared" si="38"/>
        <v>-</v>
      </c>
      <c r="V463" s="76" t="str">
        <f t="shared" si="39"/>
        <v>-</v>
      </c>
      <c r="Z463" s="62"/>
    </row>
    <row r="464" spans="1:26" ht="40.15" customHeight="1" x14ac:dyDescent="0.25">
      <c r="A464" s="87">
        <v>16</v>
      </c>
      <c r="B464" s="89" t="s">
        <v>1550</v>
      </c>
      <c r="C464" s="89" t="s">
        <v>1578</v>
      </c>
      <c r="D464" s="90" t="s">
        <v>1554</v>
      </c>
      <c r="E464" s="90" t="s">
        <v>1555</v>
      </c>
      <c r="F464" s="91" t="s">
        <v>1556</v>
      </c>
      <c r="G464" s="92" t="s">
        <v>1557</v>
      </c>
      <c r="H464" s="93" t="s">
        <v>3173</v>
      </c>
      <c r="I464" s="87" t="s">
        <v>3174</v>
      </c>
      <c r="J464" s="87" t="s">
        <v>3175</v>
      </c>
      <c r="K464" s="87" t="s">
        <v>2619</v>
      </c>
      <c r="L464" s="126" t="s">
        <v>19</v>
      </c>
      <c r="M464" s="94">
        <v>44308.5</v>
      </c>
      <c r="N464" s="94">
        <v>44308.708333333336</v>
      </c>
      <c r="O464" s="95" t="str">
        <f>PROPER(TEXT(Table1[[#This Row],[Fecha Inicio]],"mmmm"))</f>
        <v>Abril</v>
      </c>
      <c r="P464" s="96" t="s">
        <v>3176</v>
      </c>
      <c r="Q464" s="97" t="s">
        <v>3177</v>
      </c>
      <c r="R464" s="76">
        <f t="shared" si="35"/>
        <v>1</v>
      </c>
      <c r="S464" s="76">
        <f t="shared" si="36"/>
        <v>1</v>
      </c>
      <c r="T464" s="76" t="str">
        <f t="shared" si="37"/>
        <v>-</v>
      </c>
      <c r="U464" s="76" t="str">
        <f t="shared" si="38"/>
        <v>-</v>
      </c>
      <c r="V464" s="76" t="str">
        <f t="shared" si="39"/>
        <v>-</v>
      </c>
      <c r="Z464" s="62"/>
    </row>
    <row r="465" spans="1:26" ht="40.15" customHeight="1" x14ac:dyDescent="0.25">
      <c r="A465" s="87">
        <v>16</v>
      </c>
      <c r="B465" s="89" t="s">
        <v>1550</v>
      </c>
      <c r="C465" s="89" t="s">
        <v>1578</v>
      </c>
      <c r="D465" s="90" t="s">
        <v>326</v>
      </c>
      <c r="E465" s="90" t="s">
        <v>1742</v>
      </c>
      <c r="F465" s="91" t="s">
        <v>1556</v>
      </c>
      <c r="G465" s="92" t="s">
        <v>1557</v>
      </c>
      <c r="H465" s="93" t="s">
        <v>3180</v>
      </c>
      <c r="I465" s="87" t="s">
        <v>3181</v>
      </c>
      <c r="J465" s="87" t="s">
        <v>1560</v>
      </c>
      <c r="K465" s="87" t="s">
        <v>1561</v>
      </c>
      <c r="L465" s="126" t="s">
        <v>19</v>
      </c>
      <c r="M465" s="94">
        <v>44308.75</v>
      </c>
      <c r="N465" s="94">
        <v>44308.833333333336</v>
      </c>
      <c r="O465" s="95" t="str">
        <f>PROPER(TEXT(Table1[[#This Row],[Fecha Inicio]],"mmmm"))</f>
        <v>Abril</v>
      </c>
      <c r="P465" s="96" t="s">
        <v>3182</v>
      </c>
      <c r="Q465" s="97" t="s">
        <v>3183</v>
      </c>
      <c r="R465" s="76">
        <f t="shared" si="35"/>
        <v>1</v>
      </c>
      <c r="S465" s="76">
        <f t="shared" si="36"/>
        <v>1</v>
      </c>
      <c r="T465" s="76" t="str">
        <f t="shared" si="37"/>
        <v>-</v>
      </c>
      <c r="U465" s="76" t="str">
        <f t="shared" si="38"/>
        <v>-</v>
      </c>
      <c r="V465" s="76" t="str">
        <f t="shared" si="39"/>
        <v>-</v>
      </c>
      <c r="Z465" s="62"/>
    </row>
    <row r="466" spans="1:26" ht="40.15" customHeight="1" x14ac:dyDescent="0.25">
      <c r="A466" s="87">
        <v>15</v>
      </c>
      <c r="B466" s="89" t="s">
        <v>1550</v>
      </c>
      <c r="C466" s="89" t="s">
        <v>3111</v>
      </c>
      <c r="D466" s="90" t="s">
        <v>326</v>
      </c>
      <c r="E466" s="90" t="s">
        <v>1631</v>
      </c>
      <c r="F466" s="91" t="s">
        <v>1556</v>
      </c>
      <c r="G466" s="92" t="s">
        <v>1557</v>
      </c>
      <c r="H466" s="93" t="s">
        <v>3178</v>
      </c>
      <c r="I466" s="87" t="s">
        <v>1759</v>
      </c>
      <c r="J466" s="87" t="s">
        <v>1760</v>
      </c>
      <c r="K466" s="87" t="s">
        <v>1761</v>
      </c>
      <c r="L466" s="126" t="s">
        <v>19</v>
      </c>
      <c r="M466" s="94">
        <v>44308.75</v>
      </c>
      <c r="N466" s="94">
        <v>44308.875</v>
      </c>
      <c r="O466" s="95" t="str">
        <f>PROPER(TEXT(Table1[[#This Row],[Fecha Inicio]],"mmmm"))</f>
        <v>Abril</v>
      </c>
      <c r="P466" s="96" t="s">
        <v>2793</v>
      </c>
      <c r="Q466" s="97" t="s">
        <v>3179</v>
      </c>
      <c r="R466" s="76">
        <f t="shared" si="35"/>
        <v>4</v>
      </c>
      <c r="S466" s="76">
        <f t="shared" si="36"/>
        <v>4</v>
      </c>
      <c r="T466" s="76" t="str">
        <f t="shared" si="37"/>
        <v>-</v>
      </c>
      <c r="U466" s="76" t="str">
        <f t="shared" si="38"/>
        <v>-</v>
      </c>
      <c r="V466" s="76" t="str">
        <f t="shared" si="39"/>
        <v>-</v>
      </c>
      <c r="Z466" s="62"/>
    </row>
    <row r="467" spans="1:26" ht="40.15" customHeight="1" x14ac:dyDescent="0.25">
      <c r="A467" s="87">
        <v>15</v>
      </c>
      <c r="B467" s="89" t="s">
        <v>1550</v>
      </c>
      <c r="C467" s="89" t="s">
        <v>3111</v>
      </c>
      <c r="D467" s="90" t="s">
        <v>326</v>
      </c>
      <c r="E467" s="90" t="s">
        <v>1631</v>
      </c>
      <c r="F467" s="91" t="s">
        <v>1556</v>
      </c>
      <c r="G467" s="92" t="s">
        <v>1557</v>
      </c>
      <c r="H467" s="93" t="s">
        <v>3184</v>
      </c>
      <c r="I467" s="87" t="s">
        <v>1880</v>
      </c>
      <c r="J467" s="87" t="s">
        <v>1881</v>
      </c>
      <c r="K467" s="87" t="s">
        <v>1575</v>
      </c>
      <c r="L467" s="126" t="s">
        <v>19</v>
      </c>
      <c r="M467" s="94">
        <v>44308.84375</v>
      </c>
      <c r="N467" s="94">
        <v>44308.927083333336</v>
      </c>
      <c r="O467" s="95" t="str">
        <f>PROPER(TEXT(Table1[[#This Row],[Fecha Inicio]],"mmmm"))</f>
        <v>Abril</v>
      </c>
      <c r="P467" s="96" t="s">
        <v>1882</v>
      </c>
      <c r="Q467" s="97" t="s">
        <v>3185</v>
      </c>
      <c r="R467" s="76">
        <f t="shared" si="35"/>
        <v>6</v>
      </c>
      <c r="S467" s="76">
        <f t="shared" si="36"/>
        <v>6</v>
      </c>
      <c r="T467" s="76" t="str">
        <f t="shared" si="37"/>
        <v>-</v>
      </c>
      <c r="U467" s="76" t="str">
        <f t="shared" si="38"/>
        <v>-</v>
      </c>
      <c r="V467" s="76" t="str">
        <f t="shared" si="39"/>
        <v>-</v>
      </c>
      <c r="Z467" s="62"/>
    </row>
    <row r="468" spans="1:26" ht="40.15" customHeight="1" x14ac:dyDescent="0.25">
      <c r="A468" s="87">
        <v>15</v>
      </c>
      <c r="B468" s="89" t="s">
        <v>1550</v>
      </c>
      <c r="C468" s="89" t="s">
        <v>3111</v>
      </c>
      <c r="D468" s="90" t="s">
        <v>326</v>
      </c>
      <c r="E468" s="90" t="s">
        <v>1631</v>
      </c>
      <c r="F468" s="91" t="s">
        <v>1556</v>
      </c>
      <c r="G468" s="92" t="s">
        <v>1557</v>
      </c>
      <c r="H468" s="93" t="s">
        <v>3186</v>
      </c>
      <c r="I468" s="87" t="s">
        <v>1889</v>
      </c>
      <c r="J468" s="87" t="s">
        <v>1890</v>
      </c>
      <c r="K468" s="87" t="s">
        <v>1575</v>
      </c>
      <c r="L468" s="126" t="s">
        <v>19</v>
      </c>
      <c r="M468" s="94">
        <v>44308.916666666664</v>
      </c>
      <c r="N468" s="94">
        <v>44308.958333333336</v>
      </c>
      <c r="O468" s="95" t="str">
        <f>PROPER(TEXT(Table1[[#This Row],[Fecha Inicio]],"mmmm"))</f>
        <v>Abril</v>
      </c>
      <c r="P468" s="96" t="s">
        <v>164</v>
      </c>
      <c r="Q468" s="97" t="s">
        <v>3187</v>
      </c>
      <c r="R468" s="76">
        <f t="shared" si="35"/>
        <v>1</v>
      </c>
      <c r="S468" s="76">
        <f t="shared" si="36"/>
        <v>1</v>
      </c>
      <c r="T468" s="76" t="str">
        <f t="shared" si="37"/>
        <v>-</v>
      </c>
      <c r="U468" s="76" t="str">
        <f t="shared" si="38"/>
        <v>-</v>
      </c>
      <c r="V468" s="76" t="str">
        <f t="shared" si="39"/>
        <v>-</v>
      </c>
      <c r="Z468" s="62"/>
    </row>
    <row r="469" spans="1:26" ht="40.15" customHeight="1" x14ac:dyDescent="0.25">
      <c r="A469" s="87">
        <v>16</v>
      </c>
      <c r="B469" s="89" t="s">
        <v>1550</v>
      </c>
      <c r="C469" s="89"/>
      <c r="D469" s="90" t="s">
        <v>1554</v>
      </c>
      <c r="E469" s="90" t="s">
        <v>1555</v>
      </c>
      <c r="F469" s="91" t="s">
        <v>1556</v>
      </c>
      <c r="G469" s="92" t="s">
        <v>1557</v>
      </c>
      <c r="H469" s="93" t="s">
        <v>3188</v>
      </c>
      <c r="I469" s="87" t="s">
        <v>3120</v>
      </c>
      <c r="J469" s="87" t="s">
        <v>2239</v>
      </c>
      <c r="K469" s="87" t="s">
        <v>1575</v>
      </c>
      <c r="L469" s="89" t="s">
        <v>52</v>
      </c>
      <c r="M469" s="94">
        <v>44309.375</v>
      </c>
      <c r="N469" s="94">
        <v>44309.625</v>
      </c>
      <c r="O469" s="95" t="str">
        <f>PROPER(TEXT(Table1[[#This Row],[Fecha Inicio]],"mmmm"))</f>
        <v>Abril</v>
      </c>
      <c r="P469" s="96" t="s">
        <v>3189</v>
      </c>
      <c r="Q469" s="97" t="s">
        <v>3190</v>
      </c>
      <c r="R469" s="76">
        <f t="shared" si="35"/>
        <v>11</v>
      </c>
      <c r="S469" s="76">
        <f t="shared" si="36"/>
        <v>11</v>
      </c>
      <c r="T469" s="76" t="str">
        <f t="shared" si="37"/>
        <v>-</v>
      </c>
      <c r="U469" s="76" t="str">
        <f t="shared" si="38"/>
        <v>-</v>
      </c>
      <c r="V469" s="76" t="str">
        <f t="shared" si="39"/>
        <v>-</v>
      </c>
      <c r="Z469" s="62"/>
    </row>
    <row r="470" spans="1:26" ht="40.15" customHeight="1" x14ac:dyDescent="0.25">
      <c r="A470" s="87">
        <v>16</v>
      </c>
      <c r="B470" s="89" t="s">
        <v>1550</v>
      </c>
      <c r="C470" s="89"/>
      <c r="D470" s="90" t="s">
        <v>1554</v>
      </c>
      <c r="E470" s="90" t="s">
        <v>1555</v>
      </c>
      <c r="F470" s="91" t="s">
        <v>1556</v>
      </c>
      <c r="G470" s="92" t="s">
        <v>1557</v>
      </c>
      <c r="H470" s="93" t="s">
        <v>3191</v>
      </c>
      <c r="I470" s="87" t="s">
        <v>3120</v>
      </c>
      <c r="J470" s="87" t="s">
        <v>2239</v>
      </c>
      <c r="K470" s="87" t="s">
        <v>1575</v>
      </c>
      <c r="L470" s="89" t="s">
        <v>52</v>
      </c>
      <c r="M470" s="94">
        <v>44309.375</v>
      </c>
      <c r="N470" s="94">
        <v>44309.625</v>
      </c>
      <c r="O470" s="95" t="str">
        <f>PROPER(TEXT(Table1[[#This Row],[Fecha Inicio]],"mmmm"))</f>
        <v>Abril</v>
      </c>
      <c r="P470" s="96" t="s">
        <v>3192</v>
      </c>
      <c r="Q470" s="97" t="s">
        <v>3193</v>
      </c>
      <c r="R470" s="76">
        <f t="shared" si="35"/>
        <v>6</v>
      </c>
      <c r="S470" s="76">
        <f t="shared" si="36"/>
        <v>6</v>
      </c>
      <c r="T470" s="76" t="str">
        <f t="shared" si="37"/>
        <v>-</v>
      </c>
      <c r="U470" s="76" t="str">
        <f t="shared" si="38"/>
        <v>-</v>
      </c>
      <c r="V470" s="76" t="str">
        <f t="shared" si="39"/>
        <v>-</v>
      </c>
      <c r="Z470" s="62"/>
    </row>
    <row r="471" spans="1:26" ht="40.15" customHeight="1" x14ac:dyDescent="0.25">
      <c r="A471" s="87">
        <v>16</v>
      </c>
      <c r="B471" s="89" t="s">
        <v>1550</v>
      </c>
      <c r="C471" s="89"/>
      <c r="D471" s="90" t="s">
        <v>1623</v>
      </c>
      <c r="E471" s="90" t="s">
        <v>1624</v>
      </c>
      <c r="F471" s="91" t="s">
        <v>1556</v>
      </c>
      <c r="G471" s="92" t="s">
        <v>1557</v>
      </c>
      <c r="H471" s="93" t="s">
        <v>3194</v>
      </c>
      <c r="I471" s="87" t="s">
        <v>1685</v>
      </c>
      <c r="J471" s="87" t="s">
        <v>1627</v>
      </c>
      <c r="K471" s="87" t="s">
        <v>1575</v>
      </c>
      <c r="L471" s="126" t="s">
        <v>19</v>
      </c>
      <c r="M471" s="94">
        <v>44309.5</v>
      </c>
      <c r="N471" s="94">
        <v>44309.625</v>
      </c>
      <c r="O471" s="95" t="str">
        <f>PROPER(TEXT(Table1[[#This Row],[Fecha Inicio]],"mmmm"))</f>
        <v>Abril</v>
      </c>
      <c r="P471" s="96" t="s">
        <v>2764</v>
      </c>
      <c r="Q471" s="97" t="s">
        <v>3195</v>
      </c>
      <c r="R471" s="76">
        <f t="shared" si="35"/>
        <v>2</v>
      </c>
      <c r="S471" s="76">
        <f t="shared" si="36"/>
        <v>2</v>
      </c>
      <c r="T471" s="76" t="str">
        <f t="shared" si="37"/>
        <v>-</v>
      </c>
      <c r="U471" s="76" t="str">
        <f t="shared" si="38"/>
        <v>-</v>
      </c>
      <c r="V471" s="76" t="str">
        <f t="shared" si="39"/>
        <v>-</v>
      </c>
      <c r="Z471" s="62"/>
    </row>
    <row r="472" spans="1:26" ht="40.15" customHeight="1" x14ac:dyDescent="0.25">
      <c r="A472" s="87">
        <v>15</v>
      </c>
      <c r="B472" s="89" t="s">
        <v>1550</v>
      </c>
      <c r="C472" s="89" t="s">
        <v>3111</v>
      </c>
      <c r="D472" s="90" t="s">
        <v>326</v>
      </c>
      <c r="E472" s="90" t="s">
        <v>1631</v>
      </c>
      <c r="F472" s="91" t="s">
        <v>1556</v>
      </c>
      <c r="G472" s="92" t="s">
        <v>1557</v>
      </c>
      <c r="H472" s="93" t="s">
        <v>3196</v>
      </c>
      <c r="I472" s="87" t="s">
        <v>1897</v>
      </c>
      <c r="J472" s="87" t="s">
        <v>1898</v>
      </c>
      <c r="K472" s="87" t="s">
        <v>1575</v>
      </c>
      <c r="L472" s="126" t="s">
        <v>19</v>
      </c>
      <c r="M472" s="94">
        <v>44309.791666666664</v>
      </c>
      <c r="N472" s="94">
        <v>44309.875</v>
      </c>
      <c r="O472" s="95" t="str">
        <f>PROPER(TEXT(Table1[[#This Row],[Fecha Inicio]],"mmmm"))</f>
        <v>Abril</v>
      </c>
      <c r="P472" s="96" t="s">
        <v>166</v>
      </c>
      <c r="Q472" s="97" t="s">
        <v>3197</v>
      </c>
      <c r="R472" s="76">
        <f t="shared" si="35"/>
        <v>1</v>
      </c>
      <c r="S472" s="76">
        <f t="shared" si="36"/>
        <v>1</v>
      </c>
      <c r="T472" s="76" t="str">
        <f t="shared" si="37"/>
        <v>-</v>
      </c>
      <c r="U472" s="76" t="str">
        <f t="shared" si="38"/>
        <v>-</v>
      </c>
      <c r="V472" s="76" t="str">
        <f t="shared" si="39"/>
        <v>-</v>
      </c>
      <c r="Z472" s="62"/>
    </row>
    <row r="473" spans="1:26" ht="40.15" customHeight="1" x14ac:dyDescent="0.25">
      <c r="A473" s="87">
        <v>15</v>
      </c>
      <c r="B473" s="89" t="s">
        <v>1550</v>
      </c>
      <c r="C473" s="89" t="s">
        <v>3111</v>
      </c>
      <c r="D473" s="90" t="s">
        <v>326</v>
      </c>
      <c r="E473" s="90" t="s">
        <v>1631</v>
      </c>
      <c r="F473" s="91" t="s">
        <v>1556</v>
      </c>
      <c r="G473" s="92" t="s">
        <v>1557</v>
      </c>
      <c r="H473" s="93" t="s">
        <v>3198</v>
      </c>
      <c r="I473" s="87" t="s">
        <v>1901</v>
      </c>
      <c r="J473" s="87" t="s">
        <v>1902</v>
      </c>
      <c r="K473" s="87" t="s">
        <v>1575</v>
      </c>
      <c r="L473" s="126" t="s">
        <v>19</v>
      </c>
      <c r="M473" s="94">
        <v>44309.791666666664</v>
      </c>
      <c r="N473" s="94">
        <v>44309.875</v>
      </c>
      <c r="O473" s="95" t="str">
        <f>PROPER(TEXT(Table1[[#This Row],[Fecha Inicio]],"mmmm"))</f>
        <v>Abril</v>
      </c>
      <c r="P473" s="96" t="s">
        <v>1903</v>
      </c>
      <c r="Q473" s="97" t="s">
        <v>3199</v>
      </c>
      <c r="R473" s="76">
        <f t="shared" si="35"/>
        <v>2</v>
      </c>
      <c r="S473" s="76">
        <f t="shared" si="36"/>
        <v>2</v>
      </c>
      <c r="T473" s="76" t="str">
        <f t="shared" si="37"/>
        <v>-</v>
      </c>
      <c r="U473" s="76" t="str">
        <f t="shared" si="38"/>
        <v>-</v>
      </c>
      <c r="V473" s="76" t="str">
        <f t="shared" si="39"/>
        <v>-</v>
      </c>
      <c r="Z473" s="62"/>
    </row>
    <row r="474" spans="1:26" ht="40.15" customHeight="1" x14ac:dyDescent="0.25">
      <c r="A474" s="87">
        <v>15</v>
      </c>
      <c r="B474" s="89" t="s">
        <v>1550</v>
      </c>
      <c r="C474" s="89" t="s">
        <v>3111</v>
      </c>
      <c r="D474" s="90" t="s">
        <v>326</v>
      </c>
      <c r="E474" s="90" t="s">
        <v>1631</v>
      </c>
      <c r="F474" s="91" t="s">
        <v>1556</v>
      </c>
      <c r="G474" s="92" t="s">
        <v>1557</v>
      </c>
      <c r="H474" s="93" t="s">
        <v>3200</v>
      </c>
      <c r="I474" s="87" t="s">
        <v>1906</v>
      </c>
      <c r="J474" s="87" t="s">
        <v>1907</v>
      </c>
      <c r="K474" s="87" t="s">
        <v>1575</v>
      </c>
      <c r="L474" s="126" t="s">
        <v>19</v>
      </c>
      <c r="M474" s="94">
        <v>44309.791666666664</v>
      </c>
      <c r="N474" s="94">
        <v>44309.875</v>
      </c>
      <c r="O474" s="95" t="str">
        <f>PROPER(TEXT(Table1[[#This Row],[Fecha Inicio]],"mmmm"))</f>
        <v>Abril</v>
      </c>
      <c r="P474" s="96" t="s">
        <v>171</v>
      </c>
      <c r="Q474" s="97" t="s">
        <v>3201</v>
      </c>
      <c r="R474" s="76">
        <f t="shared" si="35"/>
        <v>1</v>
      </c>
      <c r="S474" s="76">
        <f t="shared" si="36"/>
        <v>1</v>
      </c>
      <c r="T474" s="76" t="str">
        <f t="shared" si="37"/>
        <v>-</v>
      </c>
      <c r="U474" s="76" t="str">
        <f t="shared" si="38"/>
        <v>-</v>
      </c>
      <c r="V474" s="76" t="str">
        <f t="shared" si="39"/>
        <v>-</v>
      </c>
      <c r="Z474" s="62"/>
    </row>
    <row r="475" spans="1:26" ht="40.15" customHeight="1" x14ac:dyDescent="0.25">
      <c r="A475" s="87">
        <v>15</v>
      </c>
      <c r="B475" s="89" t="s">
        <v>1550</v>
      </c>
      <c r="C475" s="89" t="s">
        <v>3111</v>
      </c>
      <c r="D475" s="90" t="s">
        <v>326</v>
      </c>
      <c r="E475" s="90" t="s">
        <v>1631</v>
      </c>
      <c r="F475" s="91" t="s">
        <v>1556</v>
      </c>
      <c r="G475" s="92" t="s">
        <v>1557</v>
      </c>
      <c r="H475" s="93" t="s">
        <v>3202</v>
      </c>
      <c r="I475" s="87" t="s">
        <v>1759</v>
      </c>
      <c r="J475" s="87" t="s">
        <v>1760</v>
      </c>
      <c r="K475" s="87" t="s">
        <v>1761</v>
      </c>
      <c r="L475" s="126" t="s">
        <v>19</v>
      </c>
      <c r="M475" s="94">
        <v>44310.958333333336</v>
      </c>
      <c r="N475" s="94">
        <v>44311.125</v>
      </c>
      <c r="O475" s="95" t="str">
        <f>PROPER(TEXT(Table1[[#This Row],[Fecha Inicio]],"mmmm"))</f>
        <v>Abril</v>
      </c>
      <c r="P475" s="96" t="s">
        <v>3203</v>
      </c>
      <c r="Q475" s="97" t="s">
        <v>3204</v>
      </c>
      <c r="R475" s="76">
        <f t="shared" si="35"/>
        <v>5</v>
      </c>
      <c r="S475" s="76">
        <f t="shared" si="36"/>
        <v>5</v>
      </c>
      <c r="T475" s="76" t="str">
        <f t="shared" si="37"/>
        <v>-</v>
      </c>
      <c r="U475" s="76" t="str">
        <f t="shared" si="38"/>
        <v>-</v>
      </c>
      <c r="V475" s="76" t="str">
        <f t="shared" si="39"/>
        <v>-</v>
      </c>
      <c r="Z475" s="62"/>
    </row>
    <row r="476" spans="1:26" ht="40.15" customHeight="1" x14ac:dyDescent="0.25">
      <c r="A476" s="87">
        <v>15</v>
      </c>
      <c r="B476" s="89" t="s">
        <v>1550</v>
      </c>
      <c r="C476" s="89" t="s">
        <v>3111</v>
      </c>
      <c r="D476" s="90" t="s">
        <v>326</v>
      </c>
      <c r="E476" s="90" t="s">
        <v>1631</v>
      </c>
      <c r="F476" s="91" t="s">
        <v>1556</v>
      </c>
      <c r="G476" s="92" t="s">
        <v>1557</v>
      </c>
      <c r="H476" s="93" t="s">
        <v>3205</v>
      </c>
      <c r="I476" s="87" t="s">
        <v>1919</v>
      </c>
      <c r="J476" s="91" t="s">
        <v>1920</v>
      </c>
      <c r="K476" s="91" t="s">
        <v>1921</v>
      </c>
      <c r="L476" s="126" t="s">
        <v>19</v>
      </c>
      <c r="M476" s="94">
        <v>44311</v>
      </c>
      <c r="N476" s="94">
        <v>44311.25</v>
      </c>
      <c r="O476" s="95" t="str">
        <f>PROPER(TEXT(Table1[[#This Row],[Fecha Inicio]],"mmmm"))</f>
        <v>Abril</v>
      </c>
      <c r="P476" s="96" t="s">
        <v>3206</v>
      </c>
      <c r="Q476" s="97" t="s">
        <v>3207</v>
      </c>
      <c r="R476" s="76">
        <f t="shared" si="35"/>
        <v>8</v>
      </c>
      <c r="S476" s="76">
        <f t="shared" si="36"/>
        <v>8</v>
      </c>
      <c r="T476" s="76" t="str">
        <f t="shared" si="37"/>
        <v>-</v>
      </c>
      <c r="U476" s="76" t="str">
        <f t="shared" si="38"/>
        <v>-</v>
      </c>
      <c r="V476" s="76" t="str">
        <f t="shared" si="39"/>
        <v>-</v>
      </c>
      <c r="Z476" s="62"/>
    </row>
    <row r="477" spans="1:26" ht="40.15" customHeight="1" x14ac:dyDescent="0.25">
      <c r="A477" s="87">
        <v>15</v>
      </c>
      <c r="B477" s="89" t="s">
        <v>1550</v>
      </c>
      <c r="C477" s="89" t="s">
        <v>3111</v>
      </c>
      <c r="D477" s="90" t="s">
        <v>326</v>
      </c>
      <c r="E477" s="90" t="s">
        <v>1631</v>
      </c>
      <c r="F477" s="87" t="s">
        <v>1556</v>
      </c>
      <c r="G477" s="92" t="s">
        <v>1557</v>
      </c>
      <c r="H477" s="93" t="s">
        <v>3208</v>
      </c>
      <c r="I477" s="87" t="s">
        <v>2410</v>
      </c>
      <c r="J477" s="87" t="s">
        <v>1951</v>
      </c>
      <c r="K477" s="87" t="s">
        <v>1575</v>
      </c>
      <c r="L477" s="126" t="s">
        <v>19</v>
      </c>
      <c r="M477" s="94">
        <v>44312</v>
      </c>
      <c r="N477" s="94">
        <v>44312.208333333336</v>
      </c>
      <c r="O477" s="95" t="str">
        <f>PROPER(TEXT(Table1[[#This Row],[Fecha Inicio]],"mmmm"))</f>
        <v>Abril</v>
      </c>
      <c r="P477" s="96" t="s">
        <v>1952</v>
      </c>
      <c r="Q477" s="97" t="s">
        <v>3209</v>
      </c>
      <c r="R477" s="76">
        <f t="shared" si="35"/>
        <v>7</v>
      </c>
      <c r="S477" s="76">
        <f t="shared" si="36"/>
        <v>7</v>
      </c>
      <c r="T477" s="76" t="str">
        <f t="shared" si="37"/>
        <v>-</v>
      </c>
      <c r="U477" s="76" t="str">
        <f t="shared" si="38"/>
        <v>-</v>
      </c>
      <c r="V477" s="76" t="str">
        <f t="shared" si="39"/>
        <v>-</v>
      </c>
      <c r="Z477" s="62"/>
    </row>
    <row r="478" spans="1:26" ht="40.15" customHeight="1" x14ac:dyDescent="0.25">
      <c r="A478" s="87">
        <v>15</v>
      </c>
      <c r="B478" s="89" t="s">
        <v>2046</v>
      </c>
      <c r="C478" s="89" t="s">
        <v>3210</v>
      </c>
      <c r="D478" s="90" t="s">
        <v>326</v>
      </c>
      <c r="E478" s="90" t="s">
        <v>1631</v>
      </c>
      <c r="F478" s="91" t="s">
        <v>1556</v>
      </c>
      <c r="G478" s="92" t="s">
        <v>1557</v>
      </c>
      <c r="H478" s="93" t="s">
        <v>3211</v>
      </c>
      <c r="I478" s="87" t="s">
        <v>1925</v>
      </c>
      <c r="J478" s="87" t="s">
        <v>1926</v>
      </c>
      <c r="K478" s="87" t="s">
        <v>1575</v>
      </c>
      <c r="L478" s="126" t="s">
        <v>19</v>
      </c>
      <c r="M478" s="94">
        <v>44312.041666666664</v>
      </c>
      <c r="N478" s="94">
        <v>44312.166666666664</v>
      </c>
      <c r="O478" s="95" t="str">
        <f>PROPER(TEXT(Table1[[#This Row],[Fecha Inicio]],"mmmm"))</f>
        <v>Abril</v>
      </c>
      <c r="P478" s="96" t="s">
        <v>1927</v>
      </c>
      <c r="Q478" s="97" t="s">
        <v>3212</v>
      </c>
      <c r="R478" s="76">
        <f t="shared" si="35"/>
        <v>2</v>
      </c>
      <c r="S478" s="76" t="str">
        <f t="shared" si="36"/>
        <v>-</v>
      </c>
      <c r="T478" s="76" t="str">
        <f t="shared" si="37"/>
        <v>-</v>
      </c>
      <c r="U478" s="76" t="str">
        <f t="shared" si="38"/>
        <v>-</v>
      </c>
      <c r="V478" s="76" t="str">
        <f t="shared" si="39"/>
        <v>-</v>
      </c>
      <c r="Z478" s="62"/>
    </row>
    <row r="479" spans="1:26" ht="40.15" customHeight="1" x14ac:dyDescent="0.25">
      <c r="A479" s="87">
        <v>16</v>
      </c>
      <c r="B479" s="89" t="s">
        <v>1550</v>
      </c>
      <c r="C479" s="89"/>
      <c r="D479" s="90" t="s">
        <v>1554</v>
      </c>
      <c r="E479" s="90" t="s">
        <v>1555</v>
      </c>
      <c r="F479" s="91" t="s">
        <v>1556</v>
      </c>
      <c r="G479" s="92" t="s">
        <v>1557</v>
      </c>
      <c r="H479" s="93" t="s">
        <v>3213</v>
      </c>
      <c r="I479" s="87" t="s">
        <v>3214</v>
      </c>
      <c r="J479" s="87" t="s">
        <v>2239</v>
      </c>
      <c r="K479" s="87" t="s">
        <v>1575</v>
      </c>
      <c r="L479" s="89" t="s">
        <v>52</v>
      </c>
      <c r="M479" s="94">
        <v>44312.375</v>
      </c>
      <c r="N479" s="94">
        <v>44312.625</v>
      </c>
      <c r="O479" s="95" t="str">
        <f>PROPER(TEXT(Table1[[#This Row],[Fecha Inicio]],"mmmm"))</f>
        <v>Abril</v>
      </c>
      <c r="P479" s="96" t="s">
        <v>3215</v>
      </c>
      <c r="Q479" s="97" t="s">
        <v>3216</v>
      </c>
      <c r="R479" s="76">
        <f t="shared" si="35"/>
        <v>7</v>
      </c>
      <c r="S479" s="76">
        <f t="shared" si="36"/>
        <v>7</v>
      </c>
      <c r="T479" s="76" t="str">
        <f t="shared" si="37"/>
        <v>-</v>
      </c>
      <c r="U479" s="76" t="str">
        <f t="shared" si="38"/>
        <v>-</v>
      </c>
      <c r="V479" s="76" t="str">
        <f t="shared" si="39"/>
        <v>-</v>
      </c>
      <c r="Z479" s="62"/>
    </row>
    <row r="480" spans="1:26" ht="40.15" customHeight="1" x14ac:dyDescent="0.25">
      <c r="A480" s="87">
        <v>15</v>
      </c>
      <c r="B480" s="89" t="s">
        <v>1550</v>
      </c>
      <c r="C480" s="89" t="s">
        <v>3111</v>
      </c>
      <c r="D480" s="90" t="s">
        <v>326</v>
      </c>
      <c r="E480" s="90" t="s">
        <v>1631</v>
      </c>
      <c r="F480" s="91" t="s">
        <v>1556</v>
      </c>
      <c r="G480" s="92" t="s">
        <v>1557</v>
      </c>
      <c r="H480" s="93" t="s">
        <v>3217</v>
      </c>
      <c r="I480" s="87" t="s">
        <v>1910</v>
      </c>
      <c r="J480" s="87" t="s">
        <v>1911</v>
      </c>
      <c r="K480" s="87" t="s">
        <v>1575</v>
      </c>
      <c r="L480" s="126" t="s">
        <v>19</v>
      </c>
      <c r="M480" s="94">
        <v>44312.833333333336</v>
      </c>
      <c r="N480" s="94">
        <v>44312.875</v>
      </c>
      <c r="O480" s="95" t="str">
        <f>PROPER(TEXT(Table1[[#This Row],[Fecha Inicio]],"mmmm"))</f>
        <v>Abril</v>
      </c>
      <c r="P480" s="96" t="s">
        <v>1912</v>
      </c>
      <c r="Q480" s="97" t="s">
        <v>3218</v>
      </c>
      <c r="R480" s="76">
        <f t="shared" si="35"/>
        <v>1</v>
      </c>
      <c r="S480" s="76">
        <f t="shared" si="36"/>
        <v>1</v>
      </c>
      <c r="T480" s="76" t="str">
        <f t="shared" si="37"/>
        <v>-</v>
      </c>
      <c r="U480" s="76" t="str">
        <f t="shared" si="38"/>
        <v>-</v>
      </c>
      <c r="V480" s="76" t="str">
        <f t="shared" si="39"/>
        <v>-</v>
      </c>
      <c r="Z480" s="62"/>
    </row>
    <row r="481" spans="1:26" ht="40.15" customHeight="1" x14ac:dyDescent="0.25">
      <c r="A481" s="87">
        <v>15</v>
      </c>
      <c r="B481" s="89" t="s">
        <v>1550</v>
      </c>
      <c r="C481" s="89" t="s">
        <v>3111</v>
      </c>
      <c r="D481" s="90" t="s">
        <v>326</v>
      </c>
      <c r="E481" s="90" t="s">
        <v>1631</v>
      </c>
      <c r="F481" s="91" t="s">
        <v>1556</v>
      </c>
      <c r="G481" s="92" t="s">
        <v>1557</v>
      </c>
      <c r="H481" s="93" t="s">
        <v>3219</v>
      </c>
      <c r="I481" s="91" t="s">
        <v>1838</v>
      </c>
      <c r="J481" s="87" t="s">
        <v>1839</v>
      </c>
      <c r="K481" s="91" t="s">
        <v>1575</v>
      </c>
      <c r="L481" s="126" t="s">
        <v>19</v>
      </c>
      <c r="M481" s="94">
        <v>44312.916666666664</v>
      </c>
      <c r="N481" s="94">
        <v>44312.958333333336</v>
      </c>
      <c r="O481" s="95" t="str">
        <f>PROPER(TEXT(Table1[[#This Row],[Fecha Inicio]],"mmmm"))</f>
        <v>Abril</v>
      </c>
      <c r="P481" s="96" t="s">
        <v>194</v>
      </c>
      <c r="Q481" s="97" t="s">
        <v>3220</v>
      </c>
      <c r="R481" s="76">
        <f t="shared" si="35"/>
        <v>1</v>
      </c>
      <c r="S481" s="76">
        <f t="shared" si="36"/>
        <v>1</v>
      </c>
      <c r="T481" s="76" t="str">
        <f t="shared" si="37"/>
        <v>-</v>
      </c>
      <c r="U481" s="76" t="str">
        <f t="shared" si="38"/>
        <v>-</v>
      </c>
      <c r="V481" s="76" t="str">
        <f t="shared" si="39"/>
        <v>-</v>
      </c>
      <c r="Z481" s="62"/>
    </row>
    <row r="482" spans="1:26" ht="40.15" customHeight="1" x14ac:dyDescent="0.25">
      <c r="A482" s="87">
        <v>16</v>
      </c>
      <c r="B482" s="89" t="s">
        <v>1550</v>
      </c>
      <c r="C482" s="89"/>
      <c r="D482" s="89" t="s">
        <v>344</v>
      </c>
      <c r="E482" s="89" t="s">
        <v>1616</v>
      </c>
      <c r="F482" s="87" t="s">
        <v>1556</v>
      </c>
      <c r="G482" s="92" t="s">
        <v>1557</v>
      </c>
      <c r="H482" s="93" t="s">
        <v>3221</v>
      </c>
      <c r="I482" s="87" t="s">
        <v>2841</v>
      </c>
      <c r="J482" s="87" t="s">
        <v>1619</v>
      </c>
      <c r="K482" s="87" t="s">
        <v>2512</v>
      </c>
      <c r="L482" s="126" t="s">
        <v>19</v>
      </c>
      <c r="M482" s="94">
        <v>44312.958333333336</v>
      </c>
      <c r="N482" s="94">
        <v>44313.125</v>
      </c>
      <c r="O482" s="95" t="str">
        <f>PROPER(TEXT(Table1[[#This Row],[Fecha Inicio]],"mmmm"))</f>
        <v>Abril</v>
      </c>
      <c r="P482" s="96" t="s">
        <v>2842</v>
      </c>
      <c r="Q482" s="97" t="s">
        <v>3222</v>
      </c>
      <c r="R482" s="76">
        <f t="shared" si="35"/>
        <v>3</v>
      </c>
      <c r="S482" s="76">
        <f t="shared" si="36"/>
        <v>3</v>
      </c>
      <c r="T482" s="76" t="str">
        <f t="shared" si="37"/>
        <v>-</v>
      </c>
      <c r="U482" s="76" t="str">
        <f t="shared" si="38"/>
        <v>-</v>
      </c>
      <c r="V482" s="76" t="str">
        <f t="shared" si="39"/>
        <v>-</v>
      </c>
      <c r="Z482" s="62"/>
    </row>
    <row r="483" spans="1:26" ht="40.15" customHeight="1" x14ac:dyDescent="0.25">
      <c r="A483" s="87">
        <v>1</v>
      </c>
      <c r="B483" s="89" t="s">
        <v>1552</v>
      </c>
      <c r="C483" s="89" t="s">
        <v>3223</v>
      </c>
      <c r="D483" s="89" t="s">
        <v>344</v>
      </c>
      <c r="E483" s="89" t="s">
        <v>1616</v>
      </c>
      <c r="F483" s="87" t="s">
        <v>1556</v>
      </c>
      <c r="G483" s="92" t="s">
        <v>1965</v>
      </c>
      <c r="H483" s="93" t="s">
        <v>3224</v>
      </c>
      <c r="I483" s="87" t="s">
        <v>2845</v>
      </c>
      <c r="J483" s="87" t="s">
        <v>1566</v>
      </c>
      <c r="K483" s="87" t="s">
        <v>1567</v>
      </c>
      <c r="L483" s="126" t="s">
        <v>19</v>
      </c>
      <c r="M483" s="94">
        <v>44312.958333333336</v>
      </c>
      <c r="N483" s="94">
        <v>44313.166666666664</v>
      </c>
      <c r="O483" s="95" t="str">
        <f>PROPER(TEXT(Table1[[#This Row],[Fecha Inicio]],"mmmm"))</f>
        <v>Abril</v>
      </c>
      <c r="P483" s="96" t="s">
        <v>3225</v>
      </c>
      <c r="Q483" s="97" t="s">
        <v>3226</v>
      </c>
      <c r="R483" s="76">
        <f t="shared" si="35"/>
        <v>1</v>
      </c>
      <c r="S483" s="76" t="str">
        <f t="shared" si="36"/>
        <v>-</v>
      </c>
      <c r="T483" s="76" t="str">
        <f t="shared" si="37"/>
        <v>-</v>
      </c>
      <c r="U483" s="76">
        <f t="shared" si="38"/>
        <v>1</v>
      </c>
      <c r="V483" s="76" t="str">
        <f t="shared" si="39"/>
        <v>-</v>
      </c>
      <c r="Z483" s="62"/>
    </row>
    <row r="484" spans="1:26" ht="40.15" customHeight="1" x14ac:dyDescent="0.25">
      <c r="A484" s="87">
        <v>17</v>
      </c>
      <c r="B484" s="89" t="s">
        <v>1550</v>
      </c>
      <c r="C484" s="89"/>
      <c r="D484" s="90" t="s">
        <v>1554</v>
      </c>
      <c r="E484" s="90" t="s">
        <v>1555</v>
      </c>
      <c r="F484" s="91" t="s">
        <v>1556</v>
      </c>
      <c r="G484" s="92" t="s">
        <v>1557</v>
      </c>
      <c r="H484" s="93" t="s">
        <v>3227</v>
      </c>
      <c r="I484" s="87" t="s">
        <v>3214</v>
      </c>
      <c r="J484" s="87" t="s">
        <v>2239</v>
      </c>
      <c r="K484" s="87" t="s">
        <v>1575</v>
      </c>
      <c r="L484" s="89" t="s">
        <v>52</v>
      </c>
      <c r="M484" s="94">
        <v>44313.375</v>
      </c>
      <c r="N484" s="94">
        <v>44313.625</v>
      </c>
      <c r="O484" s="95" t="str">
        <f>PROPER(TEXT(Table1[[#This Row],[Fecha Inicio]],"mmmm"))</f>
        <v>Abril</v>
      </c>
      <c r="P484" s="96" t="s">
        <v>3121</v>
      </c>
      <c r="Q484" s="97" t="s">
        <v>3228</v>
      </c>
      <c r="R484" s="76">
        <f t="shared" si="35"/>
        <v>10</v>
      </c>
      <c r="S484" s="76">
        <f t="shared" si="36"/>
        <v>10</v>
      </c>
      <c r="T484" s="76" t="str">
        <f t="shared" si="37"/>
        <v>-</v>
      </c>
      <c r="U484" s="76" t="str">
        <f t="shared" si="38"/>
        <v>-</v>
      </c>
      <c r="V484" s="76" t="str">
        <f t="shared" si="39"/>
        <v>-</v>
      </c>
      <c r="Z484" s="62"/>
    </row>
    <row r="485" spans="1:26" ht="40.15" customHeight="1" x14ac:dyDescent="0.25">
      <c r="A485" s="87">
        <v>15</v>
      </c>
      <c r="B485" s="89" t="s">
        <v>1550</v>
      </c>
      <c r="C485" s="99" t="s">
        <v>3111</v>
      </c>
      <c r="D485" s="90" t="s">
        <v>326</v>
      </c>
      <c r="E485" s="90" t="s">
        <v>1631</v>
      </c>
      <c r="F485" s="91" t="s">
        <v>1556</v>
      </c>
      <c r="G485" s="92" t="s">
        <v>1557</v>
      </c>
      <c r="H485" s="93" t="s">
        <v>3229</v>
      </c>
      <c r="I485" s="87" t="s">
        <v>1961</v>
      </c>
      <c r="J485" s="87" t="s">
        <v>1962</v>
      </c>
      <c r="K485" s="87" t="s">
        <v>1575</v>
      </c>
      <c r="L485" s="126" t="s">
        <v>19</v>
      </c>
      <c r="M485" s="94">
        <v>44313.833333333336</v>
      </c>
      <c r="N485" s="94">
        <v>44313.875</v>
      </c>
      <c r="O485" s="95" t="str">
        <f>PROPER(TEXT(Table1[[#This Row],[Fecha Inicio]],"mmmm"))</f>
        <v>Abril</v>
      </c>
      <c r="P485" s="96" t="s">
        <v>207</v>
      </c>
      <c r="Q485" s="97" t="s">
        <v>3230</v>
      </c>
      <c r="R485" s="76">
        <f t="shared" si="35"/>
        <v>1</v>
      </c>
      <c r="S485" s="76">
        <f t="shared" si="36"/>
        <v>1</v>
      </c>
      <c r="T485" s="76" t="str">
        <f t="shared" si="37"/>
        <v>-</v>
      </c>
      <c r="U485" s="76" t="str">
        <f t="shared" si="38"/>
        <v>-</v>
      </c>
      <c r="V485" s="76" t="str">
        <f t="shared" si="39"/>
        <v>-</v>
      </c>
      <c r="Z485" s="62"/>
    </row>
    <row r="486" spans="1:26" ht="40.15" customHeight="1" x14ac:dyDescent="0.25">
      <c r="A486" s="87">
        <v>17</v>
      </c>
      <c r="B486" s="89" t="s">
        <v>1550</v>
      </c>
      <c r="C486" s="89" t="s">
        <v>1578</v>
      </c>
      <c r="D486" s="89" t="s">
        <v>1570</v>
      </c>
      <c r="E486" s="89" t="s">
        <v>1571</v>
      </c>
      <c r="F486" s="91" t="s">
        <v>1556</v>
      </c>
      <c r="G486" s="92" t="s">
        <v>1557</v>
      </c>
      <c r="H486" s="93" t="s">
        <v>3231</v>
      </c>
      <c r="I486" s="87" t="s">
        <v>3232</v>
      </c>
      <c r="J486" s="87" t="s">
        <v>1790</v>
      </c>
      <c r="K486" s="91" t="s">
        <v>1791</v>
      </c>
      <c r="L486" s="126" t="s">
        <v>19</v>
      </c>
      <c r="M486" s="94">
        <v>44313.875</v>
      </c>
      <c r="N486" s="94">
        <v>44314</v>
      </c>
      <c r="O486" s="95" t="str">
        <f>PROPER(TEXT(Table1[[#This Row],[Fecha Inicio]],"mmmm"))</f>
        <v>Abril</v>
      </c>
      <c r="P486" s="96" t="s">
        <v>1792</v>
      </c>
      <c r="Q486" s="97" t="s">
        <v>3233</v>
      </c>
      <c r="R486" s="76">
        <f t="shared" si="35"/>
        <v>113</v>
      </c>
      <c r="S486" s="76">
        <f t="shared" si="36"/>
        <v>113</v>
      </c>
      <c r="T486" s="76" t="str">
        <f t="shared" si="37"/>
        <v>-</v>
      </c>
      <c r="U486" s="76" t="str">
        <f t="shared" si="38"/>
        <v>-</v>
      </c>
      <c r="V486" s="76" t="str">
        <f t="shared" si="39"/>
        <v>-</v>
      </c>
      <c r="Z486" s="62"/>
    </row>
    <row r="487" spans="1:26" ht="40.15" customHeight="1" x14ac:dyDescent="0.25">
      <c r="A487" s="87">
        <v>16</v>
      </c>
      <c r="B487" s="89" t="s">
        <v>1550</v>
      </c>
      <c r="C487" s="89"/>
      <c r="D487" s="89" t="s">
        <v>344</v>
      </c>
      <c r="E487" s="89" t="s">
        <v>1616</v>
      </c>
      <c r="F487" s="87" t="s">
        <v>1556</v>
      </c>
      <c r="G487" s="92" t="s">
        <v>1557</v>
      </c>
      <c r="H487" s="93" t="s">
        <v>3234</v>
      </c>
      <c r="I487" s="87" t="s">
        <v>2872</v>
      </c>
      <c r="J487" s="87" t="s">
        <v>1619</v>
      </c>
      <c r="K487" s="87" t="s">
        <v>2512</v>
      </c>
      <c r="L487" s="126" t="s">
        <v>19</v>
      </c>
      <c r="M487" s="94">
        <v>44313.958333333336</v>
      </c>
      <c r="N487" s="94">
        <v>44314.125</v>
      </c>
      <c r="O487" s="95" t="str">
        <f>PROPER(TEXT(Table1[[#This Row],[Fecha Inicio]],"mmmm"))</f>
        <v>Abril</v>
      </c>
      <c r="P487" s="96" t="s">
        <v>2873</v>
      </c>
      <c r="Q487" s="97" t="s">
        <v>3235</v>
      </c>
      <c r="R487" s="76">
        <f t="shared" si="35"/>
        <v>3</v>
      </c>
      <c r="S487" s="76">
        <f t="shared" si="36"/>
        <v>3</v>
      </c>
      <c r="T487" s="76" t="str">
        <f t="shared" si="37"/>
        <v>-</v>
      </c>
      <c r="U487" s="76" t="str">
        <f t="shared" si="38"/>
        <v>-</v>
      </c>
      <c r="V487" s="76" t="str">
        <f t="shared" si="39"/>
        <v>-</v>
      </c>
      <c r="Z487" s="62"/>
    </row>
    <row r="488" spans="1:26" ht="40.15" customHeight="1" x14ac:dyDescent="0.25">
      <c r="A488" s="87">
        <v>1</v>
      </c>
      <c r="B488" s="89" t="s">
        <v>1552</v>
      </c>
      <c r="C488" s="89" t="s">
        <v>3223</v>
      </c>
      <c r="D488" s="89" t="s">
        <v>344</v>
      </c>
      <c r="E488" s="89" t="s">
        <v>1616</v>
      </c>
      <c r="F488" s="87" t="s">
        <v>1556</v>
      </c>
      <c r="G488" s="92" t="s">
        <v>1965</v>
      </c>
      <c r="H488" s="93" t="s">
        <v>3236</v>
      </c>
      <c r="I488" s="87" t="s">
        <v>2866</v>
      </c>
      <c r="J488" s="87" t="s">
        <v>1566</v>
      </c>
      <c r="K488" s="87" t="s">
        <v>1567</v>
      </c>
      <c r="L488" s="126" t="s">
        <v>19</v>
      </c>
      <c r="M488" s="94">
        <v>44313.958333333336</v>
      </c>
      <c r="N488" s="94">
        <v>44314.166666666664</v>
      </c>
      <c r="O488" s="95" t="str">
        <f>PROPER(TEXT(Table1[[#This Row],[Fecha Inicio]],"mmmm"))</f>
        <v>Abril</v>
      </c>
      <c r="P488" s="96" t="s">
        <v>3237</v>
      </c>
      <c r="Q488" s="97" t="s">
        <v>3238</v>
      </c>
      <c r="R488" s="76">
        <f t="shared" si="35"/>
        <v>1</v>
      </c>
      <c r="S488" s="76" t="str">
        <f t="shared" si="36"/>
        <v>-</v>
      </c>
      <c r="T488" s="76" t="str">
        <f t="shared" si="37"/>
        <v>-</v>
      </c>
      <c r="U488" s="76">
        <f t="shared" si="38"/>
        <v>1</v>
      </c>
      <c r="V488" s="76" t="str">
        <f t="shared" si="39"/>
        <v>-</v>
      </c>
      <c r="Z488" s="62"/>
    </row>
    <row r="489" spans="1:26" ht="40.15" customHeight="1" x14ac:dyDescent="0.25">
      <c r="A489" s="87">
        <v>15</v>
      </c>
      <c r="B489" s="89" t="s">
        <v>1550</v>
      </c>
      <c r="C489" s="89" t="s">
        <v>3111</v>
      </c>
      <c r="D489" s="90" t="s">
        <v>326</v>
      </c>
      <c r="E489" s="90" t="s">
        <v>1631</v>
      </c>
      <c r="F489" s="91" t="s">
        <v>1556</v>
      </c>
      <c r="G489" s="92" t="s">
        <v>1557</v>
      </c>
      <c r="H489" s="93" t="s">
        <v>3239</v>
      </c>
      <c r="I489" s="87" t="s">
        <v>1979</v>
      </c>
      <c r="J489" s="87" t="s">
        <v>1980</v>
      </c>
      <c r="K489" s="87" t="s">
        <v>1575</v>
      </c>
      <c r="L489" s="126" t="s">
        <v>19</v>
      </c>
      <c r="M489" s="94">
        <v>44314.333333333336</v>
      </c>
      <c r="N489" s="94">
        <v>44314.395833333336</v>
      </c>
      <c r="O489" s="95" t="str">
        <f>PROPER(TEXT(Table1[[#This Row],[Fecha Inicio]],"mmmm"))</f>
        <v>Abril</v>
      </c>
      <c r="P489" s="96" t="s">
        <v>1981</v>
      </c>
      <c r="Q489" s="97" t="s">
        <v>3240</v>
      </c>
      <c r="R489" s="76">
        <f t="shared" si="35"/>
        <v>2</v>
      </c>
      <c r="S489" s="76">
        <f t="shared" si="36"/>
        <v>2</v>
      </c>
      <c r="T489" s="76" t="str">
        <f t="shared" si="37"/>
        <v>-</v>
      </c>
      <c r="U489" s="76" t="str">
        <f t="shared" si="38"/>
        <v>-</v>
      </c>
      <c r="V489" s="76" t="str">
        <f t="shared" si="39"/>
        <v>-</v>
      </c>
      <c r="Z489" s="62"/>
    </row>
    <row r="490" spans="1:26" ht="40.15" customHeight="1" x14ac:dyDescent="0.25">
      <c r="A490" s="87">
        <v>17</v>
      </c>
      <c r="B490" s="89" t="s">
        <v>1550</v>
      </c>
      <c r="C490" s="89" t="s">
        <v>1578</v>
      </c>
      <c r="D490" s="90" t="s">
        <v>326</v>
      </c>
      <c r="E490" s="90" t="s">
        <v>1742</v>
      </c>
      <c r="F490" s="91" t="s">
        <v>1556</v>
      </c>
      <c r="G490" s="92" t="s">
        <v>1557</v>
      </c>
      <c r="H490" s="93" t="s">
        <v>3241</v>
      </c>
      <c r="I490" s="87" t="s">
        <v>2166</v>
      </c>
      <c r="J490" s="87" t="s">
        <v>1560</v>
      </c>
      <c r="K490" s="87" t="s">
        <v>1561</v>
      </c>
      <c r="L490" s="91" t="s">
        <v>52</v>
      </c>
      <c r="M490" s="94">
        <v>44314.375</v>
      </c>
      <c r="N490" s="94">
        <v>44314.625</v>
      </c>
      <c r="O490" s="95" t="str">
        <f>PROPER(TEXT(Table1[[#This Row],[Fecha Inicio]],"mmmm"))</f>
        <v>Abril</v>
      </c>
      <c r="P490" s="96" t="s">
        <v>3242</v>
      </c>
      <c r="Q490" s="97" t="s">
        <v>3243</v>
      </c>
      <c r="R490" s="76">
        <f t="shared" si="35"/>
        <v>1</v>
      </c>
      <c r="S490" s="76">
        <f t="shared" si="36"/>
        <v>1</v>
      </c>
      <c r="T490" s="76" t="str">
        <f t="shared" si="37"/>
        <v>-</v>
      </c>
      <c r="U490" s="76" t="str">
        <f t="shared" si="38"/>
        <v>-</v>
      </c>
      <c r="V490" s="76" t="str">
        <f t="shared" si="39"/>
        <v>-</v>
      </c>
      <c r="Z490" s="62"/>
    </row>
    <row r="491" spans="1:26" ht="40.15" customHeight="1" x14ac:dyDescent="0.25">
      <c r="A491" s="87">
        <v>15</v>
      </c>
      <c r="B491" s="89" t="s">
        <v>1550</v>
      </c>
      <c r="C491" s="89" t="s">
        <v>3111</v>
      </c>
      <c r="D491" s="90" t="s">
        <v>326</v>
      </c>
      <c r="E491" s="90" t="s">
        <v>1631</v>
      </c>
      <c r="F491" s="91" t="s">
        <v>1556</v>
      </c>
      <c r="G491" s="92" t="s">
        <v>1557</v>
      </c>
      <c r="H491" s="93" t="s">
        <v>3244</v>
      </c>
      <c r="I491" s="87" t="s">
        <v>1987</v>
      </c>
      <c r="J491" s="87" t="s">
        <v>1988</v>
      </c>
      <c r="K491" s="91" t="s">
        <v>1575</v>
      </c>
      <c r="L491" s="126" t="s">
        <v>19</v>
      </c>
      <c r="M491" s="94">
        <v>44314.604166666664</v>
      </c>
      <c r="N491" s="94">
        <v>44314.729166666664</v>
      </c>
      <c r="O491" s="95" t="str">
        <f>PROPER(TEXT(Table1[[#This Row],[Fecha Inicio]],"mmmm"))</f>
        <v>Abril</v>
      </c>
      <c r="P491" s="96" t="s">
        <v>1989</v>
      </c>
      <c r="Q491" s="97" t="s">
        <v>3245</v>
      </c>
      <c r="R491" s="76">
        <f t="shared" si="35"/>
        <v>4</v>
      </c>
      <c r="S491" s="76">
        <f t="shared" si="36"/>
        <v>4</v>
      </c>
      <c r="T491" s="76" t="str">
        <f t="shared" si="37"/>
        <v>-</v>
      </c>
      <c r="U491" s="76" t="str">
        <f t="shared" si="38"/>
        <v>-</v>
      </c>
      <c r="V491" s="76" t="str">
        <f t="shared" si="39"/>
        <v>-</v>
      </c>
      <c r="Z491" s="62"/>
    </row>
    <row r="492" spans="1:26" ht="40.15" customHeight="1" x14ac:dyDescent="0.25">
      <c r="A492" s="87">
        <v>17</v>
      </c>
      <c r="B492" s="89" t="s">
        <v>1550</v>
      </c>
      <c r="C492" s="89" t="s">
        <v>1578</v>
      </c>
      <c r="D492" s="90" t="s">
        <v>1665</v>
      </c>
      <c r="E492" s="90" t="s">
        <v>2192</v>
      </c>
      <c r="F492" s="87" t="s">
        <v>1556</v>
      </c>
      <c r="G492" s="92" t="s">
        <v>1557</v>
      </c>
      <c r="H492" s="93" t="s">
        <v>3246</v>
      </c>
      <c r="I492" s="87" t="s">
        <v>3247</v>
      </c>
      <c r="J492" s="87" t="s">
        <v>1669</v>
      </c>
      <c r="K492" s="87" t="s">
        <v>1670</v>
      </c>
      <c r="L492" s="89" t="s">
        <v>41</v>
      </c>
      <c r="M492" s="94">
        <v>44314.829861111109</v>
      </c>
      <c r="N492" s="94">
        <v>44314.9375</v>
      </c>
      <c r="O492" s="95" t="str">
        <f>PROPER(TEXT(Table1[[#This Row],[Fecha Inicio]],"mmmm"))</f>
        <v>Abril</v>
      </c>
      <c r="P492" s="87" t="s">
        <v>3248</v>
      </c>
      <c r="Q492" s="97" t="s">
        <v>3249</v>
      </c>
      <c r="R492" s="76">
        <f t="shared" si="35"/>
        <v>1</v>
      </c>
      <c r="S492" s="76">
        <f t="shared" si="36"/>
        <v>1</v>
      </c>
      <c r="T492" s="76" t="str">
        <f t="shared" si="37"/>
        <v>-</v>
      </c>
      <c r="U492" s="76" t="str">
        <f t="shared" si="38"/>
        <v>-</v>
      </c>
      <c r="V492" s="76" t="str">
        <f t="shared" si="39"/>
        <v>-</v>
      </c>
      <c r="Z492" s="62"/>
    </row>
    <row r="493" spans="1:26" ht="40.15" customHeight="1" x14ac:dyDescent="0.25">
      <c r="A493" s="87">
        <v>17</v>
      </c>
      <c r="B493" s="89" t="s">
        <v>1550</v>
      </c>
      <c r="C493" s="89" t="s">
        <v>1578</v>
      </c>
      <c r="D493" s="90" t="s">
        <v>1554</v>
      </c>
      <c r="E493" s="90" t="s">
        <v>1555</v>
      </c>
      <c r="F493" s="91" t="s">
        <v>1556</v>
      </c>
      <c r="G493" s="92" t="s">
        <v>1557</v>
      </c>
      <c r="H493" s="93" t="s">
        <v>3250</v>
      </c>
      <c r="I493" s="87" t="s">
        <v>3214</v>
      </c>
      <c r="J493" s="87" t="s">
        <v>2239</v>
      </c>
      <c r="K493" s="87" t="s">
        <v>1575</v>
      </c>
      <c r="L493" s="89" t="s">
        <v>52</v>
      </c>
      <c r="M493" s="94">
        <v>44315.375</v>
      </c>
      <c r="N493" s="94">
        <v>44315.625</v>
      </c>
      <c r="O493" s="95" t="str">
        <f>PROPER(TEXT(Table1[[#This Row],[Fecha Inicio]],"mmmm"))</f>
        <v>Abril</v>
      </c>
      <c r="P493" s="96" t="s">
        <v>3121</v>
      </c>
      <c r="Q493" s="97" t="s">
        <v>3251</v>
      </c>
      <c r="R493" s="76">
        <f t="shared" si="35"/>
        <v>10</v>
      </c>
      <c r="S493" s="76">
        <f t="shared" si="36"/>
        <v>10</v>
      </c>
      <c r="T493" s="76" t="str">
        <f t="shared" si="37"/>
        <v>-</v>
      </c>
      <c r="U493" s="76" t="str">
        <f t="shared" si="38"/>
        <v>-</v>
      </c>
      <c r="V493" s="76" t="str">
        <f t="shared" si="39"/>
        <v>-</v>
      </c>
      <c r="Z493" s="62"/>
    </row>
    <row r="494" spans="1:26" ht="40.15" customHeight="1" x14ac:dyDescent="0.25">
      <c r="A494" s="87">
        <v>17</v>
      </c>
      <c r="B494" s="89" t="s">
        <v>1550</v>
      </c>
      <c r="C494" s="89"/>
      <c r="D494" s="90" t="s">
        <v>1623</v>
      </c>
      <c r="E494" s="90" t="s">
        <v>1624</v>
      </c>
      <c r="F494" s="91" t="s">
        <v>1556</v>
      </c>
      <c r="G494" s="92" t="s">
        <v>1557</v>
      </c>
      <c r="H494" s="93" t="s">
        <v>3252</v>
      </c>
      <c r="I494" s="87" t="s">
        <v>1685</v>
      </c>
      <c r="J494" s="87" t="s">
        <v>1627</v>
      </c>
      <c r="K494" s="87" t="s">
        <v>1575</v>
      </c>
      <c r="L494" s="126" t="s">
        <v>19</v>
      </c>
      <c r="M494" s="94">
        <v>44315.5</v>
      </c>
      <c r="N494" s="94">
        <v>44315.625</v>
      </c>
      <c r="O494" s="95" t="str">
        <f>PROPER(TEXT(Table1[[#This Row],[Fecha Inicio]],"mmmm"))</f>
        <v>Abril</v>
      </c>
      <c r="P494" s="96" t="s">
        <v>2764</v>
      </c>
      <c r="Q494" s="97" t="s">
        <v>3253</v>
      </c>
      <c r="R494" s="76">
        <f t="shared" si="35"/>
        <v>2</v>
      </c>
      <c r="S494" s="76">
        <f t="shared" si="36"/>
        <v>2</v>
      </c>
      <c r="T494" s="76" t="str">
        <f t="shared" si="37"/>
        <v>-</v>
      </c>
      <c r="U494" s="76" t="str">
        <f t="shared" si="38"/>
        <v>-</v>
      </c>
      <c r="V494" s="76" t="str">
        <f t="shared" si="39"/>
        <v>-</v>
      </c>
      <c r="Z494" s="62"/>
    </row>
    <row r="495" spans="1:26" ht="40.15" customHeight="1" x14ac:dyDescent="0.25">
      <c r="A495" s="87">
        <v>16</v>
      </c>
      <c r="B495" s="89" t="s">
        <v>2046</v>
      </c>
      <c r="C495" s="89" t="s">
        <v>3254</v>
      </c>
      <c r="D495" s="90" t="s">
        <v>1554</v>
      </c>
      <c r="E495" s="90" t="s">
        <v>1555</v>
      </c>
      <c r="F495" s="91" t="s">
        <v>1556</v>
      </c>
      <c r="G495" s="92" t="s">
        <v>1557</v>
      </c>
      <c r="H495" s="93" t="s">
        <v>3255</v>
      </c>
      <c r="I495" s="87" t="s">
        <v>3256</v>
      </c>
      <c r="J495" s="87" t="s">
        <v>3175</v>
      </c>
      <c r="K495" s="87" t="s">
        <v>2619</v>
      </c>
      <c r="L495" s="126" t="s">
        <v>19</v>
      </c>
      <c r="M495" s="94">
        <v>44315.5</v>
      </c>
      <c r="N495" s="94">
        <v>44315.708333333336</v>
      </c>
      <c r="O495" s="95" t="str">
        <f>PROPER(TEXT(Table1[[#This Row],[Fecha Inicio]],"mmmm"))</f>
        <v>Abril</v>
      </c>
      <c r="P495" s="96" t="s">
        <v>3257</v>
      </c>
      <c r="Q495" s="97" t="s">
        <v>3258</v>
      </c>
      <c r="R495" s="76">
        <f t="shared" si="35"/>
        <v>1</v>
      </c>
      <c r="S495" s="76" t="str">
        <f t="shared" si="36"/>
        <v>-</v>
      </c>
      <c r="T495" s="76" t="str">
        <f t="shared" si="37"/>
        <v>-</v>
      </c>
      <c r="U495" s="76" t="str">
        <f t="shared" si="38"/>
        <v>-</v>
      </c>
      <c r="V495" s="76" t="str">
        <f t="shared" si="39"/>
        <v>-</v>
      </c>
      <c r="Z495" s="62"/>
    </row>
    <row r="496" spans="1:26" ht="40.15" customHeight="1" x14ac:dyDescent="0.25">
      <c r="A496" s="87">
        <v>17</v>
      </c>
      <c r="B496" s="89" t="s">
        <v>1550</v>
      </c>
      <c r="C496" s="89" t="s">
        <v>3111</v>
      </c>
      <c r="D496" s="90" t="s">
        <v>326</v>
      </c>
      <c r="E496" s="90" t="s">
        <v>1631</v>
      </c>
      <c r="F496" s="91" t="s">
        <v>1556</v>
      </c>
      <c r="G496" s="92" t="s">
        <v>1557</v>
      </c>
      <c r="H496" s="93" t="s">
        <v>3259</v>
      </c>
      <c r="I496" s="87" t="s">
        <v>3260</v>
      </c>
      <c r="J496" s="87" t="s">
        <v>2511</v>
      </c>
      <c r="K496" s="87" t="s">
        <v>2512</v>
      </c>
      <c r="L496" s="126" t="s">
        <v>19</v>
      </c>
      <c r="M496" s="94">
        <v>44316.041666666664</v>
      </c>
      <c r="N496" s="94">
        <v>44316.125</v>
      </c>
      <c r="O496" s="95" t="str">
        <f>PROPER(TEXT(Table1[[#This Row],[Fecha Inicio]],"mmmm"))</f>
        <v>Abril</v>
      </c>
      <c r="P496" s="96" t="s">
        <v>3261</v>
      </c>
      <c r="Q496" s="97" t="s">
        <v>3262</v>
      </c>
      <c r="R496" s="76">
        <f t="shared" si="35"/>
        <v>6</v>
      </c>
      <c r="S496" s="76">
        <f t="shared" si="36"/>
        <v>6</v>
      </c>
      <c r="T496" s="76" t="str">
        <f t="shared" si="37"/>
        <v>-</v>
      </c>
      <c r="U496" s="76" t="str">
        <f t="shared" si="38"/>
        <v>-</v>
      </c>
      <c r="V496" s="76" t="str">
        <f t="shared" si="39"/>
        <v>-</v>
      </c>
      <c r="Z496" s="62"/>
    </row>
    <row r="497" spans="1:26" ht="40.15" customHeight="1" x14ac:dyDescent="0.25">
      <c r="A497" s="87">
        <v>17</v>
      </c>
      <c r="B497" s="89" t="s">
        <v>1550</v>
      </c>
      <c r="C497" s="89"/>
      <c r="D497" s="90" t="s">
        <v>1554</v>
      </c>
      <c r="E497" s="90" t="s">
        <v>1555</v>
      </c>
      <c r="F497" s="91" t="s">
        <v>1556</v>
      </c>
      <c r="G497" s="92" t="s">
        <v>1557</v>
      </c>
      <c r="H497" s="93" t="s">
        <v>3263</v>
      </c>
      <c r="I497" s="87" t="s">
        <v>3214</v>
      </c>
      <c r="J497" s="87" t="s">
        <v>2239</v>
      </c>
      <c r="K497" s="87" t="s">
        <v>1575</v>
      </c>
      <c r="L497" s="89" t="s">
        <v>52</v>
      </c>
      <c r="M497" s="94">
        <v>44316.375</v>
      </c>
      <c r="N497" s="94">
        <v>44316.625</v>
      </c>
      <c r="O497" s="95" t="str">
        <f>PROPER(TEXT(Table1[[#This Row],[Fecha Inicio]],"mmmm"))</f>
        <v>Abril</v>
      </c>
      <c r="P497" s="96" t="s">
        <v>3264</v>
      </c>
      <c r="Q497" s="97" t="s">
        <v>3265</v>
      </c>
      <c r="R497" s="76">
        <f t="shared" si="35"/>
        <v>13</v>
      </c>
      <c r="S497" s="76">
        <f t="shared" si="36"/>
        <v>13</v>
      </c>
      <c r="T497" s="76" t="str">
        <f t="shared" si="37"/>
        <v>-</v>
      </c>
      <c r="U497" s="76" t="str">
        <f t="shared" si="38"/>
        <v>-</v>
      </c>
      <c r="V497" s="76" t="str">
        <f t="shared" si="39"/>
        <v>-</v>
      </c>
      <c r="Z497" s="62"/>
    </row>
    <row r="498" spans="1:26" ht="40.15" customHeight="1" x14ac:dyDescent="0.25">
      <c r="A498" s="87">
        <v>17</v>
      </c>
      <c r="B498" s="89" t="s">
        <v>1550</v>
      </c>
      <c r="C498" s="89" t="s">
        <v>1578</v>
      </c>
      <c r="D498" s="90" t="s">
        <v>1554</v>
      </c>
      <c r="E498" s="90" t="s">
        <v>1555</v>
      </c>
      <c r="F498" s="91" t="s">
        <v>1556</v>
      </c>
      <c r="G498" s="92" t="s">
        <v>1557</v>
      </c>
      <c r="H498" s="93" t="s">
        <v>3266</v>
      </c>
      <c r="I498" s="87" t="s">
        <v>3214</v>
      </c>
      <c r="J498" s="87" t="s">
        <v>2239</v>
      </c>
      <c r="K498" s="87" t="s">
        <v>1575</v>
      </c>
      <c r="L498" s="89" t="s">
        <v>52</v>
      </c>
      <c r="M498" s="94">
        <v>44316.375</v>
      </c>
      <c r="N498" s="94">
        <v>44316.625</v>
      </c>
      <c r="O498" s="95" t="str">
        <f>PROPER(TEXT(Table1[[#This Row],[Fecha Inicio]],"mmmm"))</f>
        <v>Abril</v>
      </c>
      <c r="P498" s="96" t="s">
        <v>3124</v>
      </c>
      <c r="Q498" s="97" t="s">
        <v>3267</v>
      </c>
      <c r="R498" s="76">
        <f t="shared" si="35"/>
        <v>15</v>
      </c>
      <c r="S498" s="76">
        <f t="shared" si="36"/>
        <v>15</v>
      </c>
      <c r="T498" s="76" t="str">
        <f t="shared" si="37"/>
        <v>-</v>
      </c>
      <c r="U498" s="76" t="str">
        <f t="shared" si="38"/>
        <v>-</v>
      </c>
      <c r="V498" s="76" t="str">
        <f t="shared" si="39"/>
        <v>-</v>
      </c>
      <c r="Z498" s="62"/>
    </row>
    <row r="499" spans="1:26" ht="40.15" customHeight="1" x14ac:dyDescent="0.25">
      <c r="A499" s="87">
        <v>15</v>
      </c>
      <c r="B499" s="89" t="s">
        <v>1550</v>
      </c>
      <c r="C499" s="89" t="s">
        <v>3111</v>
      </c>
      <c r="D499" s="90" t="s">
        <v>326</v>
      </c>
      <c r="E499" s="90" t="s">
        <v>1631</v>
      </c>
      <c r="F499" s="91" t="s">
        <v>1556</v>
      </c>
      <c r="G499" s="92" t="s">
        <v>1557</v>
      </c>
      <c r="H499" s="93" t="s">
        <v>3268</v>
      </c>
      <c r="I499" s="87" t="s">
        <v>2013</v>
      </c>
      <c r="J499" s="87" t="s">
        <v>2014</v>
      </c>
      <c r="K499" s="87" t="s">
        <v>1575</v>
      </c>
      <c r="L499" s="126" t="s">
        <v>19</v>
      </c>
      <c r="M499" s="94">
        <v>44316.791666666664</v>
      </c>
      <c r="N499" s="94">
        <v>44316.875</v>
      </c>
      <c r="O499" s="95" t="str">
        <f>PROPER(TEXT(Table1[[#This Row],[Fecha Inicio]],"mmmm"))</f>
        <v>Abril</v>
      </c>
      <c r="P499" s="96" t="s">
        <v>2015</v>
      </c>
      <c r="Q499" s="97" t="s">
        <v>3269</v>
      </c>
      <c r="R499" s="76">
        <f t="shared" si="35"/>
        <v>9</v>
      </c>
      <c r="S499" s="76">
        <f t="shared" si="36"/>
        <v>9</v>
      </c>
      <c r="T499" s="76" t="str">
        <f t="shared" si="37"/>
        <v>-</v>
      </c>
      <c r="U499" s="76" t="str">
        <f t="shared" si="38"/>
        <v>-</v>
      </c>
      <c r="V499" s="76" t="str">
        <f t="shared" si="39"/>
        <v>-</v>
      </c>
      <c r="Z499" s="62"/>
    </row>
    <row r="500" spans="1:26" ht="40.15" customHeight="1" x14ac:dyDescent="0.25">
      <c r="A500" s="87">
        <v>15</v>
      </c>
      <c r="B500" s="89" t="s">
        <v>1550</v>
      </c>
      <c r="C500" s="89" t="s">
        <v>3111</v>
      </c>
      <c r="D500" s="90" t="s">
        <v>326</v>
      </c>
      <c r="E500" s="90" t="s">
        <v>1631</v>
      </c>
      <c r="F500" s="91" t="s">
        <v>1556</v>
      </c>
      <c r="G500" s="92" t="s">
        <v>1557</v>
      </c>
      <c r="H500" s="93" t="s">
        <v>3270</v>
      </c>
      <c r="I500" s="87" t="s">
        <v>2013</v>
      </c>
      <c r="J500" s="87" t="s">
        <v>2014</v>
      </c>
      <c r="K500" s="87" t="s">
        <v>1575</v>
      </c>
      <c r="L500" s="126" t="s">
        <v>19</v>
      </c>
      <c r="M500" s="94">
        <v>44316.833333333336</v>
      </c>
      <c r="N500" s="94">
        <v>44316.875</v>
      </c>
      <c r="O500" s="95" t="str">
        <f>PROPER(TEXT(Table1[[#This Row],[Fecha Inicio]],"mmmm"))</f>
        <v>Abril</v>
      </c>
      <c r="P500" s="96" t="s">
        <v>219</v>
      </c>
      <c r="Q500" s="97" t="s">
        <v>3271</v>
      </c>
      <c r="R500" s="76">
        <f t="shared" si="35"/>
        <v>1</v>
      </c>
      <c r="S500" s="76">
        <f t="shared" si="36"/>
        <v>1</v>
      </c>
      <c r="T500" s="76" t="str">
        <f t="shared" si="37"/>
        <v>-</v>
      </c>
      <c r="U500" s="76" t="str">
        <f t="shared" si="38"/>
        <v>-</v>
      </c>
      <c r="V500" s="76" t="str">
        <f t="shared" si="39"/>
        <v>-</v>
      </c>
      <c r="Z500" s="62"/>
    </row>
    <row r="501" spans="1:26" ht="40.15" customHeight="1" x14ac:dyDescent="0.25">
      <c r="A501" s="87">
        <v>15</v>
      </c>
      <c r="B501" s="89" t="s">
        <v>1550</v>
      </c>
      <c r="C501" s="89" t="s">
        <v>3111</v>
      </c>
      <c r="D501" s="90" t="s">
        <v>326</v>
      </c>
      <c r="E501" s="90" t="s">
        <v>1631</v>
      </c>
      <c r="F501" s="91" t="s">
        <v>1556</v>
      </c>
      <c r="G501" s="92" t="s">
        <v>1557</v>
      </c>
      <c r="H501" s="93" t="s">
        <v>3272</v>
      </c>
      <c r="I501" s="87" t="s">
        <v>1919</v>
      </c>
      <c r="J501" s="91" t="s">
        <v>1920</v>
      </c>
      <c r="K501" s="91" t="s">
        <v>1921</v>
      </c>
      <c r="L501" s="126" t="s">
        <v>19</v>
      </c>
      <c r="M501" s="94">
        <v>44318</v>
      </c>
      <c r="N501" s="94">
        <v>44318.25</v>
      </c>
      <c r="O501" s="95" t="str">
        <f>PROPER(TEXT(Table1[[#This Row],[Fecha Inicio]],"mmmm"))</f>
        <v>Mayo</v>
      </c>
      <c r="P501" s="96" t="s">
        <v>2020</v>
      </c>
      <c r="Q501" s="97" t="s">
        <v>3273</v>
      </c>
      <c r="R501" s="76">
        <f t="shared" si="35"/>
        <v>18</v>
      </c>
      <c r="S501" s="76">
        <f t="shared" si="36"/>
        <v>18</v>
      </c>
      <c r="T501" s="76" t="str">
        <f t="shared" si="37"/>
        <v>-</v>
      </c>
      <c r="U501" s="76" t="str">
        <f t="shared" si="38"/>
        <v>-</v>
      </c>
      <c r="V501" s="76" t="str">
        <f t="shared" si="39"/>
        <v>-</v>
      </c>
      <c r="Z501" s="62"/>
    </row>
    <row r="502" spans="1:26" ht="40.15" customHeight="1" x14ac:dyDescent="0.25">
      <c r="A502" s="87">
        <v>17</v>
      </c>
      <c r="B502" s="89" t="s">
        <v>1550</v>
      </c>
      <c r="C502" s="89"/>
      <c r="D502" s="90" t="s">
        <v>1554</v>
      </c>
      <c r="E502" s="90" t="s">
        <v>1555</v>
      </c>
      <c r="F502" s="91" t="s">
        <v>1556</v>
      </c>
      <c r="G502" s="92" t="s">
        <v>1557</v>
      </c>
      <c r="H502" s="93" t="s">
        <v>3274</v>
      </c>
      <c r="I502" s="87" t="s">
        <v>3120</v>
      </c>
      <c r="J502" s="87" t="s">
        <v>2239</v>
      </c>
      <c r="K502" s="87" t="s">
        <v>1575</v>
      </c>
      <c r="L502" s="89" t="s">
        <v>52</v>
      </c>
      <c r="M502" s="94">
        <v>44319.375</v>
      </c>
      <c r="N502" s="94">
        <v>44319.625</v>
      </c>
      <c r="O502" s="95" t="str">
        <f>PROPER(TEXT(Table1[[#This Row],[Fecha Inicio]],"mmmm"))</f>
        <v>Mayo</v>
      </c>
      <c r="P502" s="96" t="s">
        <v>3275</v>
      </c>
      <c r="Q502" s="97" t="s">
        <v>3276</v>
      </c>
      <c r="R502" s="76">
        <f t="shared" si="35"/>
        <v>18</v>
      </c>
      <c r="S502" s="76">
        <f t="shared" si="36"/>
        <v>18</v>
      </c>
      <c r="T502" s="76" t="str">
        <f t="shared" si="37"/>
        <v>-</v>
      </c>
      <c r="U502" s="76" t="str">
        <f t="shared" si="38"/>
        <v>-</v>
      </c>
      <c r="V502" s="76" t="str">
        <f t="shared" si="39"/>
        <v>-</v>
      </c>
      <c r="Z502" s="62"/>
    </row>
    <row r="503" spans="1:26" ht="40.15" customHeight="1" x14ac:dyDescent="0.25">
      <c r="A503" s="87">
        <v>17</v>
      </c>
      <c r="B503" s="89" t="s">
        <v>1550</v>
      </c>
      <c r="C503" s="89"/>
      <c r="D503" s="89" t="s">
        <v>1570</v>
      </c>
      <c r="E503" s="89" t="s">
        <v>1571</v>
      </c>
      <c r="F503" s="91" t="s">
        <v>1556</v>
      </c>
      <c r="G503" s="92" t="s">
        <v>1557</v>
      </c>
      <c r="H503" s="93" t="s">
        <v>3277</v>
      </c>
      <c r="I503" s="87" t="s">
        <v>3278</v>
      </c>
      <c r="J503" s="91" t="s">
        <v>1574</v>
      </c>
      <c r="K503" s="91" t="s">
        <v>1575</v>
      </c>
      <c r="L503" s="126" t="s">
        <v>19</v>
      </c>
      <c r="M503" s="94">
        <v>44319.958333333336</v>
      </c>
      <c r="N503" s="94">
        <v>44320.041666666664</v>
      </c>
      <c r="O503" s="95" t="str">
        <f>PROPER(TEXT(Table1[[#This Row],[Fecha Inicio]],"mmmm"))</f>
        <v>Mayo</v>
      </c>
      <c r="P503" s="87" t="s">
        <v>1576</v>
      </c>
      <c r="Q503" s="97" t="s">
        <v>3279</v>
      </c>
      <c r="R503" s="76">
        <f t="shared" si="35"/>
        <v>5</v>
      </c>
      <c r="S503" s="76">
        <f t="shared" si="36"/>
        <v>5</v>
      </c>
      <c r="T503" s="76" t="str">
        <f t="shared" si="37"/>
        <v>-</v>
      </c>
      <c r="U503" s="76" t="str">
        <f t="shared" si="38"/>
        <v>-</v>
      </c>
      <c r="V503" s="76" t="str">
        <f t="shared" si="39"/>
        <v>-</v>
      </c>
      <c r="Z503" s="62"/>
    </row>
    <row r="504" spans="1:26" ht="40.15" customHeight="1" x14ac:dyDescent="0.25">
      <c r="A504" s="87">
        <v>17</v>
      </c>
      <c r="B504" s="89" t="s">
        <v>1550</v>
      </c>
      <c r="C504" s="89"/>
      <c r="D504" s="89" t="s">
        <v>1570</v>
      </c>
      <c r="E504" s="89" t="s">
        <v>1571</v>
      </c>
      <c r="F504" s="91" t="s">
        <v>1556</v>
      </c>
      <c r="G504" s="92" t="s">
        <v>1557</v>
      </c>
      <c r="H504" s="93" t="s">
        <v>3280</v>
      </c>
      <c r="I504" s="87" t="s">
        <v>3281</v>
      </c>
      <c r="J504" s="91" t="s">
        <v>1694</v>
      </c>
      <c r="K504" s="91" t="s">
        <v>2240</v>
      </c>
      <c r="L504" s="126" t="s">
        <v>19</v>
      </c>
      <c r="M504" s="94">
        <v>44320.875</v>
      </c>
      <c r="N504" s="94">
        <v>44320.958333333336</v>
      </c>
      <c r="O504" s="95" t="str">
        <f>PROPER(TEXT(Table1[[#This Row],[Fecha Inicio]],"mmmm"))</f>
        <v>Mayo</v>
      </c>
      <c r="P504" s="96" t="s">
        <v>1696</v>
      </c>
      <c r="Q504" s="97" t="s">
        <v>3282</v>
      </c>
      <c r="R504" s="76">
        <f t="shared" si="35"/>
        <v>1</v>
      </c>
      <c r="S504" s="76">
        <f t="shared" si="36"/>
        <v>1</v>
      </c>
      <c r="T504" s="76" t="str">
        <f t="shared" si="37"/>
        <v>-</v>
      </c>
      <c r="U504" s="76" t="str">
        <f t="shared" si="38"/>
        <v>-</v>
      </c>
      <c r="V504" s="76" t="str">
        <f t="shared" si="39"/>
        <v>-</v>
      </c>
      <c r="Z504" s="62"/>
    </row>
    <row r="505" spans="1:26" ht="40.15" customHeight="1" x14ac:dyDescent="0.25">
      <c r="A505" s="87">
        <v>17</v>
      </c>
      <c r="B505" s="89" t="s">
        <v>1552</v>
      </c>
      <c r="C505" s="89" t="s">
        <v>3283</v>
      </c>
      <c r="D505" s="90" t="s">
        <v>1665</v>
      </c>
      <c r="E505" s="90" t="s">
        <v>2192</v>
      </c>
      <c r="F505" s="87" t="s">
        <v>1556</v>
      </c>
      <c r="G505" s="92" t="s">
        <v>1965</v>
      </c>
      <c r="H505" s="93" t="s">
        <v>3284</v>
      </c>
      <c r="I505" s="87" t="s">
        <v>3285</v>
      </c>
      <c r="J505" s="87" t="s">
        <v>1669</v>
      </c>
      <c r="K505" s="87" t="s">
        <v>1670</v>
      </c>
      <c r="L505" s="89" t="s">
        <v>52</v>
      </c>
      <c r="M505" s="94">
        <v>44320.916666666664</v>
      </c>
      <c r="N505" s="94">
        <v>44321.291666666664</v>
      </c>
      <c r="O505" s="95" t="str">
        <f>PROPER(TEXT(Table1[[#This Row],[Fecha Inicio]],"mmmm"))</f>
        <v>Mayo</v>
      </c>
      <c r="P505" s="96" t="s">
        <v>3286</v>
      </c>
      <c r="Q505" s="97" t="s">
        <v>3287</v>
      </c>
      <c r="R505" s="76">
        <f t="shared" si="35"/>
        <v>1</v>
      </c>
      <c r="S505" s="76" t="str">
        <f t="shared" si="36"/>
        <v>-</v>
      </c>
      <c r="T505" s="76" t="str">
        <f t="shared" si="37"/>
        <v>-</v>
      </c>
      <c r="U505" s="76">
        <f t="shared" si="38"/>
        <v>1</v>
      </c>
      <c r="V505" s="76" t="str">
        <f t="shared" si="39"/>
        <v>-</v>
      </c>
      <c r="Z505" s="62"/>
    </row>
    <row r="506" spans="1:26" ht="40.15" customHeight="1" x14ac:dyDescent="0.25">
      <c r="A506" s="87">
        <v>17</v>
      </c>
      <c r="B506" s="89" t="s">
        <v>1550</v>
      </c>
      <c r="C506" s="89"/>
      <c r="D506" s="89" t="s">
        <v>1570</v>
      </c>
      <c r="E506" s="89" t="s">
        <v>1571</v>
      </c>
      <c r="F506" s="91" t="s">
        <v>1556</v>
      </c>
      <c r="G506" s="92" t="s">
        <v>1557</v>
      </c>
      <c r="H506" s="93" t="s">
        <v>3288</v>
      </c>
      <c r="I506" s="87" t="s">
        <v>3289</v>
      </c>
      <c r="J506" s="87" t="s">
        <v>1595</v>
      </c>
      <c r="K506" s="91" t="s">
        <v>1596</v>
      </c>
      <c r="L506" s="126" t="s">
        <v>19</v>
      </c>
      <c r="M506" s="94">
        <v>44320.958333333336</v>
      </c>
      <c r="N506" s="94">
        <v>44321.041666666664</v>
      </c>
      <c r="O506" s="95" t="str">
        <f>PROPER(TEXT(Table1[[#This Row],[Fecha Inicio]],"mmmm"))</f>
        <v>Mayo</v>
      </c>
      <c r="P506" s="87" t="s">
        <v>1597</v>
      </c>
      <c r="Q506" s="97" t="s">
        <v>3290</v>
      </c>
      <c r="R506" s="76">
        <f t="shared" si="35"/>
        <v>2</v>
      </c>
      <c r="S506" s="76">
        <f t="shared" si="36"/>
        <v>2</v>
      </c>
      <c r="T506" s="76" t="str">
        <f t="shared" si="37"/>
        <v>-</v>
      </c>
      <c r="U506" s="76" t="str">
        <f t="shared" si="38"/>
        <v>-</v>
      </c>
      <c r="V506" s="76" t="str">
        <f t="shared" si="39"/>
        <v>-</v>
      </c>
      <c r="Z506" s="62"/>
    </row>
    <row r="507" spans="1:26" ht="40.15" customHeight="1" x14ac:dyDescent="0.25">
      <c r="A507" s="87">
        <v>18</v>
      </c>
      <c r="B507" s="89" t="s">
        <v>1550</v>
      </c>
      <c r="C507" s="89" t="s">
        <v>1578</v>
      </c>
      <c r="D507" s="90" t="s">
        <v>1665</v>
      </c>
      <c r="E507" s="90" t="s">
        <v>2192</v>
      </c>
      <c r="F507" s="87" t="s">
        <v>1556</v>
      </c>
      <c r="G507" s="92" t="s">
        <v>1557</v>
      </c>
      <c r="H507" s="93" t="s">
        <v>3291</v>
      </c>
      <c r="I507" s="87" t="s">
        <v>3285</v>
      </c>
      <c r="J507" s="87" t="s">
        <v>1669</v>
      </c>
      <c r="K507" s="87" t="s">
        <v>1670</v>
      </c>
      <c r="L507" s="89" t="s">
        <v>52</v>
      </c>
      <c r="M507" s="94">
        <v>44321.958333333336</v>
      </c>
      <c r="N507" s="94">
        <v>44322.020833333336</v>
      </c>
      <c r="O507" s="95" t="str">
        <f>PROPER(TEXT(Table1[[#This Row],[Fecha Inicio]],"mmmm"))</f>
        <v>Mayo</v>
      </c>
      <c r="P507" s="96" t="s">
        <v>3286</v>
      </c>
      <c r="Q507" s="97" t="s">
        <v>3292</v>
      </c>
      <c r="R507" s="76">
        <f t="shared" si="35"/>
        <v>1</v>
      </c>
      <c r="S507" s="76">
        <f t="shared" si="36"/>
        <v>1</v>
      </c>
      <c r="T507" s="76" t="str">
        <f t="shared" si="37"/>
        <v>-</v>
      </c>
      <c r="U507" s="76" t="str">
        <f t="shared" si="38"/>
        <v>-</v>
      </c>
      <c r="V507" s="76" t="str">
        <f t="shared" si="39"/>
        <v>-</v>
      </c>
      <c r="Z507" s="62"/>
    </row>
    <row r="508" spans="1:26" ht="40.15" customHeight="1" x14ac:dyDescent="0.25">
      <c r="A508" s="87">
        <v>17</v>
      </c>
      <c r="B508" s="89" t="s">
        <v>1550</v>
      </c>
      <c r="C508" s="89"/>
      <c r="D508" s="89" t="s">
        <v>1570</v>
      </c>
      <c r="E508" s="89" t="s">
        <v>1571</v>
      </c>
      <c r="F508" s="91" t="s">
        <v>1556</v>
      </c>
      <c r="G508" s="92" t="s">
        <v>1557</v>
      </c>
      <c r="H508" s="93" t="s">
        <v>3293</v>
      </c>
      <c r="I508" s="87" t="s">
        <v>3294</v>
      </c>
      <c r="J508" s="87" t="s">
        <v>1654</v>
      </c>
      <c r="K508" s="91" t="s">
        <v>1575</v>
      </c>
      <c r="L508" s="126" t="s">
        <v>19</v>
      </c>
      <c r="M508" s="94">
        <v>44321.958333333336</v>
      </c>
      <c r="N508" s="94">
        <v>44323.416666666664</v>
      </c>
      <c r="O508" s="95" t="str">
        <f>PROPER(TEXT(Table1[[#This Row],[Fecha Inicio]],"mmmm"))</f>
        <v>Mayo</v>
      </c>
      <c r="P508" s="87" t="s">
        <v>2095</v>
      </c>
      <c r="Q508" s="97" t="s">
        <v>3295</v>
      </c>
      <c r="R508" s="76">
        <f t="shared" si="35"/>
        <v>8</v>
      </c>
      <c r="S508" s="76">
        <f t="shared" si="36"/>
        <v>8</v>
      </c>
      <c r="T508" s="76" t="str">
        <f t="shared" si="37"/>
        <v>-</v>
      </c>
      <c r="U508" s="76" t="str">
        <f t="shared" si="38"/>
        <v>-</v>
      </c>
      <c r="V508" s="76" t="str">
        <f t="shared" si="39"/>
        <v>-</v>
      </c>
      <c r="Z508" s="62"/>
    </row>
    <row r="509" spans="1:26" ht="40.15" customHeight="1" x14ac:dyDescent="0.25">
      <c r="A509" s="87">
        <v>18</v>
      </c>
      <c r="B509" s="89" t="s">
        <v>1550</v>
      </c>
      <c r="C509" s="89"/>
      <c r="D509" s="90" t="s">
        <v>1554</v>
      </c>
      <c r="E509" s="90" t="s">
        <v>1555</v>
      </c>
      <c r="F509" s="91" t="s">
        <v>1556</v>
      </c>
      <c r="G509" s="92" t="s">
        <v>1557</v>
      </c>
      <c r="H509" s="93" t="s">
        <v>3296</v>
      </c>
      <c r="I509" s="87" t="s">
        <v>3120</v>
      </c>
      <c r="J509" s="87" t="s">
        <v>2239</v>
      </c>
      <c r="K509" s="87" t="s">
        <v>1575</v>
      </c>
      <c r="L509" s="89" t="s">
        <v>52</v>
      </c>
      <c r="M509" s="94">
        <v>44322.375</v>
      </c>
      <c r="N509" s="94">
        <v>44322.625</v>
      </c>
      <c r="O509" s="95" t="str">
        <f>PROPER(TEXT(Table1[[#This Row],[Fecha Inicio]],"mmmm"))</f>
        <v>Mayo</v>
      </c>
      <c r="P509" s="96" t="s">
        <v>3297</v>
      </c>
      <c r="Q509" s="97" t="s">
        <v>3298</v>
      </c>
      <c r="R509" s="76">
        <f t="shared" si="35"/>
        <v>2</v>
      </c>
      <c r="S509" s="76">
        <f t="shared" si="36"/>
        <v>2</v>
      </c>
      <c r="T509" s="76" t="str">
        <f t="shared" si="37"/>
        <v>-</v>
      </c>
      <c r="U509" s="76" t="str">
        <f t="shared" si="38"/>
        <v>-</v>
      </c>
      <c r="V509" s="76" t="str">
        <f t="shared" si="39"/>
        <v>-</v>
      </c>
      <c r="Z509" s="62"/>
    </row>
    <row r="510" spans="1:26" ht="40.15" customHeight="1" x14ac:dyDescent="0.25">
      <c r="A510" s="87">
        <v>18</v>
      </c>
      <c r="B510" s="89" t="s">
        <v>1550</v>
      </c>
      <c r="C510" s="89"/>
      <c r="D510" s="90" t="s">
        <v>1554</v>
      </c>
      <c r="E510" s="90" t="s">
        <v>1555</v>
      </c>
      <c r="F510" s="91" t="s">
        <v>1556</v>
      </c>
      <c r="G510" s="92" t="s">
        <v>1557</v>
      </c>
      <c r="H510" s="93" t="s">
        <v>3299</v>
      </c>
      <c r="I510" s="87" t="s">
        <v>3214</v>
      </c>
      <c r="J510" s="87" t="s">
        <v>2239</v>
      </c>
      <c r="K510" s="87" t="s">
        <v>1575</v>
      </c>
      <c r="L510" s="89" t="s">
        <v>52</v>
      </c>
      <c r="M510" s="94">
        <v>44322.375</v>
      </c>
      <c r="N510" s="94">
        <v>44322.625</v>
      </c>
      <c r="O510" s="95" t="str">
        <f>PROPER(TEXT(Table1[[#This Row],[Fecha Inicio]],"mmmm"))</f>
        <v>Mayo</v>
      </c>
      <c r="P510" s="96" t="s">
        <v>3215</v>
      </c>
      <c r="Q510" s="97" t="s">
        <v>3300</v>
      </c>
      <c r="R510" s="76">
        <f t="shared" si="35"/>
        <v>7</v>
      </c>
      <c r="S510" s="76">
        <f t="shared" si="36"/>
        <v>7</v>
      </c>
      <c r="T510" s="76" t="str">
        <f t="shared" si="37"/>
        <v>-</v>
      </c>
      <c r="U510" s="76" t="str">
        <f t="shared" si="38"/>
        <v>-</v>
      </c>
      <c r="V510" s="76" t="str">
        <f t="shared" si="39"/>
        <v>-</v>
      </c>
      <c r="Z510" s="62"/>
    </row>
    <row r="511" spans="1:26" ht="40.15" customHeight="1" x14ac:dyDescent="0.25">
      <c r="A511" s="87">
        <v>17</v>
      </c>
      <c r="B511" s="89" t="s">
        <v>1550</v>
      </c>
      <c r="C511" s="89"/>
      <c r="D511" s="89" t="s">
        <v>1570</v>
      </c>
      <c r="E511" s="89" t="s">
        <v>1571</v>
      </c>
      <c r="F511" s="91" t="s">
        <v>1556</v>
      </c>
      <c r="G511" s="92" t="s">
        <v>1557</v>
      </c>
      <c r="H511" s="93" t="s">
        <v>3301</v>
      </c>
      <c r="I511" s="87" t="s">
        <v>3302</v>
      </c>
      <c r="J511" s="87" t="s">
        <v>1708</v>
      </c>
      <c r="K511" s="91" t="s">
        <v>1709</v>
      </c>
      <c r="L511" s="126" t="s">
        <v>19</v>
      </c>
      <c r="M511" s="94">
        <v>44322.958333333336</v>
      </c>
      <c r="N511" s="94">
        <v>44323.083333333336</v>
      </c>
      <c r="O511" s="95" t="str">
        <f>PROPER(TEXT(Table1[[#This Row],[Fecha Inicio]],"mmmm"))</f>
        <v>Mayo</v>
      </c>
      <c r="P511" s="96" t="s">
        <v>1710</v>
      </c>
      <c r="Q511" s="97" t="s">
        <v>3303</v>
      </c>
      <c r="R511" s="76">
        <f t="shared" si="35"/>
        <v>15</v>
      </c>
      <c r="S511" s="76">
        <f t="shared" si="36"/>
        <v>15</v>
      </c>
      <c r="T511" s="76" t="str">
        <f t="shared" si="37"/>
        <v>-</v>
      </c>
      <c r="U511" s="76" t="str">
        <f t="shared" si="38"/>
        <v>-</v>
      </c>
      <c r="V511" s="76" t="str">
        <f t="shared" si="39"/>
        <v>-</v>
      </c>
      <c r="Z511" s="62"/>
    </row>
    <row r="512" spans="1:26" ht="40.15" customHeight="1" x14ac:dyDescent="0.25">
      <c r="A512" s="87">
        <v>18</v>
      </c>
      <c r="B512" s="89" t="s">
        <v>1550</v>
      </c>
      <c r="C512" s="89"/>
      <c r="D512" s="89" t="s">
        <v>326</v>
      </c>
      <c r="E512" s="89" t="s">
        <v>1742</v>
      </c>
      <c r="F512" s="87" t="s">
        <v>1556</v>
      </c>
      <c r="G512" s="92" t="s">
        <v>1557</v>
      </c>
      <c r="H512" s="93" t="s">
        <v>3304</v>
      </c>
      <c r="I512" s="87" t="s">
        <v>3305</v>
      </c>
      <c r="J512" s="87" t="s">
        <v>3008</v>
      </c>
      <c r="K512" s="87" t="s">
        <v>2826</v>
      </c>
      <c r="L512" s="87" t="s">
        <v>52</v>
      </c>
      <c r="M512" s="94">
        <v>44323.375</v>
      </c>
      <c r="N512" s="94">
        <v>44323.625</v>
      </c>
      <c r="O512" s="95" t="str">
        <f>PROPER(TEXT(Table1[[#This Row],[Fecha Inicio]],"mmmm"))</f>
        <v>Mayo</v>
      </c>
      <c r="P512" s="96" t="s">
        <v>3306</v>
      </c>
      <c r="Q512" s="97" t="s">
        <v>3307</v>
      </c>
      <c r="R512" s="76">
        <f t="shared" si="35"/>
        <v>18</v>
      </c>
      <c r="S512" s="76">
        <f t="shared" si="36"/>
        <v>18</v>
      </c>
      <c r="T512" s="76" t="str">
        <f t="shared" si="37"/>
        <v>-</v>
      </c>
      <c r="U512" s="76" t="str">
        <f t="shared" si="38"/>
        <v>-</v>
      </c>
      <c r="V512" s="76" t="str">
        <f t="shared" si="39"/>
        <v>-</v>
      </c>
      <c r="Z512" s="62"/>
    </row>
    <row r="513" spans="1:26" ht="40.15" customHeight="1" x14ac:dyDescent="0.25">
      <c r="A513" s="87">
        <v>18</v>
      </c>
      <c r="B513" s="89" t="s">
        <v>1550</v>
      </c>
      <c r="C513" s="89"/>
      <c r="D513" s="90" t="s">
        <v>1579</v>
      </c>
      <c r="E513" s="90" t="s">
        <v>2972</v>
      </c>
      <c r="F513" s="91" t="s">
        <v>1556</v>
      </c>
      <c r="G513" s="92" t="s">
        <v>1557</v>
      </c>
      <c r="H513" s="93" t="s">
        <v>3308</v>
      </c>
      <c r="I513" s="87" t="s">
        <v>3309</v>
      </c>
      <c r="J513" s="87" t="s">
        <v>3310</v>
      </c>
      <c r="K513" s="87" t="s">
        <v>3311</v>
      </c>
      <c r="L513" s="89" t="s">
        <v>52</v>
      </c>
      <c r="M513" s="94">
        <v>44323.885416666664</v>
      </c>
      <c r="N513" s="94">
        <v>44323.927083333336</v>
      </c>
      <c r="O513" s="95" t="str">
        <f>PROPER(TEXT(Table1[[#This Row],[Fecha Inicio]],"mmmm"))</f>
        <v>Mayo</v>
      </c>
      <c r="P513" s="96" t="s">
        <v>3312</v>
      </c>
      <c r="Q513" s="97" t="s">
        <v>3313</v>
      </c>
      <c r="R513" s="76">
        <f t="shared" si="35"/>
        <v>2</v>
      </c>
      <c r="S513" s="76">
        <f t="shared" si="36"/>
        <v>2</v>
      </c>
      <c r="T513" s="76" t="str">
        <f t="shared" si="37"/>
        <v>-</v>
      </c>
      <c r="U513" s="76" t="str">
        <f t="shared" si="38"/>
        <v>-</v>
      </c>
      <c r="V513" s="76" t="str">
        <f t="shared" si="39"/>
        <v>-</v>
      </c>
      <c r="Z513" s="62"/>
    </row>
    <row r="514" spans="1:26" ht="40.15" customHeight="1" x14ac:dyDescent="0.25">
      <c r="A514" s="87">
        <v>17</v>
      </c>
      <c r="B514" s="89" t="s">
        <v>1550</v>
      </c>
      <c r="C514" s="89"/>
      <c r="D514" s="89" t="s">
        <v>1570</v>
      </c>
      <c r="E514" s="89" t="s">
        <v>1571</v>
      </c>
      <c r="F514" s="91" t="s">
        <v>1556</v>
      </c>
      <c r="G514" s="92" t="s">
        <v>1557</v>
      </c>
      <c r="H514" s="93" t="s">
        <v>3316</v>
      </c>
      <c r="I514" s="87" t="s">
        <v>3317</v>
      </c>
      <c r="J514" s="87" t="s">
        <v>1755</v>
      </c>
      <c r="K514" s="91" t="s">
        <v>2136</v>
      </c>
      <c r="L514" s="126" t="s">
        <v>19</v>
      </c>
      <c r="M514" s="94">
        <v>44323.958333333336</v>
      </c>
      <c r="N514" s="94">
        <v>44324.041666666664</v>
      </c>
      <c r="O514" s="95" t="str">
        <f>PROPER(TEXT(Table1[[#This Row],[Fecha Inicio]],"mmmm"))</f>
        <v>Mayo</v>
      </c>
      <c r="P514" s="96" t="s">
        <v>1756</v>
      </c>
      <c r="Q514" s="97" t="s">
        <v>3318</v>
      </c>
      <c r="R514" s="76">
        <f t="shared" ref="R514:R577" si="40">LEN(TRIM(P514))-LEN(SUBSTITUTE(TRIM(P514),",",""))+1</f>
        <v>1</v>
      </c>
      <c r="S514" s="76">
        <f t="shared" ref="S514:S577" si="41">IF(B514="CON ÉXITO",R514,"-")</f>
        <v>1</v>
      </c>
      <c r="T514" s="76" t="str">
        <f t="shared" ref="T514:T577" si="42">IF($B514="Éxito con problemas",S514,"-")</f>
        <v>-</v>
      </c>
      <c r="U514" s="76" t="str">
        <f t="shared" ref="U514:U577" si="43">IF($B514="CANCELADO",R514,"-")</f>
        <v>-</v>
      </c>
      <c r="V514" s="76" t="str">
        <f t="shared" ref="V514:V577" si="44">IF($B514="Aplicada marcha atrás",R514,"-")</f>
        <v>-</v>
      </c>
      <c r="Z514" s="62"/>
    </row>
    <row r="515" spans="1:26" ht="40.15" customHeight="1" x14ac:dyDescent="0.25">
      <c r="A515" s="87">
        <v>16</v>
      </c>
      <c r="B515" s="89" t="s">
        <v>1550</v>
      </c>
      <c r="C515" s="98" t="s">
        <v>1599</v>
      </c>
      <c r="D515" s="89" t="s">
        <v>1570</v>
      </c>
      <c r="E515" s="89" t="s">
        <v>1571</v>
      </c>
      <c r="F515" s="87" t="s">
        <v>1600</v>
      </c>
      <c r="G515" s="92" t="s">
        <v>1557</v>
      </c>
      <c r="H515" s="93" t="s">
        <v>3314</v>
      </c>
      <c r="I515" s="87" t="s">
        <v>1602</v>
      </c>
      <c r="J515" s="87" t="s">
        <v>1603</v>
      </c>
      <c r="K515" s="87" t="s">
        <v>1341</v>
      </c>
      <c r="L515" s="89" t="s">
        <v>25</v>
      </c>
      <c r="M515" s="94">
        <v>44323.958333333336</v>
      </c>
      <c r="N515" s="94">
        <v>44324.25</v>
      </c>
      <c r="O515" s="95" t="str">
        <f>PROPER(TEXT(Table1[[#This Row],[Fecha Inicio]],"mmmm"))</f>
        <v>Mayo</v>
      </c>
      <c r="P515" s="96" t="s">
        <v>1604</v>
      </c>
      <c r="Q515" s="97" t="s">
        <v>3315</v>
      </c>
      <c r="R515" s="76">
        <f t="shared" si="40"/>
        <v>24</v>
      </c>
      <c r="S515" s="76">
        <f t="shared" si="41"/>
        <v>24</v>
      </c>
      <c r="T515" s="76" t="str">
        <f t="shared" si="42"/>
        <v>-</v>
      </c>
      <c r="U515" s="76" t="str">
        <f t="shared" si="43"/>
        <v>-</v>
      </c>
      <c r="V515" s="76" t="str">
        <f t="shared" si="44"/>
        <v>-</v>
      </c>
      <c r="Z515" s="62"/>
    </row>
    <row r="516" spans="1:26" ht="40.15" customHeight="1" x14ac:dyDescent="0.25">
      <c r="A516" s="87">
        <v>16</v>
      </c>
      <c r="B516" s="89" t="s">
        <v>1550</v>
      </c>
      <c r="C516" s="98" t="s">
        <v>1599</v>
      </c>
      <c r="D516" s="89" t="s">
        <v>1570</v>
      </c>
      <c r="E516" s="89" t="s">
        <v>1571</v>
      </c>
      <c r="F516" s="87" t="s">
        <v>1600</v>
      </c>
      <c r="G516" s="92" t="s">
        <v>1557</v>
      </c>
      <c r="H516" s="93" t="s">
        <v>3319</v>
      </c>
      <c r="I516" s="87" t="s">
        <v>1607</v>
      </c>
      <c r="J516" s="87" t="s">
        <v>1603</v>
      </c>
      <c r="K516" s="87" t="s">
        <v>1341</v>
      </c>
      <c r="L516" s="89" t="s">
        <v>25</v>
      </c>
      <c r="M516" s="94">
        <v>44324.958333333336</v>
      </c>
      <c r="N516" s="94">
        <v>44325.25</v>
      </c>
      <c r="O516" s="95" t="str">
        <f>PROPER(TEXT(Table1[[#This Row],[Fecha Inicio]],"mmmm"))</f>
        <v>Mayo</v>
      </c>
      <c r="P516" s="96" t="s">
        <v>2121</v>
      </c>
      <c r="Q516" s="97" t="s">
        <v>3320</v>
      </c>
      <c r="R516" s="76">
        <f t="shared" si="40"/>
        <v>103</v>
      </c>
      <c r="S516" s="76">
        <f t="shared" si="41"/>
        <v>103</v>
      </c>
      <c r="T516" s="76" t="str">
        <f t="shared" si="42"/>
        <v>-</v>
      </c>
      <c r="U516" s="76" t="str">
        <f t="shared" si="43"/>
        <v>-</v>
      </c>
      <c r="V516" s="76" t="str">
        <f t="shared" si="44"/>
        <v>-</v>
      </c>
      <c r="Z516" s="62"/>
    </row>
    <row r="517" spans="1:26" ht="40.15" customHeight="1" x14ac:dyDescent="0.25">
      <c r="A517" s="87">
        <v>18</v>
      </c>
      <c r="B517" s="89" t="s">
        <v>1550</v>
      </c>
      <c r="C517" s="89"/>
      <c r="D517" s="90" t="s">
        <v>344</v>
      </c>
      <c r="E517" s="90" t="s">
        <v>1799</v>
      </c>
      <c r="F517" s="91" t="s">
        <v>1556</v>
      </c>
      <c r="G517" s="92" t="s">
        <v>1557</v>
      </c>
      <c r="H517" s="93" t="s">
        <v>3321</v>
      </c>
      <c r="I517" s="87" t="s">
        <v>3322</v>
      </c>
      <c r="J517" s="87" t="s">
        <v>1560</v>
      </c>
      <c r="K517" s="87" t="s">
        <v>1561</v>
      </c>
      <c r="L517" s="126" t="s">
        <v>19</v>
      </c>
      <c r="M517" s="94">
        <v>44325.833333333336</v>
      </c>
      <c r="N517" s="94">
        <v>44325.916666666664</v>
      </c>
      <c r="O517" s="95" t="str">
        <f>PROPER(TEXT(Table1[[#This Row],[Fecha Inicio]],"mmmm"))</f>
        <v>Mayo</v>
      </c>
      <c r="P517" s="96" t="s">
        <v>3323</v>
      </c>
      <c r="Q517" s="97" t="s">
        <v>3324</v>
      </c>
      <c r="R517" s="76">
        <f t="shared" si="40"/>
        <v>1</v>
      </c>
      <c r="S517" s="76">
        <f t="shared" si="41"/>
        <v>1</v>
      </c>
      <c r="T517" s="76" t="str">
        <f t="shared" si="42"/>
        <v>-</v>
      </c>
      <c r="U517" s="76" t="str">
        <f t="shared" si="43"/>
        <v>-</v>
      </c>
      <c r="V517" s="76" t="str">
        <f t="shared" si="44"/>
        <v>-</v>
      </c>
      <c r="Z517" s="62"/>
    </row>
    <row r="518" spans="1:26" ht="40.15" customHeight="1" x14ac:dyDescent="0.25">
      <c r="A518" s="87">
        <v>17</v>
      </c>
      <c r="B518" s="89" t="s">
        <v>1550</v>
      </c>
      <c r="C518" s="89"/>
      <c r="D518" s="89" t="s">
        <v>1570</v>
      </c>
      <c r="E518" s="89" t="s">
        <v>1571</v>
      </c>
      <c r="F518" s="91" t="s">
        <v>1556</v>
      </c>
      <c r="G518" s="92" t="s">
        <v>1557</v>
      </c>
      <c r="H518" s="93" t="s">
        <v>3325</v>
      </c>
      <c r="I518" s="87" t="s">
        <v>3326</v>
      </c>
      <c r="J518" s="87" t="s">
        <v>1724</v>
      </c>
      <c r="K518" s="91" t="s">
        <v>1575</v>
      </c>
      <c r="L518" s="126" t="s">
        <v>19</v>
      </c>
      <c r="M518" s="94">
        <v>44325.958333333336</v>
      </c>
      <c r="N518" s="94">
        <v>44326.083333333336</v>
      </c>
      <c r="O518" s="95" t="str">
        <f>PROPER(TEXT(Table1[[#This Row],[Fecha Inicio]],"mmmm"))</f>
        <v>Mayo</v>
      </c>
      <c r="P518" s="87" t="s">
        <v>1725</v>
      </c>
      <c r="Q518" s="97" t="s">
        <v>3327</v>
      </c>
      <c r="R518" s="76">
        <f t="shared" si="40"/>
        <v>13</v>
      </c>
      <c r="S518" s="76">
        <f t="shared" si="41"/>
        <v>13</v>
      </c>
      <c r="T518" s="76" t="str">
        <f t="shared" si="42"/>
        <v>-</v>
      </c>
      <c r="U518" s="76" t="str">
        <f t="shared" si="43"/>
        <v>-</v>
      </c>
      <c r="V518" s="76" t="str">
        <f t="shared" si="44"/>
        <v>-</v>
      </c>
      <c r="Z518" s="62"/>
    </row>
    <row r="519" spans="1:26" ht="40.15" customHeight="1" x14ac:dyDescent="0.25">
      <c r="A519" s="87">
        <v>18</v>
      </c>
      <c r="B519" s="89" t="s">
        <v>1550</v>
      </c>
      <c r="C519" s="89"/>
      <c r="D519" s="90" t="s">
        <v>1554</v>
      </c>
      <c r="E519" s="90" t="s">
        <v>1555</v>
      </c>
      <c r="F519" s="91" t="s">
        <v>1556</v>
      </c>
      <c r="G519" s="92" t="s">
        <v>1557</v>
      </c>
      <c r="H519" s="93" t="s">
        <v>3328</v>
      </c>
      <c r="I519" s="87" t="s">
        <v>3214</v>
      </c>
      <c r="J519" s="87" t="s">
        <v>2239</v>
      </c>
      <c r="K519" s="87" t="s">
        <v>1575</v>
      </c>
      <c r="L519" s="89" t="s">
        <v>52</v>
      </c>
      <c r="M519" s="94">
        <v>44326.375</v>
      </c>
      <c r="N519" s="94">
        <v>44326.625</v>
      </c>
      <c r="O519" s="95" t="str">
        <f>PROPER(TEXT(Table1[[#This Row],[Fecha Inicio]],"mmmm"))</f>
        <v>Mayo</v>
      </c>
      <c r="P519" s="96" t="s">
        <v>3329</v>
      </c>
      <c r="Q519" s="97" t="s">
        <v>3330</v>
      </c>
      <c r="R519" s="76">
        <f t="shared" si="40"/>
        <v>19</v>
      </c>
      <c r="S519" s="76">
        <f t="shared" si="41"/>
        <v>19</v>
      </c>
      <c r="T519" s="76" t="str">
        <f t="shared" si="42"/>
        <v>-</v>
      </c>
      <c r="U519" s="76" t="str">
        <f t="shared" si="43"/>
        <v>-</v>
      </c>
      <c r="V519" s="76" t="str">
        <f t="shared" si="44"/>
        <v>-</v>
      </c>
      <c r="Z519" s="62"/>
    </row>
    <row r="520" spans="1:26" ht="40.15" customHeight="1" x14ac:dyDescent="0.25">
      <c r="A520" s="87">
        <v>18</v>
      </c>
      <c r="B520" s="89" t="s">
        <v>1550</v>
      </c>
      <c r="C520" s="89"/>
      <c r="D520" s="89" t="s">
        <v>1623</v>
      </c>
      <c r="E520" s="89" t="s">
        <v>1624</v>
      </c>
      <c r="F520" s="87" t="s">
        <v>1556</v>
      </c>
      <c r="G520" s="92" t="s">
        <v>1557</v>
      </c>
      <c r="H520" s="93" t="s">
        <v>3331</v>
      </c>
      <c r="I520" s="87" t="s">
        <v>3093</v>
      </c>
      <c r="J520" s="87" t="s">
        <v>3053</v>
      </c>
      <c r="K520" s="87" t="s">
        <v>1575</v>
      </c>
      <c r="L520" s="126" t="s">
        <v>19</v>
      </c>
      <c r="M520" s="94">
        <v>44326.458333333336</v>
      </c>
      <c r="N520" s="94">
        <v>44326.583333333336</v>
      </c>
      <c r="O520" s="95" t="str">
        <f>PROPER(TEXT(Table1[[#This Row],[Fecha Inicio]],"mmmm"))</f>
        <v>Mayo</v>
      </c>
      <c r="P520" s="96" t="s">
        <v>3094</v>
      </c>
      <c r="Q520" s="97" t="s">
        <v>3332</v>
      </c>
      <c r="R520" s="76">
        <f t="shared" si="40"/>
        <v>1</v>
      </c>
      <c r="S520" s="76">
        <f t="shared" si="41"/>
        <v>1</v>
      </c>
      <c r="T520" s="76" t="str">
        <f t="shared" si="42"/>
        <v>-</v>
      </c>
      <c r="U520" s="76" t="str">
        <f t="shared" si="43"/>
        <v>-</v>
      </c>
      <c r="V520" s="76" t="str">
        <f t="shared" si="44"/>
        <v>-</v>
      </c>
      <c r="Z520" s="62"/>
    </row>
    <row r="521" spans="1:26" ht="40.15" customHeight="1" x14ac:dyDescent="0.25">
      <c r="A521" s="87">
        <v>18</v>
      </c>
      <c r="B521" s="89" t="s">
        <v>1550</v>
      </c>
      <c r="C521" s="89"/>
      <c r="D521" s="90" t="s">
        <v>1623</v>
      </c>
      <c r="E521" s="90" t="s">
        <v>1624</v>
      </c>
      <c r="F521" s="91" t="s">
        <v>1556</v>
      </c>
      <c r="G521" s="92" t="s">
        <v>1557</v>
      </c>
      <c r="H521" s="93" t="s">
        <v>3333</v>
      </c>
      <c r="I521" s="87" t="s">
        <v>3334</v>
      </c>
      <c r="J521" s="87" t="s">
        <v>3335</v>
      </c>
      <c r="K521" s="87" t="s">
        <v>1575</v>
      </c>
      <c r="L521" s="126" t="s">
        <v>19</v>
      </c>
      <c r="M521" s="94">
        <v>44326.666666666664</v>
      </c>
      <c r="N521" s="94">
        <v>44326.791666666664</v>
      </c>
      <c r="O521" s="95" t="str">
        <f>PROPER(TEXT(Table1[[#This Row],[Fecha Inicio]],"mmmm"))</f>
        <v>Mayo</v>
      </c>
      <c r="P521" s="96" t="s">
        <v>3336</v>
      </c>
      <c r="Q521" s="97" t="s">
        <v>3337</v>
      </c>
      <c r="R521" s="76">
        <f t="shared" si="40"/>
        <v>1</v>
      </c>
      <c r="S521" s="76">
        <f t="shared" si="41"/>
        <v>1</v>
      </c>
      <c r="T521" s="76" t="str">
        <f t="shared" si="42"/>
        <v>-</v>
      </c>
      <c r="U521" s="76" t="str">
        <f t="shared" si="43"/>
        <v>-</v>
      </c>
      <c r="V521" s="76" t="str">
        <f t="shared" si="44"/>
        <v>-</v>
      </c>
      <c r="Z521" s="62"/>
    </row>
    <row r="522" spans="1:26" ht="40.15" customHeight="1" x14ac:dyDescent="0.25">
      <c r="A522" s="87">
        <v>17</v>
      </c>
      <c r="B522" s="89" t="s">
        <v>1550</v>
      </c>
      <c r="C522" s="89"/>
      <c r="D522" s="89" t="s">
        <v>1570</v>
      </c>
      <c r="E522" s="89" t="s">
        <v>1571</v>
      </c>
      <c r="F522" s="91" t="s">
        <v>1556</v>
      </c>
      <c r="G522" s="92" t="s">
        <v>1557</v>
      </c>
      <c r="H522" s="93" t="s">
        <v>3338</v>
      </c>
      <c r="I522" s="87" t="s">
        <v>3339</v>
      </c>
      <c r="J522" s="87" t="s">
        <v>1612</v>
      </c>
      <c r="K522" s="91" t="s">
        <v>1613</v>
      </c>
      <c r="L522" s="126" t="s">
        <v>19</v>
      </c>
      <c r="M522" s="94">
        <v>44326.958333333336</v>
      </c>
      <c r="N522" s="94">
        <v>44327.041666666664</v>
      </c>
      <c r="O522" s="95" t="str">
        <f>PROPER(TEXT(Table1[[#This Row],[Fecha Inicio]],"mmmm"))</f>
        <v>Mayo</v>
      </c>
      <c r="P522" s="87" t="s">
        <v>3058</v>
      </c>
      <c r="Q522" s="97" t="s">
        <v>3340</v>
      </c>
      <c r="R522" s="76">
        <f t="shared" si="40"/>
        <v>19</v>
      </c>
      <c r="S522" s="76">
        <f t="shared" si="41"/>
        <v>19</v>
      </c>
      <c r="T522" s="76" t="str">
        <f t="shared" si="42"/>
        <v>-</v>
      </c>
      <c r="U522" s="76" t="str">
        <f t="shared" si="43"/>
        <v>-</v>
      </c>
      <c r="V522" s="76" t="str">
        <f t="shared" si="44"/>
        <v>-</v>
      </c>
      <c r="Z522" s="62"/>
    </row>
    <row r="523" spans="1:26" ht="40.15" customHeight="1" x14ac:dyDescent="0.25">
      <c r="A523" s="87">
        <v>18</v>
      </c>
      <c r="B523" s="89" t="s">
        <v>1550</v>
      </c>
      <c r="C523" s="89"/>
      <c r="D523" s="90" t="s">
        <v>1554</v>
      </c>
      <c r="E523" s="90" t="s">
        <v>1555</v>
      </c>
      <c r="F523" s="91" t="s">
        <v>1556</v>
      </c>
      <c r="G523" s="92" t="s">
        <v>1557</v>
      </c>
      <c r="H523" s="93" t="s">
        <v>3341</v>
      </c>
      <c r="I523" s="87" t="s">
        <v>3256</v>
      </c>
      <c r="J523" s="87" t="s">
        <v>3175</v>
      </c>
      <c r="K523" s="87" t="s">
        <v>2619</v>
      </c>
      <c r="L523" s="126" t="s">
        <v>19</v>
      </c>
      <c r="M523" s="94">
        <v>44327.5</v>
      </c>
      <c r="N523" s="94">
        <v>44327.708333333336</v>
      </c>
      <c r="O523" s="95" t="str">
        <f>PROPER(TEXT(Table1[[#This Row],[Fecha Inicio]],"mmmm"))</f>
        <v>Mayo</v>
      </c>
      <c r="P523" s="96" t="s">
        <v>3257</v>
      </c>
      <c r="Q523" s="97" t="s">
        <v>3342</v>
      </c>
      <c r="R523" s="76">
        <f t="shared" si="40"/>
        <v>1</v>
      </c>
      <c r="S523" s="76">
        <f t="shared" si="41"/>
        <v>1</v>
      </c>
      <c r="T523" s="76" t="str">
        <f t="shared" si="42"/>
        <v>-</v>
      </c>
      <c r="U523" s="76" t="str">
        <f t="shared" si="43"/>
        <v>-</v>
      </c>
      <c r="V523" s="76" t="str">
        <f t="shared" si="44"/>
        <v>-</v>
      </c>
      <c r="Z523" s="62"/>
    </row>
    <row r="524" spans="1:26" ht="40.15" customHeight="1" x14ac:dyDescent="0.25">
      <c r="A524" s="87">
        <v>18</v>
      </c>
      <c r="B524" s="89" t="s">
        <v>1550</v>
      </c>
      <c r="C524" s="89" t="s">
        <v>3111</v>
      </c>
      <c r="D524" s="90" t="s">
        <v>326</v>
      </c>
      <c r="E524" s="90" t="s">
        <v>1631</v>
      </c>
      <c r="F524" s="91" t="s">
        <v>1556</v>
      </c>
      <c r="G524" s="92" t="s">
        <v>1557</v>
      </c>
      <c r="H524" s="93" t="s">
        <v>3343</v>
      </c>
      <c r="I524" s="87" t="s">
        <v>1633</v>
      </c>
      <c r="J524" s="87" t="s">
        <v>1634</v>
      </c>
      <c r="K524" s="87" t="s">
        <v>1635</v>
      </c>
      <c r="L524" s="126" t="s">
        <v>19</v>
      </c>
      <c r="M524" s="94">
        <v>44327.895833333336</v>
      </c>
      <c r="N524" s="94">
        <v>44327.979166666664</v>
      </c>
      <c r="O524" s="95" t="str">
        <f>PROPER(TEXT(Table1[[#This Row],[Fecha Inicio]],"mmmm"))</f>
        <v>Mayo</v>
      </c>
      <c r="P524" s="96" t="s">
        <v>1636</v>
      </c>
      <c r="Q524" s="97" t="s">
        <v>3344</v>
      </c>
      <c r="R524" s="76">
        <f t="shared" si="40"/>
        <v>6</v>
      </c>
      <c r="S524" s="76">
        <f t="shared" si="41"/>
        <v>6</v>
      </c>
      <c r="T524" s="76" t="str">
        <f t="shared" si="42"/>
        <v>-</v>
      </c>
      <c r="U524" s="76" t="str">
        <f t="shared" si="43"/>
        <v>-</v>
      </c>
      <c r="V524" s="76" t="str">
        <f t="shared" si="44"/>
        <v>-</v>
      </c>
      <c r="Z524" s="62"/>
    </row>
    <row r="525" spans="1:26" ht="40.15" customHeight="1" x14ac:dyDescent="0.25">
      <c r="A525" s="87">
        <v>18</v>
      </c>
      <c r="B525" s="89" t="s">
        <v>1550</v>
      </c>
      <c r="C525" s="89" t="s">
        <v>3345</v>
      </c>
      <c r="D525" s="90" t="s">
        <v>326</v>
      </c>
      <c r="E525" s="90" t="s">
        <v>1631</v>
      </c>
      <c r="F525" s="91" t="s">
        <v>1556</v>
      </c>
      <c r="G525" s="92" t="s">
        <v>1557</v>
      </c>
      <c r="H525" s="93" t="s">
        <v>3346</v>
      </c>
      <c r="I525" s="87" t="s">
        <v>3347</v>
      </c>
      <c r="J525" s="87" t="s">
        <v>3348</v>
      </c>
      <c r="K525" s="91" t="s">
        <v>1613</v>
      </c>
      <c r="L525" s="126" t="s">
        <v>19</v>
      </c>
      <c r="M525" s="94">
        <v>44327.916666666664</v>
      </c>
      <c r="N525" s="94">
        <v>44328.041666666664</v>
      </c>
      <c r="O525" s="95" t="str">
        <f>PROPER(TEXT(Table1[[#This Row],[Fecha Inicio]],"mmmm"))</f>
        <v>Mayo</v>
      </c>
      <c r="P525" s="96" t="s">
        <v>3349</v>
      </c>
      <c r="Q525" s="97" t="s">
        <v>3350</v>
      </c>
      <c r="R525" s="76">
        <f t="shared" si="40"/>
        <v>5</v>
      </c>
      <c r="S525" s="76">
        <f t="shared" si="41"/>
        <v>5</v>
      </c>
      <c r="T525" s="76" t="str">
        <f t="shared" si="42"/>
        <v>-</v>
      </c>
      <c r="U525" s="76" t="str">
        <f t="shared" si="43"/>
        <v>-</v>
      </c>
      <c r="V525" s="76" t="str">
        <f t="shared" si="44"/>
        <v>-</v>
      </c>
      <c r="Z525" s="62"/>
    </row>
    <row r="526" spans="1:26" ht="40.15" customHeight="1" x14ac:dyDescent="0.25">
      <c r="A526" s="87">
        <v>19</v>
      </c>
      <c r="B526" s="89" t="s">
        <v>1550</v>
      </c>
      <c r="C526" s="89" t="s">
        <v>1578</v>
      </c>
      <c r="D526" s="90" t="s">
        <v>1665</v>
      </c>
      <c r="E526" s="90" t="s">
        <v>1666</v>
      </c>
      <c r="F526" s="87" t="s">
        <v>1556</v>
      </c>
      <c r="G526" s="92" t="s">
        <v>1557</v>
      </c>
      <c r="H526" s="93" t="s">
        <v>3351</v>
      </c>
      <c r="I526" s="87" t="s">
        <v>3352</v>
      </c>
      <c r="J526" s="87" t="s">
        <v>1669</v>
      </c>
      <c r="K526" s="87" t="s">
        <v>1670</v>
      </c>
      <c r="L526" s="126" t="s">
        <v>19</v>
      </c>
      <c r="M526" s="94">
        <v>44328</v>
      </c>
      <c r="N526" s="94">
        <v>44328.041666666664</v>
      </c>
      <c r="O526" s="95" t="str">
        <f>PROPER(TEXT(Table1[[#This Row],[Fecha Inicio]],"mmmm"))</f>
        <v>Mayo</v>
      </c>
      <c r="P526" s="96" t="s">
        <v>2226</v>
      </c>
      <c r="Q526" s="97" t="s">
        <v>3353</v>
      </c>
      <c r="R526" s="76">
        <f t="shared" si="40"/>
        <v>1</v>
      </c>
      <c r="S526" s="76">
        <f t="shared" si="41"/>
        <v>1</v>
      </c>
      <c r="T526" s="76" t="str">
        <f t="shared" si="42"/>
        <v>-</v>
      </c>
      <c r="U526" s="76" t="str">
        <f t="shared" si="43"/>
        <v>-</v>
      </c>
      <c r="V526" s="76" t="str">
        <f t="shared" si="44"/>
        <v>-</v>
      </c>
      <c r="Z526" s="62"/>
    </row>
    <row r="527" spans="1:26" ht="40.15" customHeight="1" x14ac:dyDescent="0.25">
      <c r="A527" s="87">
        <v>18</v>
      </c>
      <c r="B527" s="89" t="s">
        <v>1550</v>
      </c>
      <c r="C527" s="89"/>
      <c r="D527" s="90" t="s">
        <v>1554</v>
      </c>
      <c r="E527" s="90" t="s">
        <v>1555</v>
      </c>
      <c r="F527" s="91" t="s">
        <v>1556</v>
      </c>
      <c r="G527" s="92" t="s">
        <v>1557</v>
      </c>
      <c r="H527" s="93" t="s">
        <v>3354</v>
      </c>
      <c r="I527" s="87" t="s">
        <v>3355</v>
      </c>
      <c r="J527" s="87" t="s">
        <v>1760</v>
      </c>
      <c r="K527" s="87" t="s">
        <v>1761</v>
      </c>
      <c r="L527" s="89" t="s">
        <v>52</v>
      </c>
      <c r="M527" s="94">
        <v>44328.375</v>
      </c>
      <c r="N527" s="94">
        <v>44328.625</v>
      </c>
      <c r="O527" s="95" t="str">
        <f>PROPER(TEXT(Table1[[#This Row],[Fecha Inicio]],"mmmm"))</f>
        <v>Mayo</v>
      </c>
      <c r="P527" s="96" t="s">
        <v>3356</v>
      </c>
      <c r="Q527" s="97" t="s">
        <v>3357</v>
      </c>
      <c r="R527" s="76">
        <f t="shared" si="40"/>
        <v>2</v>
      </c>
      <c r="S527" s="76">
        <f t="shared" si="41"/>
        <v>2</v>
      </c>
      <c r="T527" s="76" t="str">
        <f t="shared" si="42"/>
        <v>-</v>
      </c>
      <c r="U527" s="76" t="str">
        <f t="shared" si="43"/>
        <v>-</v>
      </c>
      <c r="V527" s="76" t="str">
        <f t="shared" si="44"/>
        <v>-</v>
      </c>
      <c r="Z527" s="62"/>
    </row>
    <row r="528" spans="1:26" ht="40.15" customHeight="1" x14ac:dyDescent="0.25">
      <c r="A528" s="87">
        <v>19</v>
      </c>
      <c r="B528" s="89" t="s">
        <v>1550</v>
      </c>
      <c r="C528" s="89"/>
      <c r="D528" s="90" t="s">
        <v>1554</v>
      </c>
      <c r="E528" s="90" t="s">
        <v>1555</v>
      </c>
      <c r="F528" s="91" t="s">
        <v>1556</v>
      </c>
      <c r="G528" s="92" t="s">
        <v>1557</v>
      </c>
      <c r="H528" s="93" t="s">
        <v>3358</v>
      </c>
      <c r="I528" s="87" t="s">
        <v>3359</v>
      </c>
      <c r="J528" s="87" t="s">
        <v>1734</v>
      </c>
      <c r="K528" s="87" t="s">
        <v>1921</v>
      </c>
      <c r="L528" s="89" t="s">
        <v>52</v>
      </c>
      <c r="M528" s="94">
        <v>44328.375</v>
      </c>
      <c r="N528" s="94">
        <v>44328.625</v>
      </c>
      <c r="O528" s="95" t="str">
        <f>PROPER(TEXT(Table1[[#This Row],[Fecha Inicio]],"mmmm"))</f>
        <v>Mayo</v>
      </c>
      <c r="P528" s="96" t="s">
        <v>3360</v>
      </c>
      <c r="Q528" s="97" t="s">
        <v>3361</v>
      </c>
      <c r="R528" s="76">
        <f t="shared" si="40"/>
        <v>9</v>
      </c>
      <c r="S528" s="76">
        <f t="shared" si="41"/>
        <v>9</v>
      </c>
      <c r="T528" s="76" t="str">
        <f t="shared" si="42"/>
        <v>-</v>
      </c>
      <c r="U528" s="76" t="str">
        <f t="shared" si="43"/>
        <v>-</v>
      </c>
      <c r="V528" s="76" t="str">
        <f t="shared" si="44"/>
        <v>-</v>
      </c>
      <c r="Z528" s="62"/>
    </row>
    <row r="529" spans="1:26" ht="40.15" customHeight="1" x14ac:dyDescent="0.25">
      <c r="A529" s="87">
        <v>19</v>
      </c>
      <c r="B529" s="89" t="s">
        <v>1550</v>
      </c>
      <c r="C529" s="89" t="s">
        <v>3111</v>
      </c>
      <c r="D529" s="90" t="s">
        <v>326</v>
      </c>
      <c r="E529" s="90" t="s">
        <v>1631</v>
      </c>
      <c r="F529" s="91" t="s">
        <v>1556</v>
      </c>
      <c r="G529" s="92" t="s">
        <v>1557</v>
      </c>
      <c r="H529" s="93" t="s">
        <v>3362</v>
      </c>
      <c r="I529" s="87" t="s">
        <v>3363</v>
      </c>
      <c r="J529" s="87" t="s">
        <v>2135</v>
      </c>
      <c r="K529" s="87" t="s">
        <v>2136</v>
      </c>
      <c r="L529" s="126" t="s">
        <v>19</v>
      </c>
      <c r="M529" s="94">
        <v>44328.666666666664</v>
      </c>
      <c r="N529" s="94">
        <v>44328.791666666664</v>
      </c>
      <c r="O529" s="95" t="str">
        <f>PROPER(TEXT(Table1[[#This Row],[Fecha Inicio]],"mmmm"))</f>
        <v>Mayo</v>
      </c>
      <c r="P529" s="96" t="s">
        <v>3364</v>
      </c>
      <c r="Q529" s="97" t="s">
        <v>3365</v>
      </c>
      <c r="R529" s="76">
        <f t="shared" si="40"/>
        <v>4</v>
      </c>
      <c r="S529" s="76">
        <f t="shared" si="41"/>
        <v>4</v>
      </c>
      <c r="T529" s="76" t="str">
        <f t="shared" si="42"/>
        <v>-</v>
      </c>
      <c r="U529" s="76" t="str">
        <f t="shared" si="43"/>
        <v>-</v>
      </c>
      <c r="V529" s="76" t="str">
        <f t="shared" si="44"/>
        <v>-</v>
      </c>
      <c r="Z529" s="62"/>
    </row>
    <row r="530" spans="1:26" ht="40.15" customHeight="1" x14ac:dyDescent="0.25">
      <c r="A530" s="87">
        <v>19</v>
      </c>
      <c r="B530" s="89" t="s">
        <v>1550</v>
      </c>
      <c r="C530" s="89" t="s">
        <v>1578</v>
      </c>
      <c r="D530" s="90" t="s">
        <v>1579</v>
      </c>
      <c r="E530" s="90" t="s">
        <v>2972</v>
      </c>
      <c r="F530" s="91" t="s">
        <v>1556</v>
      </c>
      <c r="G530" s="92" t="s">
        <v>1557</v>
      </c>
      <c r="H530" s="93" t="s">
        <v>3366</v>
      </c>
      <c r="I530" s="87" t="s">
        <v>3309</v>
      </c>
      <c r="J530" s="87" t="s">
        <v>3310</v>
      </c>
      <c r="K530" s="87" t="s">
        <v>3311</v>
      </c>
      <c r="L530" s="89" t="s">
        <v>52</v>
      </c>
      <c r="M530" s="94">
        <v>44328.875</v>
      </c>
      <c r="N530" s="94">
        <v>44328.916666666664</v>
      </c>
      <c r="O530" s="95" t="str">
        <f>PROPER(TEXT(Table1[[#This Row],[Fecha Inicio]],"mmmm"))</f>
        <v>Mayo</v>
      </c>
      <c r="P530" s="96" t="s">
        <v>3312</v>
      </c>
      <c r="Q530" s="97" t="s">
        <v>3367</v>
      </c>
      <c r="R530" s="76">
        <f t="shared" si="40"/>
        <v>2</v>
      </c>
      <c r="S530" s="76">
        <f t="shared" si="41"/>
        <v>2</v>
      </c>
      <c r="T530" s="76" t="str">
        <f t="shared" si="42"/>
        <v>-</v>
      </c>
      <c r="U530" s="76" t="str">
        <f t="shared" si="43"/>
        <v>-</v>
      </c>
      <c r="V530" s="76" t="str">
        <f t="shared" si="44"/>
        <v>-</v>
      </c>
      <c r="Z530" s="62"/>
    </row>
    <row r="531" spans="1:26" ht="40.15" customHeight="1" x14ac:dyDescent="0.25">
      <c r="A531" s="87">
        <v>17</v>
      </c>
      <c r="B531" s="89" t="s">
        <v>1550</v>
      </c>
      <c r="C531" s="89"/>
      <c r="D531" s="89" t="s">
        <v>1570</v>
      </c>
      <c r="E531" s="89" t="s">
        <v>1571</v>
      </c>
      <c r="F531" s="91" t="s">
        <v>1556</v>
      </c>
      <c r="G531" s="92" t="s">
        <v>1557</v>
      </c>
      <c r="H531" s="93" t="s">
        <v>3368</v>
      </c>
      <c r="I531" s="87" t="s">
        <v>3369</v>
      </c>
      <c r="J531" s="87" t="s">
        <v>1640</v>
      </c>
      <c r="K531" s="91" t="s">
        <v>1641</v>
      </c>
      <c r="L531" s="126" t="s">
        <v>19</v>
      </c>
      <c r="M531" s="94">
        <v>44328.958333333336</v>
      </c>
      <c r="N531" s="94">
        <v>44329.083333333336</v>
      </c>
      <c r="O531" s="95" t="str">
        <f>PROPER(TEXT(Table1[[#This Row],[Fecha Inicio]],"mmmm"))</f>
        <v>Mayo</v>
      </c>
      <c r="P531" s="96" t="s">
        <v>1642</v>
      </c>
      <c r="Q531" s="97" t="s">
        <v>3370</v>
      </c>
      <c r="R531" s="76">
        <f t="shared" si="40"/>
        <v>8</v>
      </c>
      <c r="S531" s="76">
        <f t="shared" si="41"/>
        <v>8</v>
      </c>
      <c r="T531" s="76" t="str">
        <f t="shared" si="42"/>
        <v>-</v>
      </c>
      <c r="U531" s="76" t="str">
        <f t="shared" si="43"/>
        <v>-</v>
      </c>
      <c r="V531" s="76" t="str">
        <f t="shared" si="44"/>
        <v>-</v>
      </c>
      <c r="Z531" s="62"/>
    </row>
    <row r="532" spans="1:26" ht="40.15" customHeight="1" x14ac:dyDescent="0.25">
      <c r="A532" s="87">
        <v>19</v>
      </c>
      <c r="B532" s="89" t="s">
        <v>1550</v>
      </c>
      <c r="C532" s="89" t="s">
        <v>1578</v>
      </c>
      <c r="D532" s="90" t="s">
        <v>1623</v>
      </c>
      <c r="E532" s="90" t="s">
        <v>1624</v>
      </c>
      <c r="F532" s="91" t="s">
        <v>1556</v>
      </c>
      <c r="G532" s="92" t="s">
        <v>1557</v>
      </c>
      <c r="H532" s="93" t="s">
        <v>3371</v>
      </c>
      <c r="I532" s="87" t="s">
        <v>1685</v>
      </c>
      <c r="J532" s="87" t="s">
        <v>1627</v>
      </c>
      <c r="K532" s="87" t="s">
        <v>1575</v>
      </c>
      <c r="L532" s="126" t="s">
        <v>19</v>
      </c>
      <c r="M532" s="94">
        <v>44329.5</v>
      </c>
      <c r="N532" s="94">
        <v>44329.625</v>
      </c>
      <c r="O532" s="95" t="str">
        <f>PROPER(TEXT(Table1[[#This Row],[Fecha Inicio]],"mmmm"))</f>
        <v>Mayo</v>
      </c>
      <c r="P532" s="96" t="s">
        <v>2764</v>
      </c>
      <c r="Q532" s="97" t="s">
        <v>3372</v>
      </c>
      <c r="R532" s="76">
        <f t="shared" si="40"/>
        <v>2</v>
      </c>
      <c r="S532" s="76">
        <f t="shared" si="41"/>
        <v>2</v>
      </c>
      <c r="T532" s="76" t="str">
        <f t="shared" si="42"/>
        <v>-</v>
      </c>
      <c r="U532" s="76" t="str">
        <f t="shared" si="43"/>
        <v>-</v>
      </c>
      <c r="V532" s="76" t="str">
        <f t="shared" si="44"/>
        <v>-</v>
      </c>
      <c r="Z532" s="62"/>
    </row>
    <row r="533" spans="1:26" ht="40.15" customHeight="1" x14ac:dyDescent="0.25">
      <c r="A533" s="87">
        <v>19</v>
      </c>
      <c r="B533" s="89" t="s">
        <v>1550</v>
      </c>
      <c r="C533" s="89" t="s">
        <v>3111</v>
      </c>
      <c r="D533" s="90" t="s">
        <v>326</v>
      </c>
      <c r="E533" s="90" t="s">
        <v>1631</v>
      </c>
      <c r="F533" s="91" t="s">
        <v>1556</v>
      </c>
      <c r="G533" s="92" t="s">
        <v>1557</v>
      </c>
      <c r="H533" s="93" t="s">
        <v>3373</v>
      </c>
      <c r="I533" s="87" t="s">
        <v>3363</v>
      </c>
      <c r="J533" s="87" t="s">
        <v>2135</v>
      </c>
      <c r="K533" s="87" t="s">
        <v>2136</v>
      </c>
      <c r="L533" s="126" t="s">
        <v>19</v>
      </c>
      <c r="M533" s="94">
        <v>44329.666666666664</v>
      </c>
      <c r="N533" s="94">
        <v>44329.791666666664</v>
      </c>
      <c r="O533" s="95" t="str">
        <f>PROPER(TEXT(Table1[[#This Row],[Fecha Inicio]],"mmmm"))</f>
        <v>Mayo</v>
      </c>
      <c r="P533" s="96" t="s">
        <v>3374</v>
      </c>
      <c r="Q533" s="97" t="s">
        <v>3375</v>
      </c>
      <c r="R533" s="76">
        <f t="shared" si="40"/>
        <v>4</v>
      </c>
      <c r="S533" s="76">
        <f t="shared" si="41"/>
        <v>4</v>
      </c>
      <c r="T533" s="76" t="str">
        <f t="shared" si="42"/>
        <v>-</v>
      </c>
      <c r="U533" s="76" t="str">
        <f t="shared" si="43"/>
        <v>-</v>
      </c>
      <c r="V533" s="76" t="str">
        <f t="shared" si="44"/>
        <v>-</v>
      </c>
      <c r="Z533" s="62"/>
    </row>
    <row r="534" spans="1:26" ht="40.15" customHeight="1" x14ac:dyDescent="0.25">
      <c r="A534" s="87">
        <v>18</v>
      </c>
      <c r="B534" s="89" t="s">
        <v>1551</v>
      </c>
      <c r="C534" s="89" t="s">
        <v>3376</v>
      </c>
      <c r="D534" s="90" t="s">
        <v>326</v>
      </c>
      <c r="E534" s="90" t="s">
        <v>1631</v>
      </c>
      <c r="F534" s="91" t="s">
        <v>1556</v>
      </c>
      <c r="G534" s="92" t="s">
        <v>1557</v>
      </c>
      <c r="H534" s="93" t="s">
        <v>3377</v>
      </c>
      <c r="I534" s="87" t="s">
        <v>1689</v>
      </c>
      <c r="J534" s="87" t="s">
        <v>1634</v>
      </c>
      <c r="K534" s="87" t="s">
        <v>1635</v>
      </c>
      <c r="L534" s="126" t="s">
        <v>19</v>
      </c>
      <c r="M534" s="94">
        <v>44329.916666666664</v>
      </c>
      <c r="N534" s="94">
        <v>44330.166666666664</v>
      </c>
      <c r="O534" s="95" t="str">
        <f>PROPER(TEXT(Table1[[#This Row],[Fecha Inicio]],"mmmm"))</f>
        <v>Mayo</v>
      </c>
      <c r="P534" s="96" t="s">
        <v>3378</v>
      </c>
      <c r="Q534" s="97" t="s">
        <v>3379</v>
      </c>
      <c r="R534" s="76">
        <f t="shared" si="40"/>
        <v>20</v>
      </c>
      <c r="S534" s="76" t="str">
        <f t="shared" si="41"/>
        <v>-</v>
      </c>
      <c r="T534" s="76" t="str">
        <f t="shared" si="42"/>
        <v>-</v>
      </c>
      <c r="U534" s="76" t="str">
        <f t="shared" si="43"/>
        <v>-</v>
      </c>
      <c r="V534" s="76" t="str">
        <f t="shared" si="44"/>
        <v>-</v>
      </c>
      <c r="Z534" s="62"/>
    </row>
    <row r="535" spans="1:26" ht="40.15" customHeight="1" x14ac:dyDescent="0.25">
      <c r="A535" s="87">
        <v>19</v>
      </c>
      <c r="B535" s="89" t="s">
        <v>1550</v>
      </c>
      <c r="C535" s="89"/>
      <c r="D535" s="90" t="s">
        <v>1554</v>
      </c>
      <c r="E535" s="90" t="s">
        <v>1555</v>
      </c>
      <c r="F535" s="91" t="s">
        <v>1556</v>
      </c>
      <c r="G535" s="92" t="s">
        <v>1557</v>
      </c>
      <c r="H535" s="93" t="s">
        <v>3380</v>
      </c>
      <c r="I535" s="87" t="s">
        <v>3214</v>
      </c>
      <c r="J535" s="87" t="s">
        <v>2239</v>
      </c>
      <c r="K535" s="87" t="s">
        <v>1575</v>
      </c>
      <c r="L535" s="89" t="s">
        <v>52</v>
      </c>
      <c r="M535" s="94">
        <v>44330.375</v>
      </c>
      <c r="N535" s="94">
        <v>44330.625</v>
      </c>
      <c r="O535" s="95" t="str">
        <f>PROPER(TEXT(Table1[[#This Row],[Fecha Inicio]],"mmmm"))</f>
        <v>Mayo</v>
      </c>
      <c r="P535" s="96" t="s">
        <v>3381</v>
      </c>
      <c r="Q535" s="97" t="s">
        <v>3382</v>
      </c>
      <c r="R535" s="76">
        <f t="shared" si="40"/>
        <v>19</v>
      </c>
      <c r="S535" s="76">
        <f t="shared" si="41"/>
        <v>19</v>
      </c>
      <c r="T535" s="76" t="str">
        <f t="shared" si="42"/>
        <v>-</v>
      </c>
      <c r="U535" s="76" t="str">
        <f t="shared" si="43"/>
        <v>-</v>
      </c>
      <c r="V535" s="76" t="str">
        <f t="shared" si="44"/>
        <v>-</v>
      </c>
      <c r="Z535" s="62"/>
    </row>
    <row r="536" spans="1:26" ht="40.15" customHeight="1" x14ac:dyDescent="0.25">
      <c r="A536" s="87">
        <v>18</v>
      </c>
      <c r="B536" s="89" t="s">
        <v>1550</v>
      </c>
      <c r="C536" s="89" t="s">
        <v>3383</v>
      </c>
      <c r="D536" s="90" t="s">
        <v>326</v>
      </c>
      <c r="E536" s="90" t="s">
        <v>1631</v>
      </c>
      <c r="F536" s="91" t="s">
        <v>1556</v>
      </c>
      <c r="G536" s="92" t="s">
        <v>1557</v>
      </c>
      <c r="H536" s="93" t="s">
        <v>3384</v>
      </c>
      <c r="I536" s="87" t="s">
        <v>1718</v>
      </c>
      <c r="J536" s="87" t="s">
        <v>1719</v>
      </c>
      <c r="K536" s="91" t="s">
        <v>1575</v>
      </c>
      <c r="L536" s="126" t="s">
        <v>19</v>
      </c>
      <c r="M536" s="94">
        <v>44332</v>
      </c>
      <c r="N536" s="94">
        <v>44332.25</v>
      </c>
      <c r="O536" s="95" t="str">
        <f>PROPER(TEXT(Table1[[#This Row],[Fecha Inicio]],"mmmm"))</f>
        <v>Mayo</v>
      </c>
      <c r="P536" s="96" t="s">
        <v>1720</v>
      </c>
      <c r="Q536" s="97" t="s">
        <v>3385</v>
      </c>
      <c r="R536" s="76">
        <f t="shared" si="40"/>
        <v>15</v>
      </c>
      <c r="S536" s="76">
        <f t="shared" si="41"/>
        <v>15</v>
      </c>
      <c r="T536" s="76" t="str">
        <f t="shared" si="42"/>
        <v>-</v>
      </c>
      <c r="U536" s="76" t="str">
        <f t="shared" si="43"/>
        <v>-</v>
      </c>
      <c r="V536" s="76" t="str">
        <f t="shared" si="44"/>
        <v>-</v>
      </c>
      <c r="Z536" s="62"/>
    </row>
    <row r="537" spans="1:26" ht="40.15" customHeight="1" x14ac:dyDescent="0.25">
      <c r="A537" s="87">
        <v>18</v>
      </c>
      <c r="B537" s="89" t="s">
        <v>1552</v>
      </c>
      <c r="C537" s="89" t="s">
        <v>3386</v>
      </c>
      <c r="D537" s="90" t="s">
        <v>326</v>
      </c>
      <c r="E537" s="90" t="s">
        <v>1631</v>
      </c>
      <c r="F537" s="87" t="s">
        <v>1556</v>
      </c>
      <c r="G537" s="92" t="s">
        <v>1965</v>
      </c>
      <c r="H537" s="93" t="s">
        <v>3387</v>
      </c>
      <c r="I537" s="87" t="s">
        <v>3388</v>
      </c>
      <c r="J537" s="87" t="s">
        <v>2152</v>
      </c>
      <c r="K537" s="87" t="s">
        <v>1575</v>
      </c>
      <c r="L537" s="126" t="s">
        <v>19</v>
      </c>
      <c r="M537" s="94">
        <v>44333.041666666664</v>
      </c>
      <c r="N537" s="94">
        <v>44333.125</v>
      </c>
      <c r="O537" s="95" t="str">
        <f>PROPER(TEXT(Table1[[#This Row],[Fecha Inicio]],"mmmm"))</f>
        <v>Mayo</v>
      </c>
      <c r="P537" s="96" t="s">
        <v>3389</v>
      </c>
      <c r="Q537" s="97" t="s">
        <v>3390</v>
      </c>
      <c r="R537" s="76">
        <f t="shared" si="40"/>
        <v>1</v>
      </c>
      <c r="S537" s="76" t="str">
        <f t="shared" si="41"/>
        <v>-</v>
      </c>
      <c r="T537" s="76" t="str">
        <f t="shared" si="42"/>
        <v>-</v>
      </c>
      <c r="U537" s="76">
        <f t="shared" si="43"/>
        <v>1</v>
      </c>
      <c r="V537" s="76" t="str">
        <f t="shared" si="44"/>
        <v>-</v>
      </c>
      <c r="Z537" s="62"/>
    </row>
    <row r="538" spans="1:26" ht="40.15" customHeight="1" x14ac:dyDescent="0.25">
      <c r="A538" s="87">
        <v>19</v>
      </c>
      <c r="B538" s="89" t="s">
        <v>1550</v>
      </c>
      <c r="C538" s="89"/>
      <c r="D538" s="90" t="s">
        <v>1554</v>
      </c>
      <c r="E538" s="90" t="s">
        <v>1555</v>
      </c>
      <c r="F538" s="91" t="s">
        <v>1556</v>
      </c>
      <c r="G538" s="92" t="s">
        <v>1557</v>
      </c>
      <c r="H538" s="93" t="s">
        <v>3391</v>
      </c>
      <c r="I538" s="87" t="s">
        <v>3392</v>
      </c>
      <c r="J538" s="87" t="s">
        <v>1734</v>
      </c>
      <c r="K538" s="87" t="s">
        <v>1921</v>
      </c>
      <c r="L538" s="89" t="s">
        <v>52</v>
      </c>
      <c r="M538" s="94">
        <v>44333.375</v>
      </c>
      <c r="N538" s="94">
        <v>44333.625</v>
      </c>
      <c r="O538" s="95" t="str">
        <f>PROPER(TEXT(Table1[[#This Row],[Fecha Inicio]],"mmmm"))</f>
        <v>Mayo</v>
      </c>
      <c r="P538" s="96" t="s">
        <v>3360</v>
      </c>
      <c r="Q538" s="97" t="s">
        <v>3393</v>
      </c>
      <c r="R538" s="76">
        <f t="shared" si="40"/>
        <v>9</v>
      </c>
      <c r="S538" s="76">
        <f t="shared" si="41"/>
        <v>9</v>
      </c>
      <c r="T538" s="76" t="str">
        <f t="shared" si="42"/>
        <v>-</v>
      </c>
      <c r="U538" s="76" t="str">
        <f t="shared" si="43"/>
        <v>-</v>
      </c>
      <c r="V538" s="76" t="str">
        <f t="shared" si="44"/>
        <v>-</v>
      </c>
      <c r="Z538" s="62"/>
    </row>
    <row r="539" spans="1:26" ht="40.15" customHeight="1" x14ac:dyDescent="0.25">
      <c r="A539" s="87">
        <v>19</v>
      </c>
      <c r="B539" s="89" t="s">
        <v>1550</v>
      </c>
      <c r="C539" s="89"/>
      <c r="D539" s="89" t="s">
        <v>1623</v>
      </c>
      <c r="E539" s="89" t="s">
        <v>1624</v>
      </c>
      <c r="F539" s="87" t="s">
        <v>1556</v>
      </c>
      <c r="G539" s="92" t="s">
        <v>1557</v>
      </c>
      <c r="H539" s="93" t="s">
        <v>3394</v>
      </c>
      <c r="I539" s="87" t="s">
        <v>3052</v>
      </c>
      <c r="J539" s="87" t="s">
        <v>3053</v>
      </c>
      <c r="K539" s="87" t="s">
        <v>1575</v>
      </c>
      <c r="L539" s="126" t="s">
        <v>19</v>
      </c>
      <c r="M539" s="94">
        <v>44333.458333333336</v>
      </c>
      <c r="N539" s="94">
        <v>44333.583333333336</v>
      </c>
      <c r="O539" s="95" t="str">
        <f>PROPER(TEXT(Table1[[#This Row],[Fecha Inicio]],"mmmm"))</f>
        <v>Mayo</v>
      </c>
      <c r="P539" s="96" t="s">
        <v>3054</v>
      </c>
      <c r="Q539" s="97" t="s">
        <v>3395</v>
      </c>
      <c r="R539" s="76">
        <f t="shared" si="40"/>
        <v>2</v>
      </c>
      <c r="S539" s="76">
        <f t="shared" si="41"/>
        <v>2</v>
      </c>
      <c r="T539" s="76" t="str">
        <f t="shared" si="42"/>
        <v>-</v>
      </c>
      <c r="U539" s="76" t="str">
        <f t="shared" si="43"/>
        <v>-</v>
      </c>
      <c r="V539" s="76" t="str">
        <f t="shared" si="44"/>
        <v>-</v>
      </c>
      <c r="Z539" s="62"/>
    </row>
    <row r="540" spans="1:26" ht="40.15" customHeight="1" x14ac:dyDescent="0.25">
      <c r="A540" s="87">
        <v>19</v>
      </c>
      <c r="B540" s="89" t="s">
        <v>1550</v>
      </c>
      <c r="C540" s="89"/>
      <c r="D540" s="90" t="s">
        <v>1665</v>
      </c>
      <c r="E540" s="90" t="s">
        <v>2192</v>
      </c>
      <c r="F540" s="87" t="s">
        <v>1556</v>
      </c>
      <c r="G540" s="92" t="s">
        <v>1557</v>
      </c>
      <c r="H540" s="93" t="s">
        <v>3396</v>
      </c>
      <c r="I540" s="87" t="s">
        <v>3397</v>
      </c>
      <c r="J540" s="87" t="s">
        <v>1669</v>
      </c>
      <c r="K540" s="87" t="s">
        <v>1670</v>
      </c>
      <c r="L540" s="126" t="s">
        <v>19</v>
      </c>
      <c r="M540" s="94">
        <v>44333.666666666664</v>
      </c>
      <c r="N540" s="94">
        <v>44333.791666666664</v>
      </c>
      <c r="O540" s="95" t="str">
        <f>PROPER(TEXT(Table1[[#This Row],[Fecha Inicio]],"mmmm"))</f>
        <v>Mayo</v>
      </c>
      <c r="P540" s="96" t="s">
        <v>3398</v>
      </c>
      <c r="Q540" s="97" t="s">
        <v>3399</v>
      </c>
      <c r="R540" s="76">
        <f t="shared" si="40"/>
        <v>1</v>
      </c>
      <c r="S540" s="76">
        <f t="shared" si="41"/>
        <v>1</v>
      </c>
      <c r="T540" s="76" t="str">
        <f t="shared" si="42"/>
        <v>-</v>
      </c>
      <c r="U540" s="76" t="str">
        <f t="shared" si="43"/>
        <v>-</v>
      </c>
      <c r="V540" s="76" t="str">
        <f t="shared" si="44"/>
        <v>-</v>
      </c>
      <c r="Z540" s="62"/>
    </row>
    <row r="541" spans="1:26" ht="40.15" customHeight="1" x14ac:dyDescent="0.25">
      <c r="A541" s="87">
        <v>20</v>
      </c>
      <c r="B541" s="89" t="s">
        <v>1550</v>
      </c>
      <c r="C541" s="89" t="s">
        <v>1578</v>
      </c>
      <c r="D541" s="89" t="s">
        <v>1554</v>
      </c>
      <c r="E541" s="89" t="s">
        <v>1555</v>
      </c>
      <c r="F541" s="87" t="s">
        <v>1556</v>
      </c>
      <c r="G541" s="92" t="s">
        <v>1557</v>
      </c>
      <c r="H541" s="93" t="s">
        <v>3400</v>
      </c>
      <c r="I541" s="89" t="s">
        <v>3401</v>
      </c>
      <c r="J541" s="89" t="s">
        <v>2157</v>
      </c>
      <c r="K541" s="89" t="s">
        <v>2158</v>
      </c>
      <c r="L541" s="89" t="s">
        <v>52</v>
      </c>
      <c r="M541" s="94">
        <v>44333.791666666664</v>
      </c>
      <c r="N541" s="94">
        <v>44333.958333333336</v>
      </c>
      <c r="O541" s="95" t="str">
        <f>PROPER(TEXT(Table1[[#This Row],[Fecha Inicio]],"mmmm"))</f>
        <v>Mayo</v>
      </c>
      <c r="P541" s="96" t="s">
        <v>3402</v>
      </c>
      <c r="Q541" s="97" t="s">
        <v>3403</v>
      </c>
      <c r="R541" s="76">
        <f t="shared" si="40"/>
        <v>2</v>
      </c>
      <c r="S541" s="76">
        <f t="shared" si="41"/>
        <v>2</v>
      </c>
      <c r="T541" s="76" t="str">
        <f t="shared" si="42"/>
        <v>-</v>
      </c>
      <c r="U541" s="76" t="str">
        <f t="shared" si="43"/>
        <v>-</v>
      </c>
      <c r="V541" s="76" t="str">
        <f t="shared" si="44"/>
        <v>-</v>
      </c>
      <c r="Z541" s="62"/>
    </row>
    <row r="542" spans="1:26" ht="40.15" customHeight="1" x14ac:dyDescent="0.25">
      <c r="A542" s="87">
        <v>18</v>
      </c>
      <c r="B542" s="89" t="s">
        <v>1550</v>
      </c>
      <c r="C542" s="89" t="s">
        <v>3383</v>
      </c>
      <c r="D542" s="90" t="s">
        <v>326</v>
      </c>
      <c r="E542" s="90" t="s">
        <v>1631</v>
      </c>
      <c r="F542" s="91" t="s">
        <v>1556</v>
      </c>
      <c r="G542" s="92" t="s">
        <v>1557</v>
      </c>
      <c r="H542" s="93" t="s">
        <v>3404</v>
      </c>
      <c r="I542" s="87" t="s">
        <v>1750</v>
      </c>
      <c r="J542" s="87" t="s">
        <v>1560</v>
      </c>
      <c r="K542" s="87" t="s">
        <v>1561</v>
      </c>
      <c r="L542" s="126" t="s">
        <v>19</v>
      </c>
      <c r="M542" s="94">
        <v>44333.791666666664</v>
      </c>
      <c r="N542" s="94">
        <v>44334.083333333336</v>
      </c>
      <c r="O542" s="95" t="str">
        <f>PROPER(TEXT(Table1[[#This Row],[Fecha Inicio]],"mmmm"))</f>
        <v>Mayo</v>
      </c>
      <c r="P542" s="96" t="s">
        <v>1751</v>
      </c>
      <c r="Q542" s="97" t="s">
        <v>3405</v>
      </c>
      <c r="R542" s="76">
        <f t="shared" si="40"/>
        <v>4</v>
      </c>
      <c r="S542" s="76">
        <f t="shared" si="41"/>
        <v>4</v>
      </c>
      <c r="T542" s="76" t="str">
        <f t="shared" si="42"/>
        <v>-</v>
      </c>
      <c r="U542" s="76" t="str">
        <f t="shared" si="43"/>
        <v>-</v>
      </c>
      <c r="V542" s="76" t="str">
        <f t="shared" si="44"/>
        <v>-</v>
      </c>
      <c r="Z542" s="62"/>
    </row>
    <row r="543" spans="1:26" ht="40.15" customHeight="1" x14ac:dyDescent="0.25">
      <c r="A543" s="87">
        <v>18</v>
      </c>
      <c r="B543" s="89" t="s">
        <v>1550</v>
      </c>
      <c r="C543" s="89" t="s">
        <v>3383</v>
      </c>
      <c r="D543" s="90" t="s">
        <v>326</v>
      </c>
      <c r="E543" s="90" t="s">
        <v>1631</v>
      </c>
      <c r="F543" s="91" t="s">
        <v>1556</v>
      </c>
      <c r="G543" s="92" t="s">
        <v>1557</v>
      </c>
      <c r="H543" s="93" t="s">
        <v>3406</v>
      </c>
      <c r="I543" s="87" t="s">
        <v>1759</v>
      </c>
      <c r="J543" s="87" t="s">
        <v>1760</v>
      </c>
      <c r="K543" s="87" t="s">
        <v>1761</v>
      </c>
      <c r="L543" s="126" t="s">
        <v>19</v>
      </c>
      <c r="M543" s="94">
        <v>44333.916666666664</v>
      </c>
      <c r="N543" s="94">
        <v>44334.041666666664</v>
      </c>
      <c r="O543" s="95" t="str">
        <f>PROPER(TEXT(Table1[[#This Row],[Fecha Inicio]],"mmmm"))</f>
        <v>Mayo</v>
      </c>
      <c r="P543" s="96" t="s">
        <v>1762</v>
      </c>
      <c r="Q543" s="97" t="s">
        <v>3407</v>
      </c>
      <c r="R543" s="76">
        <f t="shared" si="40"/>
        <v>9</v>
      </c>
      <c r="S543" s="76">
        <f t="shared" si="41"/>
        <v>9</v>
      </c>
      <c r="T543" s="76" t="str">
        <f t="shared" si="42"/>
        <v>-</v>
      </c>
      <c r="U543" s="76" t="str">
        <f t="shared" si="43"/>
        <v>-</v>
      </c>
      <c r="V543" s="76" t="str">
        <f t="shared" si="44"/>
        <v>-</v>
      </c>
      <c r="Z543" s="62"/>
    </row>
    <row r="544" spans="1:26" ht="40.15" customHeight="1" x14ac:dyDescent="0.25">
      <c r="A544" s="87">
        <v>19</v>
      </c>
      <c r="B544" s="89" t="s">
        <v>1550</v>
      </c>
      <c r="C544" s="89"/>
      <c r="D544" s="89" t="s">
        <v>344</v>
      </c>
      <c r="E544" s="89" t="s">
        <v>1616</v>
      </c>
      <c r="F544" s="87" t="s">
        <v>1556</v>
      </c>
      <c r="G544" s="92" t="s">
        <v>1557</v>
      </c>
      <c r="H544" s="93" t="s">
        <v>3408</v>
      </c>
      <c r="I544" s="89" t="s">
        <v>2298</v>
      </c>
      <c r="J544" s="89" t="s">
        <v>2157</v>
      </c>
      <c r="K544" s="89" t="s">
        <v>2158</v>
      </c>
      <c r="L544" s="126" t="s">
        <v>19</v>
      </c>
      <c r="M544" s="94">
        <v>44333.958333333336</v>
      </c>
      <c r="N544" s="94">
        <v>44334.125</v>
      </c>
      <c r="O544" s="95" t="str">
        <f>PROPER(TEXT(Table1[[#This Row],[Fecha Inicio]],"mmmm"))</f>
        <v>Mayo</v>
      </c>
      <c r="P544" s="96" t="s">
        <v>2713</v>
      </c>
      <c r="Q544" s="97" t="s">
        <v>3409</v>
      </c>
      <c r="R544" s="76">
        <f t="shared" si="40"/>
        <v>6</v>
      </c>
      <c r="S544" s="76">
        <f t="shared" si="41"/>
        <v>6</v>
      </c>
      <c r="T544" s="76" t="str">
        <f t="shared" si="42"/>
        <v>-</v>
      </c>
      <c r="U544" s="76" t="str">
        <f t="shared" si="43"/>
        <v>-</v>
      </c>
      <c r="V544" s="76" t="str">
        <f t="shared" si="44"/>
        <v>-</v>
      </c>
      <c r="Z544" s="62"/>
    </row>
    <row r="545" spans="1:26" ht="40.15" customHeight="1" x14ac:dyDescent="0.25">
      <c r="A545" s="87">
        <v>18</v>
      </c>
      <c r="B545" s="89" t="s">
        <v>1550</v>
      </c>
      <c r="C545" s="89" t="s">
        <v>3383</v>
      </c>
      <c r="D545" s="90" t="s">
        <v>326</v>
      </c>
      <c r="E545" s="90" t="s">
        <v>1631</v>
      </c>
      <c r="F545" s="91" t="s">
        <v>1556</v>
      </c>
      <c r="G545" s="92" t="s">
        <v>1557</v>
      </c>
      <c r="H545" s="93" t="s">
        <v>3410</v>
      </c>
      <c r="I545" s="87" t="s">
        <v>1728</v>
      </c>
      <c r="J545" s="87" t="s">
        <v>1729</v>
      </c>
      <c r="K545" s="87" t="s">
        <v>1575</v>
      </c>
      <c r="L545" s="126" t="s">
        <v>19</v>
      </c>
      <c r="M545" s="94">
        <v>44334.25</v>
      </c>
      <c r="N545" s="94">
        <v>44334.333333333336</v>
      </c>
      <c r="O545" s="95" t="str">
        <f>PROPER(TEXT(Table1[[#This Row],[Fecha Inicio]],"mmmm"))</f>
        <v>Mayo</v>
      </c>
      <c r="P545" s="96" t="s">
        <v>1730</v>
      </c>
      <c r="Q545" s="97" t="s">
        <v>3411</v>
      </c>
      <c r="R545" s="76">
        <f t="shared" si="40"/>
        <v>5</v>
      </c>
      <c r="S545" s="76">
        <f t="shared" si="41"/>
        <v>5</v>
      </c>
      <c r="T545" s="76" t="str">
        <f t="shared" si="42"/>
        <v>-</v>
      </c>
      <c r="U545" s="76" t="str">
        <f t="shared" si="43"/>
        <v>-</v>
      </c>
      <c r="V545" s="76" t="str">
        <f t="shared" si="44"/>
        <v>-</v>
      </c>
      <c r="Z545" s="62"/>
    </row>
    <row r="546" spans="1:26" ht="40.15" customHeight="1" x14ac:dyDescent="0.25">
      <c r="A546" s="87">
        <v>19</v>
      </c>
      <c r="B546" s="89" t="s">
        <v>1550</v>
      </c>
      <c r="C546" s="89" t="s">
        <v>3111</v>
      </c>
      <c r="D546" s="90" t="s">
        <v>326</v>
      </c>
      <c r="E546" s="90" t="s">
        <v>1631</v>
      </c>
      <c r="F546" s="91" t="s">
        <v>1556</v>
      </c>
      <c r="G546" s="92" t="s">
        <v>1557</v>
      </c>
      <c r="H546" s="93" t="s">
        <v>3412</v>
      </c>
      <c r="I546" s="87" t="s">
        <v>3363</v>
      </c>
      <c r="J546" s="87" t="s">
        <v>2135</v>
      </c>
      <c r="K546" s="87" t="s">
        <v>2136</v>
      </c>
      <c r="L546" s="126" t="s">
        <v>19</v>
      </c>
      <c r="M546" s="94">
        <v>44334.291666666664</v>
      </c>
      <c r="N546" s="94">
        <v>44334.354166666664</v>
      </c>
      <c r="O546" s="95" t="str">
        <f>PROPER(TEXT(Table1[[#This Row],[Fecha Inicio]],"mmmm"))</f>
        <v>Mayo</v>
      </c>
      <c r="P546" s="96" t="s">
        <v>3413</v>
      </c>
      <c r="Q546" s="97" t="s">
        <v>3414</v>
      </c>
      <c r="R546" s="76">
        <f t="shared" si="40"/>
        <v>2</v>
      </c>
      <c r="S546" s="76">
        <f t="shared" si="41"/>
        <v>2</v>
      </c>
      <c r="T546" s="76" t="str">
        <f t="shared" si="42"/>
        <v>-</v>
      </c>
      <c r="U546" s="76" t="str">
        <f t="shared" si="43"/>
        <v>-</v>
      </c>
      <c r="V546" s="76" t="str">
        <f t="shared" si="44"/>
        <v>-</v>
      </c>
      <c r="Z546" s="62"/>
    </row>
    <row r="547" spans="1:26" ht="40.15" customHeight="1" x14ac:dyDescent="0.25">
      <c r="A547" s="87">
        <v>20</v>
      </c>
      <c r="B547" s="89" t="s">
        <v>1550</v>
      </c>
      <c r="C547" s="89"/>
      <c r="D547" s="90" t="s">
        <v>326</v>
      </c>
      <c r="E547" s="90" t="s">
        <v>1742</v>
      </c>
      <c r="F547" s="91" t="s">
        <v>1556</v>
      </c>
      <c r="G547" s="92" t="s">
        <v>1557</v>
      </c>
      <c r="H547" s="93" t="s">
        <v>3415</v>
      </c>
      <c r="I547" s="87" t="s">
        <v>3416</v>
      </c>
      <c r="J547" s="87" t="s">
        <v>1560</v>
      </c>
      <c r="K547" s="87" t="s">
        <v>1561</v>
      </c>
      <c r="L547" s="126" t="s">
        <v>19</v>
      </c>
      <c r="M547" s="94">
        <v>44334.395833333336</v>
      </c>
      <c r="N547" s="94">
        <v>44334.541666666664</v>
      </c>
      <c r="O547" s="95" t="str">
        <f>PROPER(TEXT(Table1[[#This Row],[Fecha Inicio]],"mmmm"))</f>
        <v>Mayo</v>
      </c>
      <c r="P547" s="96" t="s">
        <v>3417</v>
      </c>
      <c r="Q547" s="97" t="s">
        <v>3418</v>
      </c>
      <c r="R547" s="76">
        <f t="shared" si="40"/>
        <v>1</v>
      </c>
      <c r="S547" s="76">
        <f t="shared" si="41"/>
        <v>1</v>
      </c>
      <c r="T547" s="76" t="str">
        <f t="shared" si="42"/>
        <v>-</v>
      </c>
      <c r="U547" s="76" t="str">
        <f t="shared" si="43"/>
        <v>-</v>
      </c>
      <c r="V547" s="76" t="str">
        <f t="shared" si="44"/>
        <v>-</v>
      </c>
      <c r="Z547" s="62"/>
    </row>
    <row r="548" spans="1:26" ht="40.15" customHeight="1" x14ac:dyDescent="0.25">
      <c r="A548" s="87">
        <v>18</v>
      </c>
      <c r="B548" s="89" t="s">
        <v>1550</v>
      </c>
      <c r="C548" s="89" t="s">
        <v>3383</v>
      </c>
      <c r="D548" s="90" t="s">
        <v>326</v>
      </c>
      <c r="E548" s="90" t="s">
        <v>1631</v>
      </c>
      <c r="F548" s="91" t="s">
        <v>1556</v>
      </c>
      <c r="G548" s="92" t="s">
        <v>1557</v>
      </c>
      <c r="H548" s="93" t="s">
        <v>3422</v>
      </c>
      <c r="I548" s="87" t="s">
        <v>1775</v>
      </c>
      <c r="J548" s="87" t="s">
        <v>1776</v>
      </c>
      <c r="K548" s="87" t="s">
        <v>1575</v>
      </c>
      <c r="L548" s="126" t="s">
        <v>19</v>
      </c>
      <c r="M548" s="94">
        <v>44334.666666666664</v>
      </c>
      <c r="N548" s="94">
        <v>44334.75</v>
      </c>
      <c r="O548" s="95" t="str">
        <f>PROPER(TEXT(Table1[[#This Row],[Fecha Inicio]],"mmmm"))</f>
        <v>Mayo</v>
      </c>
      <c r="P548" s="96" t="s">
        <v>1777</v>
      </c>
      <c r="Q548" s="97" t="s">
        <v>3423</v>
      </c>
      <c r="R548" s="76">
        <f t="shared" si="40"/>
        <v>2</v>
      </c>
      <c r="S548" s="76">
        <f t="shared" si="41"/>
        <v>2</v>
      </c>
      <c r="T548" s="76" t="str">
        <f t="shared" si="42"/>
        <v>-</v>
      </c>
      <c r="U548" s="76" t="str">
        <f t="shared" si="43"/>
        <v>-</v>
      </c>
      <c r="V548" s="76" t="str">
        <f t="shared" si="44"/>
        <v>-</v>
      </c>
      <c r="Z548" s="62"/>
    </row>
    <row r="549" spans="1:26" ht="40.15" customHeight="1" x14ac:dyDescent="0.25">
      <c r="A549" s="87">
        <v>19</v>
      </c>
      <c r="B549" s="89" t="s">
        <v>1550</v>
      </c>
      <c r="C549" s="89" t="s">
        <v>3111</v>
      </c>
      <c r="D549" s="90" t="s">
        <v>326</v>
      </c>
      <c r="E549" s="90" t="s">
        <v>1631</v>
      </c>
      <c r="F549" s="91" t="s">
        <v>1556</v>
      </c>
      <c r="G549" s="92" t="s">
        <v>1557</v>
      </c>
      <c r="H549" s="93" t="s">
        <v>3419</v>
      </c>
      <c r="I549" s="87" t="s">
        <v>3363</v>
      </c>
      <c r="J549" s="87" t="s">
        <v>2135</v>
      </c>
      <c r="K549" s="87" t="s">
        <v>2136</v>
      </c>
      <c r="L549" s="126" t="s">
        <v>19</v>
      </c>
      <c r="M549" s="94">
        <v>44334.666666666664</v>
      </c>
      <c r="N549" s="94">
        <v>44334.791666666664</v>
      </c>
      <c r="O549" s="95" t="str">
        <f>PROPER(TEXT(Table1[[#This Row],[Fecha Inicio]],"mmmm"))</f>
        <v>Mayo</v>
      </c>
      <c r="P549" s="96" t="s">
        <v>3420</v>
      </c>
      <c r="Q549" s="97" t="s">
        <v>3421</v>
      </c>
      <c r="R549" s="76">
        <f t="shared" si="40"/>
        <v>6</v>
      </c>
      <c r="S549" s="76">
        <f t="shared" si="41"/>
        <v>6</v>
      </c>
      <c r="T549" s="76" t="str">
        <f t="shared" si="42"/>
        <v>-</v>
      </c>
      <c r="U549" s="76" t="str">
        <f t="shared" si="43"/>
        <v>-</v>
      </c>
      <c r="V549" s="76" t="str">
        <f t="shared" si="44"/>
        <v>-</v>
      </c>
      <c r="Z549" s="62"/>
    </row>
    <row r="550" spans="1:26" ht="40.15" customHeight="1" x14ac:dyDescent="0.25">
      <c r="A550" s="87">
        <v>20</v>
      </c>
      <c r="B550" s="89" t="s">
        <v>1550</v>
      </c>
      <c r="C550" s="89" t="s">
        <v>1578</v>
      </c>
      <c r="D550" s="90" t="s">
        <v>1554</v>
      </c>
      <c r="E550" s="90" t="s">
        <v>1555</v>
      </c>
      <c r="F550" s="91" t="s">
        <v>1556</v>
      </c>
      <c r="G550" s="92" t="s">
        <v>1557</v>
      </c>
      <c r="H550" s="93" t="s">
        <v>3424</v>
      </c>
      <c r="I550" s="87" t="s">
        <v>3425</v>
      </c>
      <c r="J550" s="87" t="s">
        <v>1634</v>
      </c>
      <c r="K550" s="87" t="s">
        <v>1635</v>
      </c>
      <c r="L550" s="126" t="s">
        <v>19</v>
      </c>
      <c r="M550" s="94">
        <v>44334.708333333336</v>
      </c>
      <c r="N550" s="94">
        <v>44334.75</v>
      </c>
      <c r="O550" s="95" t="str">
        <f>PROPER(TEXT(Table1[[#This Row],[Fecha Inicio]],"mmmm"))</f>
        <v>Mayo</v>
      </c>
      <c r="P550" s="96" t="s">
        <v>3426</v>
      </c>
      <c r="Q550" s="97" t="s">
        <v>3427</v>
      </c>
      <c r="R550" s="76">
        <f t="shared" si="40"/>
        <v>2</v>
      </c>
      <c r="S550" s="76">
        <f t="shared" si="41"/>
        <v>2</v>
      </c>
      <c r="T550" s="76" t="str">
        <f t="shared" si="42"/>
        <v>-</v>
      </c>
      <c r="U550" s="76" t="str">
        <f t="shared" si="43"/>
        <v>-</v>
      </c>
      <c r="V550" s="76" t="str">
        <f t="shared" si="44"/>
        <v>-</v>
      </c>
      <c r="Z550" s="62"/>
    </row>
    <row r="551" spans="1:26" ht="40.15" customHeight="1" x14ac:dyDescent="0.25">
      <c r="A551" s="87">
        <v>18</v>
      </c>
      <c r="B551" s="89" t="s">
        <v>1550</v>
      </c>
      <c r="C551" s="89" t="s">
        <v>3383</v>
      </c>
      <c r="D551" s="90" t="s">
        <v>326</v>
      </c>
      <c r="E551" s="90" t="s">
        <v>1631</v>
      </c>
      <c r="F551" s="91" t="s">
        <v>1556</v>
      </c>
      <c r="G551" s="92" t="s">
        <v>1557</v>
      </c>
      <c r="H551" s="93" t="s">
        <v>3428</v>
      </c>
      <c r="I551" s="87" t="s">
        <v>2306</v>
      </c>
      <c r="J551" s="87" t="s">
        <v>1786</v>
      </c>
      <c r="K551" s="87" t="s">
        <v>2307</v>
      </c>
      <c r="L551" s="126" t="s">
        <v>19</v>
      </c>
      <c r="M551" s="94">
        <v>44334.833333333336</v>
      </c>
      <c r="N551" s="94">
        <v>44334.875</v>
      </c>
      <c r="O551" s="95" t="str">
        <f>PROPER(TEXT(Table1[[#This Row],[Fecha Inicio]],"mmmm"))</f>
        <v>Mayo</v>
      </c>
      <c r="P551" s="96" t="s">
        <v>250</v>
      </c>
      <c r="Q551" s="97" t="s">
        <v>3429</v>
      </c>
      <c r="R551" s="76">
        <f t="shared" si="40"/>
        <v>1</v>
      </c>
      <c r="S551" s="76">
        <f t="shared" si="41"/>
        <v>1</v>
      </c>
      <c r="T551" s="76" t="str">
        <f t="shared" si="42"/>
        <v>-</v>
      </c>
      <c r="U551" s="76" t="str">
        <f t="shared" si="43"/>
        <v>-</v>
      </c>
      <c r="V551" s="76" t="str">
        <f t="shared" si="44"/>
        <v>-</v>
      </c>
      <c r="Z551" s="62"/>
    </row>
    <row r="552" spans="1:26" ht="40.15" customHeight="1" x14ac:dyDescent="0.25">
      <c r="A552" s="87">
        <v>19</v>
      </c>
      <c r="B552" s="89" t="s">
        <v>1550</v>
      </c>
      <c r="C552" s="89"/>
      <c r="D552" s="89" t="s">
        <v>344</v>
      </c>
      <c r="E552" s="89" t="s">
        <v>1616</v>
      </c>
      <c r="F552" s="87" t="s">
        <v>1556</v>
      </c>
      <c r="G552" s="92" t="s">
        <v>1557</v>
      </c>
      <c r="H552" s="93" t="s">
        <v>3430</v>
      </c>
      <c r="I552" s="89" t="s">
        <v>2313</v>
      </c>
      <c r="J552" s="89" t="s">
        <v>2157</v>
      </c>
      <c r="K552" s="89" t="s">
        <v>2158</v>
      </c>
      <c r="L552" s="126" t="s">
        <v>19</v>
      </c>
      <c r="M552" s="94">
        <v>44334.958333333336</v>
      </c>
      <c r="N552" s="94">
        <v>44335.125</v>
      </c>
      <c r="O552" s="95" t="str">
        <f>PROPER(TEXT(Table1[[#This Row],[Fecha Inicio]],"mmmm"))</f>
        <v>Mayo</v>
      </c>
      <c r="P552" s="96" t="s">
        <v>2736</v>
      </c>
      <c r="Q552" s="97" t="s">
        <v>3431</v>
      </c>
      <c r="R552" s="76">
        <f t="shared" si="40"/>
        <v>6</v>
      </c>
      <c r="S552" s="76">
        <f t="shared" si="41"/>
        <v>6</v>
      </c>
      <c r="T552" s="76" t="str">
        <f t="shared" si="42"/>
        <v>-</v>
      </c>
      <c r="U552" s="76" t="str">
        <f t="shared" si="43"/>
        <v>-</v>
      </c>
      <c r="V552" s="76" t="str">
        <f t="shared" si="44"/>
        <v>-</v>
      </c>
      <c r="Z552" s="62"/>
    </row>
    <row r="553" spans="1:26" ht="40.15" customHeight="1" x14ac:dyDescent="0.25">
      <c r="A553" s="87">
        <v>19</v>
      </c>
      <c r="B553" s="89" t="s">
        <v>1550</v>
      </c>
      <c r="C553" s="89"/>
      <c r="D553" s="90" t="s">
        <v>344</v>
      </c>
      <c r="E553" s="90" t="s">
        <v>1799</v>
      </c>
      <c r="F553" s="87" t="s">
        <v>1556</v>
      </c>
      <c r="G553" s="92" t="s">
        <v>1557</v>
      </c>
      <c r="H553" s="93" t="s">
        <v>3432</v>
      </c>
      <c r="I553" s="87" t="s">
        <v>1801</v>
      </c>
      <c r="J553" s="87" t="s">
        <v>1802</v>
      </c>
      <c r="K553" s="87" t="s">
        <v>1596</v>
      </c>
      <c r="L553" s="126" t="s">
        <v>19</v>
      </c>
      <c r="M553" s="94">
        <v>44334.958333333336</v>
      </c>
      <c r="N553" s="94">
        <v>44335.125</v>
      </c>
      <c r="O553" s="95" t="str">
        <f>PROPER(TEXT(Table1[[#This Row],[Fecha Inicio]],"mmmm"))</f>
        <v>Mayo</v>
      </c>
      <c r="P553" s="96" t="s">
        <v>2422</v>
      </c>
      <c r="Q553" s="97" t="s">
        <v>3433</v>
      </c>
      <c r="R553" s="76">
        <f t="shared" si="40"/>
        <v>2</v>
      </c>
      <c r="S553" s="76">
        <f t="shared" si="41"/>
        <v>2</v>
      </c>
      <c r="T553" s="76" t="str">
        <f t="shared" si="42"/>
        <v>-</v>
      </c>
      <c r="U553" s="76" t="str">
        <f t="shared" si="43"/>
        <v>-</v>
      </c>
      <c r="V553" s="76" t="str">
        <f t="shared" si="44"/>
        <v>-</v>
      </c>
      <c r="Z553" s="62"/>
    </row>
    <row r="554" spans="1:26" ht="40.15" customHeight="1" x14ac:dyDescent="0.25">
      <c r="A554" s="87">
        <v>18</v>
      </c>
      <c r="B554" s="89" t="s">
        <v>1550</v>
      </c>
      <c r="C554" s="89" t="s">
        <v>3383</v>
      </c>
      <c r="D554" s="90" t="s">
        <v>326</v>
      </c>
      <c r="E554" s="90" t="s">
        <v>1631</v>
      </c>
      <c r="F554" s="91" t="s">
        <v>1556</v>
      </c>
      <c r="G554" s="92" t="s">
        <v>1557</v>
      </c>
      <c r="H554" s="93" t="s">
        <v>3434</v>
      </c>
      <c r="I554" s="87" t="s">
        <v>1759</v>
      </c>
      <c r="J554" s="87" t="s">
        <v>1760</v>
      </c>
      <c r="K554" s="87" t="s">
        <v>1761</v>
      </c>
      <c r="L554" s="126" t="s">
        <v>19</v>
      </c>
      <c r="M554" s="94">
        <v>44335.041666666664</v>
      </c>
      <c r="N554" s="94">
        <v>44335.166666666664</v>
      </c>
      <c r="O554" s="95" t="str">
        <f>PROPER(TEXT(Table1[[#This Row],[Fecha Inicio]],"mmmm"))</f>
        <v>Mayo</v>
      </c>
      <c r="P554" s="96" t="s">
        <v>2739</v>
      </c>
      <c r="Q554" s="97" t="s">
        <v>3435</v>
      </c>
      <c r="R554" s="76">
        <f t="shared" si="40"/>
        <v>7</v>
      </c>
      <c r="S554" s="76">
        <f t="shared" si="41"/>
        <v>7</v>
      </c>
      <c r="T554" s="76" t="str">
        <f t="shared" si="42"/>
        <v>-</v>
      </c>
      <c r="U554" s="76" t="str">
        <f t="shared" si="43"/>
        <v>-</v>
      </c>
      <c r="V554" s="76" t="str">
        <f t="shared" si="44"/>
        <v>-</v>
      </c>
      <c r="Z554" s="62"/>
    </row>
    <row r="555" spans="1:26" ht="40.15" customHeight="1" x14ac:dyDescent="0.25">
      <c r="A555" s="87">
        <v>18</v>
      </c>
      <c r="B555" s="89" t="s">
        <v>1550</v>
      </c>
      <c r="C555" s="89" t="s">
        <v>3383</v>
      </c>
      <c r="D555" s="90" t="s">
        <v>326</v>
      </c>
      <c r="E555" s="90" t="s">
        <v>1631</v>
      </c>
      <c r="F555" s="91" t="s">
        <v>1556</v>
      </c>
      <c r="G555" s="92" t="s">
        <v>1557</v>
      </c>
      <c r="H555" s="93" t="s">
        <v>3436</v>
      </c>
      <c r="I555" s="87" t="s">
        <v>1813</v>
      </c>
      <c r="J555" s="91" t="s">
        <v>1814</v>
      </c>
      <c r="K555" s="91" t="s">
        <v>1761</v>
      </c>
      <c r="L555" s="126" t="s">
        <v>19</v>
      </c>
      <c r="M555" s="94">
        <v>44335.291666666664</v>
      </c>
      <c r="N555" s="94">
        <v>44335.333333333336</v>
      </c>
      <c r="O555" s="95" t="str">
        <f>PROPER(TEXT(Table1[[#This Row],[Fecha Inicio]],"mmmm"))</f>
        <v>Mayo</v>
      </c>
      <c r="P555" s="96" t="s">
        <v>109</v>
      </c>
      <c r="Q555" s="97" t="s">
        <v>3437</v>
      </c>
      <c r="R555" s="76">
        <f t="shared" si="40"/>
        <v>1</v>
      </c>
      <c r="S555" s="76">
        <f t="shared" si="41"/>
        <v>1</v>
      </c>
      <c r="T555" s="76" t="str">
        <f t="shared" si="42"/>
        <v>-</v>
      </c>
      <c r="U555" s="76" t="str">
        <f t="shared" si="43"/>
        <v>-</v>
      </c>
      <c r="V555" s="76" t="str">
        <f t="shared" si="44"/>
        <v>-</v>
      </c>
      <c r="Z555" s="62"/>
    </row>
    <row r="556" spans="1:26" ht="40.15" customHeight="1" x14ac:dyDescent="0.25">
      <c r="A556" s="87">
        <v>19</v>
      </c>
      <c r="B556" s="89" t="s">
        <v>1550</v>
      </c>
      <c r="C556" s="89"/>
      <c r="D556" s="90" t="s">
        <v>1623</v>
      </c>
      <c r="E556" s="90" t="s">
        <v>1624</v>
      </c>
      <c r="F556" s="91" t="s">
        <v>1556</v>
      </c>
      <c r="G556" s="92" t="s">
        <v>1557</v>
      </c>
      <c r="H556" s="93" t="s">
        <v>3438</v>
      </c>
      <c r="I556" s="87" t="s">
        <v>2040</v>
      </c>
      <c r="J556" s="87" t="s">
        <v>1771</v>
      </c>
      <c r="K556" s="87" t="s">
        <v>1575</v>
      </c>
      <c r="L556" s="126" t="s">
        <v>19</v>
      </c>
      <c r="M556" s="94">
        <v>44335.291666666664</v>
      </c>
      <c r="N556" s="94">
        <v>44335.5</v>
      </c>
      <c r="O556" s="95" t="str">
        <f>PROPER(TEXT(Table1[[#This Row],[Fecha Inicio]],"mmmm"))</f>
        <v>Mayo</v>
      </c>
      <c r="P556" s="96" t="s">
        <v>1772</v>
      </c>
      <c r="Q556" s="97" t="s">
        <v>3439</v>
      </c>
      <c r="R556" s="76">
        <f t="shared" si="40"/>
        <v>2</v>
      </c>
      <c r="S556" s="76">
        <f t="shared" si="41"/>
        <v>2</v>
      </c>
      <c r="T556" s="76" t="str">
        <f t="shared" si="42"/>
        <v>-</v>
      </c>
      <c r="U556" s="76" t="str">
        <f t="shared" si="43"/>
        <v>-</v>
      </c>
      <c r="V556" s="76" t="str">
        <f t="shared" si="44"/>
        <v>-</v>
      </c>
      <c r="Z556" s="62"/>
    </row>
    <row r="557" spans="1:26" ht="40.15" customHeight="1" x14ac:dyDescent="0.25">
      <c r="A557" s="87">
        <v>19</v>
      </c>
      <c r="B557" s="89" t="s">
        <v>1550</v>
      </c>
      <c r="C557" s="89"/>
      <c r="D557" s="90" t="s">
        <v>344</v>
      </c>
      <c r="E557" s="90" t="s">
        <v>1616</v>
      </c>
      <c r="F557" s="91" t="s">
        <v>1556</v>
      </c>
      <c r="G557" s="92" t="s">
        <v>1557</v>
      </c>
      <c r="H557" s="93" t="s">
        <v>3440</v>
      </c>
      <c r="I557" s="87" t="s">
        <v>2757</v>
      </c>
      <c r="J557" s="87" t="s">
        <v>1560</v>
      </c>
      <c r="K557" s="87" t="s">
        <v>1561</v>
      </c>
      <c r="L557" s="126" t="s">
        <v>19</v>
      </c>
      <c r="M557" s="94">
        <v>44335.416666666664</v>
      </c>
      <c r="N557" s="94">
        <v>44335.708333333336</v>
      </c>
      <c r="O557" s="95" t="str">
        <f>PROPER(TEXT(Table1[[#This Row],[Fecha Inicio]],"mmmm"))</f>
        <v>Mayo</v>
      </c>
      <c r="P557" s="96" t="s">
        <v>1650</v>
      </c>
      <c r="Q557" s="97" t="s">
        <v>3441</v>
      </c>
      <c r="R557" s="76">
        <f t="shared" si="40"/>
        <v>1</v>
      </c>
      <c r="S557" s="76">
        <f t="shared" si="41"/>
        <v>1</v>
      </c>
      <c r="T557" s="76" t="str">
        <f t="shared" si="42"/>
        <v>-</v>
      </c>
      <c r="U557" s="76" t="str">
        <f t="shared" si="43"/>
        <v>-</v>
      </c>
      <c r="V557" s="76" t="str">
        <f t="shared" si="44"/>
        <v>-</v>
      </c>
      <c r="Z557" s="62"/>
    </row>
    <row r="558" spans="1:26" ht="40.15" customHeight="1" x14ac:dyDescent="0.25">
      <c r="A558" s="87">
        <v>19</v>
      </c>
      <c r="B558" s="89" t="s">
        <v>1550</v>
      </c>
      <c r="C558" s="89"/>
      <c r="D558" s="90" t="s">
        <v>344</v>
      </c>
      <c r="E558" s="90" t="s">
        <v>1799</v>
      </c>
      <c r="F558" s="91" t="s">
        <v>1556</v>
      </c>
      <c r="G558" s="92" t="s">
        <v>1557</v>
      </c>
      <c r="H558" s="93" t="s">
        <v>3442</v>
      </c>
      <c r="I558" s="87" t="s">
        <v>1829</v>
      </c>
      <c r="J558" s="87" t="s">
        <v>1560</v>
      </c>
      <c r="K558" s="87" t="s">
        <v>1561</v>
      </c>
      <c r="L558" s="126" t="s">
        <v>19</v>
      </c>
      <c r="M558" s="94">
        <v>44335.666666666664</v>
      </c>
      <c r="N558" s="94">
        <v>44335.833333333336</v>
      </c>
      <c r="O558" s="95" t="str">
        <f>PROPER(TEXT(Table1[[#This Row],[Fecha Inicio]],"mmmm"))</f>
        <v>Mayo</v>
      </c>
      <c r="P558" s="96" t="s">
        <v>2440</v>
      </c>
      <c r="Q558" s="97" t="s">
        <v>3443</v>
      </c>
      <c r="R558" s="76">
        <f t="shared" si="40"/>
        <v>1</v>
      </c>
      <c r="S558" s="76">
        <f t="shared" si="41"/>
        <v>1</v>
      </c>
      <c r="T558" s="76" t="str">
        <f t="shared" si="42"/>
        <v>-</v>
      </c>
      <c r="U558" s="76" t="str">
        <f t="shared" si="43"/>
        <v>-</v>
      </c>
      <c r="V558" s="76" t="str">
        <f t="shared" si="44"/>
        <v>-</v>
      </c>
      <c r="Z558" s="62"/>
    </row>
    <row r="559" spans="1:26" ht="40.15" customHeight="1" x14ac:dyDescent="0.25">
      <c r="A559" s="87">
        <v>19</v>
      </c>
      <c r="B559" s="89" t="s">
        <v>1550</v>
      </c>
      <c r="C559" s="89" t="s">
        <v>3111</v>
      </c>
      <c r="D559" s="90" t="s">
        <v>326</v>
      </c>
      <c r="E559" s="90" t="s">
        <v>1631</v>
      </c>
      <c r="F559" s="91" t="s">
        <v>1556</v>
      </c>
      <c r="G559" s="92" t="s">
        <v>1557</v>
      </c>
      <c r="H559" s="93" t="s">
        <v>3444</v>
      </c>
      <c r="I559" s="87" t="s">
        <v>3363</v>
      </c>
      <c r="J559" s="87" t="s">
        <v>2135</v>
      </c>
      <c r="K559" s="87" t="s">
        <v>2136</v>
      </c>
      <c r="L559" s="126" t="s">
        <v>19</v>
      </c>
      <c r="M559" s="94">
        <v>44335.708333333336</v>
      </c>
      <c r="N559" s="94">
        <v>44335.791666666664</v>
      </c>
      <c r="O559" s="95" t="str">
        <f>PROPER(TEXT(Table1[[#This Row],[Fecha Inicio]],"mmmm"))</f>
        <v>Mayo</v>
      </c>
      <c r="P559" s="96" t="s">
        <v>3445</v>
      </c>
      <c r="Q559" s="97" t="s">
        <v>3446</v>
      </c>
      <c r="R559" s="76">
        <f t="shared" si="40"/>
        <v>2</v>
      </c>
      <c r="S559" s="76">
        <f t="shared" si="41"/>
        <v>2</v>
      </c>
      <c r="T559" s="76" t="str">
        <f t="shared" si="42"/>
        <v>-</v>
      </c>
      <c r="U559" s="76" t="str">
        <f t="shared" si="43"/>
        <v>-</v>
      </c>
      <c r="V559" s="76" t="str">
        <f t="shared" si="44"/>
        <v>-</v>
      </c>
      <c r="Z559" s="62"/>
    </row>
    <row r="560" spans="1:26" ht="40.15" customHeight="1" x14ac:dyDescent="0.25">
      <c r="A560" s="87">
        <v>18</v>
      </c>
      <c r="B560" s="89" t="s">
        <v>1550</v>
      </c>
      <c r="C560" s="89" t="s">
        <v>3383</v>
      </c>
      <c r="D560" s="90" t="s">
        <v>326</v>
      </c>
      <c r="E560" s="90" t="s">
        <v>1631</v>
      </c>
      <c r="F560" s="91" t="s">
        <v>1556</v>
      </c>
      <c r="G560" s="92" t="s">
        <v>1557</v>
      </c>
      <c r="H560" s="93" t="s">
        <v>3447</v>
      </c>
      <c r="I560" s="91" t="s">
        <v>1780</v>
      </c>
      <c r="J560" s="87" t="s">
        <v>1781</v>
      </c>
      <c r="K560" s="91" t="s">
        <v>1575</v>
      </c>
      <c r="L560" s="126" t="s">
        <v>19</v>
      </c>
      <c r="M560" s="94">
        <v>44335.708333333336</v>
      </c>
      <c r="N560" s="94">
        <v>44335.791666666664</v>
      </c>
      <c r="O560" s="95" t="str">
        <f>PROPER(TEXT(Table1[[#This Row],[Fecha Inicio]],"mmmm"))</f>
        <v>Mayo</v>
      </c>
      <c r="P560" s="96" t="s">
        <v>1782</v>
      </c>
      <c r="Q560" s="97" t="s">
        <v>3448</v>
      </c>
      <c r="R560" s="76">
        <f t="shared" si="40"/>
        <v>7</v>
      </c>
      <c r="S560" s="76">
        <f t="shared" si="41"/>
        <v>7</v>
      </c>
      <c r="T560" s="76" t="str">
        <f t="shared" si="42"/>
        <v>-</v>
      </c>
      <c r="U560" s="76" t="str">
        <f t="shared" si="43"/>
        <v>-</v>
      </c>
      <c r="V560" s="76" t="str">
        <f t="shared" si="44"/>
        <v>-</v>
      </c>
      <c r="Z560" s="62"/>
    </row>
    <row r="561" spans="1:26" ht="40.15" customHeight="1" x14ac:dyDescent="0.25">
      <c r="A561" s="87">
        <v>18</v>
      </c>
      <c r="B561" s="89" t="s">
        <v>1550</v>
      </c>
      <c r="C561" s="89" t="s">
        <v>3383</v>
      </c>
      <c r="D561" s="90" t="s">
        <v>326</v>
      </c>
      <c r="E561" s="90" t="s">
        <v>1631</v>
      </c>
      <c r="F561" s="91" t="s">
        <v>1556</v>
      </c>
      <c r="G561" s="92" t="s">
        <v>1557</v>
      </c>
      <c r="H561" s="93" t="s">
        <v>3449</v>
      </c>
      <c r="I561" s="87" t="s">
        <v>1833</v>
      </c>
      <c r="J561" s="87" t="s">
        <v>1834</v>
      </c>
      <c r="K561" s="87" t="s">
        <v>1596</v>
      </c>
      <c r="L561" s="126" t="s">
        <v>19</v>
      </c>
      <c r="M561" s="94">
        <v>44335.916666666664</v>
      </c>
      <c r="N561" s="94">
        <v>44335.958333333336</v>
      </c>
      <c r="O561" s="95" t="str">
        <f>PROPER(TEXT(Table1[[#This Row],[Fecha Inicio]],"mmmm"))</f>
        <v>Mayo</v>
      </c>
      <c r="P561" s="96" t="s">
        <v>1835</v>
      </c>
      <c r="Q561" s="97" t="s">
        <v>3450</v>
      </c>
      <c r="R561" s="76">
        <f t="shared" si="40"/>
        <v>2</v>
      </c>
      <c r="S561" s="76">
        <f t="shared" si="41"/>
        <v>2</v>
      </c>
      <c r="T561" s="76" t="str">
        <f t="shared" si="42"/>
        <v>-</v>
      </c>
      <c r="U561" s="76" t="str">
        <f t="shared" si="43"/>
        <v>-</v>
      </c>
      <c r="V561" s="76" t="str">
        <f t="shared" si="44"/>
        <v>-</v>
      </c>
      <c r="Z561" s="62"/>
    </row>
    <row r="562" spans="1:26" ht="40.15" customHeight="1" x14ac:dyDescent="0.25">
      <c r="A562" s="87">
        <v>18</v>
      </c>
      <c r="B562" s="89" t="s">
        <v>1550</v>
      </c>
      <c r="C562" s="89" t="s">
        <v>3383</v>
      </c>
      <c r="D562" s="89" t="s">
        <v>326</v>
      </c>
      <c r="E562" s="89" t="s">
        <v>1631</v>
      </c>
      <c r="F562" s="91" t="s">
        <v>1556</v>
      </c>
      <c r="G562" s="92" t="s">
        <v>1557</v>
      </c>
      <c r="H562" s="93" t="s">
        <v>3451</v>
      </c>
      <c r="I562" s="87" t="s">
        <v>1842</v>
      </c>
      <c r="J562" s="87" t="s">
        <v>1612</v>
      </c>
      <c r="K562" s="91" t="s">
        <v>1613</v>
      </c>
      <c r="L562" s="126" t="s">
        <v>19</v>
      </c>
      <c r="M562" s="94">
        <v>44335.9375</v>
      </c>
      <c r="N562" s="94">
        <v>44336.104166666664</v>
      </c>
      <c r="O562" s="95" t="str">
        <f>PROPER(TEXT(Table1[[#This Row],[Fecha Inicio]],"mmmm"))</f>
        <v>Mayo</v>
      </c>
      <c r="P562" s="96" t="s">
        <v>1843</v>
      </c>
      <c r="Q562" s="97" t="s">
        <v>3452</v>
      </c>
      <c r="R562" s="76">
        <f t="shared" si="40"/>
        <v>19</v>
      </c>
      <c r="S562" s="76">
        <f t="shared" si="41"/>
        <v>19</v>
      </c>
      <c r="T562" s="76" t="str">
        <f t="shared" si="42"/>
        <v>-</v>
      </c>
      <c r="U562" s="76" t="str">
        <f t="shared" si="43"/>
        <v>-</v>
      </c>
      <c r="V562" s="76" t="str">
        <f t="shared" si="44"/>
        <v>-</v>
      </c>
      <c r="Z562" s="62"/>
    </row>
    <row r="563" spans="1:26" ht="40.15" customHeight="1" x14ac:dyDescent="0.25">
      <c r="A563" s="87">
        <v>18</v>
      </c>
      <c r="B563" s="89" t="s">
        <v>1550</v>
      </c>
      <c r="C563" s="89" t="s">
        <v>3383</v>
      </c>
      <c r="D563" s="90" t="s">
        <v>326</v>
      </c>
      <c r="E563" s="90" t="s">
        <v>1631</v>
      </c>
      <c r="F563" s="91" t="s">
        <v>1556</v>
      </c>
      <c r="G563" s="92" t="s">
        <v>1557</v>
      </c>
      <c r="H563" s="93" t="s">
        <v>3453</v>
      </c>
      <c r="I563" s="87" t="s">
        <v>1846</v>
      </c>
      <c r="J563" s="87" t="s">
        <v>1560</v>
      </c>
      <c r="K563" s="87" t="s">
        <v>1561</v>
      </c>
      <c r="L563" s="126" t="s">
        <v>19</v>
      </c>
      <c r="M563" s="94">
        <v>44335.958333333336</v>
      </c>
      <c r="N563" s="94">
        <v>44336.291666666664</v>
      </c>
      <c r="O563" s="95" t="str">
        <f>PROPER(TEXT(Table1[[#This Row],[Fecha Inicio]],"mmmm"))</f>
        <v>Mayo</v>
      </c>
      <c r="P563" s="96" t="s">
        <v>1847</v>
      </c>
      <c r="Q563" s="97" t="s">
        <v>3454</v>
      </c>
      <c r="R563" s="76">
        <f t="shared" si="40"/>
        <v>14</v>
      </c>
      <c r="S563" s="76">
        <f t="shared" si="41"/>
        <v>14</v>
      </c>
      <c r="T563" s="76" t="str">
        <f t="shared" si="42"/>
        <v>-</v>
      </c>
      <c r="U563" s="76" t="str">
        <f t="shared" si="43"/>
        <v>-</v>
      </c>
      <c r="V563" s="76" t="str">
        <f t="shared" si="44"/>
        <v>-</v>
      </c>
      <c r="Z563" s="62"/>
    </row>
    <row r="564" spans="1:26" ht="40.15" customHeight="1" x14ac:dyDescent="0.25">
      <c r="A564" s="87">
        <v>18</v>
      </c>
      <c r="B564" s="89" t="s">
        <v>1550</v>
      </c>
      <c r="C564" s="89" t="s">
        <v>3383</v>
      </c>
      <c r="D564" s="90" t="s">
        <v>326</v>
      </c>
      <c r="E564" s="90" t="s">
        <v>1631</v>
      </c>
      <c r="F564" s="91" t="s">
        <v>1556</v>
      </c>
      <c r="G564" s="92" t="s">
        <v>1557</v>
      </c>
      <c r="H564" s="93" t="s">
        <v>3455</v>
      </c>
      <c r="I564" s="87" t="s">
        <v>1850</v>
      </c>
      <c r="J564" s="87" t="s">
        <v>1771</v>
      </c>
      <c r="K564" s="87" t="s">
        <v>1575</v>
      </c>
      <c r="L564" s="126" t="s">
        <v>19</v>
      </c>
      <c r="M564" s="94">
        <v>44336.291666666664</v>
      </c>
      <c r="N564" s="94">
        <v>44336.333333333336</v>
      </c>
      <c r="O564" s="95" t="str">
        <f>PROPER(TEXT(Table1[[#This Row],[Fecha Inicio]],"mmmm"))</f>
        <v>Mayo</v>
      </c>
      <c r="P564" s="96" t="s">
        <v>146</v>
      </c>
      <c r="Q564" s="97" t="s">
        <v>3456</v>
      </c>
      <c r="R564" s="76">
        <f t="shared" si="40"/>
        <v>1</v>
      </c>
      <c r="S564" s="76">
        <f t="shared" si="41"/>
        <v>1</v>
      </c>
      <c r="T564" s="76" t="str">
        <f t="shared" si="42"/>
        <v>-</v>
      </c>
      <c r="U564" s="76" t="str">
        <f t="shared" si="43"/>
        <v>-</v>
      </c>
      <c r="V564" s="76" t="str">
        <f t="shared" si="44"/>
        <v>-</v>
      </c>
      <c r="Z564" s="62"/>
    </row>
    <row r="565" spans="1:26" ht="40.15" customHeight="1" x14ac:dyDescent="0.25">
      <c r="A565" s="87">
        <v>20</v>
      </c>
      <c r="B565" s="89" t="s">
        <v>1550</v>
      </c>
      <c r="C565" s="89"/>
      <c r="D565" s="90" t="s">
        <v>326</v>
      </c>
      <c r="E565" s="90" t="s">
        <v>1742</v>
      </c>
      <c r="F565" s="91" t="s">
        <v>1556</v>
      </c>
      <c r="G565" s="92" t="s">
        <v>1557</v>
      </c>
      <c r="H565" s="93" t="s">
        <v>3457</v>
      </c>
      <c r="I565" s="87" t="s">
        <v>3120</v>
      </c>
      <c r="J565" s="87" t="s">
        <v>2239</v>
      </c>
      <c r="K565" s="87" t="s">
        <v>1575</v>
      </c>
      <c r="L565" s="89" t="s">
        <v>52</v>
      </c>
      <c r="M565" s="94">
        <v>44336.375</v>
      </c>
      <c r="N565" s="94">
        <v>44336.625</v>
      </c>
      <c r="O565" s="95" t="str">
        <f>PROPER(TEXT(Table1[[#This Row],[Fecha Inicio]],"mmmm"))</f>
        <v>Mayo</v>
      </c>
      <c r="P565" s="96" t="s">
        <v>3458</v>
      </c>
      <c r="Q565" s="97" t="s">
        <v>3459</v>
      </c>
      <c r="R565" s="76">
        <f t="shared" si="40"/>
        <v>2</v>
      </c>
      <c r="S565" s="76">
        <f t="shared" si="41"/>
        <v>2</v>
      </c>
      <c r="T565" s="76" t="str">
        <f t="shared" si="42"/>
        <v>-</v>
      </c>
      <c r="U565" s="76" t="str">
        <f t="shared" si="43"/>
        <v>-</v>
      </c>
      <c r="V565" s="76" t="str">
        <f t="shared" si="44"/>
        <v>-</v>
      </c>
      <c r="Z565" s="62"/>
    </row>
    <row r="566" spans="1:26" ht="40.15" customHeight="1" x14ac:dyDescent="0.25">
      <c r="A566" s="87">
        <v>20</v>
      </c>
      <c r="B566" s="89" t="s">
        <v>1550</v>
      </c>
      <c r="C566" s="89"/>
      <c r="D566" s="90" t="s">
        <v>326</v>
      </c>
      <c r="E566" s="90" t="s">
        <v>1742</v>
      </c>
      <c r="F566" s="91" t="s">
        <v>1556</v>
      </c>
      <c r="G566" s="92" t="s">
        <v>1557</v>
      </c>
      <c r="H566" s="93" t="s">
        <v>3460</v>
      </c>
      <c r="I566" s="87" t="s">
        <v>3461</v>
      </c>
      <c r="J566" s="87" t="s">
        <v>1560</v>
      </c>
      <c r="K566" s="87" t="s">
        <v>1561</v>
      </c>
      <c r="L566" s="126" t="s">
        <v>19</v>
      </c>
      <c r="M566" s="94">
        <v>44336.395833333336</v>
      </c>
      <c r="N566" s="94">
        <v>44336.541666666664</v>
      </c>
      <c r="O566" s="95" t="str">
        <f>PROPER(TEXT(Table1[[#This Row],[Fecha Inicio]],"mmmm"))</f>
        <v>Mayo</v>
      </c>
      <c r="P566" s="96" t="s">
        <v>3462</v>
      </c>
      <c r="Q566" s="97" t="s">
        <v>3463</v>
      </c>
      <c r="R566" s="76">
        <f t="shared" si="40"/>
        <v>1</v>
      </c>
      <c r="S566" s="76">
        <f t="shared" si="41"/>
        <v>1</v>
      </c>
      <c r="T566" s="76" t="str">
        <f t="shared" si="42"/>
        <v>-</v>
      </c>
      <c r="U566" s="76" t="str">
        <f t="shared" si="43"/>
        <v>-</v>
      </c>
      <c r="V566" s="76" t="str">
        <f t="shared" si="44"/>
        <v>-</v>
      </c>
      <c r="Z566" s="62"/>
    </row>
    <row r="567" spans="1:26" ht="40.15" customHeight="1" x14ac:dyDescent="0.25">
      <c r="A567" s="87">
        <v>19</v>
      </c>
      <c r="B567" s="89" t="s">
        <v>1550</v>
      </c>
      <c r="C567" s="89"/>
      <c r="D567" s="90" t="s">
        <v>344</v>
      </c>
      <c r="E567" s="90" t="s">
        <v>1616</v>
      </c>
      <c r="F567" s="91" t="s">
        <v>1556</v>
      </c>
      <c r="G567" s="92" t="s">
        <v>1557</v>
      </c>
      <c r="H567" s="93" t="s">
        <v>3464</v>
      </c>
      <c r="I567" s="87" t="s">
        <v>2757</v>
      </c>
      <c r="J567" s="87" t="s">
        <v>1560</v>
      </c>
      <c r="K567" s="87" t="s">
        <v>1561</v>
      </c>
      <c r="L567" s="126" t="s">
        <v>19</v>
      </c>
      <c r="M567" s="94">
        <v>44336.416666666664</v>
      </c>
      <c r="N567" s="94">
        <v>44336.708333333336</v>
      </c>
      <c r="O567" s="95" t="str">
        <f>PROPER(TEXT(Table1[[#This Row],[Fecha Inicio]],"mmmm"))</f>
        <v>Mayo</v>
      </c>
      <c r="P567" s="96" t="s">
        <v>1682</v>
      </c>
      <c r="Q567" s="97" t="s">
        <v>3465</v>
      </c>
      <c r="R567" s="76">
        <f t="shared" si="40"/>
        <v>1</v>
      </c>
      <c r="S567" s="76">
        <f t="shared" si="41"/>
        <v>1</v>
      </c>
      <c r="T567" s="76" t="str">
        <f t="shared" si="42"/>
        <v>-</v>
      </c>
      <c r="U567" s="76" t="str">
        <f t="shared" si="43"/>
        <v>-</v>
      </c>
      <c r="V567" s="76" t="str">
        <f t="shared" si="44"/>
        <v>-</v>
      </c>
      <c r="Z567" s="62"/>
    </row>
    <row r="568" spans="1:26" ht="40.15" customHeight="1" x14ac:dyDescent="0.25">
      <c r="A568" s="87">
        <v>19</v>
      </c>
      <c r="B568" s="89" t="s">
        <v>1550</v>
      </c>
      <c r="C568" s="89" t="s">
        <v>3111</v>
      </c>
      <c r="D568" s="90" t="s">
        <v>326</v>
      </c>
      <c r="E568" s="90" t="s">
        <v>1631</v>
      </c>
      <c r="F568" s="91" t="s">
        <v>1556</v>
      </c>
      <c r="G568" s="92" t="s">
        <v>1557</v>
      </c>
      <c r="H568" s="93" t="s">
        <v>3466</v>
      </c>
      <c r="I568" s="87" t="s">
        <v>3363</v>
      </c>
      <c r="J568" s="87" t="s">
        <v>2135</v>
      </c>
      <c r="K568" s="87" t="s">
        <v>2136</v>
      </c>
      <c r="L568" s="126" t="s">
        <v>19</v>
      </c>
      <c r="M568" s="94">
        <v>44336.666666666664</v>
      </c>
      <c r="N568" s="94">
        <v>44336.791666666664</v>
      </c>
      <c r="O568" s="95" t="str">
        <f>PROPER(TEXT(Table1[[#This Row],[Fecha Inicio]],"mmmm"))</f>
        <v>Mayo</v>
      </c>
      <c r="P568" s="96" t="s">
        <v>3467</v>
      </c>
      <c r="Q568" s="97" t="s">
        <v>3468</v>
      </c>
      <c r="R568" s="76">
        <f t="shared" si="40"/>
        <v>9</v>
      </c>
      <c r="S568" s="76">
        <f t="shared" si="41"/>
        <v>9</v>
      </c>
      <c r="T568" s="76" t="str">
        <f t="shared" si="42"/>
        <v>-</v>
      </c>
      <c r="U568" s="76" t="str">
        <f t="shared" si="43"/>
        <v>-</v>
      </c>
      <c r="V568" s="76" t="str">
        <f t="shared" si="44"/>
        <v>-</v>
      </c>
      <c r="Z568" s="62"/>
    </row>
    <row r="569" spans="1:26" ht="40.15" customHeight="1" x14ac:dyDescent="0.25">
      <c r="A569" s="87">
        <v>18</v>
      </c>
      <c r="B569" s="89" t="s">
        <v>1550</v>
      </c>
      <c r="C569" s="89" t="s">
        <v>3383</v>
      </c>
      <c r="D569" s="90" t="s">
        <v>326</v>
      </c>
      <c r="E569" s="90" t="s">
        <v>1631</v>
      </c>
      <c r="F569" s="91" t="s">
        <v>1556</v>
      </c>
      <c r="G569" s="92" t="s">
        <v>1557</v>
      </c>
      <c r="H569" s="93" t="s">
        <v>3469</v>
      </c>
      <c r="I569" s="87" t="s">
        <v>1759</v>
      </c>
      <c r="J569" s="87" t="s">
        <v>1760</v>
      </c>
      <c r="K569" s="87" t="s">
        <v>1761</v>
      </c>
      <c r="L569" s="126" t="s">
        <v>19</v>
      </c>
      <c r="M569" s="94">
        <v>44336.75</v>
      </c>
      <c r="N569" s="94">
        <v>44336.875</v>
      </c>
      <c r="O569" s="95" t="str">
        <f>PROPER(TEXT(Table1[[#This Row],[Fecha Inicio]],"mmmm"))</f>
        <v>Mayo</v>
      </c>
      <c r="P569" s="96" t="s">
        <v>2793</v>
      </c>
      <c r="Q569" s="97" t="s">
        <v>3470</v>
      </c>
      <c r="R569" s="76">
        <f t="shared" si="40"/>
        <v>4</v>
      </c>
      <c r="S569" s="76">
        <f t="shared" si="41"/>
        <v>4</v>
      </c>
      <c r="T569" s="76" t="str">
        <f t="shared" si="42"/>
        <v>-</v>
      </c>
      <c r="U569" s="76" t="str">
        <f t="shared" si="43"/>
        <v>-</v>
      </c>
      <c r="V569" s="76" t="str">
        <f t="shared" si="44"/>
        <v>-</v>
      </c>
      <c r="Z569" s="62"/>
    </row>
    <row r="570" spans="1:26" ht="40.15" customHeight="1" x14ac:dyDescent="0.25">
      <c r="A570" s="87">
        <v>18</v>
      </c>
      <c r="B570" s="89" t="s">
        <v>1550</v>
      </c>
      <c r="C570" s="89" t="s">
        <v>3383</v>
      </c>
      <c r="D570" s="90" t="s">
        <v>326</v>
      </c>
      <c r="E570" s="90" t="s">
        <v>1631</v>
      </c>
      <c r="F570" s="91" t="s">
        <v>1556</v>
      </c>
      <c r="G570" s="92" t="s">
        <v>1557</v>
      </c>
      <c r="H570" s="93" t="s">
        <v>3471</v>
      </c>
      <c r="I570" s="87" t="s">
        <v>1880</v>
      </c>
      <c r="J570" s="87" t="s">
        <v>1881</v>
      </c>
      <c r="K570" s="87" t="s">
        <v>1575</v>
      </c>
      <c r="L570" s="126" t="s">
        <v>19</v>
      </c>
      <c r="M570" s="94">
        <v>44336.84375</v>
      </c>
      <c r="N570" s="94">
        <v>44336.927083333336</v>
      </c>
      <c r="O570" s="95" t="str">
        <f>PROPER(TEXT(Table1[[#This Row],[Fecha Inicio]],"mmmm"))</f>
        <v>Mayo</v>
      </c>
      <c r="P570" s="96" t="s">
        <v>1882</v>
      </c>
      <c r="Q570" s="97" t="s">
        <v>3472</v>
      </c>
      <c r="R570" s="76">
        <f t="shared" si="40"/>
        <v>6</v>
      </c>
      <c r="S570" s="76">
        <f t="shared" si="41"/>
        <v>6</v>
      </c>
      <c r="T570" s="76" t="str">
        <f t="shared" si="42"/>
        <v>-</v>
      </c>
      <c r="U570" s="76" t="str">
        <f t="shared" si="43"/>
        <v>-</v>
      </c>
      <c r="V570" s="76" t="str">
        <f t="shared" si="44"/>
        <v>-</v>
      </c>
      <c r="Z570" s="62"/>
    </row>
    <row r="571" spans="1:26" ht="40.15" customHeight="1" x14ac:dyDescent="0.25">
      <c r="A571" s="87">
        <v>18</v>
      </c>
      <c r="B571" s="89" t="s">
        <v>1550</v>
      </c>
      <c r="C571" s="89" t="s">
        <v>3383</v>
      </c>
      <c r="D571" s="90" t="s">
        <v>326</v>
      </c>
      <c r="E571" s="90" t="s">
        <v>1631</v>
      </c>
      <c r="F571" s="91" t="s">
        <v>1556</v>
      </c>
      <c r="G571" s="92" t="s">
        <v>1557</v>
      </c>
      <c r="H571" s="93" t="s">
        <v>3473</v>
      </c>
      <c r="I571" s="87" t="s">
        <v>1889</v>
      </c>
      <c r="J571" s="87" t="s">
        <v>1890</v>
      </c>
      <c r="K571" s="87" t="s">
        <v>1575</v>
      </c>
      <c r="L571" s="126" t="s">
        <v>19</v>
      </c>
      <c r="M571" s="94">
        <v>44336.916666666664</v>
      </c>
      <c r="N571" s="94">
        <v>44336.958333333336</v>
      </c>
      <c r="O571" s="95" t="str">
        <f>PROPER(TEXT(Table1[[#This Row],[Fecha Inicio]],"mmmm"))</f>
        <v>Mayo</v>
      </c>
      <c r="P571" s="96" t="s">
        <v>164</v>
      </c>
      <c r="Q571" s="97" t="s">
        <v>3474</v>
      </c>
      <c r="R571" s="76">
        <f t="shared" si="40"/>
        <v>1</v>
      </c>
      <c r="S571" s="76">
        <f t="shared" si="41"/>
        <v>1</v>
      </c>
      <c r="T571" s="76" t="str">
        <f t="shared" si="42"/>
        <v>-</v>
      </c>
      <c r="U571" s="76" t="str">
        <f t="shared" si="43"/>
        <v>-</v>
      </c>
      <c r="V571" s="76" t="str">
        <f t="shared" si="44"/>
        <v>-</v>
      </c>
      <c r="Z571" s="62"/>
    </row>
    <row r="572" spans="1:26" ht="40.15" customHeight="1" x14ac:dyDescent="0.25">
      <c r="A572" s="87">
        <v>20</v>
      </c>
      <c r="B572" s="89" t="s">
        <v>1550</v>
      </c>
      <c r="C572" s="89" t="s">
        <v>1578</v>
      </c>
      <c r="D572" s="90" t="s">
        <v>1665</v>
      </c>
      <c r="E572" s="90" t="s">
        <v>2192</v>
      </c>
      <c r="F572" s="87" t="s">
        <v>1556</v>
      </c>
      <c r="G572" s="92" t="s">
        <v>1557</v>
      </c>
      <c r="H572" s="93" t="s">
        <v>3475</v>
      </c>
      <c r="I572" s="87" t="s">
        <v>3476</v>
      </c>
      <c r="J572" s="87" t="s">
        <v>1669</v>
      </c>
      <c r="K572" s="87" t="s">
        <v>1670</v>
      </c>
      <c r="L572" s="126" t="s">
        <v>19</v>
      </c>
      <c r="M572" s="94">
        <v>44336.958333333336</v>
      </c>
      <c r="N572" s="94">
        <v>44337.041666666664</v>
      </c>
      <c r="O572" s="95" t="str">
        <f>PROPER(TEXT(Table1[[#This Row],[Fecha Inicio]],"mmmm"))</f>
        <v>Mayo</v>
      </c>
      <c r="P572" s="96" t="s">
        <v>3477</v>
      </c>
      <c r="Q572" s="97" t="s">
        <v>3478</v>
      </c>
      <c r="R572" s="76">
        <f t="shared" si="40"/>
        <v>1</v>
      </c>
      <c r="S572" s="76">
        <f t="shared" si="41"/>
        <v>1</v>
      </c>
      <c r="T572" s="76" t="str">
        <f t="shared" si="42"/>
        <v>-</v>
      </c>
      <c r="U572" s="76" t="str">
        <f t="shared" si="43"/>
        <v>-</v>
      </c>
      <c r="V572" s="76" t="str">
        <f t="shared" si="44"/>
        <v>-</v>
      </c>
      <c r="Z572" s="62"/>
    </row>
    <row r="573" spans="1:26" ht="40.15" customHeight="1" x14ac:dyDescent="0.25">
      <c r="A573" s="87">
        <v>20</v>
      </c>
      <c r="B573" s="89" t="s">
        <v>1550</v>
      </c>
      <c r="C573" s="89" t="s">
        <v>1578</v>
      </c>
      <c r="D573" s="90" t="s">
        <v>1554</v>
      </c>
      <c r="E573" s="90" t="s">
        <v>1555</v>
      </c>
      <c r="F573" s="91" t="s">
        <v>1556</v>
      </c>
      <c r="G573" s="92" t="s">
        <v>1557</v>
      </c>
      <c r="H573" s="93" t="s">
        <v>3479</v>
      </c>
      <c r="I573" s="87" t="s">
        <v>3355</v>
      </c>
      <c r="J573" s="87" t="s">
        <v>1760</v>
      </c>
      <c r="K573" s="87" t="s">
        <v>1761</v>
      </c>
      <c r="L573" s="89" t="s">
        <v>52</v>
      </c>
      <c r="M573" s="94">
        <v>44337.375</v>
      </c>
      <c r="N573" s="94">
        <v>44337.625</v>
      </c>
      <c r="O573" s="95" t="str">
        <f>PROPER(TEXT(Table1[[#This Row],[Fecha Inicio]],"mmmm"))</f>
        <v>Mayo</v>
      </c>
      <c r="P573" s="96" t="s">
        <v>3480</v>
      </c>
      <c r="Q573" s="97" t="s">
        <v>3481</v>
      </c>
      <c r="R573" s="76">
        <f t="shared" si="40"/>
        <v>1</v>
      </c>
      <c r="S573" s="76">
        <f t="shared" si="41"/>
        <v>1</v>
      </c>
      <c r="T573" s="76" t="str">
        <f t="shared" si="42"/>
        <v>-</v>
      </c>
      <c r="U573" s="76" t="str">
        <f t="shared" si="43"/>
        <v>-</v>
      </c>
      <c r="V573" s="76" t="str">
        <f t="shared" si="44"/>
        <v>-</v>
      </c>
      <c r="Z573" s="62"/>
    </row>
    <row r="574" spans="1:26" ht="40.15" customHeight="1" x14ac:dyDescent="0.25">
      <c r="A574" s="87">
        <v>18</v>
      </c>
      <c r="B574" s="89" t="s">
        <v>1550</v>
      </c>
      <c r="C574" s="89" t="s">
        <v>3383</v>
      </c>
      <c r="D574" s="90" t="s">
        <v>326</v>
      </c>
      <c r="E574" s="90" t="s">
        <v>1631</v>
      </c>
      <c r="F574" s="91" t="s">
        <v>1556</v>
      </c>
      <c r="G574" s="92" t="s">
        <v>1557</v>
      </c>
      <c r="H574" s="93" t="s">
        <v>3482</v>
      </c>
      <c r="I574" s="87" t="s">
        <v>1901</v>
      </c>
      <c r="J574" s="87" t="s">
        <v>1902</v>
      </c>
      <c r="K574" s="87" t="s">
        <v>1575</v>
      </c>
      <c r="L574" s="126" t="s">
        <v>19</v>
      </c>
      <c r="M574" s="94">
        <v>44337.791666666664</v>
      </c>
      <c r="N574" s="94">
        <v>44337.875</v>
      </c>
      <c r="O574" s="95" t="str">
        <f>PROPER(TEXT(Table1[[#This Row],[Fecha Inicio]],"mmmm"))</f>
        <v>Mayo</v>
      </c>
      <c r="P574" s="96" t="s">
        <v>1903</v>
      </c>
      <c r="Q574" s="97" t="s">
        <v>3483</v>
      </c>
      <c r="R574" s="76">
        <f t="shared" si="40"/>
        <v>2</v>
      </c>
      <c r="S574" s="76">
        <f t="shared" si="41"/>
        <v>2</v>
      </c>
      <c r="T574" s="76" t="str">
        <f t="shared" si="42"/>
        <v>-</v>
      </c>
      <c r="U574" s="76" t="str">
        <f t="shared" si="43"/>
        <v>-</v>
      </c>
      <c r="V574" s="76" t="str">
        <f t="shared" si="44"/>
        <v>-</v>
      </c>
      <c r="Z574" s="62"/>
    </row>
    <row r="575" spans="1:26" ht="40.15" customHeight="1" x14ac:dyDescent="0.25">
      <c r="A575" s="87">
        <v>18</v>
      </c>
      <c r="B575" s="89" t="s">
        <v>1550</v>
      </c>
      <c r="C575" s="89" t="s">
        <v>3383</v>
      </c>
      <c r="D575" s="90" t="s">
        <v>326</v>
      </c>
      <c r="E575" s="90" t="s">
        <v>1631</v>
      </c>
      <c r="F575" s="91" t="s">
        <v>1556</v>
      </c>
      <c r="G575" s="92" t="s">
        <v>1557</v>
      </c>
      <c r="H575" s="93" t="s">
        <v>3484</v>
      </c>
      <c r="I575" s="87" t="s">
        <v>1906</v>
      </c>
      <c r="J575" s="87" t="s">
        <v>1907</v>
      </c>
      <c r="K575" s="87" t="s">
        <v>1575</v>
      </c>
      <c r="L575" s="126" t="s">
        <v>19</v>
      </c>
      <c r="M575" s="94">
        <v>44337.791666666664</v>
      </c>
      <c r="N575" s="94">
        <v>44337.875</v>
      </c>
      <c r="O575" s="95" t="str">
        <f>PROPER(TEXT(Table1[[#This Row],[Fecha Inicio]],"mmmm"))</f>
        <v>Mayo</v>
      </c>
      <c r="P575" s="96" t="s">
        <v>171</v>
      </c>
      <c r="Q575" s="97" t="s">
        <v>3485</v>
      </c>
      <c r="R575" s="76">
        <f t="shared" si="40"/>
        <v>1</v>
      </c>
      <c r="S575" s="76">
        <f t="shared" si="41"/>
        <v>1</v>
      </c>
      <c r="T575" s="76" t="str">
        <f t="shared" si="42"/>
        <v>-</v>
      </c>
      <c r="U575" s="76" t="str">
        <f t="shared" si="43"/>
        <v>-</v>
      </c>
      <c r="V575" s="76" t="str">
        <f t="shared" si="44"/>
        <v>-</v>
      </c>
      <c r="Z575" s="62"/>
    </row>
    <row r="576" spans="1:26" ht="40.15" customHeight="1" x14ac:dyDescent="0.25">
      <c r="A576" s="87">
        <v>18</v>
      </c>
      <c r="B576" s="89" t="s">
        <v>1550</v>
      </c>
      <c r="C576" s="89" t="s">
        <v>3383</v>
      </c>
      <c r="D576" s="90" t="s">
        <v>326</v>
      </c>
      <c r="E576" s="90" t="s">
        <v>1631</v>
      </c>
      <c r="F576" s="91" t="s">
        <v>1556</v>
      </c>
      <c r="G576" s="92" t="s">
        <v>1557</v>
      </c>
      <c r="H576" s="93" t="s">
        <v>3486</v>
      </c>
      <c r="I576" s="87" t="s">
        <v>1759</v>
      </c>
      <c r="J576" s="87" t="s">
        <v>1760</v>
      </c>
      <c r="K576" s="87" t="s">
        <v>1761</v>
      </c>
      <c r="L576" s="126" t="s">
        <v>19</v>
      </c>
      <c r="M576" s="94">
        <v>44338.958333333336</v>
      </c>
      <c r="N576" s="94">
        <v>44339.125</v>
      </c>
      <c r="O576" s="95" t="str">
        <f>PROPER(TEXT(Table1[[#This Row],[Fecha Inicio]],"mmmm"))</f>
        <v>Mayo</v>
      </c>
      <c r="P576" s="96" t="s">
        <v>3203</v>
      </c>
      <c r="Q576" s="97" t="s">
        <v>3487</v>
      </c>
      <c r="R576" s="76">
        <f t="shared" si="40"/>
        <v>5</v>
      </c>
      <c r="S576" s="76">
        <f t="shared" si="41"/>
        <v>5</v>
      </c>
      <c r="T576" s="76" t="str">
        <f t="shared" si="42"/>
        <v>-</v>
      </c>
      <c r="U576" s="76" t="str">
        <f t="shared" si="43"/>
        <v>-</v>
      </c>
      <c r="V576" s="76" t="str">
        <f t="shared" si="44"/>
        <v>-</v>
      </c>
      <c r="Z576" s="62"/>
    </row>
    <row r="577" spans="1:26" ht="40.15" customHeight="1" x14ac:dyDescent="0.25">
      <c r="A577" s="87">
        <v>18</v>
      </c>
      <c r="B577" s="89" t="s">
        <v>1550</v>
      </c>
      <c r="C577" s="89" t="s">
        <v>3383</v>
      </c>
      <c r="D577" s="90" t="s">
        <v>326</v>
      </c>
      <c r="E577" s="90" t="s">
        <v>1631</v>
      </c>
      <c r="F577" s="91" t="s">
        <v>1556</v>
      </c>
      <c r="G577" s="92" t="s">
        <v>1557</v>
      </c>
      <c r="H577" s="93" t="s">
        <v>3488</v>
      </c>
      <c r="I577" s="87" t="s">
        <v>1919</v>
      </c>
      <c r="J577" s="91" t="s">
        <v>1920</v>
      </c>
      <c r="K577" s="91" t="s">
        <v>1921</v>
      </c>
      <c r="L577" s="126" t="s">
        <v>19</v>
      </c>
      <c r="M577" s="94">
        <v>44339</v>
      </c>
      <c r="N577" s="94">
        <v>44339.25</v>
      </c>
      <c r="O577" s="95" t="str">
        <f>PROPER(TEXT(Table1[[#This Row],[Fecha Inicio]],"mmmm"))</f>
        <v>Mayo</v>
      </c>
      <c r="P577" s="96" t="s">
        <v>3206</v>
      </c>
      <c r="Q577" s="97" t="s">
        <v>3489</v>
      </c>
      <c r="R577" s="76">
        <f t="shared" si="40"/>
        <v>8</v>
      </c>
      <c r="S577" s="76">
        <f t="shared" si="41"/>
        <v>8</v>
      </c>
      <c r="T577" s="76" t="str">
        <f t="shared" si="42"/>
        <v>-</v>
      </c>
      <c r="U577" s="76" t="str">
        <f t="shared" si="43"/>
        <v>-</v>
      </c>
      <c r="V577" s="76" t="str">
        <f t="shared" si="44"/>
        <v>-</v>
      </c>
      <c r="Z577" s="62"/>
    </row>
    <row r="578" spans="1:26" ht="40.15" customHeight="1" x14ac:dyDescent="0.25">
      <c r="A578" s="87">
        <v>18</v>
      </c>
      <c r="B578" s="89" t="s">
        <v>1550</v>
      </c>
      <c r="C578" s="89" t="s">
        <v>3383</v>
      </c>
      <c r="D578" s="89" t="s">
        <v>326</v>
      </c>
      <c r="E578" s="89" t="s">
        <v>1631</v>
      </c>
      <c r="F578" s="87" t="s">
        <v>1556</v>
      </c>
      <c r="G578" s="92" t="s">
        <v>1557</v>
      </c>
      <c r="H578" s="93" t="s">
        <v>3490</v>
      </c>
      <c r="I578" s="87" t="s">
        <v>3491</v>
      </c>
      <c r="J578" s="87" t="s">
        <v>2825</v>
      </c>
      <c r="K578" s="87" t="s">
        <v>2826</v>
      </c>
      <c r="L578" s="126" t="s">
        <v>19</v>
      </c>
      <c r="M578" s="94">
        <v>44340</v>
      </c>
      <c r="N578" s="94">
        <v>44340.166666666664</v>
      </c>
      <c r="O578" s="95" t="str">
        <f>PROPER(TEXT(Table1[[#This Row],[Fecha Inicio]],"mmmm"))</f>
        <v>Mayo</v>
      </c>
      <c r="P578" s="96" t="s">
        <v>3492</v>
      </c>
      <c r="Q578" s="97" t="s">
        <v>3493</v>
      </c>
      <c r="R578" s="76">
        <f t="shared" ref="R578:R641" si="45">LEN(TRIM(P578))-LEN(SUBSTITUTE(TRIM(P578),",",""))+1</f>
        <v>2</v>
      </c>
      <c r="S578" s="76">
        <f t="shared" ref="S578:S641" si="46">IF(B578="CON ÉXITO",R578,"-")</f>
        <v>2</v>
      </c>
      <c r="T578" s="76" t="str">
        <f t="shared" ref="T578:T641" si="47">IF($B578="Éxito con problemas",S578,"-")</f>
        <v>-</v>
      </c>
      <c r="U578" s="76" t="str">
        <f t="shared" ref="U578:U641" si="48">IF($B578="CANCELADO",R578,"-")</f>
        <v>-</v>
      </c>
      <c r="V578" s="76" t="str">
        <f t="shared" ref="V578:V641" si="49">IF($B578="Aplicada marcha atrás",R578,"-")</f>
        <v>-</v>
      </c>
      <c r="Z578" s="62"/>
    </row>
    <row r="579" spans="1:26" ht="40.15" customHeight="1" x14ac:dyDescent="0.25">
      <c r="A579" s="87">
        <v>18</v>
      </c>
      <c r="B579" s="89" t="s">
        <v>1550</v>
      </c>
      <c r="C579" s="89" t="s">
        <v>3383</v>
      </c>
      <c r="D579" s="90" t="s">
        <v>326</v>
      </c>
      <c r="E579" s="90" t="s">
        <v>1631</v>
      </c>
      <c r="F579" s="87" t="s">
        <v>1556</v>
      </c>
      <c r="G579" s="92" t="s">
        <v>1557</v>
      </c>
      <c r="H579" s="93" t="s">
        <v>3494</v>
      </c>
      <c r="I579" s="87" t="s">
        <v>2410</v>
      </c>
      <c r="J579" s="87" t="s">
        <v>1951</v>
      </c>
      <c r="K579" s="87" t="s">
        <v>1575</v>
      </c>
      <c r="L579" s="126" t="s">
        <v>19</v>
      </c>
      <c r="M579" s="94">
        <v>44340</v>
      </c>
      <c r="N579" s="94">
        <v>44340.208333333336</v>
      </c>
      <c r="O579" s="95" t="str">
        <f>PROPER(TEXT(Table1[[#This Row],[Fecha Inicio]],"mmmm"))</f>
        <v>Mayo</v>
      </c>
      <c r="P579" s="96" t="s">
        <v>1952</v>
      </c>
      <c r="Q579" s="97" t="s">
        <v>3495</v>
      </c>
      <c r="R579" s="76">
        <f t="shared" si="45"/>
        <v>7</v>
      </c>
      <c r="S579" s="76">
        <f t="shared" si="46"/>
        <v>7</v>
      </c>
      <c r="T579" s="76" t="str">
        <f t="shared" si="47"/>
        <v>-</v>
      </c>
      <c r="U579" s="76" t="str">
        <f t="shared" si="48"/>
        <v>-</v>
      </c>
      <c r="V579" s="76" t="str">
        <f t="shared" si="49"/>
        <v>-</v>
      </c>
      <c r="Z579" s="62"/>
    </row>
    <row r="580" spans="1:26" ht="40.15" customHeight="1" x14ac:dyDescent="0.25">
      <c r="A580" s="87">
        <v>18</v>
      </c>
      <c r="B580" s="89" t="s">
        <v>1550</v>
      </c>
      <c r="C580" s="89" t="s">
        <v>3383</v>
      </c>
      <c r="D580" s="90" t="s">
        <v>326</v>
      </c>
      <c r="E580" s="90" t="s">
        <v>1631</v>
      </c>
      <c r="F580" s="91" t="s">
        <v>1556</v>
      </c>
      <c r="G580" s="92" t="s">
        <v>1557</v>
      </c>
      <c r="H580" s="93" t="s">
        <v>3496</v>
      </c>
      <c r="I580" s="91" t="s">
        <v>1838</v>
      </c>
      <c r="J580" s="87" t="s">
        <v>1839</v>
      </c>
      <c r="K580" s="91" t="s">
        <v>1575</v>
      </c>
      <c r="L580" s="126" t="s">
        <v>19</v>
      </c>
      <c r="M580" s="94">
        <v>44340.916666666664</v>
      </c>
      <c r="N580" s="94">
        <v>44340.958333333336</v>
      </c>
      <c r="O580" s="95" t="str">
        <f>PROPER(TEXT(Table1[[#This Row],[Fecha Inicio]],"mmmm"))</f>
        <v>Mayo</v>
      </c>
      <c r="P580" s="96" t="s">
        <v>194</v>
      </c>
      <c r="Q580" s="97" t="s">
        <v>3497</v>
      </c>
      <c r="R580" s="76">
        <f t="shared" si="45"/>
        <v>1</v>
      </c>
      <c r="S580" s="76">
        <f t="shared" si="46"/>
        <v>1</v>
      </c>
      <c r="T580" s="76" t="str">
        <f t="shared" si="47"/>
        <v>-</v>
      </c>
      <c r="U580" s="76" t="str">
        <f t="shared" si="48"/>
        <v>-</v>
      </c>
      <c r="V580" s="76" t="str">
        <f t="shared" si="49"/>
        <v>-</v>
      </c>
      <c r="Z580" s="62"/>
    </row>
    <row r="581" spans="1:26" ht="40.15" customHeight="1" x14ac:dyDescent="0.25">
      <c r="A581" s="87">
        <v>20</v>
      </c>
      <c r="B581" s="89" t="s">
        <v>1550</v>
      </c>
      <c r="C581" s="89"/>
      <c r="D581" s="89" t="s">
        <v>344</v>
      </c>
      <c r="E581" s="89" t="s">
        <v>1616</v>
      </c>
      <c r="F581" s="87" t="s">
        <v>1556</v>
      </c>
      <c r="G581" s="92" t="s">
        <v>1557</v>
      </c>
      <c r="H581" s="93" t="s">
        <v>3498</v>
      </c>
      <c r="I581" s="87" t="s">
        <v>2841</v>
      </c>
      <c r="J581" s="87" t="s">
        <v>1619</v>
      </c>
      <c r="K581" s="87" t="s">
        <v>2512</v>
      </c>
      <c r="L581" s="126" t="s">
        <v>19</v>
      </c>
      <c r="M581" s="94">
        <v>44340.958333333336</v>
      </c>
      <c r="N581" s="94">
        <v>44341.125</v>
      </c>
      <c r="O581" s="95" t="str">
        <f>PROPER(TEXT(Table1[[#This Row],[Fecha Inicio]],"mmmm"))</f>
        <v>Mayo</v>
      </c>
      <c r="P581" s="96" t="s">
        <v>2842</v>
      </c>
      <c r="Q581" s="97" t="s">
        <v>3499</v>
      </c>
      <c r="R581" s="76">
        <f t="shared" si="45"/>
        <v>3</v>
      </c>
      <c r="S581" s="76">
        <f t="shared" si="46"/>
        <v>3</v>
      </c>
      <c r="T581" s="76" t="str">
        <f t="shared" si="47"/>
        <v>-</v>
      </c>
      <c r="U581" s="76" t="str">
        <f t="shared" si="48"/>
        <v>-</v>
      </c>
      <c r="V581" s="76" t="str">
        <f t="shared" si="49"/>
        <v>-</v>
      </c>
      <c r="Z581" s="62"/>
    </row>
    <row r="582" spans="1:26" ht="40.15" customHeight="1" x14ac:dyDescent="0.25">
      <c r="A582" s="87">
        <v>18</v>
      </c>
      <c r="B582" s="89" t="s">
        <v>1550</v>
      </c>
      <c r="C582" s="89" t="s">
        <v>3383</v>
      </c>
      <c r="D582" s="90" t="s">
        <v>326</v>
      </c>
      <c r="E582" s="90" t="s">
        <v>1631</v>
      </c>
      <c r="F582" s="91" t="s">
        <v>1556</v>
      </c>
      <c r="G582" s="92" t="s">
        <v>1557</v>
      </c>
      <c r="H582" s="93" t="s">
        <v>3500</v>
      </c>
      <c r="I582" s="87" t="s">
        <v>3501</v>
      </c>
      <c r="J582" s="87" t="s">
        <v>3502</v>
      </c>
      <c r="K582" s="91" t="s">
        <v>1709</v>
      </c>
      <c r="L582" s="126" t="s">
        <v>19</v>
      </c>
      <c r="M582" s="94">
        <v>44341</v>
      </c>
      <c r="N582" s="94">
        <v>44341.208333333336</v>
      </c>
      <c r="O582" s="95" t="str">
        <f>PROPER(TEXT(Table1[[#This Row],[Fecha Inicio]],"mmmm"))</f>
        <v>Mayo</v>
      </c>
      <c r="P582" s="96" t="s">
        <v>3503</v>
      </c>
      <c r="Q582" s="97" t="s">
        <v>3504</v>
      </c>
      <c r="R582" s="76">
        <f t="shared" si="45"/>
        <v>10</v>
      </c>
      <c r="S582" s="76">
        <f t="shared" si="46"/>
        <v>10</v>
      </c>
      <c r="T582" s="76" t="str">
        <f t="shared" si="47"/>
        <v>-</v>
      </c>
      <c r="U582" s="76" t="str">
        <f t="shared" si="48"/>
        <v>-</v>
      </c>
      <c r="V582" s="76" t="str">
        <f t="shared" si="49"/>
        <v>-</v>
      </c>
      <c r="Z582" s="62"/>
    </row>
    <row r="583" spans="1:26" ht="40.15" customHeight="1" x14ac:dyDescent="0.25">
      <c r="A583" s="87">
        <v>20</v>
      </c>
      <c r="B583" s="89" t="s">
        <v>1550</v>
      </c>
      <c r="C583" s="89"/>
      <c r="D583" s="90" t="s">
        <v>1623</v>
      </c>
      <c r="E583" s="90" t="s">
        <v>1624</v>
      </c>
      <c r="F583" s="91" t="s">
        <v>1556</v>
      </c>
      <c r="G583" s="92" t="s">
        <v>1557</v>
      </c>
      <c r="H583" s="93" t="s">
        <v>3505</v>
      </c>
      <c r="I583" s="87" t="s">
        <v>1626</v>
      </c>
      <c r="J583" s="87" t="s">
        <v>1627</v>
      </c>
      <c r="K583" s="87" t="s">
        <v>1575</v>
      </c>
      <c r="L583" s="126" t="s">
        <v>19</v>
      </c>
      <c r="M583" s="94">
        <v>44341.5</v>
      </c>
      <c r="N583" s="94">
        <v>44341.625</v>
      </c>
      <c r="O583" s="95" t="str">
        <f>PROPER(TEXT(Table1[[#This Row],[Fecha Inicio]],"mmmm"))</f>
        <v>Mayo</v>
      </c>
      <c r="P583" s="96" t="s">
        <v>1628</v>
      </c>
      <c r="Q583" s="97" t="s">
        <v>3506</v>
      </c>
      <c r="R583" s="76">
        <f t="shared" si="45"/>
        <v>2</v>
      </c>
      <c r="S583" s="76">
        <f t="shared" si="46"/>
        <v>2</v>
      </c>
      <c r="T583" s="76" t="str">
        <f t="shared" si="47"/>
        <v>-</v>
      </c>
      <c r="U583" s="76" t="str">
        <f t="shared" si="48"/>
        <v>-</v>
      </c>
      <c r="V583" s="76" t="str">
        <f t="shared" si="49"/>
        <v>-</v>
      </c>
      <c r="Z583" s="62"/>
    </row>
    <row r="584" spans="1:26" ht="40.15" customHeight="1" x14ac:dyDescent="0.25">
      <c r="A584" s="87">
        <v>18</v>
      </c>
      <c r="B584" s="89" t="s">
        <v>1550</v>
      </c>
      <c r="C584" s="99" t="s">
        <v>3383</v>
      </c>
      <c r="D584" s="90" t="s">
        <v>326</v>
      </c>
      <c r="E584" s="90" t="s">
        <v>1631</v>
      </c>
      <c r="F584" s="91" t="s">
        <v>1556</v>
      </c>
      <c r="G584" s="92" t="s">
        <v>1557</v>
      </c>
      <c r="H584" s="93" t="s">
        <v>3507</v>
      </c>
      <c r="I584" s="87" t="s">
        <v>1961</v>
      </c>
      <c r="J584" s="87" t="s">
        <v>1962</v>
      </c>
      <c r="K584" s="87" t="s">
        <v>1575</v>
      </c>
      <c r="L584" s="126" t="s">
        <v>19</v>
      </c>
      <c r="M584" s="94">
        <v>44341.833333333336</v>
      </c>
      <c r="N584" s="94">
        <v>44341.875</v>
      </c>
      <c r="O584" s="95" t="str">
        <f>PROPER(TEXT(Table1[[#This Row],[Fecha Inicio]],"mmmm"))</f>
        <v>Mayo</v>
      </c>
      <c r="P584" s="96" t="s">
        <v>207</v>
      </c>
      <c r="Q584" s="97" t="s">
        <v>3508</v>
      </c>
      <c r="R584" s="76">
        <f t="shared" si="45"/>
        <v>1</v>
      </c>
      <c r="S584" s="76">
        <f t="shared" si="46"/>
        <v>1</v>
      </c>
      <c r="T584" s="76" t="str">
        <f t="shared" si="47"/>
        <v>-</v>
      </c>
      <c r="U584" s="76" t="str">
        <f t="shared" si="48"/>
        <v>-</v>
      </c>
      <c r="V584" s="76" t="str">
        <f t="shared" si="49"/>
        <v>-</v>
      </c>
      <c r="Z584" s="62"/>
    </row>
    <row r="585" spans="1:26" ht="40.15" customHeight="1" x14ac:dyDescent="0.25">
      <c r="A585" s="87">
        <v>20</v>
      </c>
      <c r="B585" s="89" t="s">
        <v>1550</v>
      </c>
      <c r="C585" s="89"/>
      <c r="D585" s="89" t="s">
        <v>344</v>
      </c>
      <c r="E585" s="89" t="s">
        <v>1616</v>
      </c>
      <c r="F585" s="87" t="s">
        <v>1556</v>
      </c>
      <c r="G585" s="92" t="s">
        <v>1557</v>
      </c>
      <c r="H585" s="93" t="s">
        <v>3509</v>
      </c>
      <c r="I585" s="87" t="s">
        <v>2872</v>
      </c>
      <c r="J585" s="87" t="s">
        <v>1619</v>
      </c>
      <c r="K585" s="87" t="s">
        <v>2512</v>
      </c>
      <c r="L585" s="126" t="s">
        <v>19</v>
      </c>
      <c r="M585" s="94">
        <v>44341.958333333336</v>
      </c>
      <c r="N585" s="94">
        <v>44342.125</v>
      </c>
      <c r="O585" s="95" t="str">
        <f>PROPER(TEXT(Table1[[#This Row],[Fecha Inicio]],"mmmm"))</f>
        <v>Mayo</v>
      </c>
      <c r="P585" s="96" t="s">
        <v>2873</v>
      </c>
      <c r="Q585" s="97" t="s">
        <v>3510</v>
      </c>
      <c r="R585" s="76">
        <f t="shared" si="45"/>
        <v>3</v>
      </c>
      <c r="S585" s="76">
        <f t="shared" si="46"/>
        <v>3</v>
      </c>
      <c r="T585" s="76" t="str">
        <f t="shared" si="47"/>
        <v>-</v>
      </c>
      <c r="U585" s="76" t="str">
        <f t="shared" si="48"/>
        <v>-</v>
      </c>
      <c r="V585" s="76" t="str">
        <f t="shared" si="49"/>
        <v>-</v>
      </c>
      <c r="Z585" s="62"/>
    </row>
    <row r="586" spans="1:26" ht="40.15" customHeight="1" x14ac:dyDescent="0.25">
      <c r="A586" s="87">
        <v>21</v>
      </c>
      <c r="B586" s="89" t="s">
        <v>1550</v>
      </c>
      <c r="C586" s="89"/>
      <c r="D586" s="102" t="s">
        <v>1554</v>
      </c>
      <c r="E586" s="102" t="s">
        <v>1555</v>
      </c>
      <c r="F586" s="87" t="s">
        <v>1556</v>
      </c>
      <c r="G586" s="92" t="s">
        <v>1557</v>
      </c>
      <c r="H586" s="93" t="s">
        <v>3511</v>
      </c>
      <c r="I586" s="87" t="s">
        <v>3512</v>
      </c>
      <c r="J586" s="87" t="s">
        <v>3513</v>
      </c>
      <c r="K586" s="87" t="s">
        <v>1575</v>
      </c>
      <c r="L586" s="87" t="s">
        <v>52</v>
      </c>
      <c r="M586" s="94">
        <v>44342.375</v>
      </c>
      <c r="N586" s="94">
        <v>44342.625</v>
      </c>
      <c r="O586" s="95" t="str">
        <f>PROPER(TEXT(Table1[[#This Row],[Fecha Inicio]],"mmmm"))</f>
        <v>Mayo</v>
      </c>
      <c r="P586" s="96" t="s">
        <v>3514</v>
      </c>
      <c r="Q586" s="97" t="s">
        <v>3515</v>
      </c>
      <c r="R586" s="76">
        <f t="shared" si="45"/>
        <v>18</v>
      </c>
      <c r="S586" s="76">
        <f t="shared" si="46"/>
        <v>18</v>
      </c>
      <c r="T586" s="76" t="str">
        <f t="shared" si="47"/>
        <v>-</v>
      </c>
      <c r="U586" s="76" t="str">
        <f t="shared" si="48"/>
        <v>-</v>
      </c>
      <c r="V586" s="76" t="str">
        <f t="shared" si="49"/>
        <v>-</v>
      </c>
      <c r="Z586" s="62"/>
    </row>
    <row r="587" spans="1:26" ht="40.15" customHeight="1" x14ac:dyDescent="0.25">
      <c r="A587" s="87">
        <v>20</v>
      </c>
      <c r="B587" s="99" t="s">
        <v>1550</v>
      </c>
      <c r="C587" s="89"/>
      <c r="D587" s="89" t="s">
        <v>344</v>
      </c>
      <c r="E587" s="89" t="s">
        <v>1616</v>
      </c>
      <c r="F587" s="87" t="s">
        <v>1556</v>
      </c>
      <c r="G587" s="92" t="s">
        <v>1557</v>
      </c>
      <c r="H587" s="93" t="s">
        <v>3516</v>
      </c>
      <c r="I587" s="87" t="s">
        <v>1942</v>
      </c>
      <c r="J587" s="91" t="s">
        <v>1583</v>
      </c>
      <c r="K587" s="87" t="s">
        <v>1584</v>
      </c>
      <c r="L587" s="126" t="s">
        <v>19</v>
      </c>
      <c r="M587" s="94">
        <v>44342.416666666664</v>
      </c>
      <c r="N587" s="94">
        <v>44342.708333333336</v>
      </c>
      <c r="O587" s="95" t="str">
        <f>PROPER(TEXT(Table1[[#This Row],[Fecha Inicio]],"mmmm"))</f>
        <v>Mayo</v>
      </c>
      <c r="P587" s="96" t="s">
        <v>1943</v>
      </c>
      <c r="Q587" s="97" t="s">
        <v>3517</v>
      </c>
      <c r="R587" s="76">
        <f t="shared" si="45"/>
        <v>3</v>
      </c>
      <c r="S587" s="76">
        <f t="shared" si="46"/>
        <v>3</v>
      </c>
      <c r="T587" s="76" t="str">
        <f t="shared" si="47"/>
        <v>-</v>
      </c>
      <c r="U587" s="76" t="str">
        <f t="shared" si="48"/>
        <v>-</v>
      </c>
      <c r="V587" s="76" t="str">
        <f t="shared" si="49"/>
        <v>-</v>
      </c>
      <c r="Z587" s="62"/>
    </row>
    <row r="588" spans="1:26" ht="40.15" customHeight="1" x14ac:dyDescent="0.25">
      <c r="A588" s="87">
        <v>18</v>
      </c>
      <c r="B588" s="89" t="s">
        <v>1550</v>
      </c>
      <c r="C588" s="89" t="s">
        <v>3383</v>
      </c>
      <c r="D588" s="90" t="s">
        <v>326</v>
      </c>
      <c r="E588" s="90" t="s">
        <v>1631</v>
      </c>
      <c r="F588" s="91" t="s">
        <v>1556</v>
      </c>
      <c r="G588" s="92" t="s">
        <v>1557</v>
      </c>
      <c r="H588" s="93" t="s">
        <v>3518</v>
      </c>
      <c r="I588" s="87" t="s">
        <v>1987</v>
      </c>
      <c r="J588" s="87" t="s">
        <v>1988</v>
      </c>
      <c r="K588" s="91" t="s">
        <v>1575</v>
      </c>
      <c r="L588" s="126" t="s">
        <v>19</v>
      </c>
      <c r="M588" s="94">
        <v>44342.604166666664</v>
      </c>
      <c r="N588" s="94">
        <v>44342.729166666664</v>
      </c>
      <c r="O588" s="95" t="str">
        <f>PROPER(TEXT(Table1[[#This Row],[Fecha Inicio]],"mmmm"))</f>
        <v>Mayo</v>
      </c>
      <c r="P588" s="96" t="s">
        <v>1989</v>
      </c>
      <c r="Q588" s="97" t="s">
        <v>3519</v>
      </c>
      <c r="R588" s="76">
        <f t="shared" si="45"/>
        <v>4</v>
      </c>
      <c r="S588" s="76">
        <f t="shared" si="46"/>
        <v>4</v>
      </c>
      <c r="T588" s="76" t="str">
        <f t="shared" si="47"/>
        <v>-</v>
      </c>
      <c r="U588" s="76" t="str">
        <f t="shared" si="48"/>
        <v>-</v>
      </c>
      <c r="V588" s="76" t="str">
        <f t="shared" si="49"/>
        <v>-</v>
      </c>
      <c r="Z588" s="62"/>
    </row>
    <row r="589" spans="1:26" ht="40.15" customHeight="1" x14ac:dyDescent="0.25">
      <c r="A589" s="87">
        <v>19</v>
      </c>
      <c r="B589" s="90" t="s">
        <v>2046</v>
      </c>
      <c r="C589" s="89" t="s">
        <v>3520</v>
      </c>
      <c r="D589" s="90" t="s">
        <v>326</v>
      </c>
      <c r="E589" s="90" t="s">
        <v>1631</v>
      </c>
      <c r="F589" s="91" t="s">
        <v>1556</v>
      </c>
      <c r="G589" s="92" t="s">
        <v>1557</v>
      </c>
      <c r="H589" s="93" t="s">
        <v>3521</v>
      </c>
      <c r="I589" s="87" t="s">
        <v>3522</v>
      </c>
      <c r="J589" s="87" t="s">
        <v>2404</v>
      </c>
      <c r="K589" s="87" t="s">
        <v>1575</v>
      </c>
      <c r="L589" s="126" t="s">
        <v>19</v>
      </c>
      <c r="M589" s="94">
        <v>44343</v>
      </c>
      <c r="N589" s="94">
        <v>44343.166666666664</v>
      </c>
      <c r="O589" s="95" t="str">
        <f>PROPER(TEXT(Table1[[#This Row],[Fecha Inicio]],"mmmm"))</f>
        <v>Mayo</v>
      </c>
      <c r="P589" s="96" t="s">
        <v>3523</v>
      </c>
      <c r="Q589" s="97" t="s">
        <v>3524</v>
      </c>
      <c r="R589" s="76">
        <f t="shared" si="45"/>
        <v>1</v>
      </c>
      <c r="S589" s="76" t="str">
        <f t="shared" si="46"/>
        <v>-</v>
      </c>
      <c r="T589" s="76" t="str">
        <f t="shared" si="47"/>
        <v>-</v>
      </c>
      <c r="U589" s="76" t="str">
        <f t="shared" si="48"/>
        <v>-</v>
      </c>
      <c r="V589" s="76" t="str">
        <f t="shared" si="49"/>
        <v>-</v>
      </c>
      <c r="Z589" s="62"/>
    </row>
    <row r="590" spans="1:26" ht="40.15" customHeight="1" x14ac:dyDescent="0.25">
      <c r="A590" s="87">
        <v>21</v>
      </c>
      <c r="B590" s="89" t="s">
        <v>3527</v>
      </c>
      <c r="C590" s="89" t="s">
        <v>3528</v>
      </c>
      <c r="D590" s="102" t="s">
        <v>1665</v>
      </c>
      <c r="E590" s="102" t="s">
        <v>2192</v>
      </c>
      <c r="F590" s="87" t="s">
        <v>1556</v>
      </c>
      <c r="G590" s="92" t="s">
        <v>1557</v>
      </c>
      <c r="H590" s="93" t="s">
        <v>3529</v>
      </c>
      <c r="I590" s="87" t="s">
        <v>3530</v>
      </c>
      <c r="J590" s="87" t="s">
        <v>1627</v>
      </c>
      <c r="K590" s="87" t="s">
        <v>1575</v>
      </c>
      <c r="L590" s="126" t="s">
        <v>19</v>
      </c>
      <c r="M590" s="94">
        <v>44343.416666666664</v>
      </c>
      <c r="N590" s="94">
        <v>44343.5</v>
      </c>
      <c r="O590" s="95" t="str">
        <f>PROPER(TEXT(Table1[[#This Row],[Fecha Inicio]],"mmmm"))</f>
        <v>Mayo</v>
      </c>
      <c r="P590" s="96" t="s">
        <v>3531</v>
      </c>
      <c r="Q590" s="97" t="s">
        <v>3532</v>
      </c>
      <c r="R590" s="76">
        <f t="shared" si="45"/>
        <v>2</v>
      </c>
      <c r="S590" s="76" t="str">
        <f t="shared" si="46"/>
        <v>-</v>
      </c>
      <c r="T590" s="76" t="str">
        <f t="shared" si="47"/>
        <v>-</v>
      </c>
      <c r="U590" s="76" t="str">
        <f t="shared" si="48"/>
        <v>-</v>
      </c>
      <c r="V590" s="76" t="str">
        <f t="shared" si="49"/>
        <v>-</v>
      </c>
      <c r="Z590" s="62"/>
    </row>
    <row r="591" spans="1:26" ht="40.15" customHeight="1" x14ac:dyDescent="0.25">
      <c r="A591" s="87">
        <v>20</v>
      </c>
      <c r="B591" s="99" t="s">
        <v>1550</v>
      </c>
      <c r="C591" s="89"/>
      <c r="D591" s="89" t="s">
        <v>344</v>
      </c>
      <c r="E591" s="89" t="s">
        <v>1616</v>
      </c>
      <c r="F591" s="87" t="s">
        <v>1556</v>
      </c>
      <c r="G591" s="92" t="s">
        <v>1557</v>
      </c>
      <c r="H591" s="93" t="s">
        <v>3525</v>
      </c>
      <c r="I591" s="87" t="s">
        <v>1942</v>
      </c>
      <c r="J591" s="91" t="s">
        <v>1583</v>
      </c>
      <c r="K591" s="87" t="s">
        <v>1584</v>
      </c>
      <c r="L591" s="126" t="s">
        <v>19</v>
      </c>
      <c r="M591" s="94">
        <v>44343.416666666664</v>
      </c>
      <c r="N591" s="94">
        <v>44343.708333333336</v>
      </c>
      <c r="O591" s="95" t="str">
        <f>PROPER(TEXT(Table1[[#This Row],[Fecha Inicio]],"mmmm"))</f>
        <v>Mayo</v>
      </c>
      <c r="P591" s="96" t="s">
        <v>1958</v>
      </c>
      <c r="Q591" s="97" t="s">
        <v>3526</v>
      </c>
      <c r="R591" s="76">
        <f t="shared" si="45"/>
        <v>2</v>
      </c>
      <c r="S591" s="76">
        <f t="shared" si="46"/>
        <v>2</v>
      </c>
      <c r="T591" s="76" t="str">
        <f t="shared" si="47"/>
        <v>-</v>
      </c>
      <c r="U591" s="76" t="str">
        <f t="shared" si="48"/>
        <v>-</v>
      </c>
      <c r="V591" s="76" t="str">
        <f t="shared" si="49"/>
        <v>-</v>
      </c>
      <c r="Z591" s="62"/>
    </row>
    <row r="592" spans="1:26" ht="40.15" customHeight="1" x14ac:dyDescent="0.25">
      <c r="A592" s="87">
        <v>21</v>
      </c>
      <c r="B592" s="89" t="s">
        <v>1550</v>
      </c>
      <c r="C592" s="89"/>
      <c r="D592" s="90" t="s">
        <v>1623</v>
      </c>
      <c r="E592" s="90" t="s">
        <v>1624</v>
      </c>
      <c r="F592" s="91" t="s">
        <v>1556</v>
      </c>
      <c r="G592" s="92" t="s">
        <v>1557</v>
      </c>
      <c r="H592" s="93" t="s">
        <v>3533</v>
      </c>
      <c r="I592" s="87" t="s">
        <v>1685</v>
      </c>
      <c r="J592" s="87" t="s">
        <v>1627</v>
      </c>
      <c r="K592" s="87" t="s">
        <v>1575</v>
      </c>
      <c r="L592" s="126" t="s">
        <v>19</v>
      </c>
      <c r="M592" s="94">
        <v>44343.5</v>
      </c>
      <c r="N592" s="94">
        <v>44343.625</v>
      </c>
      <c r="O592" s="95" t="str">
        <f>PROPER(TEXT(Table1[[#This Row],[Fecha Inicio]],"mmmm"))</f>
        <v>Mayo</v>
      </c>
      <c r="P592" s="96" t="s">
        <v>2764</v>
      </c>
      <c r="Q592" s="97" t="s">
        <v>3534</v>
      </c>
      <c r="R592" s="76">
        <f t="shared" si="45"/>
        <v>2</v>
      </c>
      <c r="S592" s="76">
        <f t="shared" si="46"/>
        <v>2</v>
      </c>
      <c r="T592" s="76" t="str">
        <f t="shared" si="47"/>
        <v>-</v>
      </c>
      <c r="U592" s="76" t="str">
        <f t="shared" si="48"/>
        <v>-</v>
      </c>
      <c r="V592" s="76" t="str">
        <f t="shared" si="49"/>
        <v>-</v>
      </c>
      <c r="Z592" s="62"/>
    </row>
    <row r="593" spans="1:26" ht="40.15" customHeight="1" x14ac:dyDescent="0.25">
      <c r="A593" s="87">
        <v>19</v>
      </c>
      <c r="B593" s="89" t="s">
        <v>1550</v>
      </c>
      <c r="C593" s="89" t="s">
        <v>3383</v>
      </c>
      <c r="D593" s="90" t="s">
        <v>326</v>
      </c>
      <c r="E593" s="90" t="s">
        <v>1631</v>
      </c>
      <c r="F593" s="91" t="s">
        <v>1556</v>
      </c>
      <c r="G593" s="92" t="s">
        <v>1557</v>
      </c>
      <c r="H593" s="93" t="s">
        <v>3535</v>
      </c>
      <c r="I593" s="87" t="s">
        <v>3536</v>
      </c>
      <c r="J593" s="87" t="s">
        <v>3537</v>
      </c>
      <c r="K593" s="91" t="s">
        <v>1575</v>
      </c>
      <c r="L593" s="126" t="s">
        <v>19</v>
      </c>
      <c r="M593" s="94">
        <v>44344</v>
      </c>
      <c r="N593" s="94">
        <v>44344.166666666664</v>
      </c>
      <c r="O593" s="95" t="str">
        <f>PROPER(TEXT(Table1[[#This Row],[Fecha Inicio]],"mmmm"))</f>
        <v>Mayo</v>
      </c>
      <c r="P593" s="96" t="s">
        <v>3538</v>
      </c>
      <c r="Q593" s="97" t="s">
        <v>3539</v>
      </c>
      <c r="R593" s="76">
        <f t="shared" si="45"/>
        <v>4</v>
      </c>
      <c r="S593" s="76">
        <f t="shared" si="46"/>
        <v>4</v>
      </c>
      <c r="T593" s="76" t="str">
        <f t="shared" si="47"/>
        <v>-</v>
      </c>
      <c r="U593" s="76" t="str">
        <f t="shared" si="48"/>
        <v>-</v>
      </c>
      <c r="V593" s="76" t="str">
        <f t="shared" si="49"/>
        <v>-</v>
      </c>
      <c r="Z593" s="62"/>
    </row>
    <row r="594" spans="1:26" ht="40.15" customHeight="1" x14ac:dyDescent="0.25">
      <c r="A594" s="87">
        <v>19</v>
      </c>
      <c r="B594" s="89" t="s">
        <v>1550</v>
      </c>
      <c r="C594" s="89" t="s">
        <v>3383</v>
      </c>
      <c r="D594" s="90" t="s">
        <v>326</v>
      </c>
      <c r="E594" s="90" t="s">
        <v>1631</v>
      </c>
      <c r="F594" s="91" t="s">
        <v>1556</v>
      </c>
      <c r="G594" s="92" t="s">
        <v>1557</v>
      </c>
      <c r="H594" s="93" t="s">
        <v>3540</v>
      </c>
      <c r="I594" s="87" t="s">
        <v>3260</v>
      </c>
      <c r="J594" s="87" t="s">
        <v>2511</v>
      </c>
      <c r="K594" s="87" t="s">
        <v>2512</v>
      </c>
      <c r="L594" s="126" t="s">
        <v>19</v>
      </c>
      <c r="M594" s="94">
        <v>44344.041666666664</v>
      </c>
      <c r="N594" s="94">
        <v>44344.125</v>
      </c>
      <c r="O594" s="95" t="str">
        <f>PROPER(TEXT(Table1[[#This Row],[Fecha Inicio]],"mmmm"))</f>
        <v>Mayo</v>
      </c>
      <c r="P594" s="96" t="s">
        <v>3261</v>
      </c>
      <c r="Q594" s="97" t="s">
        <v>3541</v>
      </c>
      <c r="R594" s="76">
        <f t="shared" si="45"/>
        <v>6</v>
      </c>
      <c r="S594" s="76">
        <f t="shared" si="46"/>
        <v>6</v>
      </c>
      <c r="T594" s="76" t="str">
        <f t="shared" si="47"/>
        <v>-</v>
      </c>
      <c r="U594" s="76" t="str">
        <f t="shared" si="48"/>
        <v>-</v>
      </c>
      <c r="V594" s="76" t="str">
        <f t="shared" si="49"/>
        <v>-</v>
      </c>
      <c r="Z594" s="62"/>
    </row>
    <row r="595" spans="1:26" ht="40.15" customHeight="1" x14ac:dyDescent="0.25">
      <c r="A595" s="87">
        <v>21</v>
      </c>
      <c r="B595" s="89" t="s">
        <v>1550</v>
      </c>
      <c r="C595" s="99"/>
      <c r="D595" s="90" t="s">
        <v>326</v>
      </c>
      <c r="E595" s="90" t="s">
        <v>1742</v>
      </c>
      <c r="F595" s="91" t="s">
        <v>1556</v>
      </c>
      <c r="G595" s="92" t="s">
        <v>1557</v>
      </c>
      <c r="H595" s="93" t="s">
        <v>3542</v>
      </c>
      <c r="I595" s="87" t="s">
        <v>3214</v>
      </c>
      <c r="J595" s="87" t="s">
        <v>2239</v>
      </c>
      <c r="K595" s="87" t="s">
        <v>1575</v>
      </c>
      <c r="L595" s="89" t="s">
        <v>52</v>
      </c>
      <c r="M595" s="94">
        <v>44344.375</v>
      </c>
      <c r="N595" s="94">
        <v>44344.625</v>
      </c>
      <c r="O595" s="95" t="str">
        <f>PROPER(TEXT(Table1[[#This Row],[Fecha Inicio]],"mmmm"))</f>
        <v>Mayo</v>
      </c>
      <c r="P595" s="96" t="s">
        <v>3458</v>
      </c>
      <c r="Q595" s="97" t="s">
        <v>3543</v>
      </c>
      <c r="R595" s="76">
        <f t="shared" si="45"/>
        <v>2</v>
      </c>
      <c r="S595" s="76">
        <f t="shared" si="46"/>
        <v>2</v>
      </c>
      <c r="T595" s="76" t="str">
        <f t="shared" si="47"/>
        <v>-</v>
      </c>
      <c r="U595" s="76" t="str">
        <f t="shared" si="48"/>
        <v>-</v>
      </c>
      <c r="V595" s="76" t="str">
        <f t="shared" si="49"/>
        <v>-</v>
      </c>
      <c r="Z595" s="62"/>
    </row>
    <row r="596" spans="1:26" ht="40.15" customHeight="1" x14ac:dyDescent="0.25">
      <c r="A596" s="87">
        <v>19</v>
      </c>
      <c r="B596" s="89" t="s">
        <v>1550</v>
      </c>
      <c r="C596" s="89" t="s">
        <v>3383</v>
      </c>
      <c r="D596" s="90" t="s">
        <v>326</v>
      </c>
      <c r="E596" s="90" t="s">
        <v>1631</v>
      </c>
      <c r="F596" s="91" t="s">
        <v>1556</v>
      </c>
      <c r="G596" s="92" t="s">
        <v>1557</v>
      </c>
      <c r="H596" s="93" t="s">
        <v>3544</v>
      </c>
      <c r="I596" s="87" t="s">
        <v>2013</v>
      </c>
      <c r="J596" s="87" t="s">
        <v>2014</v>
      </c>
      <c r="K596" s="87" t="s">
        <v>1575</v>
      </c>
      <c r="L596" s="126" t="s">
        <v>19</v>
      </c>
      <c r="M596" s="94">
        <v>44344.791666666664</v>
      </c>
      <c r="N596" s="94">
        <v>44344.875</v>
      </c>
      <c r="O596" s="95" t="str">
        <f>PROPER(TEXT(Table1[[#This Row],[Fecha Inicio]],"mmmm"))</f>
        <v>Mayo</v>
      </c>
      <c r="P596" s="96" t="s">
        <v>2015</v>
      </c>
      <c r="Q596" s="97" t="s">
        <v>3545</v>
      </c>
      <c r="R596" s="76">
        <f t="shared" si="45"/>
        <v>9</v>
      </c>
      <c r="S596" s="76">
        <f t="shared" si="46"/>
        <v>9</v>
      </c>
      <c r="T596" s="76" t="str">
        <f t="shared" si="47"/>
        <v>-</v>
      </c>
      <c r="U596" s="76" t="str">
        <f t="shared" si="48"/>
        <v>-</v>
      </c>
      <c r="V596" s="76" t="str">
        <f t="shared" si="49"/>
        <v>-</v>
      </c>
      <c r="Z596" s="62"/>
    </row>
    <row r="597" spans="1:26" ht="40.15" customHeight="1" x14ac:dyDescent="0.25">
      <c r="A597" s="87">
        <v>19</v>
      </c>
      <c r="B597" s="89" t="s">
        <v>1550</v>
      </c>
      <c r="C597" s="89" t="s">
        <v>3383</v>
      </c>
      <c r="D597" s="90" t="s">
        <v>326</v>
      </c>
      <c r="E597" s="90" t="s">
        <v>1631</v>
      </c>
      <c r="F597" s="91" t="s">
        <v>1556</v>
      </c>
      <c r="G597" s="92" t="s">
        <v>1557</v>
      </c>
      <c r="H597" s="93" t="s">
        <v>3546</v>
      </c>
      <c r="I597" s="87" t="s">
        <v>2013</v>
      </c>
      <c r="J597" s="87" t="s">
        <v>2014</v>
      </c>
      <c r="K597" s="87" t="s">
        <v>1575</v>
      </c>
      <c r="L597" s="126" t="s">
        <v>19</v>
      </c>
      <c r="M597" s="94">
        <v>44344.833333333336</v>
      </c>
      <c r="N597" s="94">
        <v>44344.875</v>
      </c>
      <c r="O597" s="95" t="str">
        <f>PROPER(TEXT(Table1[[#This Row],[Fecha Inicio]],"mmmm"))</f>
        <v>Mayo</v>
      </c>
      <c r="P597" s="96" t="s">
        <v>219</v>
      </c>
      <c r="Q597" s="97" t="s">
        <v>3547</v>
      </c>
      <c r="R597" s="76">
        <f t="shared" si="45"/>
        <v>1</v>
      </c>
      <c r="S597" s="76">
        <f t="shared" si="46"/>
        <v>1</v>
      </c>
      <c r="T597" s="76" t="str">
        <f t="shared" si="47"/>
        <v>-</v>
      </c>
      <c r="U597" s="76" t="str">
        <f t="shared" si="48"/>
        <v>-</v>
      </c>
      <c r="V597" s="76" t="str">
        <f t="shared" si="49"/>
        <v>-</v>
      </c>
      <c r="Z597" s="62"/>
    </row>
    <row r="598" spans="1:26" ht="40.15" customHeight="1" x14ac:dyDescent="0.25">
      <c r="A598" s="87">
        <v>18</v>
      </c>
      <c r="B598" s="89" t="s">
        <v>1550</v>
      </c>
      <c r="C598" s="89" t="s">
        <v>3383</v>
      </c>
      <c r="D598" s="90" t="s">
        <v>326</v>
      </c>
      <c r="E598" s="90" t="s">
        <v>1631</v>
      </c>
      <c r="F598" s="91" t="s">
        <v>1556</v>
      </c>
      <c r="G598" s="92" t="s">
        <v>1557</v>
      </c>
      <c r="H598" s="93" t="s">
        <v>3548</v>
      </c>
      <c r="I598" s="87" t="s">
        <v>1919</v>
      </c>
      <c r="J598" s="91" t="s">
        <v>1920</v>
      </c>
      <c r="K598" s="91" t="s">
        <v>1921</v>
      </c>
      <c r="L598" s="126" t="s">
        <v>19</v>
      </c>
      <c r="M598" s="94">
        <v>44346</v>
      </c>
      <c r="N598" s="94">
        <v>44346.25</v>
      </c>
      <c r="O598" s="95" t="str">
        <f>PROPER(TEXT(Table1[[#This Row],[Fecha Inicio]],"mmmm"))</f>
        <v>Mayo</v>
      </c>
      <c r="P598" s="96" t="s">
        <v>3549</v>
      </c>
      <c r="Q598" s="97" t="s">
        <v>3550</v>
      </c>
      <c r="R598" s="76">
        <f t="shared" si="45"/>
        <v>17</v>
      </c>
      <c r="S598" s="76">
        <f t="shared" si="46"/>
        <v>17</v>
      </c>
      <c r="T598" s="76" t="str">
        <f t="shared" si="47"/>
        <v>-</v>
      </c>
      <c r="U598" s="76" t="str">
        <f t="shared" si="48"/>
        <v>-</v>
      </c>
      <c r="V598" s="76" t="str">
        <f t="shared" si="49"/>
        <v>-</v>
      </c>
      <c r="Z598" s="62"/>
    </row>
    <row r="599" spans="1:26" ht="40.15" customHeight="1" x14ac:dyDescent="0.25">
      <c r="A599" s="87">
        <v>19</v>
      </c>
      <c r="B599" s="89" t="s">
        <v>1550</v>
      </c>
      <c r="C599" s="89" t="s">
        <v>3383</v>
      </c>
      <c r="D599" s="90" t="s">
        <v>326</v>
      </c>
      <c r="E599" s="90" t="s">
        <v>1631</v>
      </c>
      <c r="F599" s="91" t="s">
        <v>1556</v>
      </c>
      <c r="G599" s="92" t="s">
        <v>1557</v>
      </c>
      <c r="H599" s="93" t="s">
        <v>3551</v>
      </c>
      <c r="I599" s="87" t="s">
        <v>1910</v>
      </c>
      <c r="J599" s="87" t="s">
        <v>1911</v>
      </c>
      <c r="K599" s="87" t="s">
        <v>1575</v>
      </c>
      <c r="L599" s="126" t="s">
        <v>19</v>
      </c>
      <c r="M599" s="94">
        <v>44347.833333333336</v>
      </c>
      <c r="N599" s="94">
        <v>44347.875</v>
      </c>
      <c r="O599" s="95" t="str">
        <f>PROPER(TEXT(Table1[[#This Row],[Fecha Inicio]],"mmmm"))</f>
        <v>Mayo</v>
      </c>
      <c r="P599" s="96" t="s">
        <v>1912</v>
      </c>
      <c r="Q599" s="97" t="s">
        <v>3552</v>
      </c>
      <c r="R599" s="76">
        <f t="shared" si="45"/>
        <v>1</v>
      </c>
      <c r="S599" s="76">
        <f t="shared" si="46"/>
        <v>1</v>
      </c>
      <c r="T599" s="76" t="str">
        <f t="shared" si="47"/>
        <v>-</v>
      </c>
      <c r="U599" s="76" t="str">
        <f t="shared" si="48"/>
        <v>-</v>
      </c>
      <c r="V599" s="76" t="str">
        <f t="shared" si="49"/>
        <v>-</v>
      </c>
      <c r="Z599" s="62"/>
    </row>
    <row r="600" spans="1:26" ht="40.15" customHeight="1" x14ac:dyDescent="0.25">
      <c r="A600" s="87">
        <v>22</v>
      </c>
      <c r="B600" s="89" t="s">
        <v>1550</v>
      </c>
      <c r="C600" s="99" t="s">
        <v>1578</v>
      </c>
      <c r="D600" s="89" t="s">
        <v>344</v>
      </c>
      <c r="E600" s="89" t="s">
        <v>1616</v>
      </c>
      <c r="F600" s="87" t="s">
        <v>1556</v>
      </c>
      <c r="G600" s="92" t="s">
        <v>1557</v>
      </c>
      <c r="H600" s="93" t="s">
        <v>3553</v>
      </c>
      <c r="I600" s="87" t="s">
        <v>3554</v>
      </c>
      <c r="J600" s="87" t="s">
        <v>1824</v>
      </c>
      <c r="K600" s="87" t="s">
        <v>1825</v>
      </c>
      <c r="L600" s="126" t="s">
        <v>19</v>
      </c>
      <c r="M600" s="94">
        <v>44348.25</v>
      </c>
      <c r="N600" s="94">
        <v>44348.333333333336</v>
      </c>
      <c r="O600" s="95" t="str">
        <f>PROPER(TEXT(Table1[[#This Row],[Fecha Inicio]],"mmmm"))</f>
        <v>Junio</v>
      </c>
      <c r="P600" s="96" t="s">
        <v>3555</v>
      </c>
      <c r="Q600" s="97" t="s">
        <v>3556</v>
      </c>
      <c r="R600" s="76">
        <f t="shared" si="45"/>
        <v>2</v>
      </c>
      <c r="S600" s="76">
        <f t="shared" si="46"/>
        <v>2</v>
      </c>
      <c r="T600" s="76" t="str">
        <f t="shared" si="47"/>
        <v>-</v>
      </c>
      <c r="U600" s="76" t="str">
        <f t="shared" si="48"/>
        <v>-</v>
      </c>
      <c r="V600" s="76" t="str">
        <f t="shared" si="49"/>
        <v>-</v>
      </c>
      <c r="Z600" s="62"/>
    </row>
    <row r="601" spans="1:26" ht="40.15" customHeight="1" x14ac:dyDescent="0.25">
      <c r="A601" s="87">
        <v>21</v>
      </c>
      <c r="B601" s="89" t="s">
        <v>1550</v>
      </c>
      <c r="C601" s="99"/>
      <c r="D601" s="89" t="s">
        <v>1623</v>
      </c>
      <c r="E601" s="89" t="s">
        <v>1624</v>
      </c>
      <c r="F601" s="87" t="s">
        <v>1556</v>
      </c>
      <c r="G601" s="92" t="s">
        <v>1557</v>
      </c>
      <c r="H601" s="93" t="s">
        <v>3557</v>
      </c>
      <c r="I601" s="87" t="s">
        <v>2040</v>
      </c>
      <c r="J601" s="87" t="s">
        <v>1771</v>
      </c>
      <c r="K601" s="87" t="s">
        <v>1575</v>
      </c>
      <c r="L601" s="126" t="s">
        <v>19</v>
      </c>
      <c r="M601" s="94">
        <v>44348.291666666664</v>
      </c>
      <c r="N601" s="94">
        <v>44348.5</v>
      </c>
      <c r="O601" s="95" t="str">
        <f>PROPER(TEXT(Table1[[#This Row],[Fecha Inicio]],"mmmm"))</f>
        <v>Junio</v>
      </c>
      <c r="P601" s="96" t="s">
        <v>1772</v>
      </c>
      <c r="Q601" s="97" t="s">
        <v>3558</v>
      </c>
      <c r="R601" s="76">
        <f t="shared" si="45"/>
        <v>2</v>
      </c>
      <c r="S601" s="76">
        <f t="shared" si="46"/>
        <v>2</v>
      </c>
      <c r="T601" s="76" t="str">
        <f t="shared" si="47"/>
        <v>-</v>
      </c>
      <c r="U601" s="76" t="str">
        <f t="shared" si="48"/>
        <v>-</v>
      </c>
      <c r="V601" s="76" t="str">
        <f t="shared" si="49"/>
        <v>-</v>
      </c>
      <c r="Z601" s="62"/>
    </row>
    <row r="602" spans="1:26" ht="40.15" customHeight="1" x14ac:dyDescent="0.25">
      <c r="A602" s="87">
        <v>21</v>
      </c>
      <c r="B602" s="89" t="s">
        <v>1550</v>
      </c>
      <c r="C602" s="89"/>
      <c r="D602" s="89" t="s">
        <v>1570</v>
      </c>
      <c r="E602" s="89" t="s">
        <v>1571</v>
      </c>
      <c r="F602" s="91" t="s">
        <v>1556</v>
      </c>
      <c r="G602" s="92" t="s">
        <v>1557</v>
      </c>
      <c r="H602" s="93" t="s">
        <v>3559</v>
      </c>
      <c r="I602" s="87" t="s">
        <v>3560</v>
      </c>
      <c r="J602" s="87" t="s">
        <v>1595</v>
      </c>
      <c r="K602" s="91" t="s">
        <v>1596</v>
      </c>
      <c r="L602" s="126" t="s">
        <v>19</v>
      </c>
      <c r="M602" s="94">
        <v>44348.958333333336</v>
      </c>
      <c r="N602" s="94">
        <v>44349.041666666664</v>
      </c>
      <c r="O602" s="95" t="str">
        <f>PROPER(TEXT(Table1[[#This Row],[Fecha Inicio]],"mmmm"))</f>
        <v>Junio</v>
      </c>
      <c r="P602" s="96" t="s">
        <v>1597</v>
      </c>
      <c r="Q602" s="97" t="s">
        <v>3561</v>
      </c>
      <c r="R602" s="76">
        <f t="shared" si="45"/>
        <v>2</v>
      </c>
      <c r="S602" s="76">
        <f t="shared" si="46"/>
        <v>2</v>
      </c>
      <c r="T602" s="76" t="str">
        <f t="shared" si="47"/>
        <v>-</v>
      </c>
      <c r="U602" s="76" t="str">
        <f t="shared" si="48"/>
        <v>-</v>
      </c>
      <c r="V602" s="76" t="str">
        <f t="shared" si="49"/>
        <v>-</v>
      </c>
      <c r="Z602" s="62"/>
    </row>
    <row r="603" spans="1:26" ht="40.15" customHeight="1" x14ac:dyDescent="0.25">
      <c r="A603" s="87">
        <v>22</v>
      </c>
      <c r="B603" s="89" t="s">
        <v>1550</v>
      </c>
      <c r="C603" s="99" t="s">
        <v>3562</v>
      </c>
      <c r="D603" s="89" t="s">
        <v>326</v>
      </c>
      <c r="E603" s="89" t="s">
        <v>1742</v>
      </c>
      <c r="F603" s="87" t="s">
        <v>1556</v>
      </c>
      <c r="G603" s="92" t="s">
        <v>1557</v>
      </c>
      <c r="H603" s="93" t="s">
        <v>3563</v>
      </c>
      <c r="I603" s="87" t="s">
        <v>3564</v>
      </c>
      <c r="J603" s="87" t="s">
        <v>3513</v>
      </c>
      <c r="K603" s="87" t="s">
        <v>1575</v>
      </c>
      <c r="L603" s="87" t="s">
        <v>52</v>
      </c>
      <c r="M603" s="94">
        <v>44349.375</v>
      </c>
      <c r="N603" s="94">
        <v>44349.625</v>
      </c>
      <c r="O603" s="95" t="str">
        <f>PROPER(TEXT(Table1[[#This Row],[Fecha Inicio]],"mmmm"))</f>
        <v>Junio</v>
      </c>
      <c r="P603" s="96" t="s">
        <v>3565</v>
      </c>
      <c r="Q603" s="97" t="s">
        <v>3566</v>
      </c>
      <c r="R603" s="76">
        <f t="shared" si="45"/>
        <v>14</v>
      </c>
      <c r="S603" s="76">
        <f t="shared" si="46"/>
        <v>14</v>
      </c>
      <c r="T603" s="76" t="str">
        <f t="shared" si="47"/>
        <v>-</v>
      </c>
      <c r="U603" s="76" t="str">
        <f t="shared" si="48"/>
        <v>-</v>
      </c>
      <c r="V603" s="76" t="str">
        <f t="shared" si="49"/>
        <v>-</v>
      </c>
      <c r="Z603" s="62"/>
    </row>
    <row r="604" spans="1:26" ht="40.15" customHeight="1" x14ac:dyDescent="0.25">
      <c r="A604" s="87">
        <v>21</v>
      </c>
      <c r="B604" s="89" t="s">
        <v>1550</v>
      </c>
      <c r="C604" s="89"/>
      <c r="D604" s="89" t="s">
        <v>1570</v>
      </c>
      <c r="E604" s="89" t="s">
        <v>1571</v>
      </c>
      <c r="F604" s="87" t="s">
        <v>1556</v>
      </c>
      <c r="G604" s="92" t="s">
        <v>1557</v>
      </c>
      <c r="H604" s="93" t="s">
        <v>3567</v>
      </c>
      <c r="I604" s="87" t="s">
        <v>3568</v>
      </c>
      <c r="J604" s="87" t="s">
        <v>1654</v>
      </c>
      <c r="K604" s="87" t="s">
        <v>1575</v>
      </c>
      <c r="L604" s="126" t="s">
        <v>19</v>
      </c>
      <c r="M604" s="94">
        <v>44349.625</v>
      </c>
      <c r="N604" s="94">
        <v>44351.416666666664</v>
      </c>
      <c r="O604" s="95" t="str">
        <f>PROPER(TEXT(Table1[[#This Row],[Fecha Inicio]],"mmmm"))</f>
        <v>Junio</v>
      </c>
      <c r="P604" s="96" t="s">
        <v>2095</v>
      </c>
      <c r="Q604" s="97" t="s">
        <v>3569</v>
      </c>
      <c r="R604" s="76">
        <f t="shared" si="45"/>
        <v>8</v>
      </c>
      <c r="S604" s="76">
        <f t="shared" si="46"/>
        <v>8</v>
      </c>
      <c r="T604" s="76" t="str">
        <f t="shared" si="47"/>
        <v>-</v>
      </c>
      <c r="U604" s="76" t="str">
        <f t="shared" si="48"/>
        <v>-</v>
      </c>
      <c r="V604" s="76" t="str">
        <f t="shared" si="49"/>
        <v>-</v>
      </c>
      <c r="Z604" s="62"/>
    </row>
    <row r="605" spans="1:26" ht="40.15" customHeight="1" x14ac:dyDescent="0.25">
      <c r="A605" s="87">
        <v>22</v>
      </c>
      <c r="B605" s="89"/>
      <c r="C605" s="99" t="s">
        <v>1578</v>
      </c>
      <c r="D605" s="89" t="s">
        <v>1665</v>
      </c>
      <c r="E605" s="89" t="s">
        <v>1666</v>
      </c>
      <c r="F605" s="87" t="s">
        <v>1556</v>
      </c>
      <c r="G605" s="92" t="s">
        <v>1557</v>
      </c>
      <c r="H605" s="93" t="s">
        <v>3570</v>
      </c>
      <c r="I605" s="87" t="s">
        <v>3571</v>
      </c>
      <c r="J605" s="87" t="s">
        <v>1669</v>
      </c>
      <c r="K605" s="87" t="s">
        <v>1670</v>
      </c>
      <c r="L605" s="87" t="s">
        <v>52</v>
      </c>
      <c r="M605" s="94">
        <v>44349.666666666664</v>
      </c>
      <c r="N605" s="94">
        <v>44349.694444444445</v>
      </c>
      <c r="O605" s="95" t="str">
        <f>PROPER(TEXT(Table1[[#This Row],[Fecha Inicio]],"mmmm"))</f>
        <v>Junio</v>
      </c>
      <c r="P605" s="96" t="s">
        <v>3572</v>
      </c>
      <c r="Q605" s="97" t="s">
        <v>3573</v>
      </c>
      <c r="R605" s="76">
        <f t="shared" si="45"/>
        <v>1</v>
      </c>
      <c r="S605" s="76" t="str">
        <f t="shared" si="46"/>
        <v>-</v>
      </c>
      <c r="T605" s="76" t="str">
        <f t="shared" si="47"/>
        <v>-</v>
      </c>
      <c r="U605" s="76" t="str">
        <f t="shared" si="48"/>
        <v>-</v>
      </c>
      <c r="V605" s="76" t="str">
        <f t="shared" si="49"/>
        <v>-</v>
      </c>
      <c r="Z605" s="62"/>
    </row>
    <row r="606" spans="1:26" ht="40.15" customHeight="1" x14ac:dyDescent="0.25">
      <c r="A606" s="87">
        <v>22</v>
      </c>
      <c r="B606" s="89" t="s">
        <v>3527</v>
      </c>
      <c r="C606" s="99" t="s">
        <v>3574</v>
      </c>
      <c r="D606" s="89" t="s">
        <v>1570</v>
      </c>
      <c r="E606" s="89" t="s">
        <v>1571</v>
      </c>
      <c r="F606" s="87" t="s">
        <v>1556</v>
      </c>
      <c r="G606" s="92" t="s">
        <v>1557</v>
      </c>
      <c r="H606" s="93" t="s">
        <v>3575</v>
      </c>
      <c r="I606" s="87" t="s">
        <v>3576</v>
      </c>
      <c r="J606" s="87" t="s">
        <v>1640</v>
      </c>
      <c r="K606" s="87" t="s">
        <v>1641</v>
      </c>
      <c r="L606" s="126" t="s">
        <v>19</v>
      </c>
      <c r="M606" s="94">
        <v>44349.875</v>
      </c>
      <c r="N606" s="94">
        <v>44349.958333333336</v>
      </c>
      <c r="O606" s="95" t="str">
        <f>PROPER(TEXT(Table1[[#This Row],[Fecha Inicio]],"mmmm"))</f>
        <v>Junio</v>
      </c>
      <c r="P606" s="96" t="s">
        <v>1642</v>
      </c>
      <c r="Q606" s="97" t="s">
        <v>3577</v>
      </c>
      <c r="R606" s="76">
        <f t="shared" si="45"/>
        <v>8</v>
      </c>
      <c r="S606" s="76" t="str">
        <f t="shared" si="46"/>
        <v>-</v>
      </c>
      <c r="T606" s="76" t="str">
        <f t="shared" si="47"/>
        <v>-</v>
      </c>
      <c r="U606" s="76" t="str">
        <f t="shared" si="48"/>
        <v>-</v>
      </c>
      <c r="V606" s="76" t="str">
        <f t="shared" si="49"/>
        <v>-</v>
      </c>
      <c r="Z606" s="62"/>
    </row>
    <row r="607" spans="1:26" ht="40.15" customHeight="1" x14ac:dyDescent="0.25">
      <c r="A607" s="87">
        <v>21</v>
      </c>
      <c r="B607" s="89" t="s">
        <v>1550</v>
      </c>
      <c r="C607" s="99"/>
      <c r="D607" s="89" t="s">
        <v>1570</v>
      </c>
      <c r="E607" s="89" t="s">
        <v>1571</v>
      </c>
      <c r="F607" s="87" t="s">
        <v>1556</v>
      </c>
      <c r="G607" s="92" t="s">
        <v>1557</v>
      </c>
      <c r="H607" s="93" t="s">
        <v>3578</v>
      </c>
      <c r="I607" s="87" t="s">
        <v>3232</v>
      </c>
      <c r="J607" s="87" t="s">
        <v>1790</v>
      </c>
      <c r="K607" s="87" t="s">
        <v>3579</v>
      </c>
      <c r="L607" s="126" t="s">
        <v>19</v>
      </c>
      <c r="M607" s="94">
        <v>44349.875</v>
      </c>
      <c r="N607" s="94">
        <v>44350</v>
      </c>
      <c r="O607" s="95" t="str">
        <f>PROPER(TEXT(Table1[[#This Row],[Fecha Inicio]],"mmmm"))</f>
        <v>Junio</v>
      </c>
      <c r="P607" s="96" t="s">
        <v>1792</v>
      </c>
      <c r="Q607" s="97" t="s">
        <v>3580</v>
      </c>
      <c r="R607" s="76">
        <f t="shared" si="45"/>
        <v>113</v>
      </c>
      <c r="S607" s="76">
        <f t="shared" si="46"/>
        <v>113</v>
      </c>
      <c r="T607" s="76" t="str">
        <f t="shared" si="47"/>
        <v>-</v>
      </c>
      <c r="U607" s="76" t="str">
        <f t="shared" si="48"/>
        <v>-</v>
      </c>
      <c r="V607" s="76" t="str">
        <f t="shared" si="49"/>
        <v>-</v>
      </c>
      <c r="Z607" s="62"/>
    </row>
    <row r="608" spans="1:26" ht="40.15" customHeight="1" x14ac:dyDescent="0.25">
      <c r="A608" s="87">
        <v>22</v>
      </c>
      <c r="B608" s="89" t="s">
        <v>1550</v>
      </c>
      <c r="C608" s="99" t="s">
        <v>1578</v>
      </c>
      <c r="D608" s="89" t="s">
        <v>344</v>
      </c>
      <c r="E608" s="89" t="s">
        <v>1799</v>
      </c>
      <c r="F608" s="87" t="s">
        <v>1556</v>
      </c>
      <c r="G608" s="92" t="s">
        <v>1557</v>
      </c>
      <c r="H608" s="93" t="s">
        <v>3581</v>
      </c>
      <c r="I608" s="87" t="s">
        <v>3582</v>
      </c>
      <c r="J608" s="87" t="s">
        <v>1824</v>
      </c>
      <c r="K608" s="87" t="s">
        <v>1825</v>
      </c>
      <c r="L608" s="126" t="s">
        <v>19</v>
      </c>
      <c r="M608" s="94">
        <v>44350.25</v>
      </c>
      <c r="N608" s="94">
        <v>44350.333333333336</v>
      </c>
      <c r="O608" s="95" t="str">
        <f>PROPER(TEXT(Table1[[#This Row],[Fecha Inicio]],"mmmm"))</f>
        <v>Junio</v>
      </c>
      <c r="P608" s="96" t="s">
        <v>3583</v>
      </c>
      <c r="Q608" s="97" t="s">
        <v>3584</v>
      </c>
      <c r="R608" s="76">
        <f t="shared" si="45"/>
        <v>1</v>
      </c>
      <c r="S608" s="76">
        <f t="shared" si="46"/>
        <v>1</v>
      </c>
      <c r="T608" s="76" t="str">
        <f t="shared" si="47"/>
        <v>-</v>
      </c>
      <c r="U608" s="76" t="str">
        <f t="shared" si="48"/>
        <v>-</v>
      </c>
      <c r="V608" s="76" t="str">
        <f t="shared" si="49"/>
        <v>-</v>
      </c>
      <c r="Z608" s="62"/>
    </row>
    <row r="609" spans="1:26" ht="40.15" customHeight="1" x14ac:dyDescent="0.25">
      <c r="A609" s="87">
        <v>22</v>
      </c>
      <c r="B609" s="89" t="s">
        <v>1550</v>
      </c>
      <c r="C609" s="99" t="s">
        <v>3585</v>
      </c>
      <c r="D609" s="89" t="s">
        <v>1554</v>
      </c>
      <c r="E609" s="89" t="s">
        <v>1555</v>
      </c>
      <c r="F609" s="87" t="s">
        <v>1556</v>
      </c>
      <c r="G609" s="92" t="s">
        <v>1557</v>
      </c>
      <c r="H609" s="93" t="s">
        <v>3586</v>
      </c>
      <c r="I609" s="87" t="s">
        <v>3587</v>
      </c>
      <c r="J609" s="87" t="s">
        <v>1719</v>
      </c>
      <c r="K609" s="87" t="s">
        <v>1575</v>
      </c>
      <c r="L609" s="87" t="s">
        <v>52</v>
      </c>
      <c r="M609" s="94">
        <v>44350.375</v>
      </c>
      <c r="N609" s="94">
        <v>44350.625</v>
      </c>
      <c r="O609" s="95" t="str">
        <f>PROPER(TEXT(Table1[[#This Row],[Fecha Inicio]],"mmmm"))</f>
        <v>Junio</v>
      </c>
      <c r="P609" s="96" t="s">
        <v>3588</v>
      </c>
      <c r="Q609" s="97" t="s">
        <v>3589</v>
      </c>
      <c r="R609" s="76">
        <f t="shared" si="45"/>
        <v>2</v>
      </c>
      <c r="S609" s="76">
        <f t="shared" si="46"/>
        <v>2</v>
      </c>
      <c r="T609" s="76" t="str">
        <f t="shared" si="47"/>
        <v>-</v>
      </c>
      <c r="U609" s="76" t="str">
        <f t="shared" si="48"/>
        <v>-</v>
      </c>
      <c r="V609" s="76" t="str">
        <f t="shared" si="49"/>
        <v>-</v>
      </c>
      <c r="Z609" s="62"/>
    </row>
    <row r="610" spans="1:26" ht="40.15" customHeight="1" x14ac:dyDescent="0.25">
      <c r="A610" s="87">
        <v>22</v>
      </c>
      <c r="B610" s="89" t="s">
        <v>1550</v>
      </c>
      <c r="C610" s="99"/>
      <c r="D610" s="89" t="s">
        <v>1623</v>
      </c>
      <c r="E610" s="89" t="s">
        <v>1624</v>
      </c>
      <c r="F610" s="87" t="s">
        <v>1556</v>
      </c>
      <c r="G610" s="92" t="s">
        <v>1557</v>
      </c>
      <c r="H610" s="93" t="s">
        <v>3590</v>
      </c>
      <c r="I610" s="87" t="s">
        <v>1685</v>
      </c>
      <c r="J610" s="87" t="s">
        <v>1627</v>
      </c>
      <c r="K610" s="87" t="s">
        <v>1575</v>
      </c>
      <c r="L610" s="126" t="s">
        <v>19</v>
      </c>
      <c r="M610" s="94">
        <v>44350.5</v>
      </c>
      <c r="N610" s="94">
        <v>44350.625</v>
      </c>
      <c r="O610" s="95" t="str">
        <f>PROPER(TEXT(Table1[[#This Row],[Fecha Inicio]],"mmmm"))</f>
        <v>Junio</v>
      </c>
      <c r="P610" s="96" t="s">
        <v>2764</v>
      </c>
      <c r="Q610" s="97" t="s">
        <v>3591</v>
      </c>
      <c r="R610" s="76">
        <f t="shared" si="45"/>
        <v>2</v>
      </c>
      <c r="S610" s="76">
        <f t="shared" si="46"/>
        <v>2</v>
      </c>
      <c r="T610" s="76" t="str">
        <f t="shared" si="47"/>
        <v>-</v>
      </c>
      <c r="U610" s="76" t="str">
        <f t="shared" si="48"/>
        <v>-</v>
      </c>
      <c r="V610" s="76" t="str">
        <f t="shared" si="49"/>
        <v>-</v>
      </c>
      <c r="Z610" s="62"/>
    </row>
    <row r="611" spans="1:26" ht="40.15" customHeight="1" x14ac:dyDescent="0.25">
      <c r="A611" s="87">
        <v>21</v>
      </c>
      <c r="B611" s="89" t="s">
        <v>1550</v>
      </c>
      <c r="C611" s="99"/>
      <c r="D611" s="89" t="s">
        <v>1570</v>
      </c>
      <c r="E611" s="89" t="s">
        <v>1571</v>
      </c>
      <c r="F611" s="87" t="s">
        <v>1556</v>
      </c>
      <c r="G611" s="92" t="s">
        <v>1557</v>
      </c>
      <c r="H611" s="93" t="s">
        <v>3592</v>
      </c>
      <c r="I611" s="87" t="s">
        <v>3593</v>
      </c>
      <c r="J611" s="91" t="s">
        <v>1574</v>
      </c>
      <c r="K611" s="87" t="s">
        <v>1575</v>
      </c>
      <c r="L611" s="126" t="s">
        <v>19</v>
      </c>
      <c r="M611" s="94">
        <v>44350.958333333336</v>
      </c>
      <c r="N611" s="94">
        <v>44351.041666666664</v>
      </c>
      <c r="O611" s="95" t="str">
        <f>PROPER(TEXT(Table1[[#This Row],[Fecha Inicio]],"mmmm"))</f>
        <v>Junio</v>
      </c>
      <c r="P611" s="96" t="s">
        <v>1576</v>
      </c>
      <c r="Q611" s="97" t="s">
        <v>3594</v>
      </c>
      <c r="R611" s="76">
        <f t="shared" si="45"/>
        <v>5</v>
      </c>
      <c r="S611" s="76">
        <f t="shared" si="46"/>
        <v>5</v>
      </c>
      <c r="T611" s="76" t="str">
        <f t="shared" si="47"/>
        <v>-</v>
      </c>
      <c r="U611" s="76" t="str">
        <f t="shared" si="48"/>
        <v>-</v>
      </c>
      <c r="V611" s="76" t="str">
        <f t="shared" si="49"/>
        <v>-</v>
      </c>
      <c r="Z611" s="62"/>
    </row>
    <row r="612" spans="1:26" ht="40.15" customHeight="1" x14ac:dyDescent="0.25">
      <c r="A612" s="87">
        <v>22</v>
      </c>
      <c r="B612" s="89" t="s">
        <v>1550</v>
      </c>
      <c r="C612" s="99"/>
      <c r="D612" s="89" t="s">
        <v>326</v>
      </c>
      <c r="E612" s="89" t="s">
        <v>1742</v>
      </c>
      <c r="F612" s="87" t="s">
        <v>1556</v>
      </c>
      <c r="G612" s="92" t="s">
        <v>1557</v>
      </c>
      <c r="H612" s="93" t="s">
        <v>3595</v>
      </c>
      <c r="I612" s="87" t="s">
        <v>3596</v>
      </c>
      <c r="J612" s="87" t="s">
        <v>3597</v>
      </c>
      <c r="K612" s="87" t="s">
        <v>1575</v>
      </c>
      <c r="L612" s="87" t="s">
        <v>52</v>
      </c>
      <c r="M612" s="94">
        <v>44351.375</v>
      </c>
      <c r="N612" s="94">
        <v>44351.625</v>
      </c>
      <c r="O612" s="95" t="str">
        <f>PROPER(TEXT(Table1[[#This Row],[Fecha Inicio]],"mmmm"))</f>
        <v>Junio</v>
      </c>
      <c r="P612" s="96" t="s">
        <v>3598</v>
      </c>
      <c r="Q612" s="97" t="s">
        <v>3599</v>
      </c>
      <c r="R612" s="76">
        <f t="shared" si="45"/>
        <v>3</v>
      </c>
      <c r="S612" s="76">
        <f t="shared" si="46"/>
        <v>3</v>
      </c>
      <c r="T612" s="76" t="str">
        <f t="shared" si="47"/>
        <v>-</v>
      </c>
      <c r="U612" s="76" t="str">
        <f t="shared" si="48"/>
        <v>-</v>
      </c>
      <c r="V612" s="76" t="str">
        <f t="shared" si="49"/>
        <v>-</v>
      </c>
      <c r="Z612" s="62"/>
    </row>
    <row r="613" spans="1:26" ht="40.15" customHeight="1" x14ac:dyDescent="0.25">
      <c r="A613" s="87">
        <v>22</v>
      </c>
      <c r="B613" s="89" t="s">
        <v>1550</v>
      </c>
      <c r="C613" s="99"/>
      <c r="D613" s="89" t="s">
        <v>326</v>
      </c>
      <c r="E613" s="89" t="s">
        <v>1742</v>
      </c>
      <c r="F613" s="87" t="s">
        <v>1556</v>
      </c>
      <c r="G613" s="92" t="s">
        <v>1557</v>
      </c>
      <c r="H613" s="93" t="s">
        <v>3605</v>
      </c>
      <c r="I613" s="87" t="s">
        <v>3606</v>
      </c>
      <c r="J613" s="87" t="s">
        <v>3310</v>
      </c>
      <c r="K613" s="87" t="s">
        <v>3311</v>
      </c>
      <c r="L613" s="87" t="s">
        <v>52</v>
      </c>
      <c r="M613" s="94">
        <v>44351.875</v>
      </c>
      <c r="N613" s="94">
        <v>44351.916666666664</v>
      </c>
      <c r="O613" s="95" t="str">
        <f>PROPER(TEXT(Table1[[#This Row],[Fecha Inicio]],"mmmm"))</f>
        <v>Junio</v>
      </c>
      <c r="P613" s="96" t="s">
        <v>3607</v>
      </c>
      <c r="Q613" s="97" t="s">
        <v>3608</v>
      </c>
      <c r="R613" s="76">
        <f t="shared" si="45"/>
        <v>1</v>
      </c>
      <c r="S613" s="76">
        <f t="shared" si="46"/>
        <v>1</v>
      </c>
      <c r="T613" s="76" t="str">
        <f t="shared" si="47"/>
        <v>-</v>
      </c>
      <c r="U613" s="76" t="str">
        <f t="shared" si="48"/>
        <v>-</v>
      </c>
      <c r="V613" s="76" t="str">
        <f t="shared" si="49"/>
        <v>-</v>
      </c>
      <c r="Z613" s="62"/>
    </row>
    <row r="614" spans="1:26" ht="40.15" customHeight="1" x14ac:dyDescent="0.25">
      <c r="A614" s="87">
        <v>22</v>
      </c>
      <c r="B614" s="89" t="s">
        <v>1550</v>
      </c>
      <c r="C614" s="103" t="s">
        <v>3600</v>
      </c>
      <c r="D614" s="89" t="s">
        <v>1665</v>
      </c>
      <c r="E614" s="89" t="s">
        <v>2192</v>
      </c>
      <c r="F614" s="87" t="s">
        <v>1556</v>
      </c>
      <c r="G614" s="92" t="s">
        <v>1557</v>
      </c>
      <c r="H614" s="93" t="s">
        <v>3601</v>
      </c>
      <c r="I614" s="87" t="s">
        <v>3602</v>
      </c>
      <c r="J614" s="87" t="s">
        <v>1669</v>
      </c>
      <c r="K614" s="87" t="s">
        <v>1670</v>
      </c>
      <c r="L614" s="87" t="s">
        <v>52</v>
      </c>
      <c r="M614" s="94">
        <v>44351.875</v>
      </c>
      <c r="N614" s="94">
        <v>44353.875</v>
      </c>
      <c r="O614" s="95" t="str">
        <f>PROPER(TEXT(Table1[[#This Row],[Fecha Inicio]],"mmmm"))</f>
        <v>Junio</v>
      </c>
      <c r="P614" s="96" t="s">
        <v>3603</v>
      </c>
      <c r="Q614" s="97" t="s">
        <v>3604</v>
      </c>
      <c r="R614" s="76">
        <f t="shared" si="45"/>
        <v>1</v>
      </c>
      <c r="S614" s="76">
        <f t="shared" si="46"/>
        <v>1</v>
      </c>
      <c r="T614" s="76" t="str">
        <f t="shared" si="47"/>
        <v>-</v>
      </c>
      <c r="U614" s="76" t="str">
        <f t="shared" si="48"/>
        <v>-</v>
      </c>
      <c r="V614" s="76" t="str">
        <f t="shared" si="49"/>
        <v>-</v>
      </c>
      <c r="Z614" s="62"/>
    </row>
    <row r="615" spans="1:26" ht="40.15" customHeight="1" x14ac:dyDescent="0.25">
      <c r="A615" s="87">
        <v>21</v>
      </c>
      <c r="B615" s="89" t="s">
        <v>3527</v>
      </c>
      <c r="C615" s="99" t="s">
        <v>3612</v>
      </c>
      <c r="D615" s="89" t="s">
        <v>1570</v>
      </c>
      <c r="E615" s="89" t="s">
        <v>1571</v>
      </c>
      <c r="F615" s="87" t="s">
        <v>1556</v>
      </c>
      <c r="G615" s="92" t="s">
        <v>1557</v>
      </c>
      <c r="H615" s="93" t="s">
        <v>3613</v>
      </c>
      <c r="I615" s="87" t="s">
        <v>3614</v>
      </c>
      <c r="J615" s="87" t="s">
        <v>1755</v>
      </c>
      <c r="K615" s="87" t="s">
        <v>2136</v>
      </c>
      <c r="L615" s="126" t="s">
        <v>19</v>
      </c>
      <c r="M615" s="94">
        <v>44351.958333333336</v>
      </c>
      <c r="N615" s="94">
        <v>44352.041666608799</v>
      </c>
      <c r="O615" s="95" t="str">
        <f>PROPER(TEXT(Table1[[#This Row],[Fecha Inicio]],"mmmm"))</f>
        <v>Junio</v>
      </c>
      <c r="P615" s="96" t="s">
        <v>1756</v>
      </c>
      <c r="Q615" s="97" t="s">
        <v>3615</v>
      </c>
      <c r="R615" s="76">
        <f t="shared" si="45"/>
        <v>1</v>
      </c>
      <c r="S615" s="76" t="str">
        <f t="shared" si="46"/>
        <v>-</v>
      </c>
      <c r="T615" s="76" t="str">
        <f t="shared" si="47"/>
        <v>-</v>
      </c>
      <c r="U615" s="76" t="str">
        <f t="shared" si="48"/>
        <v>-</v>
      </c>
      <c r="V615" s="76" t="str">
        <f t="shared" si="49"/>
        <v>-</v>
      </c>
      <c r="Z615" s="62"/>
    </row>
    <row r="616" spans="1:26" ht="40.15" customHeight="1" x14ac:dyDescent="0.25">
      <c r="A616" s="87">
        <v>20</v>
      </c>
      <c r="B616" s="89" t="s">
        <v>1550</v>
      </c>
      <c r="C616" s="98" t="s">
        <v>1599</v>
      </c>
      <c r="D616" s="89" t="s">
        <v>1570</v>
      </c>
      <c r="E616" s="89" t="s">
        <v>1571</v>
      </c>
      <c r="F616" s="87" t="s">
        <v>1600</v>
      </c>
      <c r="G616" s="92" t="s">
        <v>1557</v>
      </c>
      <c r="H616" s="93" t="s">
        <v>3609</v>
      </c>
      <c r="I616" s="87" t="s">
        <v>1602</v>
      </c>
      <c r="J616" s="87" t="s">
        <v>1603</v>
      </c>
      <c r="K616" s="87" t="s">
        <v>3610</v>
      </c>
      <c r="L616" s="89" t="s">
        <v>25</v>
      </c>
      <c r="M616" s="94">
        <v>44351.958333333336</v>
      </c>
      <c r="N616" s="94">
        <v>44352.25</v>
      </c>
      <c r="O616" s="95" t="str">
        <f>PROPER(TEXT(Table1[[#This Row],[Fecha Inicio]],"mmmm"))</f>
        <v>Junio</v>
      </c>
      <c r="P616" s="96" t="s">
        <v>1604</v>
      </c>
      <c r="Q616" s="97" t="s">
        <v>3611</v>
      </c>
      <c r="R616" s="76">
        <f t="shared" si="45"/>
        <v>24</v>
      </c>
      <c r="S616" s="76">
        <f t="shared" si="46"/>
        <v>24</v>
      </c>
      <c r="T616" s="76" t="str">
        <f t="shared" si="47"/>
        <v>-</v>
      </c>
      <c r="U616" s="76" t="str">
        <f t="shared" si="48"/>
        <v>-</v>
      </c>
      <c r="V616" s="76" t="str">
        <f t="shared" si="49"/>
        <v>-</v>
      </c>
      <c r="Z616" s="62"/>
    </row>
    <row r="617" spans="1:26" ht="40.15" customHeight="1" x14ac:dyDescent="0.25">
      <c r="A617" s="87">
        <v>21</v>
      </c>
      <c r="B617" s="89" t="s">
        <v>1550</v>
      </c>
      <c r="C617" s="99"/>
      <c r="D617" s="89" t="s">
        <v>1570</v>
      </c>
      <c r="E617" s="89" t="s">
        <v>1571</v>
      </c>
      <c r="F617" s="87" t="s">
        <v>1556</v>
      </c>
      <c r="G617" s="92" t="s">
        <v>1557</v>
      </c>
      <c r="H617" s="93" t="s">
        <v>3618</v>
      </c>
      <c r="I617" s="87" t="s">
        <v>3619</v>
      </c>
      <c r="J617" s="87" t="s">
        <v>1708</v>
      </c>
      <c r="K617" s="87" t="s">
        <v>1709</v>
      </c>
      <c r="L617" s="126" t="s">
        <v>19</v>
      </c>
      <c r="M617" s="94">
        <v>44352.958333333336</v>
      </c>
      <c r="N617" s="94">
        <v>44353.083333333336</v>
      </c>
      <c r="O617" s="95" t="str">
        <f>PROPER(TEXT(Table1[[#This Row],[Fecha Inicio]],"mmmm"))</f>
        <v>Junio</v>
      </c>
      <c r="P617" s="96" t="s">
        <v>1710</v>
      </c>
      <c r="Q617" s="97" t="s">
        <v>3620</v>
      </c>
      <c r="R617" s="76">
        <f t="shared" si="45"/>
        <v>15</v>
      </c>
      <c r="S617" s="76">
        <f t="shared" si="46"/>
        <v>15</v>
      </c>
      <c r="T617" s="76" t="str">
        <f t="shared" si="47"/>
        <v>-</v>
      </c>
      <c r="U617" s="76" t="str">
        <f t="shared" si="48"/>
        <v>-</v>
      </c>
      <c r="V617" s="76" t="str">
        <f t="shared" si="49"/>
        <v>-</v>
      </c>
      <c r="Z617" s="62"/>
    </row>
    <row r="618" spans="1:26" ht="40.15" customHeight="1" x14ac:dyDescent="0.25">
      <c r="A618" s="87">
        <v>20</v>
      </c>
      <c r="B618" s="89" t="s">
        <v>1550</v>
      </c>
      <c r="C618" s="98" t="s">
        <v>1599</v>
      </c>
      <c r="D618" s="89" t="s">
        <v>1570</v>
      </c>
      <c r="E618" s="89" t="s">
        <v>1571</v>
      </c>
      <c r="F618" s="87" t="s">
        <v>1600</v>
      </c>
      <c r="G618" s="92" t="s">
        <v>1557</v>
      </c>
      <c r="H618" s="93" t="s">
        <v>3616</v>
      </c>
      <c r="I618" s="87" t="s">
        <v>1607</v>
      </c>
      <c r="J618" s="87" t="s">
        <v>1603</v>
      </c>
      <c r="K618" s="87" t="s">
        <v>3610</v>
      </c>
      <c r="L618" s="89" t="s">
        <v>25</v>
      </c>
      <c r="M618" s="94">
        <v>44352.958333333336</v>
      </c>
      <c r="N618" s="94">
        <v>44353.25</v>
      </c>
      <c r="O618" s="95" t="str">
        <f>PROPER(TEXT(Table1[[#This Row],[Fecha Inicio]],"mmmm"))</f>
        <v>Junio</v>
      </c>
      <c r="P618" s="96" t="s">
        <v>2121</v>
      </c>
      <c r="Q618" s="97" t="s">
        <v>3617</v>
      </c>
      <c r="R618" s="76">
        <f t="shared" si="45"/>
        <v>103</v>
      </c>
      <c r="S618" s="76">
        <f t="shared" si="46"/>
        <v>103</v>
      </c>
      <c r="T618" s="76" t="str">
        <f t="shared" si="47"/>
        <v>-</v>
      </c>
      <c r="U618" s="76" t="str">
        <f t="shared" si="48"/>
        <v>-</v>
      </c>
      <c r="V618" s="76" t="str">
        <f t="shared" si="49"/>
        <v>-</v>
      </c>
      <c r="Z618" s="62"/>
    </row>
    <row r="619" spans="1:26" ht="40.15" customHeight="1" x14ac:dyDescent="0.25">
      <c r="A619" s="87">
        <v>21</v>
      </c>
      <c r="B619" s="89" t="s">
        <v>1550</v>
      </c>
      <c r="C619" s="99"/>
      <c r="D619" s="89" t="s">
        <v>1570</v>
      </c>
      <c r="E619" s="89" t="s">
        <v>1571</v>
      </c>
      <c r="F619" s="87" t="s">
        <v>1556</v>
      </c>
      <c r="G619" s="92" t="s">
        <v>1557</v>
      </c>
      <c r="H619" s="93" t="s">
        <v>3621</v>
      </c>
      <c r="I619" s="87" t="s">
        <v>3622</v>
      </c>
      <c r="J619" s="87" t="s">
        <v>1724</v>
      </c>
      <c r="K619" s="87" t="s">
        <v>1575</v>
      </c>
      <c r="L619" s="126" t="s">
        <v>19</v>
      </c>
      <c r="M619" s="94">
        <v>44353.958333333336</v>
      </c>
      <c r="N619" s="94">
        <v>44354.083333333336</v>
      </c>
      <c r="O619" s="95" t="str">
        <f>PROPER(TEXT(Table1[[#This Row],[Fecha Inicio]],"mmmm"))</f>
        <v>Junio</v>
      </c>
      <c r="P619" s="96" t="s">
        <v>1725</v>
      </c>
      <c r="Q619" s="97" t="s">
        <v>3623</v>
      </c>
      <c r="R619" s="76">
        <f t="shared" si="45"/>
        <v>13</v>
      </c>
      <c r="S619" s="76">
        <f t="shared" si="46"/>
        <v>13</v>
      </c>
      <c r="T619" s="76" t="str">
        <f t="shared" si="47"/>
        <v>-</v>
      </c>
      <c r="U619" s="76" t="str">
        <f t="shared" si="48"/>
        <v>-</v>
      </c>
      <c r="V619" s="76" t="str">
        <f t="shared" si="49"/>
        <v>-</v>
      </c>
      <c r="Z619" s="62"/>
    </row>
    <row r="620" spans="1:26" ht="40.15" customHeight="1" x14ac:dyDescent="0.25">
      <c r="A620" s="87">
        <v>22</v>
      </c>
      <c r="B620" s="89" t="s">
        <v>1550</v>
      </c>
      <c r="C620" s="99"/>
      <c r="D620" s="89" t="s">
        <v>344</v>
      </c>
      <c r="E620" s="89" t="s">
        <v>1799</v>
      </c>
      <c r="F620" s="87" t="s">
        <v>1556</v>
      </c>
      <c r="G620" s="92" t="s">
        <v>1557</v>
      </c>
      <c r="H620" s="93" t="s">
        <v>3624</v>
      </c>
      <c r="I620" s="87" t="s">
        <v>3625</v>
      </c>
      <c r="J620" s="87" t="s">
        <v>1824</v>
      </c>
      <c r="K620" s="87" t="s">
        <v>1825</v>
      </c>
      <c r="L620" s="126" t="s">
        <v>19</v>
      </c>
      <c r="M620" s="94">
        <v>44354.25</v>
      </c>
      <c r="N620" s="94">
        <v>44354.333333333336</v>
      </c>
      <c r="O620" s="95" t="str">
        <f>PROPER(TEXT(Table1[[#This Row],[Fecha Inicio]],"mmmm"))</f>
        <v>Junio</v>
      </c>
      <c r="P620" s="96" t="s">
        <v>3583</v>
      </c>
      <c r="Q620" s="97" t="s">
        <v>3626</v>
      </c>
      <c r="R620" s="76">
        <f t="shared" si="45"/>
        <v>1</v>
      </c>
      <c r="S620" s="76">
        <f t="shared" si="46"/>
        <v>1</v>
      </c>
      <c r="T620" s="76" t="str">
        <f t="shared" si="47"/>
        <v>-</v>
      </c>
      <c r="U620" s="76" t="str">
        <f t="shared" si="48"/>
        <v>-</v>
      </c>
      <c r="V620" s="76" t="str">
        <f t="shared" si="49"/>
        <v>-</v>
      </c>
      <c r="Z620" s="62"/>
    </row>
    <row r="621" spans="1:26" ht="40.15" customHeight="1" x14ac:dyDescent="0.25">
      <c r="A621" s="87">
        <v>22</v>
      </c>
      <c r="B621" s="89" t="s">
        <v>1550</v>
      </c>
      <c r="C621" s="99" t="s">
        <v>3627</v>
      </c>
      <c r="D621" s="89" t="s">
        <v>3628</v>
      </c>
      <c r="E621" s="89" t="s">
        <v>1580</v>
      </c>
      <c r="F621" s="87" t="s">
        <v>1556</v>
      </c>
      <c r="G621" s="92" t="s">
        <v>1557</v>
      </c>
      <c r="H621" s="93" t="s">
        <v>3629</v>
      </c>
      <c r="I621" s="87" t="s">
        <v>3630</v>
      </c>
      <c r="J621" s="87" t="s">
        <v>2054</v>
      </c>
      <c r="K621" s="87" t="s">
        <v>2055</v>
      </c>
      <c r="L621" s="87" t="s">
        <v>52</v>
      </c>
      <c r="M621" s="94">
        <v>44354.291666666664</v>
      </c>
      <c r="N621" s="94">
        <v>44354.583333333336</v>
      </c>
      <c r="O621" s="95" t="str">
        <f>PROPER(TEXT(Table1[[#This Row],[Fecha Inicio]],"mmmm"))</f>
        <v>Junio</v>
      </c>
      <c r="P621" s="96" t="s">
        <v>3631</v>
      </c>
      <c r="Q621" s="97" t="s">
        <v>3632</v>
      </c>
      <c r="R621" s="76">
        <f t="shared" si="45"/>
        <v>1</v>
      </c>
      <c r="S621" s="76">
        <f t="shared" si="46"/>
        <v>1</v>
      </c>
      <c r="T621" s="76" t="str">
        <f t="shared" si="47"/>
        <v>-</v>
      </c>
      <c r="U621" s="76" t="str">
        <f t="shared" si="48"/>
        <v>-</v>
      </c>
      <c r="V621" s="76" t="str">
        <f t="shared" si="49"/>
        <v>-</v>
      </c>
      <c r="Z621" s="62"/>
    </row>
    <row r="622" spans="1:26" ht="40.15" customHeight="1" x14ac:dyDescent="0.25">
      <c r="A622" s="87">
        <v>22</v>
      </c>
      <c r="B622" s="89" t="s">
        <v>1550</v>
      </c>
      <c r="C622" s="99"/>
      <c r="D622" s="89" t="s">
        <v>1623</v>
      </c>
      <c r="E622" s="89" t="s">
        <v>1624</v>
      </c>
      <c r="F622" s="87" t="s">
        <v>1556</v>
      </c>
      <c r="G622" s="92" t="s">
        <v>1557</v>
      </c>
      <c r="H622" s="93" t="s">
        <v>3633</v>
      </c>
      <c r="I622" s="87" t="s">
        <v>3634</v>
      </c>
      <c r="J622" s="87" t="s">
        <v>3635</v>
      </c>
      <c r="K622" s="87" t="s">
        <v>1575</v>
      </c>
      <c r="L622" s="89" t="s">
        <v>25</v>
      </c>
      <c r="M622" s="94">
        <v>44354.333333333336</v>
      </c>
      <c r="N622" s="94">
        <v>44354.416666666664</v>
      </c>
      <c r="O622" s="95" t="str">
        <f>PROPER(TEXT(Table1[[#This Row],[Fecha Inicio]],"mmmm"))</f>
        <v>Junio</v>
      </c>
      <c r="P622" s="96" t="s">
        <v>3636</v>
      </c>
      <c r="Q622" s="97" t="s">
        <v>3637</v>
      </c>
      <c r="R622" s="76">
        <f t="shared" si="45"/>
        <v>2</v>
      </c>
      <c r="S622" s="76">
        <f t="shared" si="46"/>
        <v>2</v>
      </c>
      <c r="T622" s="76" t="str">
        <f t="shared" si="47"/>
        <v>-</v>
      </c>
      <c r="U622" s="76" t="str">
        <f t="shared" si="48"/>
        <v>-</v>
      </c>
      <c r="V622" s="76" t="str">
        <f t="shared" si="49"/>
        <v>-</v>
      </c>
      <c r="Z622" s="62"/>
    </row>
    <row r="623" spans="1:26" ht="40.15" customHeight="1" x14ac:dyDescent="0.25">
      <c r="A623" s="87">
        <v>22</v>
      </c>
      <c r="B623" s="89" t="s">
        <v>1550</v>
      </c>
      <c r="C623" s="99"/>
      <c r="D623" s="89" t="s">
        <v>1554</v>
      </c>
      <c r="E623" s="89" t="s">
        <v>1555</v>
      </c>
      <c r="F623" s="87" t="s">
        <v>1556</v>
      </c>
      <c r="G623" s="92" t="s">
        <v>1557</v>
      </c>
      <c r="H623" s="93" t="s">
        <v>3638</v>
      </c>
      <c r="I623" s="87" t="s">
        <v>3564</v>
      </c>
      <c r="J623" s="87" t="s">
        <v>3513</v>
      </c>
      <c r="K623" s="87" t="s">
        <v>1575</v>
      </c>
      <c r="L623" s="87" t="s">
        <v>52</v>
      </c>
      <c r="M623" s="94">
        <v>44354.375</v>
      </c>
      <c r="N623" s="94">
        <v>44354.625</v>
      </c>
      <c r="O623" s="95" t="str">
        <f>PROPER(TEXT(Table1[[#This Row],[Fecha Inicio]],"mmmm"))</f>
        <v>Junio</v>
      </c>
      <c r="P623" s="96" t="s">
        <v>3639</v>
      </c>
      <c r="Q623" s="97" t="s">
        <v>3640</v>
      </c>
      <c r="R623" s="76">
        <f t="shared" si="45"/>
        <v>14</v>
      </c>
      <c r="S623" s="76">
        <f t="shared" si="46"/>
        <v>14</v>
      </c>
      <c r="T623" s="76" t="str">
        <f t="shared" si="47"/>
        <v>-</v>
      </c>
      <c r="U623" s="76" t="str">
        <f t="shared" si="48"/>
        <v>-</v>
      </c>
      <c r="V623" s="76" t="str">
        <f t="shared" si="49"/>
        <v>-</v>
      </c>
      <c r="Z623" s="62"/>
    </row>
    <row r="624" spans="1:26" ht="40.15" customHeight="1" x14ac:dyDescent="0.25">
      <c r="A624" s="87">
        <v>23</v>
      </c>
      <c r="B624" s="89" t="s">
        <v>1550</v>
      </c>
      <c r="C624" s="89" t="s">
        <v>3641</v>
      </c>
      <c r="D624" s="102" t="s">
        <v>1665</v>
      </c>
      <c r="E624" s="102" t="s">
        <v>1666</v>
      </c>
      <c r="F624" s="87" t="s">
        <v>1556</v>
      </c>
      <c r="G624" s="92" t="s">
        <v>1557</v>
      </c>
      <c r="H624" s="93" t="s">
        <v>3642</v>
      </c>
      <c r="I624" s="87" t="s">
        <v>3643</v>
      </c>
      <c r="J624" s="87" t="s">
        <v>1669</v>
      </c>
      <c r="K624" s="87" t="s">
        <v>1670</v>
      </c>
      <c r="L624" s="87" t="s">
        <v>52</v>
      </c>
      <c r="M624" s="94">
        <v>44354.666666666664</v>
      </c>
      <c r="N624" s="94">
        <v>44354.694444444445</v>
      </c>
      <c r="O624" s="95" t="str">
        <f>PROPER(TEXT(Table1[[#This Row],[Fecha Inicio]],"mmmm"))</f>
        <v>Junio</v>
      </c>
      <c r="P624" s="96" t="s">
        <v>3572</v>
      </c>
      <c r="Q624" s="97" t="s">
        <v>3644</v>
      </c>
      <c r="R624" s="76">
        <f t="shared" si="45"/>
        <v>1</v>
      </c>
      <c r="S624" s="76">
        <f t="shared" si="46"/>
        <v>1</v>
      </c>
      <c r="T624" s="76" t="str">
        <f t="shared" si="47"/>
        <v>-</v>
      </c>
      <c r="U624" s="76" t="str">
        <f t="shared" si="48"/>
        <v>-</v>
      </c>
      <c r="V624" s="76" t="str">
        <f t="shared" si="49"/>
        <v>-</v>
      </c>
      <c r="Z624" s="62"/>
    </row>
    <row r="625" spans="1:26" ht="40.15" customHeight="1" x14ac:dyDescent="0.25">
      <c r="A625" s="87">
        <v>21</v>
      </c>
      <c r="B625" s="89" t="s">
        <v>1550</v>
      </c>
      <c r="C625" s="99"/>
      <c r="D625" s="89" t="s">
        <v>1570</v>
      </c>
      <c r="E625" s="89" t="s">
        <v>1571</v>
      </c>
      <c r="F625" s="87" t="s">
        <v>1556</v>
      </c>
      <c r="G625" s="92" t="s">
        <v>1557</v>
      </c>
      <c r="H625" s="93" t="s">
        <v>3648</v>
      </c>
      <c r="I625" s="87" t="s">
        <v>3649</v>
      </c>
      <c r="J625" s="87" t="s">
        <v>1612</v>
      </c>
      <c r="K625" s="87" t="s">
        <v>1613</v>
      </c>
      <c r="L625" s="126" t="s">
        <v>19</v>
      </c>
      <c r="M625" s="94">
        <v>44354.958333333336</v>
      </c>
      <c r="N625" s="94">
        <v>44355.041666666664</v>
      </c>
      <c r="O625" s="95" t="str">
        <f>PROPER(TEXT(Table1[[#This Row],[Fecha Inicio]],"mmmm"))</f>
        <v>Junio</v>
      </c>
      <c r="P625" s="96" t="s">
        <v>3058</v>
      </c>
      <c r="Q625" s="97" t="s">
        <v>3650</v>
      </c>
      <c r="R625" s="76">
        <f t="shared" si="45"/>
        <v>19</v>
      </c>
      <c r="S625" s="76">
        <f t="shared" si="46"/>
        <v>19</v>
      </c>
      <c r="T625" s="76" t="str">
        <f t="shared" si="47"/>
        <v>-</v>
      </c>
      <c r="U625" s="76" t="str">
        <f t="shared" si="48"/>
        <v>-</v>
      </c>
      <c r="V625" s="76" t="str">
        <f t="shared" si="49"/>
        <v>-</v>
      </c>
      <c r="Z625" s="62"/>
    </row>
    <row r="626" spans="1:26" ht="40.15" customHeight="1" x14ac:dyDescent="0.25">
      <c r="A626" s="87">
        <v>22</v>
      </c>
      <c r="B626" s="89" t="s">
        <v>1550</v>
      </c>
      <c r="C626" s="99"/>
      <c r="D626" s="89" t="s">
        <v>344</v>
      </c>
      <c r="E626" s="89" t="s">
        <v>1616</v>
      </c>
      <c r="F626" s="87" t="s">
        <v>1556</v>
      </c>
      <c r="G626" s="92" t="s">
        <v>1557</v>
      </c>
      <c r="H626" s="93" t="s">
        <v>3645</v>
      </c>
      <c r="I626" s="87" t="s">
        <v>2036</v>
      </c>
      <c r="J626" s="87" t="s">
        <v>1802</v>
      </c>
      <c r="K626" s="87" t="s">
        <v>1596</v>
      </c>
      <c r="L626" s="126" t="s">
        <v>19</v>
      </c>
      <c r="M626" s="94">
        <v>44354.958333333336</v>
      </c>
      <c r="N626" s="94">
        <v>44355.125</v>
      </c>
      <c r="O626" s="95" t="str">
        <f>PROPER(TEXT(Table1[[#This Row],[Fecha Inicio]],"mmmm"))</f>
        <v>Junio</v>
      </c>
      <c r="P626" s="96" t="s">
        <v>3646</v>
      </c>
      <c r="Q626" s="97" t="s">
        <v>3647</v>
      </c>
      <c r="R626" s="76">
        <f t="shared" si="45"/>
        <v>5</v>
      </c>
      <c r="S626" s="76">
        <f t="shared" si="46"/>
        <v>5</v>
      </c>
      <c r="T626" s="76" t="str">
        <f t="shared" si="47"/>
        <v>-</v>
      </c>
      <c r="U626" s="76" t="str">
        <f t="shared" si="48"/>
        <v>-</v>
      </c>
      <c r="V626" s="76" t="str">
        <f t="shared" si="49"/>
        <v>-</v>
      </c>
      <c r="Z626" s="62"/>
    </row>
    <row r="627" spans="1:26" ht="40.15" customHeight="1" x14ac:dyDescent="0.25">
      <c r="A627" s="87">
        <v>22</v>
      </c>
      <c r="B627" s="89" t="s">
        <v>1550</v>
      </c>
      <c r="C627" s="99"/>
      <c r="D627" s="89" t="s">
        <v>344</v>
      </c>
      <c r="E627" s="89" t="s">
        <v>1799</v>
      </c>
      <c r="F627" s="87" t="s">
        <v>1556</v>
      </c>
      <c r="G627" s="92" t="s">
        <v>1557</v>
      </c>
      <c r="H627" s="93" t="s">
        <v>3651</v>
      </c>
      <c r="I627" s="87" t="s">
        <v>3652</v>
      </c>
      <c r="J627" s="87" t="s">
        <v>1824</v>
      </c>
      <c r="K627" s="87" t="s">
        <v>1825</v>
      </c>
      <c r="L627" s="126" t="s">
        <v>19</v>
      </c>
      <c r="M627" s="94">
        <v>44355.25</v>
      </c>
      <c r="N627" s="94">
        <v>44355.333333333336</v>
      </c>
      <c r="O627" s="95" t="str">
        <f>PROPER(TEXT(Table1[[#This Row],[Fecha Inicio]],"mmmm"))</f>
        <v>Junio</v>
      </c>
      <c r="P627" s="96" t="s">
        <v>3583</v>
      </c>
      <c r="Q627" s="97" t="s">
        <v>3653</v>
      </c>
      <c r="R627" s="76">
        <f t="shared" si="45"/>
        <v>1</v>
      </c>
      <c r="S627" s="76">
        <f t="shared" si="46"/>
        <v>1</v>
      </c>
      <c r="T627" s="76" t="str">
        <f t="shared" si="47"/>
        <v>-</v>
      </c>
      <c r="U627" s="76" t="str">
        <f t="shared" si="48"/>
        <v>-</v>
      </c>
      <c r="V627" s="76" t="str">
        <f t="shared" si="49"/>
        <v>-</v>
      </c>
      <c r="Z627" s="62"/>
    </row>
    <row r="628" spans="1:26" ht="40.15" customHeight="1" x14ac:dyDescent="0.25">
      <c r="A628" s="87">
        <v>22</v>
      </c>
      <c r="B628" s="89" t="s">
        <v>1550</v>
      </c>
      <c r="C628" s="99"/>
      <c r="D628" s="89" t="s">
        <v>1554</v>
      </c>
      <c r="E628" s="89" t="s">
        <v>1555</v>
      </c>
      <c r="F628" s="87" t="s">
        <v>1556</v>
      </c>
      <c r="G628" s="92" t="s">
        <v>1557</v>
      </c>
      <c r="H628" s="93" t="s">
        <v>3654</v>
      </c>
      <c r="I628" s="87" t="s">
        <v>3655</v>
      </c>
      <c r="J628" s="87" t="s">
        <v>3513</v>
      </c>
      <c r="K628" s="87" t="s">
        <v>1575</v>
      </c>
      <c r="L628" s="87" t="s">
        <v>52</v>
      </c>
      <c r="M628" s="94">
        <v>44355.375</v>
      </c>
      <c r="N628" s="94">
        <v>44355.625</v>
      </c>
      <c r="O628" s="95" t="str">
        <f>PROPER(TEXT(Table1[[#This Row],[Fecha Inicio]],"mmmm"))</f>
        <v>Junio</v>
      </c>
      <c r="P628" s="96" t="s">
        <v>3656</v>
      </c>
      <c r="Q628" s="97" t="s">
        <v>3657</v>
      </c>
      <c r="R628" s="76">
        <f t="shared" si="45"/>
        <v>18</v>
      </c>
      <c r="S628" s="76">
        <f t="shared" si="46"/>
        <v>18</v>
      </c>
      <c r="T628" s="76" t="str">
        <f t="shared" si="47"/>
        <v>-</v>
      </c>
      <c r="U628" s="76" t="str">
        <f t="shared" si="48"/>
        <v>-</v>
      </c>
      <c r="V628" s="76" t="str">
        <f t="shared" si="49"/>
        <v>-</v>
      </c>
      <c r="Z628" s="62"/>
    </row>
    <row r="629" spans="1:26" ht="40.15" customHeight="1" x14ac:dyDescent="0.25">
      <c r="A629" s="87">
        <v>23</v>
      </c>
      <c r="B629" s="89" t="s">
        <v>1550</v>
      </c>
      <c r="C629" s="103" t="s">
        <v>3600</v>
      </c>
      <c r="D629" s="102" t="s">
        <v>1665</v>
      </c>
      <c r="E629" s="102" t="s">
        <v>1666</v>
      </c>
      <c r="F629" s="87" t="s">
        <v>1556</v>
      </c>
      <c r="G629" s="92" t="s">
        <v>1557</v>
      </c>
      <c r="H629" s="93" t="s">
        <v>3658</v>
      </c>
      <c r="I629" s="87" t="s">
        <v>3659</v>
      </c>
      <c r="J629" s="87" t="s">
        <v>1669</v>
      </c>
      <c r="K629" s="87" t="s">
        <v>1670</v>
      </c>
      <c r="L629" s="87" t="s">
        <v>52</v>
      </c>
      <c r="M629" s="94">
        <v>44355.666666666664</v>
      </c>
      <c r="N629" s="94">
        <v>44355.694444444445</v>
      </c>
      <c r="O629" s="95" t="str">
        <f>PROPER(TEXT(Table1[[#This Row],[Fecha Inicio]],"mmmm"))</f>
        <v>Junio</v>
      </c>
      <c r="P629" s="96" t="s">
        <v>3572</v>
      </c>
      <c r="Q629" s="97" t="s">
        <v>3660</v>
      </c>
      <c r="R629" s="76">
        <f t="shared" si="45"/>
        <v>1</v>
      </c>
      <c r="S629" s="76">
        <f t="shared" si="46"/>
        <v>1</v>
      </c>
      <c r="T629" s="76" t="str">
        <f t="shared" si="47"/>
        <v>-</v>
      </c>
      <c r="U629" s="76" t="str">
        <f t="shared" si="48"/>
        <v>-</v>
      </c>
      <c r="V629" s="76" t="str">
        <f t="shared" si="49"/>
        <v>-</v>
      </c>
      <c r="Z629" s="62"/>
    </row>
    <row r="630" spans="1:26" ht="40.15" customHeight="1" x14ac:dyDescent="0.25">
      <c r="A630" s="87">
        <v>22</v>
      </c>
      <c r="B630" s="89" t="s">
        <v>1550</v>
      </c>
      <c r="C630" s="99" t="s">
        <v>3383</v>
      </c>
      <c r="D630" s="89" t="s">
        <v>326</v>
      </c>
      <c r="E630" s="89" t="s">
        <v>1631</v>
      </c>
      <c r="F630" s="87" t="s">
        <v>1556</v>
      </c>
      <c r="G630" s="92" t="s">
        <v>1557</v>
      </c>
      <c r="H630" s="93" t="s">
        <v>3661</v>
      </c>
      <c r="I630" s="87" t="s">
        <v>1633</v>
      </c>
      <c r="J630" s="87" t="s">
        <v>1634</v>
      </c>
      <c r="K630" s="87" t="s">
        <v>1635</v>
      </c>
      <c r="L630" s="126" t="s">
        <v>19</v>
      </c>
      <c r="M630" s="94">
        <v>44355.895833333336</v>
      </c>
      <c r="N630" s="94">
        <v>44355.979166666664</v>
      </c>
      <c r="O630" s="95" t="str">
        <f>PROPER(TEXT(Table1[[#This Row],[Fecha Inicio]],"mmmm"))</f>
        <v>Junio</v>
      </c>
      <c r="P630" s="96" t="s">
        <v>3662</v>
      </c>
      <c r="Q630" s="97" t="s">
        <v>3663</v>
      </c>
      <c r="R630" s="76">
        <f t="shared" si="45"/>
        <v>6</v>
      </c>
      <c r="S630" s="76">
        <f t="shared" si="46"/>
        <v>6</v>
      </c>
      <c r="T630" s="76" t="str">
        <f t="shared" si="47"/>
        <v>-</v>
      </c>
      <c r="U630" s="76" t="str">
        <f t="shared" si="48"/>
        <v>-</v>
      </c>
      <c r="V630" s="76" t="str">
        <f t="shared" si="49"/>
        <v>-</v>
      </c>
      <c r="Z630" s="62"/>
    </row>
    <row r="631" spans="1:26" ht="40.15" customHeight="1" x14ac:dyDescent="0.25">
      <c r="A631" s="87">
        <v>23</v>
      </c>
      <c r="B631" s="89" t="s">
        <v>1550</v>
      </c>
      <c r="C631" s="104"/>
      <c r="D631" s="89" t="s">
        <v>1570</v>
      </c>
      <c r="E631" s="89" t="s">
        <v>1571</v>
      </c>
      <c r="F631" s="91" t="s">
        <v>1556</v>
      </c>
      <c r="G631" s="92" t="s">
        <v>1557</v>
      </c>
      <c r="H631" s="93" t="s">
        <v>3664</v>
      </c>
      <c r="I631" s="87" t="s">
        <v>3614</v>
      </c>
      <c r="J631" s="87" t="s">
        <v>1755</v>
      </c>
      <c r="K631" s="91" t="s">
        <v>1590</v>
      </c>
      <c r="L631" s="126" t="s">
        <v>19</v>
      </c>
      <c r="M631" s="94">
        <v>44355.916666666664</v>
      </c>
      <c r="N631" s="94">
        <v>44355.958333333336</v>
      </c>
      <c r="O631" s="95" t="str">
        <f>PROPER(TEXT(Table1[[#This Row],[Fecha Inicio]],"mmmm"))</f>
        <v>Junio</v>
      </c>
      <c r="P631" s="96" t="s">
        <v>1756</v>
      </c>
      <c r="Q631" s="97" t="s">
        <v>3665</v>
      </c>
      <c r="R631" s="76">
        <f t="shared" si="45"/>
        <v>1</v>
      </c>
      <c r="S631" s="76">
        <f t="shared" si="46"/>
        <v>1</v>
      </c>
      <c r="T631" s="76" t="str">
        <f t="shared" si="47"/>
        <v>-</v>
      </c>
      <c r="U631" s="76" t="str">
        <f t="shared" si="48"/>
        <v>-</v>
      </c>
      <c r="V631" s="76" t="str">
        <f t="shared" si="49"/>
        <v>-</v>
      </c>
      <c r="Z631" s="62"/>
    </row>
    <row r="632" spans="1:26" ht="40.15" customHeight="1" x14ac:dyDescent="0.25">
      <c r="A632" s="87">
        <v>22</v>
      </c>
      <c r="B632" s="89" t="s">
        <v>1550</v>
      </c>
      <c r="C632" s="99"/>
      <c r="D632" s="89" t="s">
        <v>344</v>
      </c>
      <c r="E632" s="89" t="s">
        <v>1616</v>
      </c>
      <c r="F632" s="87" t="s">
        <v>1556</v>
      </c>
      <c r="G632" s="92" t="s">
        <v>1557</v>
      </c>
      <c r="H632" s="93" t="s">
        <v>3666</v>
      </c>
      <c r="I632" s="87" t="s">
        <v>2067</v>
      </c>
      <c r="J632" s="87" t="s">
        <v>1802</v>
      </c>
      <c r="K632" s="87" t="s">
        <v>1596</v>
      </c>
      <c r="L632" s="126" t="s">
        <v>19</v>
      </c>
      <c r="M632" s="94">
        <v>44355.958333333336</v>
      </c>
      <c r="N632" s="94">
        <v>44356.125</v>
      </c>
      <c r="O632" s="95" t="str">
        <f>PROPER(TEXT(Table1[[#This Row],[Fecha Inicio]],"mmmm"))</f>
        <v>Junio</v>
      </c>
      <c r="P632" s="96" t="s">
        <v>3667</v>
      </c>
      <c r="Q632" s="97" t="s">
        <v>3668</v>
      </c>
      <c r="R632" s="76">
        <f t="shared" si="45"/>
        <v>6</v>
      </c>
      <c r="S632" s="76">
        <f t="shared" si="46"/>
        <v>6</v>
      </c>
      <c r="T632" s="76" t="str">
        <f t="shared" si="47"/>
        <v>-</v>
      </c>
      <c r="U632" s="76" t="str">
        <f t="shared" si="48"/>
        <v>-</v>
      </c>
      <c r="V632" s="76" t="str">
        <f t="shared" si="49"/>
        <v>-</v>
      </c>
      <c r="Z632" s="62"/>
    </row>
    <row r="633" spans="1:26" ht="40.15" customHeight="1" x14ac:dyDescent="0.25">
      <c r="A633" s="87">
        <v>23</v>
      </c>
      <c r="B633" s="89" t="s">
        <v>1550</v>
      </c>
      <c r="C633" s="99"/>
      <c r="D633" s="89" t="s">
        <v>344</v>
      </c>
      <c r="E633" s="89" t="s">
        <v>1799</v>
      </c>
      <c r="F633" s="87" t="s">
        <v>1556</v>
      </c>
      <c r="G633" s="92" t="s">
        <v>1557</v>
      </c>
      <c r="H633" s="93" t="s">
        <v>3669</v>
      </c>
      <c r="I633" s="87" t="s">
        <v>3652</v>
      </c>
      <c r="J633" s="87" t="s">
        <v>1824</v>
      </c>
      <c r="K633" s="87" t="s">
        <v>1825</v>
      </c>
      <c r="L633" s="126" t="s">
        <v>19</v>
      </c>
      <c r="M633" s="94">
        <v>44356.25</v>
      </c>
      <c r="N633" s="94">
        <v>44356.333333333336</v>
      </c>
      <c r="O633" s="95" t="str">
        <f>PROPER(TEXT(Table1[[#This Row],[Fecha Inicio]],"mmmm"))</f>
        <v>Junio</v>
      </c>
      <c r="P633" s="96" t="s">
        <v>3583</v>
      </c>
      <c r="Q633" s="97" t="s">
        <v>3670</v>
      </c>
      <c r="R633" s="76">
        <f t="shared" si="45"/>
        <v>1</v>
      </c>
      <c r="S633" s="76">
        <f t="shared" si="46"/>
        <v>1</v>
      </c>
      <c r="T633" s="76" t="str">
        <f t="shared" si="47"/>
        <v>-</v>
      </c>
      <c r="U633" s="76" t="str">
        <f t="shared" si="48"/>
        <v>-</v>
      </c>
      <c r="V633" s="76" t="str">
        <f t="shared" si="49"/>
        <v>-</v>
      </c>
      <c r="Z633" s="62"/>
    </row>
    <row r="634" spans="1:26" ht="40.15" customHeight="1" x14ac:dyDescent="0.25">
      <c r="A634" s="87">
        <v>22</v>
      </c>
      <c r="B634" s="89" t="s">
        <v>1550</v>
      </c>
      <c r="C634" s="99" t="s">
        <v>3671</v>
      </c>
      <c r="D634" s="89" t="s">
        <v>1554</v>
      </c>
      <c r="E634" s="89" t="s">
        <v>1555</v>
      </c>
      <c r="F634" s="87" t="s">
        <v>1556</v>
      </c>
      <c r="G634" s="92" t="s">
        <v>1557</v>
      </c>
      <c r="H634" s="93" t="s">
        <v>3672</v>
      </c>
      <c r="I634" s="87" t="s">
        <v>3564</v>
      </c>
      <c r="J634" s="87" t="s">
        <v>3513</v>
      </c>
      <c r="K634" s="87" t="s">
        <v>1575</v>
      </c>
      <c r="L634" s="87" t="s">
        <v>52</v>
      </c>
      <c r="M634" s="94">
        <v>44356.375</v>
      </c>
      <c r="N634" s="94">
        <v>44356.625</v>
      </c>
      <c r="O634" s="95" t="str">
        <f>PROPER(TEXT(Table1[[#This Row],[Fecha Inicio]],"mmmm"))</f>
        <v>Junio</v>
      </c>
      <c r="P634" s="96" t="s">
        <v>3673</v>
      </c>
      <c r="Q634" s="97" t="s">
        <v>3674</v>
      </c>
      <c r="R634" s="76">
        <f t="shared" si="45"/>
        <v>1</v>
      </c>
      <c r="S634" s="76">
        <f t="shared" si="46"/>
        <v>1</v>
      </c>
      <c r="T634" s="76" t="str">
        <f t="shared" si="47"/>
        <v>-</v>
      </c>
      <c r="U634" s="76" t="str">
        <f t="shared" si="48"/>
        <v>-</v>
      </c>
      <c r="V634" s="76" t="str">
        <f t="shared" si="49"/>
        <v>-</v>
      </c>
      <c r="Z634" s="62"/>
    </row>
    <row r="635" spans="1:26" ht="40.15" customHeight="1" x14ac:dyDescent="0.25">
      <c r="A635" s="87">
        <v>23</v>
      </c>
      <c r="B635" s="89" t="s">
        <v>1550</v>
      </c>
      <c r="C635" s="99"/>
      <c r="D635" s="102" t="s">
        <v>344</v>
      </c>
      <c r="E635" s="102" t="s">
        <v>1616</v>
      </c>
      <c r="F635" s="87" t="s">
        <v>1556</v>
      </c>
      <c r="G635" s="92" t="s">
        <v>1557</v>
      </c>
      <c r="H635" s="93" t="s">
        <v>3675</v>
      </c>
      <c r="I635" s="87" t="s">
        <v>3676</v>
      </c>
      <c r="J635" s="87" t="s">
        <v>1824</v>
      </c>
      <c r="K635" s="87" t="s">
        <v>1825</v>
      </c>
      <c r="L635" s="126" t="s">
        <v>19</v>
      </c>
      <c r="M635" s="94">
        <v>44356.416666666664</v>
      </c>
      <c r="N635" s="94">
        <v>44356.666666666664</v>
      </c>
      <c r="O635" s="95" t="str">
        <f>PROPER(TEXT(Table1[[#This Row],[Fecha Inicio]],"mmmm"))</f>
        <v>Junio</v>
      </c>
      <c r="P635" s="96" t="s">
        <v>2553</v>
      </c>
      <c r="Q635" s="97" t="s">
        <v>3677</v>
      </c>
      <c r="R635" s="76">
        <f t="shared" si="45"/>
        <v>3</v>
      </c>
      <c r="S635" s="76">
        <f t="shared" si="46"/>
        <v>3</v>
      </c>
      <c r="T635" s="76" t="str">
        <f t="shared" si="47"/>
        <v>-</v>
      </c>
      <c r="U635" s="76" t="str">
        <f t="shared" si="48"/>
        <v>-</v>
      </c>
      <c r="V635" s="76" t="str">
        <f t="shared" si="49"/>
        <v>-</v>
      </c>
      <c r="Z635" s="62"/>
    </row>
    <row r="636" spans="1:26" ht="40.15" customHeight="1" x14ac:dyDescent="0.25">
      <c r="A636" s="87">
        <v>23</v>
      </c>
      <c r="B636" s="89" t="s">
        <v>1550</v>
      </c>
      <c r="C636" s="99"/>
      <c r="D636" s="102" t="s">
        <v>1665</v>
      </c>
      <c r="E636" s="102" t="s">
        <v>1666</v>
      </c>
      <c r="F636" s="87" t="s">
        <v>1556</v>
      </c>
      <c r="G636" s="92" t="s">
        <v>1557</v>
      </c>
      <c r="H636" s="93" t="s">
        <v>3678</v>
      </c>
      <c r="I636" s="87" t="s">
        <v>3679</v>
      </c>
      <c r="J636" s="87" t="s">
        <v>1669</v>
      </c>
      <c r="K636" s="87" t="s">
        <v>1670</v>
      </c>
      <c r="L636" s="87" t="s">
        <v>52</v>
      </c>
      <c r="M636" s="94">
        <v>44356.666666666664</v>
      </c>
      <c r="N636" s="94">
        <v>44356.694444444445</v>
      </c>
      <c r="O636" s="95" t="str">
        <f>PROPER(TEXT(Table1[[#This Row],[Fecha Inicio]],"mmmm"))</f>
        <v>Junio</v>
      </c>
      <c r="P636" s="96" t="s">
        <v>3572</v>
      </c>
      <c r="Q636" s="97" t="s">
        <v>3680</v>
      </c>
      <c r="R636" s="76">
        <f t="shared" si="45"/>
        <v>1</v>
      </c>
      <c r="S636" s="76">
        <f t="shared" si="46"/>
        <v>1</v>
      </c>
      <c r="T636" s="76" t="str">
        <f t="shared" si="47"/>
        <v>-</v>
      </c>
      <c r="U636" s="76" t="str">
        <f t="shared" si="48"/>
        <v>-</v>
      </c>
      <c r="V636" s="76" t="str">
        <f t="shared" si="49"/>
        <v>-</v>
      </c>
      <c r="Z636" s="62"/>
    </row>
    <row r="637" spans="1:26" ht="40.15" customHeight="1" x14ac:dyDescent="0.25">
      <c r="A637" s="87">
        <v>22</v>
      </c>
      <c r="B637" s="89" t="s">
        <v>1550</v>
      </c>
      <c r="C637" s="99" t="s">
        <v>3681</v>
      </c>
      <c r="D637" s="89" t="s">
        <v>326</v>
      </c>
      <c r="E637" s="89" t="s">
        <v>1742</v>
      </c>
      <c r="F637" s="87" t="s">
        <v>1556</v>
      </c>
      <c r="G637" s="92" t="s">
        <v>1557</v>
      </c>
      <c r="H637" s="93" t="s">
        <v>3682</v>
      </c>
      <c r="I637" s="87" t="s">
        <v>3683</v>
      </c>
      <c r="J637" s="87" t="s">
        <v>1560</v>
      </c>
      <c r="K637" s="87" t="s">
        <v>1561</v>
      </c>
      <c r="L637" s="126" t="s">
        <v>19</v>
      </c>
      <c r="M637" s="94">
        <v>44357.333333333336</v>
      </c>
      <c r="N637" s="94">
        <v>44357.416666666664</v>
      </c>
      <c r="O637" s="95" t="str">
        <f>PROPER(TEXT(Table1[[#This Row],[Fecha Inicio]],"mmmm"))</f>
        <v>Junio</v>
      </c>
      <c r="P637" s="96" t="s">
        <v>3684</v>
      </c>
      <c r="Q637" s="97" t="s">
        <v>3685</v>
      </c>
      <c r="R637" s="76">
        <f t="shared" si="45"/>
        <v>1</v>
      </c>
      <c r="S637" s="76">
        <f t="shared" si="46"/>
        <v>1</v>
      </c>
      <c r="T637" s="76" t="str">
        <f t="shared" si="47"/>
        <v>-</v>
      </c>
      <c r="U637" s="76" t="str">
        <f t="shared" si="48"/>
        <v>-</v>
      </c>
      <c r="V637" s="76" t="str">
        <f t="shared" si="49"/>
        <v>-</v>
      </c>
      <c r="Z637" s="62"/>
    </row>
    <row r="638" spans="1:26" ht="40.15" customHeight="1" x14ac:dyDescent="0.25">
      <c r="A638" s="87">
        <v>22</v>
      </c>
      <c r="B638" s="89" t="s">
        <v>1550</v>
      </c>
      <c r="C638" s="99"/>
      <c r="D638" s="89" t="s">
        <v>1554</v>
      </c>
      <c r="E638" s="89" t="s">
        <v>1555</v>
      </c>
      <c r="F638" s="87" t="s">
        <v>1556</v>
      </c>
      <c r="G638" s="92" t="s">
        <v>1557</v>
      </c>
      <c r="H638" s="93" t="s">
        <v>3686</v>
      </c>
      <c r="I638" s="87" t="s">
        <v>3564</v>
      </c>
      <c r="J638" s="87" t="s">
        <v>3513</v>
      </c>
      <c r="K638" s="87" t="s">
        <v>1575</v>
      </c>
      <c r="L638" s="87" t="s">
        <v>52</v>
      </c>
      <c r="M638" s="94">
        <v>44357.375</v>
      </c>
      <c r="N638" s="94">
        <v>44357.625</v>
      </c>
      <c r="O638" s="95" t="str">
        <f>PROPER(TEXT(Table1[[#This Row],[Fecha Inicio]],"mmmm"))</f>
        <v>Junio</v>
      </c>
      <c r="P638" s="96" t="s">
        <v>3687</v>
      </c>
      <c r="Q638" s="97" t="s">
        <v>3688</v>
      </c>
      <c r="R638" s="76">
        <f t="shared" si="45"/>
        <v>1</v>
      </c>
      <c r="S638" s="76">
        <f t="shared" si="46"/>
        <v>1</v>
      </c>
      <c r="T638" s="76" t="str">
        <f t="shared" si="47"/>
        <v>-</v>
      </c>
      <c r="U638" s="76" t="str">
        <f t="shared" si="48"/>
        <v>-</v>
      </c>
      <c r="V638" s="76" t="str">
        <f t="shared" si="49"/>
        <v>-</v>
      </c>
      <c r="Z638" s="62"/>
    </row>
    <row r="639" spans="1:26" ht="40.15" customHeight="1" x14ac:dyDescent="0.25">
      <c r="A639" s="87">
        <v>23</v>
      </c>
      <c r="B639" s="89" t="s">
        <v>1550</v>
      </c>
      <c r="C639" s="89"/>
      <c r="D639" s="89" t="s">
        <v>1623</v>
      </c>
      <c r="E639" s="89" t="s">
        <v>1624</v>
      </c>
      <c r="F639" s="87" t="s">
        <v>1556</v>
      </c>
      <c r="G639" s="92" t="s">
        <v>1557</v>
      </c>
      <c r="H639" s="93" t="s">
        <v>3691</v>
      </c>
      <c r="I639" s="87" t="s">
        <v>3093</v>
      </c>
      <c r="J639" s="87" t="s">
        <v>3053</v>
      </c>
      <c r="K639" s="87" t="s">
        <v>1575</v>
      </c>
      <c r="L639" s="126" t="s">
        <v>19</v>
      </c>
      <c r="M639" s="94">
        <v>44357.416666666664</v>
      </c>
      <c r="N639" s="94">
        <v>44357.583333333336</v>
      </c>
      <c r="O639" s="95" t="str">
        <f>PROPER(TEXT(Table1[[#This Row],[Fecha Inicio]],"mmmm"))</f>
        <v>Junio</v>
      </c>
      <c r="P639" s="96" t="s">
        <v>3094</v>
      </c>
      <c r="Q639" s="97" t="s">
        <v>3692</v>
      </c>
      <c r="R639" s="76">
        <f t="shared" si="45"/>
        <v>1</v>
      </c>
      <c r="S639" s="76">
        <f t="shared" si="46"/>
        <v>1</v>
      </c>
      <c r="T639" s="76" t="str">
        <f t="shared" si="47"/>
        <v>-</v>
      </c>
      <c r="U639" s="76" t="str">
        <f t="shared" si="48"/>
        <v>-</v>
      </c>
      <c r="V639" s="76" t="str">
        <f t="shared" si="49"/>
        <v>-</v>
      </c>
      <c r="Z639" s="62"/>
    </row>
    <row r="640" spans="1:26" ht="40.15" customHeight="1" x14ac:dyDescent="0.25">
      <c r="A640" s="87">
        <v>23</v>
      </c>
      <c r="B640" s="89" t="s">
        <v>1550</v>
      </c>
      <c r="C640" s="99"/>
      <c r="D640" s="89" t="s">
        <v>344</v>
      </c>
      <c r="E640" s="102" t="s">
        <v>1616</v>
      </c>
      <c r="F640" s="87" t="s">
        <v>1556</v>
      </c>
      <c r="G640" s="92" t="s">
        <v>1557</v>
      </c>
      <c r="H640" s="93" t="s">
        <v>3689</v>
      </c>
      <c r="I640" s="87" t="s">
        <v>3676</v>
      </c>
      <c r="J640" s="87" t="s">
        <v>1824</v>
      </c>
      <c r="K640" s="87" t="s">
        <v>1825</v>
      </c>
      <c r="L640" s="126" t="s">
        <v>19</v>
      </c>
      <c r="M640" s="94">
        <v>44357.416666666664</v>
      </c>
      <c r="N640" s="94">
        <v>44357.666666666664</v>
      </c>
      <c r="O640" s="95" t="str">
        <f>PROPER(TEXT(Table1[[#This Row],[Fecha Inicio]],"mmmm"))</f>
        <v>Junio</v>
      </c>
      <c r="P640" s="96" t="s">
        <v>2568</v>
      </c>
      <c r="Q640" s="97" t="s">
        <v>3690</v>
      </c>
      <c r="R640" s="76">
        <f t="shared" si="45"/>
        <v>3</v>
      </c>
      <c r="S640" s="76">
        <f t="shared" si="46"/>
        <v>3</v>
      </c>
      <c r="T640" s="76" t="str">
        <f t="shared" si="47"/>
        <v>-</v>
      </c>
      <c r="U640" s="76" t="str">
        <f t="shared" si="48"/>
        <v>-</v>
      </c>
      <c r="V640" s="76" t="str">
        <f t="shared" si="49"/>
        <v>-</v>
      </c>
      <c r="Z640" s="62"/>
    </row>
    <row r="641" spans="1:26" ht="40.15" customHeight="1" x14ac:dyDescent="0.25">
      <c r="A641" s="87">
        <v>23</v>
      </c>
      <c r="B641" s="89" t="s">
        <v>1550</v>
      </c>
      <c r="C641" s="89" t="s">
        <v>1578</v>
      </c>
      <c r="D641" s="90" t="s">
        <v>1623</v>
      </c>
      <c r="E641" s="90" t="s">
        <v>1624</v>
      </c>
      <c r="F641" s="91" t="s">
        <v>1556</v>
      </c>
      <c r="G641" s="92" t="s">
        <v>1557</v>
      </c>
      <c r="H641" s="93" t="s">
        <v>3693</v>
      </c>
      <c r="I641" s="87" t="s">
        <v>1685</v>
      </c>
      <c r="J641" s="87" t="s">
        <v>1627</v>
      </c>
      <c r="K641" s="87" t="s">
        <v>1575</v>
      </c>
      <c r="L641" s="126" t="s">
        <v>19</v>
      </c>
      <c r="M641" s="94">
        <v>44357.5</v>
      </c>
      <c r="N641" s="94">
        <v>44357.625</v>
      </c>
      <c r="O641" s="95" t="str">
        <f>PROPER(TEXT(Table1[[#This Row],[Fecha Inicio]],"mmmm"))</f>
        <v>Junio</v>
      </c>
      <c r="P641" s="96" t="s">
        <v>2764</v>
      </c>
      <c r="Q641" s="97" t="s">
        <v>3694</v>
      </c>
      <c r="R641" s="76">
        <f t="shared" si="45"/>
        <v>2</v>
      </c>
      <c r="S641" s="76">
        <f t="shared" si="46"/>
        <v>2</v>
      </c>
      <c r="T641" s="76" t="str">
        <f t="shared" si="47"/>
        <v>-</v>
      </c>
      <c r="U641" s="76" t="str">
        <f t="shared" si="48"/>
        <v>-</v>
      </c>
      <c r="V641" s="76" t="str">
        <f t="shared" si="49"/>
        <v>-</v>
      </c>
      <c r="Z641" s="62"/>
    </row>
    <row r="642" spans="1:26" ht="40.15" customHeight="1" x14ac:dyDescent="0.25">
      <c r="A642" s="87">
        <v>23</v>
      </c>
      <c r="B642" s="89" t="s">
        <v>1550</v>
      </c>
      <c r="C642" s="100" t="s">
        <v>3695</v>
      </c>
      <c r="D642" s="90" t="s">
        <v>1554</v>
      </c>
      <c r="E642" s="90" t="s">
        <v>1555</v>
      </c>
      <c r="F642" s="91" t="s">
        <v>1556</v>
      </c>
      <c r="G642" s="92" t="s">
        <v>1557</v>
      </c>
      <c r="H642" s="93" t="s">
        <v>3696</v>
      </c>
      <c r="I642" s="87" t="s">
        <v>3256</v>
      </c>
      <c r="J642" s="87" t="s">
        <v>3175</v>
      </c>
      <c r="K642" s="87" t="s">
        <v>2619</v>
      </c>
      <c r="L642" s="126" t="s">
        <v>19</v>
      </c>
      <c r="M642" s="94">
        <v>44357.5</v>
      </c>
      <c r="N642" s="94">
        <v>44357.708333333336</v>
      </c>
      <c r="O642" s="95" t="str">
        <f>PROPER(TEXT(Table1[[#This Row],[Fecha Inicio]],"mmmm"))</f>
        <v>Junio</v>
      </c>
      <c r="P642" s="96" t="s">
        <v>3257</v>
      </c>
      <c r="Q642" s="97" t="s">
        <v>3697</v>
      </c>
      <c r="R642" s="76">
        <f t="shared" ref="R642:R705" si="50">LEN(TRIM(P642))-LEN(SUBSTITUTE(TRIM(P642),",",""))+1</f>
        <v>1</v>
      </c>
      <c r="S642" s="76">
        <f t="shared" ref="S642:S705" si="51">IF(B642="CON ÉXITO",R642,"-")</f>
        <v>1</v>
      </c>
      <c r="T642" s="76" t="str">
        <f t="shared" ref="T642:T705" si="52">IF($B642="Éxito con problemas",S642,"-")</f>
        <v>-</v>
      </c>
      <c r="U642" s="76" t="str">
        <f t="shared" ref="U642:U705" si="53">IF($B642="CANCELADO",R642,"-")</f>
        <v>-</v>
      </c>
      <c r="V642" s="76" t="str">
        <f t="shared" ref="V642:V705" si="54">IF($B642="Aplicada marcha atrás",R642,"-")</f>
        <v>-</v>
      </c>
      <c r="Z642" s="62"/>
    </row>
    <row r="643" spans="1:26" ht="40.15" customHeight="1" x14ac:dyDescent="0.25">
      <c r="A643" s="87">
        <v>23</v>
      </c>
      <c r="B643" s="89" t="s">
        <v>1550</v>
      </c>
      <c r="C643" s="99"/>
      <c r="D643" s="102" t="s">
        <v>1665</v>
      </c>
      <c r="E643" s="102" t="s">
        <v>1666</v>
      </c>
      <c r="F643" s="87" t="s">
        <v>1556</v>
      </c>
      <c r="G643" s="92" t="s">
        <v>1557</v>
      </c>
      <c r="H643" s="93" t="s">
        <v>3698</v>
      </c>
      <c r="I643" s="87" t="s">
        <v>3699</v>
      </c>
      <c r="J643" s="87" t="s">
        <v>1669</v>
      </c>
      <c r="K643" s="87" t="s">
        <v>1670</v>
      </c>
      <c r="L643" s="87" t="s">
        <v>52</v>
      </c>
      <c r="M643" s="94">
        <v>44357.666666666664</v>
      </c>
      <c r="N643" s="94">
        <v>44357.694444444445</v>
      </c>
      <c r="O643" s="95" t="str">
        <f>PROPER(TEXT(Table1[[#This Row],[Fecha Inicio]],"mmmm"))</f>
        <v>Junio</v>
      </c>
      <c r="P643" s="96" t="s">
        <v>3572</v>
      </c>
      <c r="Q643" s="97" t="s">
        <v>3700</v>
      </c>
      <c r="R643" s="76">
        <f t="shared" si="50"/>
        <v>1</v>
      </c>
      <c r="S643" s="76">
        <f t="shared" si="51"/>
        <v>1</v>
      </c>
      <c r="T643" s="76" t="str">
        <f t="shared" si="52"/>
        <v>-</v>
      </c>
      <c r="U643" s="76" t="str">
        <f t="shared" si="53"/>
        <v>-</v>
      </c>
      <c r="V643" s="76" t="str">
        <f t="shared" si="54"/>
        <v>-</v>
      </c>
      <c r="Z643" s="62"/>
    </row>
    <row r="644" spans="1:26" ht="40.15" customHeight="1" x14ac:dyDescent="0.25">
      <c r="A644" s="87">
        <v>22</v>
      </c>
      <c r="B644" s="89" t="s">
        <v>1550</v>
      </c>
      <c r="C644" s="99" t="s">
        <v>3383</v>
      </c>
      <c r="D644" s="89" t="s">
        <v>326</v>
      </c>
      <c r="E644" s="89" t="s">
        <v>1631</v>
      </c>
      <c r="F644" s="87" t="s">
        <v>1556</v>
      </c>
      <c r="G644" s="92" t="s">
        <v>1557</v>
      </c>
      <c r="H644" s="93" t="s">
        <v>3702</v>
      </c>
      <c r="I644" s="87" t="s">
        <v>1689</v>
      </c>
      <c r="J644" s="87" t="s">
        <v>1634</v>
      </c>
      <c r="K644" s="87" t="s">
        <v>3703</v>
      </c>
      <c r="L644" s="126" t="s">
        <v>19</v>
      </c>
      <c r="M644" s="94">
        <v>44357.916666666664</v>
      </c>
      <c r="N644" s="94">
        <v>44358.166666666664</v>
      </c>
      <c r="O644" s="95" t="str">
        <f>PROPER(TEXT(Table1[[#This Row],[Fecha Inicio]],"mmmm"))</f>
        <v>Junio</v>
      </c>
      <c r="P644" s="96" t="s">
        <v>3378</v>
      </c>
      <c r="Q644" s="97" t="s">
        <v>3704</v>
      </c>
      <c r="R644" s="76">
        <f t="shared" si="50"/>
        <v>20</v>
      </c>
      <c r="S644" s="76">
        <f t="shared" si="51"/>
        <v>20</v>
      </c>
      <c r="T644" s="76" t="str">
        <f t="shared" si="52"/>
        <v>-</v>
      </c>
      <c r="U644" s="76" t="str">
        <f t="shared" si="53"/>
        <v>-</v>
      </c>
      <c r="V644" s="76" t="str">
        <f t="shared" si="54"/>
        <v>-</v>
      </c>
      <c r="Z644" s="62"/>
    </row>
    <row r="645" spans="1:26" ht="40.15" customHeight="1" x14ac:dyDescent="0.25">
      <c r="A645" s="87">
        <v>23</v>
      </c>
      <c r="B645" s="89" t="s">
        <v>1550</v>
      </c>
      <c r="C645" s="99" t="s">
        <v>3705</v>
      </c>
      <c r="D645" s="89" t="s">
        <v>326</v>
      </c>
      <c r="E645" s="89" t="s">
        <v>1742</v>
      </c>
      <c r="F645" s="87" t="s">
        <v>1556</v>
      </c>
      <c r="G645" s="92" t="s">
        <v>1557</v>
      </c>
      <c r="H645" s="93" t="s">
        <v>3706</v>
      </c>
      <c r="I645" s="87" t="s">
        <v>3707</v>
      </c>
      <c r="J645" s="87" t="s">
        <v>1560</v>
      </c>
      <c r="K645" s="87" t="s">
        <v>1561</v>
      </c>
      <c r="L645" s="91" t="s">
        <v>52</v>
      </c>
      <c r="M645" s="94">
        <v>44358.375</v>
      </c>
      <c r="N645" s="94">
        <v>44358.625</v>
      </c>
      <c r="O645" s="95" t="str">
        <f>PROPER(TEXT(Table1[[#This Row],[Fecha Inicio]],"mmmm"))</f>
        <v>Junio</v>
      </c>
      <c r="P645" s="96" t="s">
        <v>3462</v>
      </c>
      <c r="Q645" s="97" t="s">
        <v>3708</v>
      </c>
      <c r="R645" s="76">
        <f t="shared" si="50"/>
        <v>1</v>
      </c>
      <c r="S645" s="76">
        <f t="shared" si="51"/>
        <v>1</v>
      </c>
      <c r="T645" s="76" t="str">
        <f t="shared" si="52"/>
        <v>-</v>
      </c>
      <c r="U645" s="76" t="str">
        <f t="shared" si="53"/>
        <v>-</v>
      </c>
      <c r="V645" s="76" t="str">
        <f t="shared" si="54"/>
        <v>-</v>
      </c>
      <c r="Z645" s="62"/>
    </row>
    <row r="646" spans="1:26" ht="40.15" customHeight="1" x14ac:dyDescent="0.25">
      <c r="A646" s="87">
        <v>23</v>
      </c>
      <c r="B646" s="89" t="s">
        <v>1550</v>
      </c>
      <c r="C646" s="89"/>
      <c r="D646" s="89" t="s">
        <v>326</v>
      </c>
      <c r="E646" s="89" t="s">
        <v>1742</v>
      </c>
      <c r="F646" s="87" t="s">
        <v>1556</v>
      </c>
      <c r="G646" s="92" t="s">
        <v>1557</v>
      </c>
      <c r="H646" s="93" t="s">
        <v>3709</v>
      </c>
      <c r="I646" s="87" t="s">
        <v>3034</v>
      </c>
      <c r="J646" s="87" t="s">
        <v>1902</v>
      </c>
      <c r="K646" s="87" t="s">
        <v>1575</v>
      </c>
      <c r="L646" s="87" t="s">
        <v>52</v>
      </c>
      <c r="M646" s="94">
        <v>44358.375</v>
      </c>
      <c r="N646" s="94">
        <v>44358.625</v>
      </c>
      <c r="O646" s="95" t="str">
        <f>PROPER(TEXT(Table1[[#This Row],[Fecha Inicio]],"mmmm"))</f>
        <v>Junio</v>
      </c>
      <c r="P646" s="87" t="s">
        <v>3710</v>
      </c>
      <c r="Q646" s="97" t="s">
        <v>3711</v>
      </c>
      <c r="R646" s="76">
        <f t="shared" si="50"/>
        <v>3</v>
      </c>
      <c r="S646" s="76">
        <f t="shared" si="51"/>
        <v>3</v>
      </c>
      <c r="T646" s="76" t="str">
        <f t="shared" si="52"/>
        <v>-</v>
      </c>
      <c r="U646" s="76" t="str">
        <f t="shared" si="53"/>
        <v>-</v>
      </c>
      <c r="V646" s="76" t="str">
        <f t="shared" si="54"/>
        <v>-</v>
      </c>
      <c r="Z646" s="62"/>
    </row>
    <row r="647" spans="1:26" ht="40.15" customHeight="1" x14ac:dyDescent="0.25">
      <c r="A647" s="87">
        <v>23</v>
      </c>
      <c r="B647" s="89" t="s">
        <v>1550</v>
      </c>
      <c r="C647" s="99"/>
      <c r="D647" s="89" t="s">
        <v>326</v>
      </c>
      <c r="E647" s="89" t="s">
        <v>1742</v>
      </c>
      <c r="F647" s="87" t="s">
        <v>1556</v>
      </c>
      <c r="G647" s="92" t="s">
        <v>1557</v>
      </c>
      <c r="H647" s="93" t="s">
        <v>3712</v>
      </c>
      <c r="I647" s="87" t="s">
        <v>3596</v>
      </c>
      <c r="J647" s="87" t="s">
        <v>3597</v>
      </c>
      <c r="K647" s="87" t="s">
        <v>1575</v>
      </c>
      <c r="L647" s="87" t="s">
        <v>52</v>
      </c>
      <c r="M647" s="94">
        <v>44358.375</v>
      </c>
      <c r="N647" s="94">
        <v>44358.625</v>
      </c>
      <c r="O647" s="95" t="str">
        <f>PROPER(TEXT(Table1[[#This Row],[Fecha Inicio]],"mmmm"))</f>
        <v>Junio</v>
      </c>
      <c r="P647" s="96" t="s">
        <v>3598</v>
      </c>
      <c r="Q647" s="97" t="s">
        <v>3713</v>
      </c>
      <c r="R647" s="76">
        <f t="shared" si="50"/>
        <v>3</v>
      </c>
      <c r="S647" s="76">
        <f t="shared" si="51"/>
        <v>3</v>
      </c>
      <c r="T647" s="76" t="str">
        <f t="shared" si="52"/>
        <v>-</v>
      </c>
      <c r="U647" s="76" t="str">
        <f t="shared" si="53"/>
        <v>-</v>
      </c>
      <c r="V647" s="76" t="str">
        <f t="shared" si="54"/>
        <v>-</v>
      </c>
      <c r="Z647" s="62"/>
    </row>
    <row r="648" spans="1:26" ht="40.15" customHeight="1" x14ac:dyDescent="0.25">
      <c r="A648" s="87">
        <v>21</v>
      </c>
      <c r="B648" s="89" t="s">
        <v>1550</v>
      </c>
      <c r="C648" s="99"/>
      <c r="D648" s="89" t="s">
        <v>1570</v>
      </c>
      <c r="E648" s="89" t="s">
        <v>1571</v>
      </c>
      <c r="F648" s="87" t="s">
        <v>1556</v>
      </c>
      <c r="G648" s="92" t="s">
        <v>1557</v>
      </c>
      <c r="H648" s="93" t="s">
        <v>3714</v>
      </c>
      <c r="I648" s="87" t="s">
        <v>3281</v>
      </c>
      <c r="J648" s="87" t="s">
        <v>1694</v>
      </c>
      <c r="K648" s="87" t="s">
        <v>2240</v>
      </c>
      <c r="L648" s="126" t="s">
        <v>19</v>
      </c>
      <c r="M648" s="94">
        <v>44358.958333333336</v>
      </c>
      <c r="N648" s="94">
        <v>44359.083333333336</v>
      </c>
      <c r="O648" s="95" t="str">
        <f>PROPER(TEXT(Table1[[#This Row],[Fecha Inicio]],"mmmm"))</f>
        <v>Junio</v>
      </c>
      <c r="P648" s="96" t="s">
        <v>1696</v>
      </c>
      <c r="Q648" s="97" t="s">
        <v>3715</v>
      </c>
      <c r="R648" s="76">
        <f t="shared" si="50"/>
        <v>1</v>
      </c>
      <c r="S648" s="76">
        <f t="shared" si="51"/>
        <v>1</v>
      </c>
      <c r="T648" s="76" t="str">
        <f t="shared" si="52"/>
        <v>-</v>
      </c>
      <c r="U648" s="76" t="str">
        <f t="shared" si="53"/>
        <v>-</v>
      </c>
      <c r="V648" s="76" t="str">
        <f t="shared" si="54"/>
        <v>-</v>
      </c>
      <c r="Z648" s="62"/>
    </row>
    <row r="649" spans="1:26" ht="40.15" customHeight="1" x14ac:dyDescent="0.25">
      <c r="A649" s="87">
        <v>23</v>
      </c>
      <c r="B649" s="89" t="s">
        <v>1550</v>
      </c>
      <c r="C649" s="89"/>
      <c r="D649" s="90" t="s">
        <v>326</v>
      </c>
      <c r="E649" s="90" t="s">
        <v>1631</v>
      </c>
      <c r="F649" s="91" t="s">
        <v>1556</v>
      </c>
      <c r="G649" s="92" t="s">
        <v>1557</v>
      </c>
      <c r="H649" s="93" t="s">
        <v>3716</v>
      </c>
      <c r="I649" s="87" t="s">
        <v>3388</v>
      </c>
      <c r="J649" s="87" t="s">
        <v>2152</v>
      </c>
      <c r="K649" s="87" t="s">
        <v>1575</v>
      </c>
      <c r="L649" s="126" t="s">
        <v>19</v>
      </c>
      <c r="M649" s="94">
        <v>44361.041666666664</v>
      </c>
      <c r="N649" s="94">
        <v>44361.125</v>
      </c>
      <c r="O649" s="95" t="str">
        <f>PROPER(TEXT(Table1[[#This Row],[Fecha Inicio]],"mmmm"))</f>
        <v>Junio</v>
      </c>
      <c r="P649" s="96" t="s">
        <v>3389</v>
      </c>
      <c r="Q649" s="97" t="s">
        <v>3717</v>
      </c>
      <c r="R649" s="76">
        <f t="shared" si="50"/>
        <v>1</v>
      </c>
      <c r="S649" s="76">
        <f t="shared" si="51"/>
        <v>1</v>
      </c>
      <c r="T649" s="76" t="str">
        <f t="shared" si="52"/>
        <v>-</v>
      </c>
      <c r="U649" s="76" t="str">
        <f t="shared" si="53"/>
        <v>-</v>
      </c>
      <c r="V649" s="76" t="str">
        <f t="shared" si="54"/>
        <v>-</v>
      </c>
      <c r="Z649" s="62"/>
    </row>
    <row r="650" spans="1:26" ht="40.15" customHeight="1" x14ac:dyDescent="0.25">
      <c r="A650" s="87">
        <v>23</v>
      </c>
      <c r="B650" s="89" t="s">
        <v>1550</v>
      </c>
      <c r="C650" s="89"/>
      <c r="D650" s="90" t="s">
        <v>1554</v>
      </c>
      <c r="E650" s="90" t="s">
        <v>1555</v>
      </c>
      <c r="F650" s="91" t="s">
        <v>1556</v>
      </c>
      <c r="G650" s="92" t="s">
        <v>1557</v>
      </c>
      <c r="H650" s="93" t="s">
        <v>3718</v>
      </c>
      <c r="I650" s="87" t="s">
        <v>3120</v>
      </c>
      <c r="J650" s="87" t="s">
        <v>2239</v>
      </c>
      <c r="K650" s="87" t="s">
        <v>1575</v>
      </c>
      <c r="L650" s="89" t="s">
        <v>52</v>
      </c>
      <c r="M650" s="94">
        <v>44361.375</v>
      </c>
      <c r="N650" s="94">
        <v>44361.625</v>
      </c>
      <c r="O650" s="95" t="str">
        <f>PROPER(TEXT(Table1[[#This Row],[Fecha Inicio]],"mmmm"))</f>
        <v>Junio</v>
      </c>
      <c r="P650" s="96" t="s">
        <v>3719</v>
      </c>
      <c r="Q650" s="97" t="s">
        <v>3720</v>
      </c>
      <c r="R650" s="76">
        <f t="shared" si="50"/>
        <v>16</v>
      </c>
      <c r="S650" s="76">
        <f t="shared" si="51"/>
        <v>16</v>
      </c>
      <c r="T650" s="76" t="str">
        <f t="shared" si="52"/>
        <v>-</v>
      </c>
      <c r="U650" s="76" t="str">
        <f t="shared" si="53"/>
        <v>-</v>
      </c>
      <c r="V650" s="76" t="str">
        <f t="shared" si="54"/>
        <v>-</v>
      </c>
      <c r="Z650" s="62"/>
    </row>
    <row r="651" spans="1:26" ht="40.15" customHeight="1" x14ac:dyDescent="0.25">
      <c r="A651" s="87">
        <v>23</v>
      </c>
      <c r="B651" s="89" t="s">
        <v>1550</v>
      </c>
      <c r="C651" s="89" t="s">
        <v>1578</v>
      </c>
      <c r="D651" s="89" t="s">
        <v>1623</v>
      </c>
      <c r="E651" s="89" t="s">
        <v>1624</v>
      </c>
      <c r="F651" s="87" t="s">
        <v>1556</v>
      </c>
      <c r="G651" s="92" t="s">
        <v>1557</v>
      </c>
      <c r="H651" s="93" t="s">
        <v>3721</v>
      </c>
      <c r="I651" s="87" t="s">
        <v>3052</v>
      </c>
      <c r="J651" s="87" t="s">
        <v>3053</v>
      </c>
      <c r="K651" s="87" t="s">
        <v>1575</v>
      </c>
      <c r="L651" s="126" t="s">
        <v>19</v>
      </c>
      <c r="M651" s="94">
        <v>44361.416666666664</v>
      </c>
      <c r="N651" s="94">
        <v>44361.583333333336</v>
      </c>
      <c r="O651" s="95" t="str">
        <f>PROPER(TEXT(Table1[[#This Row],[Fecha Inicio]],"mmmm"))</f>
        <v>Junio</v>
      </c>
      <c r="P651" s="96" t="s">
        <v>3054</v>
      </c>
      <c r="Q651" s="97" t="s">
        <v>3722</v>
      </c>
      <c r="R651" s="76">
        <f t="shared" si="50"/>
        <v>2</v>
      </c>
      <c r="S651" s="76">
        <f t="shared" si="51"/>
        <v>2</v>
      </c>
      <c r="T651" s="76" t="str">
        <f t="shared" si="52"/>
        <v>-</v>
      </c>
      <c r="U651" s="76" t="str">
        <f t="shared" si="53"/>
        <v>-</v>
      </c>
      <c r="V651" s="76" t="str">
        <f t="shared" si="54"/>
        <v>-</v>
      </c>
      <c r="Z651" s="62"/>
    </row>
    <row r="652" spans="1:26" ht="40.15" customHeight="1" x14ac:dyDescent="0.25">
      <c r="A652" s="87">
        <v>23</v>
      </c>
      <c r="B652" s="89" t="s">
        <v>1550</v>
      </c>
      <c r="C652" s="89" t="s">
        <v>1578</v>
      </c>
      <c r="D652" s="89" t="s">
        <v>344</v>
      </c>
      <c r="E652" s="89" t="s">
        <v>1616</v>
      </c>
      <c r="F652" s="91" t="s">
        <v>1556</v>
      </c>
      <c r="G652" s="92" t="s">
        <v>1557</v>
      </c>
      <c r="H652" s="93" t="s">
        <v>3723</v>
      </c>
      <c r="I652" s="87" t="s">
        <v>2603</v>
      </c>
      <c r="J652" s="91" t="s">
        <v>1920</v>
      </c>
      <c r="K652" s="91" t="s">
        <v>1921</v>
      </c>
      <c r="L652" s="126" t="s">
        <v>19</v>
      </c>
      <c r="M652" s="94">
        <v>44361.416666666664</v>
      </c>
      <c r="N652" s="94">
        <v>44361.708333333336</v>
      </c>
      <c r="O652" s="95" t="str">
        <f>PROPER(TEXT(Table1[[#This Row],[Fecha Inicio]],"mmmm"))</f>
        <v>Junio</v>
      </c>
      <c r="P652" s="87" t="s">
        <v>2604</v>
      </c>
      <c r="Q652" s="97" t="s">
        <v>3724</v>
      </c>
      <c r="R652" s="76">
        <f t="shared" si="50"/>
        <v>3</v>
      </c>
      <c r="S652" s="76">
        <f t="shared" si="51"/>
        <v>3</v>
      </c>
      <c r="T652" s="76" t="str">
        <f t="shared" si="52"/>
        <v>-</v>
      </c>
      <c r="U652" s="76" t="str">
        <f t="shared" si="53"/>
        <v>-</v>
      </c>
      <c r="V652" s="76" t="str">
        <f t="shared" si="54"/>
        <v>-</v>
      </c>
      <c r="Z652" s="62"/>
    </row>
    <row r="653" spans="1:26" ht="40.15" customHeight="1" x14ac:dyDescent="0.25">
      <c r="A653" s="87">
        <v>23</v>
      </c>
      <c r="B653" s="89" t="s">
        <v>1550</v>
      </c>
      <c r="C653" s="89" t="s">
        <v>1578</v>
      </c>
      <c r="D653" s="102" t="s">
        <v>1665</v>
      </c>
      <c r="E653" s="102" t="s">
        <v>1666</v>
      </c>
      <c r="F653" s="87" t="s">
        <v>1556</v>
      </c>
      <c r="G653" s="92" t="s">
        <v>1557</v>
      </c>
      <c r="H653" s="93" t="s">
        <v>3725</v>
      </c>
      <c r="I653" s="87" t="s">
        <v>3726</v>
      </c>
      <c r="J653" s="87" t="s">
        <v>1669</v>
      </c>
      <c r="K653" s="87" t="s">
        <v>1670</v>
      </c>
      <c r="L653" s="87" t="s">
        <v>52</v>
      </c>
      <c r="M653" s="94">
        <v>44361.666666666664</v>
      </c>
      <c r="N653" s="94">
        <v>44361.694444444445</v>
      </c>
      <c r="O653" s="95" t="str">
        <f>PROPER(TEXT(Table1[[#This Row],[Fecha Inicio]],"mmmm"))</f>
        <v>Junio</v>
      </c>
      <c r="P653" s="96" t="s">
        <v>3572</v>
      </c>
      <c r="Q653" s="97" t="s">
        <v>3727</v>
      </c>
      <c r="R653" s="76">
        <f t="shared" si="50"/>
        <v>1</v>
      </c>
      <c r="S653" s="76">
        <f t="shared" si="51"/>
        <v>1</v>
      </c>
      <c r="T653" s="76" t="str">
        <f t="shared" si="52"/>
        <v>-</v>
      </c>
      <c r="U653" s="76" t="str">
        <f t="shared" si="53"/>
        <v>-</v>
      </c>
      <c r="V653" s="76" t="str">
        <f t="shared" si="54"/>
        <v>-</v>
      </c>
      <c r="Z653" s="62"/>
    </row>
    <row r="654" spans="1:26" ht="40.15" customHeight="1" x14ac:dyDescent="0.25">
      <c r="A654" s="87">
        <v>23</v>
      </c>
      <c r="B654" s="89" t="s">
        <v>1550</v>
      </c>
      <c r="C654" s="89" t="s">
        <v>3701</v>
      </c>
      <c r="D654" s="90" t="s">
        <v>326</v>
      </c>
      <c r="E654" s="90" t="s">
        <v>1631</v>
      </c>
      <c r="F654" s="91" t="s">
        <v>1556</v>
      </c>
      <c r="G654" s="92" t="s">
        <v>1557</v>
      </c>
      <c r="H654" s="93" t="s">
        <v>3728</v>
      </c>
      <c r="I654" s="87" t="s">
        <v>1750</v>
      </c>
      <c r="J654" s="87" t="s">
        <v>1560</v>
      </c>
      <c r="K654" s="87" t="s">
        <v>1561</v>
      </c>
      <c r="L654" s="126" t="s">
        <v>19</v>
      </c>
      <c r="M654" s="94">
        <v>44361.791666666664</v>
      </c>
      <c r="N654" s="94">
        <v>44362.083333333336</v>
      </c>
      <c r="O654" s="95" t="str">
        <f>PROPER(TEXT(Table1[[#This Row],[Fecha Inicio]],"mmmm"))</f>
        <v>Junio</v>
      </c>
      <c r="P654" s="96" t="s">
        <v>1751</v>
      </c>
      <c r="Q654" s="97" t="s">
        <v>3729</v>
      </c>
      <c r="R654" s="76">
        <f t="shared" si="50"/>
        <v>4</v>
      </c>
      <c r="S654" s="76">
        <f t="shared" si="51"/>
        <v>4</v>
      </c>
      <c r="T654" s="76" t="str">
        <f t="shared" si="52"/>
        <v>-</v>
      </c>
      <c r="U654" s="76" t="str">
        <f t="shared" si="53"/>
        <v>-</v>
      </c>
      <c r="V654" s="76" t="str">
        <f t="shared" si="54"/>
        <v>-</v>
      </c>
      <c r="Z654" s="62"/>
    </row>
    <row r="655" spans="1:26" ht="40.15" customHeight="1" x14ac:dyDescent="0.25">
      <c r="A655" s="87">
        <v>23</v>
      </c>
      <c r="B655" s="89" t="s">
        <v>1550</v>
      </c>
      <c r="C655" s="99" t="s">
        <v>3730</v>
      </c>
      <c r="D655" s="89" t="s">
        <v>1570</v>
      </c>
      <c r="E655" s="89" t="s">
        <v>1571</v>
      </c>
      <c r="F655" s="91" t="s">
        <v>1556</v>
      </c>
      <c r="G655" s="92" t="s">
        <v>1557</v>
      </c>
      <c r="H655" s="93" t="s">
        <v>3731</v>
      </c>
      <c r="I655" s="87" t="s">
        <v>3732</v>
      </c>
      <c r="J655" s="87" t="s">
        <v>1790</v>
      </c>
      <c r="K655" s="91" t="s">
        <v>1791</v>
      </c>
      <c r="L655" s="126" t="s">
        <v>19</v>
      </c>
      <c r="M655" s="94">
        <v>44361.875</v>
      </c>
      <c r="N655" s="94">
        <v>44362</v>
      </c>
      <c r="O655" s="95" t="str">
        <f>PROPER(TEXT(Table1[[#This Row],[Fecha Inicio]],"mmmm"))</f>
        <v>Junio</v>
      </c>
      <c r="P655" s="96" t="s">
        <v>3733</v>
      </c>
      <c r="Q655" s="97" t="s">
        <v>3734</v>
      </c>
      <c r="R655" s="76">
        <f t="shared" si="50"/>
        <v>70</v>
      </c>
      <c r="S655" s="76">
        <f t="shared" si="51"/>
        <v>70</v>
      </c>
      <c r="T655" s="76" t="str">
        <f t="shared" si="52"/>
        <v>-</v>
      </c>
      <c r="U655" s="76" t="str">
        <f t="shared" si="53"/>
        <v>-</v>
      </c>
      <c r="V655" s="76" t="str">
        <f t="shared" si="54"/>
        <v>-</v>
      </c>
      <c r="Z655" s="62"/>
    </row>
    <row r="656" spans="1:26" ht="40.15" customHeight="1" x14ac:dyDescent="0.25">
      <c r="A656" s="87">
        <v>23</v>
      </c>
      <c r="B656" s="89" t="s">
        <v>1550</v>
      </c>
      <c r="C656" s="89" t="s">
        <v>3701</v>
      </c>
      <c r="D656" s="90" t="s">
        <v>326</v>
      </c>
      <c r="E656" s="90" t="s">
        <v>1631</v>
      </c>
      <c r="F656" s="91" t="s">
        <v>1556</v>
      </c>
      <c r="G656" s="92" t="s">
        <v>1557</v>
      </c>
      <c r="H656" s="93" t="s">
        <v>3735</v>
      </c>
      <c r="I656" s="87" t="s">
        <v>1759</v>
      </c>
      <c r="J656" s="87" t="s">
        <v>1760</v>
      </c>
      <c r="K656" s="87" t="s">
        <v>1761</v>
      </c>
      <c r="L656" s="126" t="s">
        <v>19</v>
      </c>
      <c r="M656" s="94">
        <v>44361.916666666664</v>
      </c>
      <c r="N656" s="94">
        <v>44362.041666666664</v>
      </c>
      <c r="O656" s="95" t="str">
        <f>PROPER(TEXT(Table1[[#This Row],[Fecha Inicio]],"mmmm"))</f>
        <v>Junio</v>
      </c>
      <c r="P656" s="96" t="s">
        <v>1762</v>
      </c>
      <c r="Q656" s="97" t="s">
        <v>3736</v>
      </c>
      <c r="R656" s="76">
        <f t="shared" si="50"/>
        <v>9</v>
      </c>
      <c r="S656" s="76">
        <f t="shared" si="51"/>
        <v>9</v>
      </c>
      <c r="T656" s="76" t="str">
        <f t="shared" si="52"/>
        <v>-</v>
      </c>
      <c r="U656" s="76" t="str">
        <f t="shared" si="53"/>
        <v>-</v>
      </c>
      <c r="V656" s="76" t="str">
        <f t="shared" si="54"/>
        <v>-</v>
      </c>
      <c r="Z656" s="62"/>
    </row>
    <row r="657" spans="1:26" ht="40.15" customHeight="1" x14ac:dyDescent="0.25">
      <c r="A657" s="87">
        <v>23</v>
      </c>
      <c r="B657" s="89" t="s">
        <v>1550</v>
      </c>
      <c r="C657" s="89" t="s">
        <v>1578</v>
      </c>
      <c r="D657" s="90" t="s">
        <v>1665</v>
      </c>
      <c r="E657" s="90" t="s">
        <v>2228</v>
      </c>
      <c r="F657" s="87" t="s">
        <v>1556</v>
      </c>
      <c r="G657" s="92" t="s">
        <v>1557</v>
      </c>
      <c r="H657" s="93" t="s">
        <v>3737</v>
      </c>
      <c r="I657" s="87" t="s">
        <v>3738</v>
      </c>
      <c r="J657" s="87" t="s">
        <v>1669</v>
      </c>
      <c r="K657" s="87" t="s">
        <v>1670</v>
      </c>
      <c r="L657" s="126" t="s">
        <v>19</v>
      </c>
      <c r="M657" s="94">
        <v>44361.958333333336</v>
      </c>
      <c r="N657" s="94">
        <v>44362.041666666664</v>
      </c>
      <c r="O657" s="95" t="str">
        <f>PROPER(TEXT(Table1[[#This Row],[Fecha Inicio]],"mmmm"))</f>
        <v>Junio</v>
      </c>
      <c r="P657" s="96" t="s">
        <v>3739</v>
      </c>
      <c r="Q657" s="97" t="s">
        <v>3740</v>
      </c>
      <c r="R657" s="76">
        <f t="shared" si="50"/>
        <v>1</v>
      </c>
      <c r="S657" s="76">
        <f t="shared" si="51"/>
        <v>1</v>
      </c>
      <c r="T657" s="76" t="str">
        <f t="shared" si="52"/>
        <v>-</v>
      </c>
      <c r="U657" s="76" t="str">
        <f t="shared" si="53"/>
        <v>-</v>
      </c>
      <c r="V657" s="76" t="str">
        <f t="shared" si="54"/>
        <v>-</v>
      </c>
      <c r="Z657" s="62"/>
    </row>
    <row r="658" spans="1:26" ht="40.15" customHeight="1" x14ac:dyDescent="0.25">
      <c r="A658" s="87">
        <v>23</v>
      </c>
      <c r="B658" s="89" t="s">
        <v>1550</v>
      </c>
      <c r="C658" s="89" t="s">
        <v>3701</v>
      </c>
      <c r="D658" s="90" t="s">
        <v>326</v>
      </c>
      <c r="E658" s="90" t="s">
        <v>1631</v>
      </c>
      <c r="F658" s="91" t="s">
        <v>1556</v>
      </c>
      <c r="G658" s="92" t="s">
        <v>1557</v>
      </c>
      <c r="H658" s="93" t="s">
        <v>3741</v>
      </c>
      <c r="I658" s="87" t="s">
        <v>1728</v>
      </c>
      <c r="J658" s="87" t="s">
        <v>1729</v>
      </c>
      <c r="K658" s="87" t="s">
        <v>1575</v>
      </c>
      <c r="L658" s="126" t="s">
        <v>19</v>
      </c>
      <c r="M658" s="94">
        <v>44362.25</v>
      </c>
      <c r="N658" s="94">
        <v>44362.333333333336</v>
      </c>
      <c r="O658" s="95" t="str">
        <f>PROPER(TEXT(Table1[[#This Row],[Fecha Inicio]],"mmmm"))</f>
        <v>Junio</v>
      </c>
      <c r="P658" s="96" t="s">
        <v>1730</v>
      </c>
      <c r="Q658" s="97" t="s">
        <v>3742</v>
      </c>
      <c r="R658" s="76">
        <f t="shared" si="50"/>
        <v>5</v>
      </c>
      <c r="S658" s="76">
        <f t="shared" si="51"/>
        <v>5</v>
      </c>
      <c r="T658" s="76" t="str">
        <f t="shared" si="52"/>
        <v>-</v>
      </c>
      <c r="U658" s="76" t="str">
        <f t="shared" si="53"/>
        <v>-</v>
      </c>
      <c r="V658" s="76" t="str">
        <f t="shared" si="54"/>
        <v>-</v>
      </c>
      <c r="Z658" s="62"/>
    </row>
    <row r="659" spans="1:26" ht="40.15" customHeight="1" x14ac:dyDescent="0.25">
      <c r="A659" s="87">
        <v>23</v>
      </c>
      <c r="B659" s="89" t="s">
        <v>1550</v>
      </c>
      <c r="C659" s="89" t="s">
        <v>3383</v>
      </c>
      <c r="D659" s="90" t="s">
        <v>326</v>
      </c>
      <c r="E659" s="90" t="s">
        <v>1631</v>
      </c>
      <c r="F659" s="91" t="s">
        <v>1556</v>
      </c>
      <c r="G659" s="92" t="s">
        <v>1557</v>
      </c>
      <c r="H659" s="93" t="s">
        <v>3743</v>
      </c>
      <c r="I659" s="87" t="s">
        <v>3744</v>
      </c>
      <c r="J659" s="87" t="s">
        <v>2135</v>
      </c>
      <c r="K659" s="87" t="s">
        <v>2935</v>
      </c>
      <c r="L659" s="126" t="s">
        <v>19</v>
      </c>
      <c r="M659" s="94">
        <v>44362.291666666664</v>
      </c>
      <c r="N659" s="94">
        <v>44362.354166666664</v>
      </c>
      <c r="O659" s="95" t="str">
        <f>PROPER(TEXT(Table1[[#This Row],[Fecha Inicio]],"mmmm"))</f>
        <v>Junio</v>
      </c>
      <c r="P659" s="96" t="s">
        <v>3413</v>
      </c>
      <c r="Q659" s="97" t="s">
        <v>3745</v>
      </c>
      <c r="R659" s="76">
        <f t="shared" si="50"/>
        <v>2</v>
      </c>
      <c r="S659" s="76">
        <f t="shared" si="51"/>
        <v>2</v>
      </c>
      <c r="T659" s="76" t="str">
        <f t="shared" si="52"/>
        <v>-</v>
      </c>
      <c r="U659" s="76" t="str">
        <f t="shared" si="53"/>
        <v>-</v>
      </c>
      <c r="V659" s="76" t="str">
        <f t="shared" si="54"/>
        <v>-</v>
      </c>
      <c r="Z659" s="62"/>
    </row>
    <row r="660" spans="1:26" ht="40.15" customHeight="1" x14ac:dyDescent="0.25">
      <c r="A660" s="87">
        <v>23</v>
      </c>
      <c r="B660" s="99" t="s">
        <v>1550</v>
      </c>
      <c r="C660" s="89"/>
      <c r="D660" s="90" t="s">
        <v>326</v>
      </c>
      <c r="E660" s="90" t="s">
        <v>1742</v>
      </c>
      <c r="F660" s="87" t="s">
        <v>1556</v>
      </c>
      <c r="G660" s="92" t="s">
        <v>1557</v>
      </c>
      <c r="H660" s="93" t="s">
        <v>3746</v>
      </c>
      <c r="I660" s="87" t="s">
        <v>2166</v>
      </c>
      <c r="J660" s="87" t="s">
        <v>1560</v>
      </c>
      <c r="K660" s="87" t="s">
        <v>1561</v>
      </c>
      <c r="L660" s="87" t="s">
        <v>52</v>
      </c>
      <c r="M660" s="94">
        <v>44362.375</v>
      </c>
      <c r="N660" s="94">
        <v>44362.625</v>
      </c>
      <c r="O660" s="95" t="str">
        <f>PROPER(TEXT(Table1[[#This Row],[Fecha Inicio]],"mmmm"))</f>
        <v>Junio</v>
      </c>
      <c r="P660" s="96" t="s">
        <v>3747</v>
      </c>
      <c r="Q660" s="97" t="s">
        <v>3748</v>
      </c>
      <c r="R660" s="76">
        <f t="shared" si="50"/>
        <v>2</v>
      </c>
      <c r="S660" s="76">
        <f t="shared" si="51"/>
        <v>2</v>
      </c>
      <c r="T660" s="76" t="str">
        <f t="shared" si="52"/>
        <v>-</v>
      </c>
      <c r="U660" s="76" t="str">
        <f t="shared" si="53"/>
        <v>-</v>
      </c>
      <c r="V660" s="76" t="str">
        <f t="shared" si="54"/>
        <v>-</v>
      </c>
      <c r="Z660" s="62"/>
    </row>
    <row r="661" spans="1:26" ht="40.15" customHeight="1" x14ac:dyDescent="0.25">
      <c r="A661" s="87">
        <v>23</v>
      </c>
      <c r="B661" s="89" t="s">
        <v>1550</v>
      </c>
      <c r="C661" s="99"/>
      <c r="D661" s="89" t="s">
        <v>1554</v>
      </c>
      <c r="E661" s="89" t="s">
        <v>1555</v>
      </c>
      <c r="F661" s="87" t="s">
        <v>1556</v>
      </c>
      <c r="G661" s="92" t="s">
        <v>1557</v>
      </c>
      <c r="H661" s="93" t="s">
        <v>3749</v>
      </c>
      <c r="I661" s="87" t="s">
        <v>3750</v>
      </c>
      <c r="J661" s="87" t="s">
        <v>1719</v>
      </c>
      <c r="K661" s="87" t="s">
        <v>1575</v>
      </c>
      <c r="L661" s="87" t="s">
        <v>52</v>
      </c>
      <c r="M661" s="94">
        <v>44362.375</v>
      </c>
      <c r="N661" s="94">
        <v>44362.625</v>
      </c>
      <c r="O661" s="95" t="str">
        <f>PROPER(TEXT(Table1[[#This Row],[Fecha Inicio]],"mmmm"))</f>
        <v>Junio</v>
      </c>
      <c r="P661" s="96" t="s">
        <v>3588</v>
      </c>
      <c r="Q661" s="97" t="s">
        <v>3751</v>
      </c>
      <c r="R661" s="76">
        <f t="shared" si="50"/>
        <v>2</v>
      </c>
      <c r="S661" s="76">
        <f t="shared" si="51"/>
        <v>2</v>
      </c>
      <c r="T661" s="76" t="str">
        <f t="shared" si="52"/>
        <v>-</v>
      </c>
      <c r="U661" s="76" t="str">
        <f t="shared" si="53"/>
        <v>-</v>
      </c>
      <c r="V661" s="76" t="str">
        <f t="shared" si="54"/>
        <v>-</v>
      </c>
      <c r="Z661" s="62"/>
    </row>
    <row r="662" spans="1:26" ht="40.15" customHeight="1" x14ac:dyDescent="0.25">
      <c r="A662" s="87"/>
      <c r="B662" s="89" t="s">
        <v>1550</v>
      </c>
      <c r="C662" s="89" t="s">
        <v>1578</v>
      </c>
      <c r="D662" s="89" t="s">
        <v>344</v>
      </c>
      <c r="E662" s="89" t="s">
        <v>1616</v>
      </c>
      <c r="F662" s="91" t="s">
        <v>1556</v>
      </c>
      <c r="G662" s="92" t="s">
        <v>1557</v>
      </c>
      <c r="H662" s="93" t="s">
        <v>3752</v>
      </c>
      <c r="I662" s="87" t="s">
        <v>2603</v>
      </c>
      <c r="J662" s="91" t="s">
        <v>1920</v>
      </c>
      <c r="K662" s="91" t="s">
        <v>1921</v>
      </c>
      <c r="L662" s="126" t="s">
        <v>19</v>
      </c>
      <c r="M662" s="94">
        <v>44362.416666666664</v>
      </c>
      <c r="N662" s="94">
        <v>44362.708333333336</v>
      </c>
      <c r="O662" s="95" t="str">
        <f>PROPER(TEXT(Table1[[#This Row],[Fecha Inicio]],"mmmm"))</f>
        <v>Junio</v>
      </c>
      <c r="P662" s="96" t="s">
        <v>2636</v>
      </c>
      <c r="Q662" s="97" t="s">
        <v>3753</v>
      </c>
      <c r="R662" s="76">
        <f t="shared" si="50"/>
        <v>3</v>
      </c>
      <c r="S662" s="76">
        <f t="shared" si="51"/>
        <v>3</v>
      </c>
      <c r="T662" s="76" t="str">
        <f t="shared" si="52"/>
        <v>-</v>
      </c>
      <c r="U662" s="76" t="str">
        <f t="shared" si="53"/>
        <v>-</v>
      </c>
      <c r="V662" s="76" t="str">
        <f t="shared" si="54"/>
        <v>-</v>
      </c>
      <c r="Z662" s="62"/>
    </row>
    <row r="663" spans="1:26" ht="40.15" customHeight="1" x14ac:dyDescent="0.25">
      <c r="A663" s="87">
        <v>24</v>
      </c>
      <c r="B663" s="89" t="s">
        <v>1550</v>
      </c>
      <c r="C663" s="89"/>
      <c r="D663" s="90" t="s">
        <v>1665</v>
      </c>
      <c r="E663" s="90" t="s">
        <v>2192</v>
      </c>
      <c r="F663" s="91" t="s">
        <v>1556</v>
      </c>
      <c r="G663" s="92" t="s">
        <v>1557</v>
      </c>
      <c r="H663" s="93" t="s">
        <v>3754</v>
      </c>
      <c r="I663" s="87" t="s">
        <v>3755</v>
      </c>
      <c r="J663" s="87" t="s">
        <v>1669</v>
      </c>
      <c r="K663" s="87" t="s">
        <v>1670</v>
      </c>
      <c r="L663" s="87" t="s">
        <v>52</v>
      </c>
      <c r="M663" s="94">
        <v>44362.666666666664</v>
      </c>
      <c r="N663" s="94">
        <v>44362.694444444445</v>
      </c>
      <c r="O663" s="95" t="str">
        <f>PROPER(TEXT(Table1[[#This Row],[Fecha Inicio]],"mmmm"))</f>
        <v>Junio</v>
      </c>
      <c r="P663" s="96" t="s">
        <v>2226</v>
      </c>
      <c r="Q663" s="97" t="s">
        <v>3756</v>
      </c>
      <c r="R663" s="76">
        <f t="shared" si="50"/>
        <v>1</v>
      </c>
      <c r="S663" s="76">
        <f t="shared" si="51"/>
        <v>1</v>
      </c>
      <c r="T663" s="76" t="str">
        <f t="shared" si="52"/>
        <v>-</v>
      </c>
      <c r="U663" s="76" t="str">
        <f t="shared" si="53"/>
        <v>-</v>
      </c>
      <c r="V663" s="76" t="str">
        <f t="shared" si="54"/>
        <v>-</v>
      </c>
      <c r="Z663" s="62"/>
    </row>
    <row r="664" spans="1:26" ht="40.15" customHeight="1" x14ac:dyDescent="0.25">
      <c r="A664" s="87">
        <v>23</v>
      </c>
      <c r="B664" s="89" t="s">
        <v>1550</v>
      </c>
      <c r="C664" s="89" t="s">
        <v>3757</v>
      </c>
      <c r="D664" s="90" t="s">
        <v>326</v>
      </c>
      <c r="E664" s="90" t="s">
        <v>1631</v>
      </c>
      <c r="F664" s="91" t="s">
        <v>1556</v>
      </c>
      <c r="G664" s="92" t="s">
        <v>1557</v>
      </c>
      <c r="H664" s="93" t="s">
        <v>3758</v>
      </c>
      <c r="I664" s="87" t="s">
        <v>1775</v>
      </c>
      <c r="J664" s="87" t="s">
        <v>1776</v>
      </c>
      <c r="K664" s="87" t="s">
        <v>1575</v>
      </c>
      <c r="L664" s="126" t="s">
        <v>19</v>
      </c>
      <c r="M664" s="94">
        <v>44362.666666666664</v>
      </c>
      <c r="N664" s="94">
        <v>44362.75</v>
      </c>
      <c r="O664" s="95" t="str">
        <f>PROPER(TEXT(Table1[[#This Row],[Fecha Inicio]],"mmmm"))</f>
        <v>Junio</v>
      </c>
      <c r="P664" s="96" t="s">
        <v>1777</v>
      </c>
      <c r="Q664" s="97" t="s">
        <v>3759</v>
      </c>
      <c r="R664" s="76">
        <f t="shared" si="50"/>
        <v>2</v>
      </c>
      <c r="S664" s="76">
        <f t="shared" si="51"/>
        <v>2</v>
      </c>
      <c r="T664" s="76" t="str">
        <f t="shared" si="52"/>
        <v>-</v>
      </c>
      <c r="U664" s="76" t="str">
        <f t="shared" si="53"/>
        <v>-</v>
      </c>
      <c r="V664" s="76" t="str">
        <f t="shared" si="54"/>
        <v>-</v>
      </c>
      <c r="Z664" s="62"/>
    </row>
    <row r="665" spans="1:26" ht="40.15" customHeight="1" x14ac:dyDescent="0.25">
      <c r="A665" s="87">
        <v>23</v>
      </c>
      <c r="B665" s="89" t="s">
        <v>1550</v>
      </c>
      <c r="C665" s="89" t="s">
        <v>3701</v>
      </c>
      <c r="D665" s="90" t="s">
        <v>326</v>
      </c>
      <c r="E665" s="90" t="s">
        <v>1631</v>
      </c>
      <c r="F665" s="91" t="s">
        <v>1556</v>
      </c>
      <c r="G665" s="92" t="s">
        <v>1557</v>
      </c>
      <c r="H665" s="93" t="s">
        <v>3760</v>
      </c>
      <c r="I665" s="87" t="s">
        <v>2306</v>
      </c>
      <c r="J665" s="87" t="s">
        <v>1786</v>
      </c>
      <c r="K665" s="87" t="s">
        <v>2307</v>
      </c>
      <c r="L665" s="126" t="s">
        <v>19</v>
      </c>
      <c r="M665" s="94">
        <v>44362.833333333336</v>
      </c>
      <c r="N665" s="94">
        <v>44362.875</v>
      </c>
      <c r="O665" s="95" t="str">
        <f>PROPER(TEXT(Table1[[#This Row],[Fecha Inicio]],"mmmm"))</f>
        <v>Junio</v>
      </c>
      <c r="P665" s="96" t="s">
        <v>250</v>
      </c>
      <c r="Q665" s="97" t="s">
        <v>3761</v>
      </c>
      <c r="R665" s="76">
        <f t="shared" si="50"/>
        <v>1</v>
      </c>
      <c r="S665" s="76">
        <f t="shared" si="51"/>
        <v>1</v>
      </c>
      <c r="T665" s="76" t="str">
        <f t="shared" si="52"/>
        <v>-</v>
      </c>
      <c r="U665" s="76" t="str">
        <f t="shared" si="53"/>
        <v>-</v>
      </c>
      <c r="V665" s="76" t="str">
        <f t="shared" si="54"/>
        <v>-</v>
      </c>
      <c r="Z665" s="62"/>
    </row>
    <row r="666" spans="1:26" ht="40.15" customHeight="1" x14ac:dyDescent="0.25">
      <c r="A666" s="87">
        <v>23</v>
      </c>
      <c r="B666" s="89" t="s">
        <v>1550</v>
      </c>
      <c r="C666" s="89" t="s">
        <v>3383</v>
      </c>
      <c r="D666" s="90" t="s">
        <v>326</v>
      </c>
      <c r="E666" s="90" t="s">
        <v>1631</v>
      </c>
      <c r="F666" s="91" t="s">
        <v>1556</v>
      </c>
      <c r="G666" s="92" t="s">
        <v>1557</v>
      </c>
      <c r="H666" s="93" t="s">
        <v>3762</v>
      </c>
      <c r="I666" s="87" t="s">
        <v>3744</v>
      </c>
      <c r="J666" s="87" t="s">
        <v>2135</v>
      </c>
      <c r="K666" s="87" t="s">
        <v>2935</v>
      </c>
      <c r="L666" s="126" t="s">
        <v>19</v>
      </c>
      <c r="M666" s="94">
        <v>44362.958333333336</v>
      </c>
      <c r="N666" s="94">
        <v>44363.25</v>
      </c>
      <c r="O666" s="95" t="str">
        <f>PROPER(TEXT(Table1[[#This Row],[Fecha Inicio]],"mmmm"))</f>
        <v>Junio</v>
      </c>
      <c r="P666" s="96" t="s">
        <v>3763</v>
      </c>
      <c r="Q666" s="97" t="s">
        <v>3764</v>
      </c>
      <c r="R666" s="76">
        <f t="shared" si="50"/>
        <v>10</v>
      </c>
      <c r="S666" s="76">
        <f t="shared" si="51"/>
        <v>10</v>
      </c>
      <c r="T666" s="76" t="str">
        <f t="shared" si="52"/>
        <v>-</v>
      </c>
      <c r="U666" s="76" t="str">
        <f t="shared" si="53"/>
        <v>-</v>
      </c>
      <c r="V666" s="76" t="str">
        <f t="shared" si="54"/>
        <v>-</v>
      </c>
      <c r="Z666" s="62"/>
    </row>
    <row r="667" spans="1:26" ht="40.15" customHeight="1" x14ac:dyDescent="0.25">
      <c r="A667" s="87">
        <v>24</v>
      </c>
      <c r="B667" s="89" t="s">
        <v>1550</v>
      </c>
      <c r="C667" s="89" t="s">
        <v>3701</v>
      </c>
      <c r="D667" s="90" t="s">
        <v>326</v>
      </c>
      <c r="E667" s="90" t="s">
        <v>1631</v>
      </c>
      <c r="F667" s="91" t="s">
        <v>1556</v>
      </c>
      <c r="G667" s="92" t="s">
        <v>1557</v>
      </c>
      <c r="H667" s="93" t="s">
        <v>3765</v>
      </c>
      <c r="I667" s="87" t="s">
        <v>1759</v>
      </c>
      <c r="J667" s="87" t="s">
        <v>1760</v>
      </c>
      <c r="K667" s="87" t="s">
        <v>1761</v>
      </c>
      <c r="L667" s="126" t="s">
        <v>19</v>
      </c>
      <c r="M667" s="94">
        <v>44363.041666666664</v>
      </c>
      <c r="N667" s="94">
        <v>44363.166666666664</v>
      </c>
      <c r="O667" s="95" t="str">
        <f>PROPER(TEXT(Table1[[#This Row],[Fecha Inicio]],"mmmm"))</f>
        <v>Junio</v>
      </c>
      <c r="P667" s="96" t="s">
        <v>3766</v>
      </c>
      <c r="Q667" s="97" t="s">
        <v>3767</v>
      </c>
      <c r="R667" s="76">
        <f t="shared" si="50"/>
        <v>7</v>
      </c>
      <c r="S667" s="76">
        <f t="shared" si="51"/>
        <v>7</v>
      </c>
      <c r="T667" s="76" t="str">
        <f t="shared" si="52"/>
        <v>-</v>
      </c>
      <c r="U667" s="76" t="str">
        <f t="shared" si="53"/>
        <v>-</v>
      </c>
      <c r="V667" s="76" t="str">
        <f t="shared" si="54"/>
        <v>-</v>
      </c>
      <c r="Z667" s="62"/>
    </row>
    <row r="668" spans="1:26" ht="40.15" customHeight="1" x14ac:dyDescent="0.25">
      <c r="A668" s="87">
        <v>24</v>
      </c>
      <c r="B668" s="89" t="s">
        <v>1550</v>
      </c>
      <c r="C668" s="89" t="s">
        <v>3701</v>
      </c>
      <c r="D668" s="90" t="s">
        <v>326</v>
      </c>
      <c r="E668" s="90" t="s">
        <v>1631</v>
      </c>
      <c r="F668" s="91" t="s">
        <v>1556</v>
      </c>
      <c r="G668" s="92" t="s">
        <v>1557</v>
      </c>
      <c r="H668" s="93" t="s">
        <v>3768</v>
      </c>
      <c r="I668" s="87" t="s">
        <v>1813</v>
      </c>
      <c r="J668" s="91" t="s">
        <v>1814</v>
      </c>
      <c r="K668" s="87" t="s">
        <v>1761</v>
      </c>
      <c r="L668" s="126" t="s">
        <v>19</v>
      </c>
      <c r="M668" s="94">
        <v>44363.291666666664</v>
      </c>
      <c r="N668" s="94">
        <v>44363.333333333336</v>
      </c>
      <c r="O668" s="95" t="str">
        <f>PROPER(TEXT(Table1[[#This Row],[Fecha Inicio]],"mmmm"))</f>
        <v>Junio</v>
      </c>
      <c r="P668" s="96" t="s">
        <v>109</v>
      </c>
      <c r="Q668" s="97" t="s">
        <v>3769</v>
      </c>
      <c r="R668" s="76">
        <f t="shared" si="50"/>
        <v>1</v>
      </c>
      <c r="S668" s="76">
        <f t="shared" si="51"/>
        <v>1</v>
      </c>
      <c r="T668" s="76" t="str">
        <f t="shared" si="52"/>
        <v>-</v>
      </c>
      <c r="U668" s="76" t="str">
        <f t="shared" si="53"/>
        <v>-</v>
      </c>
      <c r="V668" s="76" t="str">
        <f t="shared" si="54"/>
        <v>-</v>
      </c>
      <c r="Z668" s="62"/>
    </row>
    <row r="669" spans="1:26" ht="40.15" customHeight="1" x14ac:dyDescent="0.25">
      <c r="A669" s="87">
        <v>24</v>
      </c>
      <c r="B669" s="89" t="s">
        <v>1550</v>
      </c>
      <c r="C669" s="89"/>
      <c r="D669" s="90" t="s">
        <v>1554</v>
      </c>
      <c r="E669" s="90" t="s">
        <v>1555</v>
      </c>
      <c r="F669" s="91" t="s">
        <v>1556</v>
      </c>
      <c r="G669" s="92" t="s">
        <v>1557</v>
      </c>
      <c r="H669" s="93" t="s">
        <v>3770</v>
      </c>
      <c r="I669" s="87" t="s">
        <v>3655</v>
      </c>
      <c r="J669" s="87" t="s">
        <v>3513</v>
      </c>
      <c r="K669" s="87" t="s">
        <v>1575</v>
      </c>
      <c r="L669" s="87" t="s">
        <v>52</v>
      </c>
      <c r="M669" s="94">
        <v>44363.375</v>
      </c>
      <c r="N669" s="94">
        <v>44363.625</v>
      </c>
      <c r="O669" s="95" t="str">
        <f>PROPER(TEXT(Table1[[#This Row],[Fecha Inicio]],"mmmm"))</f>
        <v>Junio</v>
      </c>
      <c r="P669" s="96" t="s">
        <v>3771</v>
      </c>
      <c r="Q669" s="97" t="s">
        <v>3772</v>
      </c>
      <c r="R669" s="76">
        <f t="shared" si="50"/>
        <v>17</v>
      </c>
      <c r="S669" s="76">
        <f t="shared" si="51"/>
        <v>17</v>
      </c>
      <c r="T669" s="76" t="str">
        <f t="shared" si="52"/>
        <v>-</v>
      </c>
      <c r="U669" s="76" t="str">
        <f t="shared" si="53"/>
        <v>-</v>
      </c>
      <c r="V669" s="76" t="str">
        <f t="shared" si="54"/>
        <v>-</v>
      </c>
      <c r="Z669" s="62"/>
    </row>
    <row r="670" spans="1:26" ht="40.15" customHeight="1" x14ac:dyDescent="0.25">
      <c r="A670" s="87">
        <v>24</v>
      </c>
      <c r="B670" s="89" t="s">
        <v>1550</v>
      </c>
      <c r="C670" s="89"/>
      <c r="D670" s="90" t="s">
        <v>1554</v>
      </c>
      <c r="E670" s="90" t="s">
        <v>1555</v>
      </c>
      <c r="F670" s="91" t="s">
        <v>1556</v>
      </c>
      <c r="G670" s="92" t="s">
        <v>1557</v>
      </c>
      <c r="H670" s="93" t="s">
        <v>3773</v>
      </c>
      <c r="I670" s="87" t="s">
        <v>3774</v>
      </c>
      <c r="J670" s="87" t="s">
        <v>3513</v>
      </c>
      <c r="K670" s="87" t="s">
        <v>1575</v>
      </c>
      <c r="L670" s="87" t="s">
        <v>52</v>
      </c>
      <c r="M670" s="94">
        <v>44363.375</v>
      </c>
      <c r="N670" s="94">
        <v>44363.625</v>
      </c>
      <c r="O670" s="95" t="str">
        <f>PROPER(TEXT(Table1[[#This Row],[Fecha Inicio]],"mmmm"))</f>
        <v>Junio</v>
      </c>
      <c r="P670" s="96" t="s">
        <v>3775</v>
      </c>
      <c r="Q670" s="97" t="s">
        <v>3776</v>
      </c>
      <c r="R670" s="76">
        <f t="shared" si="50"/>
        <v>14</v>
      </c>
      <c r="S670" s="76">
        <f t="shared" si="51"/>
        <v>14</v>
      </c>
      <c r="T670" s="76" t="str">
        <f t="shared" si="52"/>
        <v>-</v>
      </c>
      <c r="U670" s="76" t="str">
        <f t="shared" si="53"/>
        <v>-</v>
      </c>
      <c r="V670" s="76" t="str">
        <f t="shared" si="54"/>
        <v>-</v>
      </c>
      <c r="Z670" s="62"/>
    </row>
    <row r="671" spans="1:26" ht="40.15" customHeight="1" x14ac:dyDescent="0.25">
      <c r="A671" s="87">
        <v>24</v>
      </c>
      <c r="B671" s="89" t="s">
        <v>1550</v>
      </c>
      <c r="C671" s="89"/>
      <c r="D671" s="90" t="s">
        <v>1665</v>
      </c>
      <c r="E671" s="90" t="s">
        <v>1666</v>
      </c>
      <c r="F671" s="91" t="s">
        <v>1556</v>
      </c>
      <c r="G671" s="92" t="s">
        <v>1557</v>
      </c>
      <c r="H671" s="93" t="s">
        <v>3777</v>
      </c>
      <c r="I671" s="87" t="s">
        <v>3778</v>
      </c>
      <c r="J671" s="87" t="s">
        <v>1669</v>
      </c>
      <c r="K671" s="87" t="s">
        <v>1670</v>
      </c>
      <c r="L671" s="87" t="s">
        <v>52</v>
      </c>
      <c r="M671" s="94">
        <v>44363.666666666664</v>
      </c>
      <c r="N671" s="94">
        <v>44363.694444444445</v>
      </c>
      <c r="O671" s="95" t="str">
        <f>PROPER(TEXT(Table1[[#This Row],[Fecha Inicio]],"mmmm"))</f>
        <v>Junio</v>
      </c>
      <c r="P671" s="96" t="s">
        <v>2226</v>
      </c>
      <c r="Q671" s="97" t="s">
        <v>3779</v>
      </c>
      <c r="R671" s="76">
        <f t="shared" si="50"/>
        <v>1</v>
      </c>
      <c r="S671" s="76">
        <f t="shared" si="51"/>
        <v>1</v>
      </c>
      <c r="T671" s="76" t="str">
        <f t="shared" si="52"/>
        <v>-</v>
      </c>
      <c r="U671" s="76" t="str">
        <f t="shared" si="53"/>
        <v>-</v>
      </c>
      <c r="V671" s="76" t="str">
        <f t="shared" si="54"/>
        <v>-</v>
      </c>
      <c r="Z671" s="62"/>
    </row>
    <row r="672" spans="1:26" ht="40.15" customHeight="1" x14ac:dyDescent="0.25">
      <c r="A672" s="87">
        <v>24</v>
      </c>
      <c r="B672" s="89" t="s">
        <v>1550</v>
      </c>
      <c r="C672" s="89"/>
      <c r="D672" s="90" t="s">
        <v>326</v>
      </c>
      <c r="E672" s="90" t="s">
        <v>1631</v>
      </c>
      <c r="F672" s="91" t="s">
        <v>1556</v>
      </c>
      <c r="G672" s="92" t="s">
        <v>1557</v>
      </c>
      <c r="H672" s="93" t="s">
        <v>3780</v>
      </c>
      <c r="I672" s="87" t="s">
        <v>3781</v>
      </c>
      <c r="J672" s="87" t="s">
        <v>1776</v>
      </c>
      <c r="K672" s="87" t="s">
        <v>1575</v>
      </c>
      <c r="L672" s="126" t="s">
        <v>19</v>
      </c>
      <c r="M672" s="94">
        <v>44363.666666666664</v>
      </c>
      <c r="N672" s="94">
        <v>44363.791666666664</v>
      </c>
      <c r="O672" s="95" t="str">
        <f>PROPER(TEXT(Table1[[#This Row],[Fecha Inicio]],"mmmm"))</f>
        <v>Junio</v>
      </c>
      <c r="P672" s="96" t="s">
        <v>254</v>
      </c>
      <c r="Q672" s="97" t="s">
        <v>3782</v>
      </c>
      <c r="R672" s="76">
        <f t="shared" si="50"/>
        <v>1</v>
      </c>
      <c r="S672" s="76">
        <f t="shared" si="51"/>
        <v>1</v>
      </c>
      <c r="T672" s="76" t="str">
        <f t="shared" si="52"/>
        <v>-</v>
      </c>
      <c r="U672" s="76" t="str">
        <f t="shared" si="53"/>
        <v>-</v>
      </c>
      <c r="V672" s="76" t="str">
        <f t="shared" si="54"/>
        <v>-</v>
      </c>
      <c r="Z672" s="62"/>
    </row>
    <row r="673" spans="1:26" ht="40.15" customHeight="1" x14ac:dyDescent="0.25">
      <c r="A673" s="87">
        <v>23</v>
      </c>
      <c r="B673" s="89" t="s">
        <v>1550</v>
      </c>
      <c r="C673" s="89" t="s">
        <v>3383</v>
      </c>
      <c r="D673" s="90" t="s">
        <v>326</v>
      </c>
      <c r="E673" s="90" t="s">
        <v>1631</v>
      </c>
      <c r="F673" s="91" t="s">
        <v>1556</v>
      </c>
      <c r="G673" s="92" t="s">
        <v>1557</v>
      </c>
      <c r="H673" s="93" t="s">
        <v>3783</v>
      </c>
      <c r="I673" s="87" t="s">
        <v>3744</v>
      </c>
      <c r="J673" s="87" t="s">
        <v>2135</v>
      </c>
      <c r="K673" s="87" t="s">
        <v>2935</v>
      </c>
      <c r="L673" s="126" t="s">
        <v>19</v>
      </c>
      <c r="M673" s="94">
        <v>44363.708333333336</v>
      </c>
      <c r="N673" s="94">
        <v>44363.791666666664</v>
      </c>
      <c r="O673" s="95" t="str">
        <f>PROPER(TEXT(Table1[[#This Row],[Fecha Inicio]],"mmmm"))</f>
        <v>Junio</v>
      </c>
      <c r="P673" s="96" t="s">
        <v>3445</v>
      </c>
      <c r="Q673" s="97" t="s">
        <v>3784</v>
      </c>
      <c r="R673" s="76">
        <f t="shared" si="50"/>
        <v>2</v>
      </c>
      <c r="S673" s="76">
        <f t="shared" si="51"/>
        <v>2</v>
      </c>
      <c r="T673" s="76" t="str">
        <f t="shared" si="52"/>
        <v>-</v>
      </c>
      <c r="U673" s="76" t="str">
        <f t="shared" si="53"/>
        <v>-</v>
      </c>
      <c r="V673" s="76" t="str">
        <f t="shared" si="54"/>
        <v>-</v>
      </c>
      <c r="Z673" s="62"/>
    </row>
    <row r="674" spans="1:26" ht="40.15" customHeight="1" x14ac:dyDescent="0.25">
      <c r="A674" s="87">
        <v>24</v>
      </c>
      <c r="B674" s="89" t="s">
        <v>1550</v>
      </c>
      <c r="C674" s="89" t="s">
        <v>3701</v>
      </c>
      <c r="D674" s="90" t="s">
        <v>326</v>
      </c>
      <c r="E674" s="90" t="s">
        <v>1631</v>
      </c>
      <c r="F674" s="91" t="s">
        <v>1556</v>
      </c>
      <c r="G674" s="92" t="s">
        <v>1557</v>
      </c>
      <c r="H674" s="93" t="s">
        <v>3785</v>
      </c>
      <c r="I674" s="87" t="s">
        <v>1780</v>
      </c>
      <c r="J674" s="87" t="s">
        <v>1781</v>
      </c>
      <c r="K674" s="87" t="s">
        <v>1575</v>
      </c>
      <c r="L674" s="126" t="s">
        <v>19</v>
      </c>
      <c r="M674" s="94">
        <v>44363.708333333336</v>
      </c>
      <c r="N674" s="94">
        <v>44363.791666666664</v>
      </c>
      <c r="O674" s="95" t="str">
        <f>PROPER(TEXT(Table1[[#This Row],[Fecha Inicio]],"mmmm"))</f>
        <v>Junio</v>
      </c>
      <c r="P674" s="96" t="s">
        <v>1782</v>
      </c>
      <c r="Q674" s="97" t="s">
        <v>3786</v>
      </c>
      <c r="R674" s="76">
        <f t="shared" si="50"/>
        <v>7</v>
      </c>
      <c r="S674" s="76">
        <f t="shared" si="51"/>
        <v>7</v>
      </c>
      <c r="T674" s="76" t="str">
        <f t="shared" si="52"/>
        <v>-</v>
      </c>
      <c r="U674" s="76" t="str">
        <f t="shared" si="53"/>
        <v>-</v>
      </c>
      <c r="V674" s="76" t="str">
        <f t="shared" si="54"/>
        <v>-</v>
      </c>
      <c r="Z674" s="62"/>
    </row>
    <row r="675" spans="1:26" ht="40.15" customHeight="1" x14ac:dyDescent="0.25">
      <c r="A675" s="87">
        <v>24</v>
      </c>
      <c r="B675" s="89" t="s">
        <v>1550</v>
      </c>
      <c r="C675" s="89" t="s">
        <v>3701</v>
      </c>
      <c r="D675" s="90" t="s">
        <v>326</v>
      </c>
      <c r="E675" s="90" t="s">
        <v>1631</v>
      </c>
      <c r="F675" s="91" t="s">
        <v>1556</v>
      </c>
      <c r="G675" s="92" t="s">
        <v>1557</v>
      </c>
      <c r="H675" s="93" t="s">
        <v>3787</v>
      </c>
      <c r="I675" s="87" t="s">
        <v>1833</v>
      </c>
      <c r="J675" s="87" t="s">
        <v>1834</v>
      </c>
      <c r="K675" s="87" t="s">
        <v>1596</v>
      </c>
      <c r="L675" s="126" t="s">
        <v>19</v>
      </c>
      <c r="M675" s="94">
        <v>44363.916666666664</v>
      </c>
      <c r="N675" s="94">
        <v>44363.958333333336</v>
      </c>
      <c r="O675" s="95" t="str">
        <f>PROPER(TEXT(Table1[[#This Row],[Fecha Inicio]],"mmmm"))</f>
        <v>Junio</v>
      </c>
      <c r="P675" s="96" t="s">
        <v>1835</v>
      </c>
      <c r="Q675" s="97" t="s">
        <v>3788</v>
      </c>
      <c r="R675" s="76">
        <f t="shared" si="50"/>
        <v>2</v>
      </c>
      <c r="S675" s="76">
        <f t="shared" si="51"/>
        <v>2</v>
      </c>
      <c r="T675" s="76" t="str">
        <f t="shared" si="52"/>
        <v>-</v>
      </c>
      <c r="U675" s="76" t="str">
        <f t="shared" si="53"/>
        <v>-</v>
      </c>
      <c r="V675" s="76" t="str">
        <f t="shared" si="54"/>
        <v>-</v>
      </c>
      <c r="Z675" s="62"/>
    </row>
    <row r="676" spans="1:26" ht="40.15" customHeight="1" x14ac:dyDescent="0.25">
      <c r="A676" s="87">
        <v>24</v>
      </c>
      <c r="B676" s="89" t="s">
        <v>1550</v>
      </c>
      <c r="C676" s="89" t="s">
        <v>3701</v>
      </c>
      <c r="D676" s="90" t="s">
        <v>326</v>
      </c>
      <c r="E676" s="90" t="s">
        <v>1631</v>
      </c>
      <c r="F676" s="91" t="s">
        <v>1556</v>
      </c>
      <c r="G676" s="92" t="s">
        <v>1557</v>
      </c>
      <c r="H676" s="93" t="s">
        <v>3789</v>
      </c>
      <c r="I676" s="87" t="s">
        <v>1842</v>
      </c>
      <c r="J676" s="87" t="s">
        <v>1612</v>
      </c>
      <c r="K676" s="87" t="s">
        <v>1613</v>
      </c>
      <c r="L676" s="126" t="s">
        <v>19</v>
      </c>
      <c r="M676" s="94">
        <v>44363.9375</v>
      </c>
      <c r="N676" s="94">
        <v>44364.208333333336</v>
      </c>
      <c r="O676" s="95" t="str">
        <f>PROPER(TEXT(Table1[[#This Row],[Fecha Inicio]],"mmmm"))</f>
        <v>Junio</v>
      </c>
      <c r="P676" s="96" t="s">
        <v>1843</v>
      </c>
      <c r="Q676" s="97" t="s">
        <v>3790</v>
      </c>
      <c r="R676" s="76">
        <f t="shared" si="50"/>
        <v>19</v>
      </c>
      <c r="S676" s="76">
        <f t="shared" si="51"/>
        <v>19</v>
      </c>
      <c r="T676" s="76" t="str">
        <f t="shared" si="52"/>
        <v>-</v>
      </c>
      <c r="U676" s="76" t="str">
        <f t="shared" si="53"/>
        <v>-</v>
      </c>
      <c r="V676" s="76" t="str">
        <f t="shared" si="54"/>
        <v>-</v>
      </c>
      <c r="Z676" s="62"/>
    </row>
    <row r="677" spans="1:26" ht="40.15" customHeight="1" x14ac:dyDescent="0.25">
      <c r="A677" s="87">
        <v>24</v>
      </c>
      <c r="B677" s="89" t="s">
        <v>1550</v>
      </c>
      <c r="C677" s="89"/>
      <c r="D677" s="90" t="s">
        <v>344</v>
      </c>
      <c r="E677" s="90" t="s">
        <v>1616</v>
      </c>
      <c r="F677" s="91" t="s">
        <v>1556</v>
      </c>
      <c r="G677" s="92" t="s">
        <v>1557</v>
      </c>
      <c r="H677" s="93" t="s">
        <v>3793</v>
      </c>
      <c r="I677" s="87" t="s">
        <v>1765</v>
      </c>
      <c r="J677" s="87" t="s">
        <v>1766</v>
      </c>
      <c r="K677" s="87" t="s">
        <v>1575</v>
      </c>
      <c r="L677" s="126" t="s">
        <v>19</v>
      </c>
      <c r="M677" s="94">
        <v>44363.958333333336</v>
      </c>
      <c r="N677" s="94">
        <v>44364.125</v>
      </c>
      <c r="O677" s="95" t="str">
        <f>PROPER(TEXT(Table1[[#This Row],[Fecha Inicio]],"mmmm"))</f>
        <v>Junio</v>
      </c>
      <c r="P677" s="96" t="s">
        <v>3794</v>
      </c>
      <c r="Q677" s="97" t="s">
        <v>3795</v>
      </c>
      <c r="R677" s="76">
        <f t="shared" si="50"/>
        <v>3</v>
      </c>
      <c r="S677" s="76">
        <f t="shared" si="51"/>
        <v>3</v>
      </c>
      <c r="T677" s="76" t="str">
        <f t="shared" si="52"/>
        <v>-</v>
      </c>
      <c r="U677" s="76" t="str">
        <f t="shared" si="53"/>
        <v>-</v>
      </c>
      <c r="V677" s="76" t="str">
        <f t="shared" si="54"/>
        <v>-</v>
      </c>
      <c r="Z677" s="62"/>
    </row>
    <row r="678" spans="1:26" ht="40.15" customHeight="1" x14ac:dyDescent="0.25">
      <c r="A678" s="87">
        <v>24</v>
      </c>
      <c r="B678" s="89" t="s">
        <v>1550</v>
      </c>
      <c r="C678" s="89" t="s">
        <v>3701</v>
      </c>
      <c r="D678" s="90" t="s">
        <v>326</v>
      </c>
      <c r="E678" s="90" t="s">
        <v>1631</v>
      </c>
      <c r="F678" s="91" t="s">
        <v>1556</v>
      </c>
      <c r="G678" s="92" t="s">
        <v>1557</v>
      </c>
      <c r="H678" s="93" t="s">
        <v>3791</v>
      </c>
      <c r="I678" s="87" t="s">
        <v>1846</v>
      </c>
      <c r="J678" s="87" t="s">
        <v>1560</v>
      </c>
      <c r="K678" s="87" t="s">
        <v>1561</v>
      </c>
      <c r="L678" s="126" t="s">
        <v>19</v>
      </c>
      <c r="M678" s="94">
        <v>44363.958333333336</v>
      </c>
      <c r="N678" s="94">
        <v>44364.291666666664</v>
      </c>
      <c r="O678" s="95" t="str">
        <f>PROPER(TEXT(Table1[[#This Row],[Fecha Inicio]],"mmmm"))</f>
        <v>Junio</v>
      </c>
      <c r="P678" s="96" t="s">
        <v>1847</v>
      </c>
      <c r="Q678" s="97" t="s">
        <v>3792</v>
      </c>
      <c r="R678" s="76">
        <f t="shared" si="50"/>
        <v>14</v>
      </c>
      <c r="S678" s="76">
        <f t="shared" si="51"/>
        <v>14</v>
      </c>
      <c r="T678" s="76" t="str">
        <f t="shared" si="52"/>
        <v>-</v>
      </c>
      <c r="U678" s="76" t="str">
        <f t="shared" si="53"/>
        <v>-</v>
      </c>
      <c r="V678" s="76" t="str">
        <f t="shared" si="54"/>
        <v>-</v>
      </c>
      <c r="Z678" s="62"/>
    </row>
    <row r="679" spans="1:26" ht="40.15" customHeight="1" x14ac:dyDescent="0.25">
      <c r="A679" s="87">
        <v>24</v>
      </c>
      <c r="B679" s="89" t="s">
        <v>1550</v>
      </c>
      <c r="C679" s="89" t="s">
        <v>3796</v>
      </c>
      <c r="D679" s="90" t="s">
        <v>326</v>
      </c>
      <c r="E679" s="90" t="s">
        <v>1631</v>
      </c>
      <c r="F679" s="91" t="s">
        <v>1556</v>
      </c>
      <c r="G679" s="92" t="s">
        <v>1557</v>
      </c>
      <c r="H679" s="93" t="s">
        <v>3797</v>
      </c>
      <c r="I679" s="87" t="s">
        <v>1850</v>
      </c>
      <c r="J679" s="87" t="s">
        <v>1771</v>
      </c>
      <c r="K679" s="87" t="s">
        <v>1575</v>
      </c>
      <c r="L679" s="126" t="s">
        <v>19</v>
      </c>
      <c r="M679" s="94">
        <v>44364.291666666664</v>
      </c>
      <c r="N679" s="94">
        <v>44364.333333333336</v>
      </c>
      <c r="O679" s="95" t="str">
        <f>PROPER(TEXT(Table1[[#This Row],[Fecha Inicio]],"mmmm"))</f>
        <v>Junio</v>
      </c>
      <c r="P679" s="96" t="s">
        <v>1772</v>
      </c>
      <c r="Q679" s="97" t="s">
        <v>3798</v>
      </c>
      <c r="R679" s="76">
        <f t="shared" si="50"/>
        <v>2</v>
      </c>
      <c r="S679" s="76">
        <f t="shared" si="51"/>
        <v>2</v>
      </c>
      <c r="T679" s="76" t="str">
        <f t="shared" si="52"/>
        <v>-</v>
      </c>
      <c r="U679" s="76" t="str">
        <f t="shared" si="53"/>
        <v>-</v>
      </c>
      <c r="V679" s="76" t="str">
        <f t="shared" si="54"/>
        <v>-</v>
      </c>
      <c r="Z679" s="62"/>
    </row>
    <row r="680" spans="1:26" ht="40.15" customHeight="1" x14ac:dyDescent="0.25">
      <c r="A680" s="87">
        <v>24</v>
      </c>
      <c r="B680" s="89" t="s">
        <v>1550</v>
      </c>
      <c r="C680" s="89"/>
      <c r="D680" s="90" t="s">
        <v>1554</v>
      </c>
      <c r="E680" s="90" t="s">
        <v>1555</v>
      </c>
      <c r="F680" s="91" t="s">
        <v>1556</v>
      </c>
      <c r="G680" s="92" t="s">
        <v>1557</v>
      </c>
      <c r="H680" s="93" t="s">
        <v>3799</v>
      </c>
      <c r="I680" s="87" t="s">
        <v>3800</v>
      </c>
      <c r="J680" s="87" t="s">
        <v>3513</v>
      </c>
      <c r="K680" s="87" t="s">
        <v>1575</v>
      </c>
      <c r="L680" s="87" t="s">
        <v>52</v>
      </c>
      <c r="M680" s="94">
        <v>44364.375</v>
      </c>
      <c r="N680" s="94">
        <v>44364.625</v>
      </c>
      <c r="O680" s="95" t="str">
        <f>PROPER(TEXT(Table1[[#This Row],[Fecha Inicio]],"mmmm"))</f>
        <v>Junio</v>
      </c>
      <c r="P680" s="96" t="s">
        <v>3801</v>
      </c>
      <c r="Q680" s="97" t="s">
        <v>3802</v>
      </c>
      <c r="R680" s="76">
        <f t="shared" si="50"/>
        <v>18</v>
      </c>
      <c r="S680" s="76">
        <f t="shared" si="51"/>
        <v>18</v>
      </c>
      <c r="T680" s="76" t="str">
        <f t="shared" si="52"/>
        <v>-</v>
      </c>
      <c r="U680" s="76" t="str">
        <f t="shared" si="53"/>
        <v>-</v>
      </c>
      <c r="V680" s="76" t="str">
        <f t="shared" si="54"/>
        <v>-</v>
      </c>
      <c r="Z680" s="62"/>
    </row>
    <row r="681" spans="1:26" ht="40.15" customHeight="1" x14ac:dyDescent="0.25">
      <c r="A681" s="87">
        <v>24</v>
      </c>
      <c r="B681" s="89" t="s">
        <v>1550</v>
      </c>
      <c r="C681" s="89" t="s">
        <v>3803</v>
      </c>
      <c r="D681" s="90" t="s">
        <v>1554</v>
      </c>
      <c r="E681" s="90" t="s">
        <v>1555</v>
      </c>
      <c r="F681" s="91" t="s">
        <v>1556</v>
      </c>
      <c r="G681" s="92" t="s">
        <v>1557</v>
      </c>
      <c r="H681" s="93" t="s">
        <v>3804</v>
      </c>
      <c r="I681" s="87" t="s">
        <v>3564</v>
      </c>
      <c r="J681" s="87" t="s">
        <v>3513</v>
      </c>
      <c r="K681" s="87" t="s">
        <v>1575</v>
      </c>
      <c r="L681" s="87" t="s">
        <v>52</v>
      </c>
      <c r="M681" s="94">
        <v>44364.375</v>
      </c>
      <c r="N681" s="94">
        <v>44364.625</v>
      </c>
      <c r="O681" s="95" t="str">
        <f>PROPER(TEXT(Table1[[#This Row],[Fecha Inicio]],"mmmm"))</f>
        <v>Junio</v>
      </c>
      <c r="P681" s="96" t="s">
        <v>3805</v>
      </c>
      <c r="Q681" s="97" t="s">
        <v>3806</v>
      </c>
      <c r="R681" s="76">
        <f t="shared" si="50"/>
        <v>1</v>
      </c>
      <c r="S681" s="76">
        <f t="shared" si="51"/>
        <v>1</v>
      </c>
      <c r="T681" s="76" t="str">
        <f t="shared" si="52"/>
        <v>-</v>
      </c>
      <c r="U681" s="76" t="str">
        <f t="shared" si="53"/>
        <v>-</v>
      </c>
      <c r="V681" s="76" t="str">
        <f t="shared" si="54"/>
        <v>-</v>
      </c>
      <c r="Z681" s="62"/>
    </row>
    <row r="682" spans="1:26" ht="40.15" customHeight="1" x14ac:dyDescent="0.25">
      <c r="A682" s="87">
        <v>24</v>
      </c>
      <c r="B682" s="89" t="s">
        <v>1550</v>
      </c>
      <c r="C682" s="89"/>
      <c r="D682" s="90" t="s">
        <v>1554</v>
      </c>
      <c r="E682" s="90" t="s">
        <v>1555</v>
      </c>
      <c r="F682" s="91" t="s">
        <v>1556</v>
      </c>
      <c r="G682" s="92" t="s">
        <v>1557</v>
      </c>
      <c r="H682" s="93" t="s">
        <v>3807</v>
      </c>
      <c r="I682" s="87" t="s">
        <v>3655</v>
      </c>
      <c r="J682" s="87" t="s">
        <v>3513</v>
      </c>
      <c r="K682" s="87" t="s">
        <v>1575</v>
      </c>
      <c r="L682" s="87" t="s">
        <v>52</v>
      </c>
      <c r="M682" s="94">
        <v>44364.375</v>
      </c>
      <c r="N682" s="94">
        <v>44364.625</v>
      </c>
      <c r="O682" s="95" t="str">
        <f>PROPER(TEXT(Table1[[#This Row],[Fecha Inicio]],"mmmm"))</f>
        <v>Junio</v>
      </c>
      <c r="P682" s="96" t="s">
        <v>3565</v>
      </c>
      <c r="Q682" s="97" t="s">
        <v>3808</v>
      </c>
      <c r="R682" s="76">
        <f t="shared" si="50"/>
        <v>14</v>
      </c>
      <c r="S682" s="76">
        <f t="shared" si="51"/>
        <v>14</v>
      </c>
      <c r="T682" s="76" t="str">
        <f t="shared" si="52"/>
        <v>-</v>
      </c>
      <c r="U682" s="76" t="str">
        <f t="shared" si="53"/>
        <v>-</v>
      </c>
      <c r="V682" s="76" t="str">
        <f t="shared" si="54"/>
        <v>-</v>
      </c>
      <c r="Z682" s="62"/>
    </row>
    <row r="683" spans="1:26" ht="40.15" customHeight="1" x14ac:dyDescent="0.25">
      <c r="A683" s="87">
        <v>24</v>
      </c>
      <c r="B683" s="89" t="s">
        <v>1550</v>
      </c>
      <c r="C683" s="89" t="s">
        <v>3809</v>
      </c>
      <c r="D683" s="90" t="s">
        <v>326</v>
      </c>
      <c r="E683" s="90" t="s">
        <v>1742</v>
      </c>
      <c r="F683" s="91" t="s">
        <v>1556</v>
      </c>
      <c r="G683" s="92" t="s">
        <v>1557</v>
      </c>
      <c r="H683" s="93" t="s">
        <v>3810</v>
      </c>
      <c r="I683" s="87" t="s">
        <v>3811</v>
      </c>
      <c r="J683" s="87" t="s">
        <v>3812</v>
      </c>
      <c r="K683" s="87" t="s">
        <v>1575</v>
      </c>
      <c r="L683" s="87" t="s">
        <v>52</v>
      </c>
      <c r="M683" s="94">
        <v>44364.5</v>
      </c>
      <c r="N683" s="94">
        <v>44364.916666666664</v>
      </c>
      <c r="O683" s="95" t="str">
        <f>PROPER(TEXT(Table1[[#This Row],[Fecha Inicio]],"mmmm"))</f>
        <v>Junio</v>
      </c>
      <c r="P683" s="96" t="s">
        <v>3813</v>
      </c>
      <c r="Q683" s="97" t="s">
        <v>3814</v>
      </c>
      <c r="R683" s="76">
        <f t="shared" si="50"/>
        <v>6</v>
      </c>
      <c r="S683" s="76">
        <f t="shared" si="51"/>
        <v>6</v>
      </c>
      <c r="T683" s="76" t="str">
        <f t="shared" si="52"/>
        <v>-</v>
      </c>
      <c r="U683" s="76" t="str">
        <f t="shared" si="53"/>
        <v>-</v>
      </c>
      <c r="V683" s="76" t="str">
        <f t="shared" si="54"/>
        <v>-</v>
      </c>
      <c r="Z683" s="62"/>
    </row>
    <row r="684" spans="1:26" ht="40.15" customHeight="1" x14ac:dyDescent="0.25">
      <c r="A684" s="87">
        <v>24</v>
      </c>
      <c r="B684" s="89"/>
      <c r="C684" s="89" t="s">
        <v>3815</v>
      </c>
      <c r="D684" s="90" t="s">
        <v>326</v>
      </c>
      <c r="E684" s="90" t="s">
        <v>1631</v>
      </c>
      <c r="F684" s="91" t="s">
        <v>1556</v>
      </c>
      <c r="G684" s="92" t="s">
        <v>1965</v>
      </c>
      <c r="H684" s="93" t="s">
        <v>3816</v>
      </c>
      <c r="I684" s="87" t="s">
        <v>3817</v>
      </c>
      <c r="J684" s="87" t="s">
        <v>3812</v>
      </c>
      <c r="K684" s="87" t="s">
        <v>1575</v>
      </c>
      <c r="L684" s="87" t="s">
        <v>52</v>
      </c>
      <c r="M684" s="94">
        <v>44364.5</v>
      </c>
      <c r="N684" s="94">
        <v>44364.916666666664</v>
      </c>
      <c r="O684" s="95" t="str">
        <f>PROPER(TEXT(Table1[[#This Row],[Fecha Inicio]],"mmmm"))</f>
        <v>Junio</v>
      </c>
      <c r="P684" s="96" t="s">
        <v>3818</v>
      </c>
      <c r="Q684" s="97" t="s">
        <v>3819</v>
      </c>
      <c r="R684" s="76">
        <f t="shared" si="50"/>
        <v>9</v>
      </c>
      <c r="S684" s="76" t="str">
        <f t="shared" si="51"/>
        <v>-</v>
      </c>
      <c r="T684" s="76" t="str">
        <f t="shared" si="52"/>
        <v>-</v>
      </c>
      <c r="U684" s="76" t="str">
        <f t="shared" si="53"/>
        <v>-</v>
      </c>
      <c r="V684" s="76" t="str">
        <f t="shared" si="54"/>
        <v>-</v>
      </c>
      <c r="Z684" s="62"/>
    </row>
    <row r="685" spans="1:26" ht="40.15" customHeight="1" x14ac:dyDescent="0.25">
      <c r="A685" s="87">
        <v>24</v>
      </c>
      <c r="B685" s="89" t="s">
        <v>1550</v>
      </c>
      <c r="C685" s="89"/>
      <c r="D685" s="90" t="s">
        <v>1665</v>
      </c>
      <c r="E685" s="90" t="s">
        <v>1666</v>
      </c>
      <c r="F685" s="91" t="s">
        <v>1556</v>
      </c>
      <c r="G685" s="92" t="s">
        <v>1557</v>
      </c>
      <c r="H685" s="93" t="s">
        <v>3820</v>
      </c>
      <c r="I685" s="87" t="s">
        <v>3821</v>
      </c>
      <c r="J685" s="87" t="s">
        <v>1669</v>
      </c>
      <c r="K685" s="87" t="s">
        <v>3822</v>
      </c>
      <c r="L685" s="87" t="s">
        <v>52</v>
      </c>
      <c r="M685" s="94">
        <v>44364.666666666664</v>
      </c>
      <c r="N685" s="94">
        <v>44364.694444444445</v>
      </c>
      <c r="O685" s="95" t="str">
        <f>PROPER(TEXT(Table1[[#This Row],[Fecha Inicio]],"mmmm"))</f>
        <v>Junio</v>
      </c>
      <c r="P685" s="96" t="s">
        <v>2226</v>
      </c>
      <c r="Q685" s="97" t="s">
        <v>3823</v>
      </c>
      <c r="R685" s="76">
        <f t="shared" si="50"/>
        <v>1</v>
      </c>
      <c r="S685" s="76">
        <f t="shared" si="51"/>
        <v>1</v>
      </c>
      <c r="T685" s="76" t="str">
        <f t="shared" si="52"/>
        <v>-</v>
      </c>
      <c r="U685" s="76" t="str">
        <f t="shared" si="53"/>
        <v>-</v>
      </c>
      <c r="V685" s="76" t="str">
        <f t="shared" si="54"/>
        <v>-</v>
      </c>
      <c r="Z685" s="62"/>
    </row>
    <row r="686" spans="1:26" ht="40.15" customHeight="1" x14ac:dyDescent="0.25">
      <c r="A686" s="87">
        <v>24</v>
      </c>
      <c r="B686" s="89" t="s">
        <v>1550</v>
      </c>
      <c r="C686" s="89" t="s">
        <v>3701</v>
      </c>
      <c r="D686" s="90" t="s">
        <v>326</v>
      </c>
      <c r="E686" s="90" t="s">
        <v>1631</v>
      </c>
      <c r="F686" s="91" t="s">
        <v>1556</v>
      </c>
      <c r="G686" s="92" t="s">
        <v>1557</v>
      </c>
      <c r="H686" s="93" t="s">
        <v>3824</v>
      </c>
      <c r="I686" s="87" t="s">
        <v>1759</v>
      </c>
      <c r="J686" s="87" t="s">
        <v>1760</v>
      </c>
      <c r="K686" s="87" t="s">
        <v>1761</v>
      </c>
      <c r="L686" s="126" t="s">
        <v>19</v>
      </c>
      <c r="M686" s="94">
        <v>44364.75</v>
      </c>
      <c r="N686" s="94">
        <v>44364.875</v>
      </c>
      <c r="O686" s="95" t="str">
        <f>PROPER(TEXT(Table1[[#This Row],[Fecha Inicio]],"mmmm"))</f>
        <v>Junio</v>
      </c>
      <c r="P686" s="96" t="s">
        <v>2793</v>
      </c>
      <c r="Q686" s="97" t="s">
        <v>3825</v>
      </c>
      <c r="R686" s="76">
        <f t="shared" si="50"/>
        <v>4</v>
      </c>
      <c r="S686" s="76">
        <f t="shared" si="51"/>
        <v>4</v>
      </c>
      <c r="T686" s="76" t="str">
        <f t="shared" si="52"/>
        <v>-</v>
      </c>
      <c r="U686" s="76" t="str">
        <f t="shared" si="53"/>
        <v>-</v>
      </c>
      <c r="V686" s="76" t="str">
        <f t="shared" si="54"/>
        <v>-</v>
      </c>
      <c r="Z686" s="62"/>
    </row>
    <row r="687" spans="1:26" ht="40.15" customHeight="1" x14ac:dyDescent="0.25">
      <c r="A687" s="87">
        <v>24</v>
      </c>
      <c r="B687" s="89" t="s">
        <v>1550</v>
      </c>
      <c r="C687" s="89" t="s">
        <v>3701</v>
      </c>
      <c r="D687" s="90" t="s">
        <v>326</v>
      </c>
      <c r="E687" s="90" t="s">
        <v>1631</v>
      </c>
      <c r="F687" s="91" t="s">
        <v>1556</v>
      </c>
      <c r="G687" s="92" t="s">
        <v>1557</v>
      </c>
      <c r="H687" s="93" t="s">
        <v>3826</v>
      </c>
      <c r="I687" s="87" t="s">
        <v>1880</v>
      </c>
      <c r="J687" s="87" t="s">
        <v>1881</v>
      </c>
      <c r="K687" s="87" t="s">
        <v>1575</v>
      </c>
      <c r="L687" s="126" t="s">
        <v>19</v>
      </c>
      <c r="M687" s="94">
        <v>44364.84375</v>
      </c>
      <c r="N687" s="94">
        <v>44364.927083333336</v>
      </c>
      <c r="O687" s="95" t="str">
        <f>PROPER(TEXT(Table1[[#This Row],[Fecha Inicio]],"mmmm"))</f>
        <v>Junio</v>
      </c>
      <c r="P687" s="96" t="s">
        <v>1882</v>
      </c>
      <c r="Q687" s="97" t="s">
        <v>3827</v>
      </c>
      <c r="R687" s="76">
        <f t="shared" si="50"/>
        <v>6</v>
      </c>
      <c r="S687" s="76">
        <f t="shared" si="51"/>
        <v>6</v>
      </c>
      <c r="T687" s="76" t="str">
        <f t="shared" si="52"/>
        <v>-</v>
      </c>
      <c r="U687" s="76" t="str">
        <f t="shared" si="53"/>
        <v>-</v>
      </c>
      <c r="V687" s="76" t="str">
        <f t="shared" si="54"/>
        <v>-</v>
      </c>
      <c r="Z687" s="62"/>
    </row>
    <row r="688" spans="1:26" ht="40.15" customHeight="1" x14ac:dyDescent="0.25">
      <c r="A688" s="87">
        <v>24</v>
      </c>
      <c r="B688" s="89" t="s">
        <v>1550</v>
      </c>
      <c r="C688" s="89" t="s">
        <v>3701</v>
      </c>
      <c r="D688" s="90" t="s">
        <v>326</v>
      </c>
      <c r="E688" s="90" t="s">
        <v>1631</v>
      </c>
      <c r="F688" s="91" t="s">
        <v>1556</v>
      </c>
      <c r="G688" s="92" t="s">
        <v>1557</v>
      </c>
      <c r="H688" s="93" t="s">
        <v>3828</v>
      </c>
      <c r="I688" s="87" t="s">
        <v>1889</v>
      </c>
      <c r="J688" s="87" t="s">
        <v>1890</v>
      </c>
      <c r="K688" s="87" t="s">
        <v>1575</v>
      </c>
      <c r="L688" s="126" t="s">
        <v>19</v>
      </c>
      <c r="M688" s="94">
        <v>44364.916666666664</v>
      </c>
      <c r="N688" s="94">
        <v>44364.958333333336</v>
      </c>
      <c r="O688" s="95" t="str">
        <f>PROPER(TEXT(Table1[[#This Row],[Fecha Inicio]],"mmmm"))</f>
        <v>Junio</v>
      </c>
      <c r="P688" s="96" t="s">
        <v>164</v>
      </c>
      <c r="Q688" s="97" t="s">
        <v>3829</v>
      </c>
      <c r="R688" s="76">
        <f t="shared" si="50"/>
        <v>1</v>
      </c>
      <c r="S688" s="76">
        <f t="shared" si="51"/>
        <v>1</v>
      </c>
      <c r="T688" s="76" t="str">
        <f t="shared" si="52"/>
        <v>-</v>
      </c>
      <c r="U688" s="76" t="str">
        <f t="shared" si="53"/>
        <v>-</v>
      </c>
      <c r="V688" s="76" t="str">
        <f t="shared" si="54"/>
        <v>-</v>
      </c>
      <c r="Z688" s="62"/>
    </row>
    <row r="689" spans="1:26" ht="40.15" customHeight="1" x14ac:dyDescent="0.25">
      <c r="A689" s="87">
        <v>23</v>
      </c>
      <c r="B689" s="89" t="s">
        <v>1550</v>
      </c>
      <c r="C689" s="99"/>
      <c r="D689" s="89" t="s">
        <v>1570</v>
      </c>
      <c r="E689" s="89" t="s">
        <v>1571</v>
      </c>
      <c r="F689" s="87" t="s">
        <v>1556</v>
      </c>
      <c r="G689" s="92" t="s">
        <v>1557</v>
      </c>
      <c r="H689" s="93" t="s">
        <v>3837</v>
      </c>
      <c r="I689" s="87" t="s">
        <v>3838</v>
      </c>
      <c r="J689" s="87" t="s">
        <v>1640</v>
      </c>
      <c r="K689" s="87" t="s">
        <v>1641</v>
      </c>
      <c r="L689" s="126" t="s">
        <v>19</v>
      </c>
      <c r="M689" s="94">
        <v>44364.958333333336</v>
      </c>
      <c r="N689" s="94">
        <v>44365.083333333336</v>
      </c>
      <c r="O689" s="95" t="str">
        <f>PROPER(TEXT(Table1[[#This Row],[Fecha Inicio]],"mmmm"))</f>
        <v>Junio</v>
      </c>
      <c r="P689" s="96" t="s">
        <v>3839</v>
      </c>
      <c r="Q689" s="97" t="s">
        <v>3840</v>
      </c>
      <c r="R689" s="76">
        <f t="shared" si="50"/>
        <v>8</v>
      </c>
      <c r="S689" s="76">
        <f t="shared" si="51"/>
        <v>8</v>
      </c>
      <c r="T689" s="76" t="str">
        <f t="shared" si="52"/>
        <v>-</v>
      </c>
      <c r="U689" s="76" t="str">
        <f t="shared" si="53"/>
        <v>-</v>
      </c>
      <c r="V689" s="76" t="str">
        <f t="shared" si="54"/>
        <v>-</v>
      </c>
      <c r="Z689" s="62"/>
    </row>
    <row r="690" spans="1:26" ht="40.15" customHeight="1" x14ac:dyDescent="0.25">
      <c r="A690" s="87">
        <v>24</v>
      </c>
      <c r="B690" s="89" t="s">
        <v>1550</v>
      </c>
      <c r="C690" s="89"/>
      <c r="D690" s="90" t="s">
        <v>344</v>
      </c>
      <c r="E690" s="90" t="s">
        <v>1616</v>
      </c>
      <c r="F690" s="91" t="s">
        <v>1556</v>
      </c>
      <c r="G690" s="92" t="s">
        <v>1557</v>
      </c>
      <c r="H690" s="93" t="s">
        <v>3834</v>
      </c>
      <c r="I690" s="87" t="s">
        <v>1806</v>
      </c>
      <c r="J690" s="87" t="s">
        <v>1766</v>
      </c>
      <c r="K690" s="87" t="s">
        <v>1575</v>
      </c>
      <c r="L690" s="126" t="s">
        <v>19</v>
      </c>
      <c r="M690" s="94">
        <v>44364.958333333336</v>
      </c>
      <c r="N690" s="94">
        <v>44365.125</v>
      </c>
      <c r="O690" s="95" t="str">
        <f>PROPER(TEXT(Table1[[#This Row],[Fecha Inicio]],"mmmm"))</f>
        <v>Junio</v>
      </c>
      <c r="P690" s="96" t="s">
        <v>3835</v>
      </c>
      <c r="Q690" s="97" t="s">
        <v>3836</v>
      </c>
      <c r="R690" s="76">
        <f t="shared" si="50"/>
        <v>3</v>
      </c>
      <c r="S690" s="76">
        <f t="shared" si="51"/>
        <v>3</v>
      </c>
      <c r="T690" s="76" t="str">
        <f t="shared" si="52"/>
        <v>-</v>
      </c>
      <c r="U690" s="76" t="str">
        <f t="shared" si="53"/>
        <v>-</v>
      </c>
      <c r="V690" s="76" t="str">
        <f t="shared" si="54"/>
        <v>-</v>
      </c>
      <c r="Z690" s="62"/>
    </row>
    <row r="691" spans="1:26" ht="40.15" customHeight="1" x14ac:dyDescent="0.25">
      <c r="A691" s="87">
        <v>23</v>
      </c>
      <c r="B691" s="89" t="s">
        <v>1551</v>
      </c>
      <c r="C691" s="89" t="s">
        <v>3830</v>
      </c>
      <c r="D691" s="90" t="s">
        <v>326</v>
      </c>
      <c r="E691" s="90" t="s">
        <v>1631</v>
      </c>
      <c r="F691" s="91" t="s">
        <v>1556</v>
      </c>
      <c r="G691" s="92" t="s">
        <v>1557</v>
      </c>
      <c r="H691" s="93" t="s">
        <v>3831</v>
      </c>
      <c r="I691" s="87" t="s">
        <v>3744</v>
      </c>
      <c r="J691" s="87" t="s">
        <v>2135</v>
      </c>
      <c r="K691" s="87" t="s">
        <v>2935</v>
      </c>
      <c r="L691" s="126" t="s">
        <v>19</v>
      </c>
      <c r="M691" s="94">
        <v>44364.958333333336</v>
      </c>
      <c r="N691" s="94">
        <v>44365.25</v>
      </c>
      <c r="O691" s="95" t="str">
        <f>PROPER(TEXT(Table1[[#This Row],[Fecha Inicio]],"mmmm"))</f>
        <v>Junio</v>
      </c>
      <c r="P691" s="96" t="s">
        <v>3832</v>
      </c>
      <c r="Q691" s="97" t="s">
        <v>3833</v>
      </c>
      <c r="R691" s="76">
        <f t="shared" si="50"/>
        <v>13</v>
      </c>
      <c r="S691" s="76" t="str">
        <f t="shared" si="51"/>
        <v>-</v>
      </c>
      <c r="T691" s="76" t="str">
        <f t="shared" si="52"/>
        <v>-</v>
      </c>
      <c r="U691" s="76" t="str">
        <f t="shared" si="53"/>
        <v>-</v>
      </c>
      <c r="V691" s="76" t="str">
        <f t="shared" si="54"/>
        <v>-</v>
      </c>
      <c r="Z691" s="62"/>
    </row>
    <row r="692" spans="1:26" ht="40.15" customHeight="1" x14ac:dyDescent="0.25">
      <c r="A692" s="87">
        <v>24</v>
      </c>
      <c r="B692" s="89" t="s">
        <v>1550</v>
      </c>
      <c r="C692" s="89"/>
      <c r="D692" s="90" t="s">
        <v>1554</v>
      </c>
      <c r="E692" s="90" t="s">
        <v>1555</v>
      </c>
      <c r="F692" s="91" t="s">
        <v>1556</v>
      </c>
      <c r="G692" s="92" t="s">
        <v>1557</v>
      </c>
      <c r="H692" s="93" t="s">
        <v>3841</v>
      </c>
      <c r="I692" s="87" t="s">
        <v>3842</v>
      </c>
      <c r="J692" s="87" t="s">
        <v>2239</v>
      </c>
      <c r="K692" s="87" t="s">
        <v>1575</v>
      </c>
      <c r="L692" s="126" t="s">
        <v>19</v>
      </c>
      <c r="M692" s="94">
        <v>44365.375</v>
      </c>
      <c r="N692" s="94">
        <v>44365.625</v>
      </c>
      <c r="O692" s="95" t="str">
        <f>PROPER(TEXT(Table1[[#This Row],[Fecha Inicio]],"mmmm"))</f>
        <v>Junio</v>
      </c>
      <c r="P692" s="96" t="s">
        <v>3843</v>
      </c>
      <c r="Q692" s="97" t="s">
        <v>3844</v>
      </c>
      <c r="R692" s="76">
        <f t="shared" si="50"/>
        <v>11</v>
      </c>
      <c r="S692" s="76">
        <f t="shared" si="51"/>
        <v>11</v>
      </c>
      <c r="T692" s="76" t="str">
        <f t="shared" si="52"/>
        <v>-</v>
      </c>
      <c r="U692" s="76" t="str">
        <f t="shared" si="53"/>
        <v>-</v>
      </c>
      <c r="V692" s="76" t="str">
        <f t="shared" si="54"/>
        <v>-</v>
      </c>
      <c r="Z692" s="62"/>
    </row>
    <row r="693" spans="1:26" ht="40.15" customHeight="1" x14ac:dyDescent="0.25">
      <c r="A693" s="87">
        <v>24</v>
      </c>
      <c r="B693" s="89" t="s">
        <v>1550</v>
      </c>
      <c r="C693" s="89" t="s">
        <v>3701</v>
      </c>
      <c r="D693" s="89" t="s">
        <v>326</v>
      </c>
      <c r="E693" s="89" t="s">
        <v>1631</v>
      </c>
      <c r="F693" s="87" t="s">
        <v>1556</v>
      </c>
      <c r="G693" s="92" t="s">
        <v>1557</v>
      </c>
      <c r="H693" s="93" t="s">
        <v>3845</v>
      </c>
      <c r="I693" s="87" t="s">
        <v>1901</v>
      </c>
      <c r="J693" s="87" t="s">
        <v>1902</v>
      </c>
      <c r="K693" s="87" t="s">
        <v>1575</v>
      </c>
      <c r="L693" s="126" t="s">
        <v>19</v>
      </c>
      <c r="M693" s="94">
        <v>44365.791666666664</v>
      </c>
      <c r="N693" s="94">
        <v>44365.875</v>
      </c>
      <c r="O693" s="95" t="str">
        <f>PROPER(TEXT(Table1[[#This Row],[Fecha Inicio]],"mmmm"))</f>
        <v>Junio</v>
      </c>
      <c r="P693" s="96" t="s">
        <v>1903</v>
      </c>
      <c r="Q693" s="97" t="s">
        <v>3846</v>
      </c>
      <c r="R693" s="76">
        <f t="shared" si="50"/>
        <v>2</v>
      </c>
      <c r="S693" s="76">
        <f t="shared" si="51"/>
        <v>2</v>
      </c>
      <c r="T693" s="76" t="str">
        <f t="shared" si="52"/>
        <v>-</v>
      </c>
      <c r="U693" s="76" t="str">
        <f t="shared" si="53"/>
        <v>-</v>
      </c>
      <c r="V693" s="76" t="str">
        <f t="shared" si="54"/>
        <v>-</v>
      </c>
      <c r="Z693" s="62"/>
    </row>
    <row r="694" spans="1:26" ht="40.15" customHeight="1" x14ac:dyDescent="0.25">
      <c r="A694" s="87">
        <v>24</v>
      </c>
      <c r="B694" s="89" t="s">
        <v>1550</v>
      </c>
      <c r="C694" s="89" t="s">
        <v>3701</v>
      </c>
      <c r="D694" s="90" t="s">
        <v>326</v>
      </c>
      <c r="E694" s="90" t="s">
        <v>1631</v>
      </c>
      <c r="F694" s="91" t="s">
        <v>1556</v>
      </c>
      <c r="G694" s="92" t="s">
        <v>1557</v>
      </c>
      <c r="H694" s="93" t="s">
        <v>3847</v>
      </c>
      <c r="I694" s="87" t="s">
        <v>1906</v>
      </c>
      <c r="J694" s="87" t="s">
        <v>1907</v>
      </c>
      <c r="K694" s="87" t="s">
        <v>1575</v>
      </c>
      <c r="L694" s="126" t="s">
        <v>19</v>
      </c>
      <c r="M694" s="94">
        <v>44365.791666666664</v>
      </c>
      <c r="N694" s="94">
        <v>44365.875</v>
      </c>
      <c r="O694" s="95" t="str">
        <f>PROPER(TEXT(Table1[[#This Row],[Fecha Inicio]],"mmmm"))</f>
        <v>Junio</v>
      </c>
      <c r="P694" s="96" t="s">
        <v>171</v>
      </c>
      <c r="Q694" s="97" t="s">
        <v>3848</v>
      </c>
      <c r="R694" s="76">
        <f t="shared" si="50"/>
        <v>1</v>
      </c>
      <c r="S694" s="76">
        <f t="shared" si="51"/>
        <v>1</v>
      </c>
      <c r="T694" s="76" t="str">
        <f t="shared" si="52"/>
        <v>-</v>
      </c>
      <c r="U694" s="76" t="str">
        <f t="shared" si="53"/>
        <v>-</v>
      </c>
      <c r="V694" s="76" t="str">
        <f t="shared" si="54"/>
        <v>-</v>
      </c>
      <c r="Z694" s="62"/>
    </row>
    <row r="695" spans="1:26" ht="40.15" customHeight="1" x14ac:dyDescent="0.25">
      <c r="A695" s="87">
        <v>24</v>
      </c>
      <c r="B695" s="89" t="s">
        <v>1550</v>
      </c>
      <c r="C695" s="89"/>
      <c r="D695" s="90" t="s">
        <v>1579</v>
      </c>
      <c r="E695" s="90" t="s">
        <v>2972</v>
      </c>
      <c r="F695" s="91" t="s">
        <v>1556</v>
      </c>
      <c r="G695" s="92" t="s">
        <v>1557</v>
      </c>
      <c r="H695" s="93" t="s">
        <v>3849</v>
      </c>
      <c r="I695" s="87" t="s">
        <v>3606</v>
      </c>
      <c r="J695" s="87" t="s">
        <v>3310</v>
      </c>
      <c r="K695" s="87" t="s">
        <v>3311</v>
      </c>
      <c r="L695" s="87" t="s">
        <v>52</v>
      </c>
      <c r="M695" s="94">
        <v>44365.875</v>
      </c>
      <c r="N695" s="94">
        <v>44365.916666666664</v>
      </c>
      <c r="O695" s="95" t="str">
        <f>PROPER(TEXT(Table1[[#This Row],[Fecha Inicio]],"mmmm"))</f>
        <v>Junio</v>
      </c>
      <c r="P695" s="96" t="s">
        <v>3312</v>
      </c>
      <c r="Q695" s="97" t="s">
        <v>3850</v>
      </c>
      <c r="R695" s="76">
        <f t="shared" si="50"/>
        <v>2</v>
      </c>
      <c r="S695" s="76">
        <f t="shared" si="51"/>
        <v>2</v>
      </c>
      <c r="T695" s="76" t="str">
        <f t="shared" si="52"/>
        <v>-</v>
      </c>
      <c r="U695" s="76" t="str">
        <f t="shared" si="53"/>
        <v>-</v>
      </c>
      <c r="V695" s="76" t="str">
        <f t="shared" si="54"/>
        <v>-</v>
      </c>
      <c r="Z695" s="62"/>
    </row>
    <row r="696" spans="1:26" ht="40.15" customHeight="1" x14ac:dyDescent="0.25">
      <c r="A696" s="87">
        <v>24</v>
      </c>
      <c r="B696" s="89" t="s">
        <v>1550</v>
      </c>
      <c r="C696" s="99"/>
      <c r="D696" s="89" t="s">
        <v>326</v>
      </c>
      <c r="E696" s="89" t="s">
        <v>1631</v>
      </c>
      <c r="F696" s="87" t="s">
        <v>1556</v>
      </c>
      <c r="G696" s="92" t="s">
        <v>1557</v>
      </c>
      <c r="H696" s="93" t="s">
        <v>3851</v>
      </c>
      <c r="I696" s="87" t="s">
        <v>3852</v>
      </c>
      <c r="J696" s="87" t="s">
        <v>1566</v>
      </c>
      <c r="K696" s="87" t="s">
        <v>1567</v>
      </c>
      <c r="L696" s="126" t="s">
        <v>19</v>
      </c>
      <c r="M696" s="94">
        <v>44366.375</v>
      </c>
      <c r="N696" s="94">
        <v>44366.416666666664</v>
      </c>
      <c r="O696" s="95" t="str">
        <f>PROPER(TEXT(Table1[[#This Row],[Fecha Inicio]],"mmmm"))</f>
        <v>Junio</v>
      </c>
      <c r="P696" s="96" t="s">
        <v>3853</v>
      </c>
      <c r="Q696" s="97" t="s">
        <v>3854</v>
      </c>
      <c r="R696" s="76">
        <f t="shared" si="50"/>
        <v>1</v>
      </c>
      <c r="S696" s="76">
        <f t="shared" si="51"/>
        <v>1</v>
      </c>
      <c r="T696" s="76" t="str">
        <f t="shared" si="52"/>
        <v>-</v>
      </c>
      <c r="U696" s="76" t="str">
        <f t="shared" si="53"/>
        <v>-</v>
      </c>
      <c r="V696" s="76" t="str">
        <f t="shared" si="54"/>
        <v>-</v>
      </c>
      <c r="Z696" s="62"/>
    </row>
    <row r="697" spans="1:26" ht="40.15" customHeight="1" x14ac:dyDescent="0.25">
      <c r="A697" s="87">
        <v>24</v>
      </c>
      <c r="B697" s="89" t="s">
        <v>1550</v>
      </c>
      <c r="C697" s="89" t="s">
        <v>3701</v>
      </c>
      <c r="D697" s="89" t="s">
        <v>326</v>
      </c>
      <c r="E697" s="89" t="s">
        <v>1631</v>
      </c>
      <c r="F697" s="87" t="s">
        <v>1556</v>
      </c>
      <c r="G697" s="92" t="s">
        <v>1557</v>
      </c>
      <c r="H697" s="93" t="s">
        <v>3855</v>
      </c>
      <c r="I697" s="87" t="s">
        <v>1759</v>
      </c>
      <c r="J697" s="87" t="s">
        <v>1760</v>
      </c>
      <c r="K697" s="87" t="s">
        <v>1761</v>
      </c>
      <c r="L697" s="126" t="s">
        <v>19</v>
      </c>
      <c r="M697" s="94">
        <v>44366.958333333336</v>
      </c>
      <c r="N697" s="94">
        <v>44367.125</v>
      </c>
      <c r="O697" s="95" t="str">
        <f>PROPER(TEXT(Table1[[#This Row],[Fecha Inicio]],"mmmm"))</f>
        <v>Junio</v>
      </c>
      <c r="P697" s="96" t="s">
        <v>3203</v>
      </c>
      <c r="Q697" s="97" t="s">
        <v>3856</v>
      </c>
      <c r="R697" s="76">
        <f t="shared" si="50"/>
        <v>5</v>
      </c>
      <c r="S697" s="76">
        <f t="shared" si="51"/>
        <v>5</v>
      </c>
      <c r="T697" s="76" t="str">
        <f t="shared" si="52"/>
        <v>-</v>
      </c>
      <c r="U697" s="76" t="str">
        <f t="shared" si="53"/>
        <v>-</v>
      </c>
      <c r="V697" s="76" t="str">
        <f t="shared" si="54"/>
        <v>-</v>
      </c>
      <c r="Z697" s="62"/>
    </row>
    <row r="698" spans="1:26" ht="40.15" customHeight="1" x14ac:dyDescent="0.25">
      <c r="A698" s="87">
        <v>24</v>
      </c>
      <c r="B698" s="89" t="s">
        <v>1550</v>
      </c>
      <c r="C698" s="89" t="s">
        <v>3701</v>
      </c>
      <c r="D698" s="89" t="s">
        <v>326</v>
      </c>
      <c r="E698" s="89" t="s">
        <v>1631</v>
      </c>
      <c r="F698" s="87" t="s">
        <v>1556</v>
      </c>
      <c r="G698" s="92" t="s">
        <v>1557</v>
      </c>
      <c r="H698" s="93" t="s">
        <v>3857</v>
      </c>
      <c r="I698" s="87" t="s">
        <v>1718</v>
      </c>
      <c r="J698" s="87" t="s">
        <v>1719</v>
      </c>
      <c r="K698" s="87" t="s">
        <v>1575</v>
      </c>
      <c r="L698" s="126" t="s">
        <v>19</v>
      </c>
      <c r="M698" s="94">
        <v>44367</v>
      </c>
      <c r="N698" s="94">
        <v>44367.25</v>
      </c>
      <c r="O698" s="95" t="str">
        <f>PROPER(TEXT(Table1[[#This Row],[Fecha Inicio]],"mmmm"))</f>
        <v>Junio</v>
      </c>
      <c r="P698" s="96" t="s">
        <v>1720</v>
      </c>
      <c r="Q698" s="97" t="s">
        <v>3858</v>
      </c>
      <c r="R698" s="76">
        <f t="shared" si="50"/>
        <v>15</v>
      </c>
      <c r="S698" s="76">
        <f t="shared" si="51"/>
        <v>15</v>
      </c>
      <c r="T698" s="76" t="str">
        <f t="shared" si="52"/>
        <v>-</v>
      </c>
      <c r="U698" s="76" t="str">
        <f t="shared" si="53"/>
        <v>-</v>
      </c>
      <c r="V698" s="76" t="str">
        <f t="shared" si="54"/>
        <v>-</v>
      </c>
      <c r="Z698" s="62"/>
    </row>
    <row r="699" spans="1:26" ht="40.15" customHeight="1" x14ac:dyDescent="0.25">
      <c r="A699" s="87">
        <v>24</v>
      </c>
      <c r="B699" s="89" t="s">
        <v>1550</v>
      </c>
      <c r="C699" s="89"/>
      <c r="D699" s="89" t="s">
        <v>326</v>
      </c>
      <c r="E699" s="89" t="s">
        <v>1631</v>
      </c>
      <c r="F699" s="87" t="s">
        <v>1556</v>
      </c>
      <c r="G699" s="92" t="s">
        <v>1557</v>
      </c>
      <c r="H699" s="87" t="s">
        <v>3859</v>
      </c>
      <c r="I699" s="87" t="s">
        <v>1919</v>
      </c>
      <c r="J699" s="91" t="s">
        <v>1920</v>
      </c>
      <c r="K699" s="87" t="s">
        <v>1921</v>
      </c>
      <c r="L699" s="126" t="s">
        <v>19</v>
      </c>
      <c r="M699" s="94">
        <v>44367</v>
      </c>
      <c r="N699" s="94">
        <v>44367.25</v>
      </c>
      <c r="O699" s="95" t="str">
        <f>PROPER(TEXT(Table1[[#This Row],[Fecha Inicio]],"mmmm"))</f>
        <v>Junio</v>
      </c>
      <c r="P699" s="96" t="s">
        <v>3206</v>
      </c>
      <c r="Q699" s="97" t="s">
        <v>3860</v>
      </c>
      <c r="R699" s="76">
        <f t="shared" si="50"/>
        <v>8</v>
      </c>
      <c r="S699" s="76">
        <f t="shared" si="51"/>
        <v>8</v>
      </c>
      <c r="T699" s="76" t="str">
        <f t="shared" si="52"/>
        <v>-</v>
      </c>
      <c r="U699" s="76" t="str">
        <f t="shared" si="53"/>
        <v>-</v>
      </c>
      <c r="V699" s="76" t="str">
        <f t="shared" si="54"/>
        <v>-</v>
      </c>
      <c r="Z699" s="62"/>
    </row>
    <row r="700" spans="1:26" ht="40.15" customHeight="1" x14ac:dyDescent="0.25">
      <c r="A700" s="87">
        <v>24</v>
      </c>
      <c r="B700" s="89" t="s">
        <v>1550</v>
      </c>
      <c r="C700" s="89" t="s">
        <v>3701</v>
      </c>
      <c r="D700" s="89" t="s">
        <v>326</v>
      </c>
      <c r="E700" s="89" t="s">
        <v>1631</v>
      </c>
      <c r="F700" s="87" t="s">
        <v>1556</v>
      </c>
      <c r="G700" s="92" t="s">
        <v>1557</v>
      </c>
      <c r="H700" s="93" t="s">
        <v>3861</v>
      </c>
      <c r="I700" s="87" t="s">
        <v>3862</v>
      </c>
      <c r="J700" s="87" t="s">
        <v>1951</v>
      </c>
      <c r="K700" s="87" t="s">
        <v>1575</v>
      </c>
      <c r="L700" s="126" t="s">
        <v>19</v>
      </c>
      <c r="M700" s="94">
        <v>44368</v>
      </c>
      <c r="N700" s="94">
        <v>44368.208333333336</v>
      </c>
      <c r="O700" s="95" t="str">
        <f>PROPER(TEXT(Table1[[#This Row],[Fecha Inicio]],"mmmm"))</f>
        <v>Junio</v>
      </c>
      <c r="P700" s="96" t="s">
        <v>1952</v>
      </c>
      <c r="Q700" s="97" t="s">
        <v>3863</v>
      </c>
      <c r="R700" s="76">
        <f t="shared" si="50"/>
        <v>7</v>
      </c>
      <c r="S700" s="76">
        <f t="shared" si="51"/>
        <v>7</v>
      </c>
      <c r="T700" s="76" t="str">
        <f t="shared" si="52"/>
        <v>-</v>
      </c>
      <c r="U700" s="76" t="str">
        <f t="shared" si="53"/>
        <v>-</v>
      </c>
      <c r="V700" s="76" t="str">
        <f t="shared" si="54"/>
        <v>-</v>
      </c>
      <c r="Z700" s="62"/>
    </row>
    <row r="701" spans="1:26" ht="40.15" customHeight="1" x14ac:dyDescent="0.25">
      <c r="A701" s="87">
        <v>24</v>
      </c>
      <c r="B701" s="89" t="s">
        <v>1550</v>
      </c>
      <c r="C701" s="89" t="s">
        <v>3701</v>
      </c>
      <c r="D701" s="89" t="s">
        <v>326</v>
      </c>
      <c r="E701" s="89" t="s">
        <v>1631</v>
      </c>
      <c r="F701" s="87" t="s">
        <v>1556</v>
      </c>
      <c r="G701" s="92" t="s">
        <v>1557</v>
      </c>
      <c r="H701" s="93" t="s">
        <v>3868</v>
      </c>
      <c r="I701" s="87" t="s">
        <v>1838</v>
      </c>
      <c r="J701" s="87" t="s">
        <v>1839</v>
      </c>
      <c r="K701" s="87" t="s">
        <v>1575</v>
      </c>
      <c r="L701" s="126" t="s">
        <v>19</v>
      </c>
      <c r="M701" s="94">
        <v>44368.916666666664</v>
      </c>
      <c r="N701" s="94">
        <v>44368.958333333336</v>
      </c>
      <c r="O701" s="95" t="str">
        <f>PROPER(TEXT(Table1[[#This Row],[Fecha Inicio]],"mmmm"))</f>
        <v>Junio</v>
      </c>
      <c r="P701" s="96" t="s">
        <v>194</v>
      </c>
      <c r="Q701" s="97" t="s">
        <v>3869</v>
      </c>
      <c r="R701" s="76">
        <f t="shared" si="50"/>
        <v>1</v>
      </c>
      <c r="S701" s="76">
        <f t="shared" si="51"/>
        <v>1</v>
      </c>
      <c r="T701" s="76" t="str">
        <f t="shared" si="52"/>
        <v>-</v>
      </c>
      <c r="U701" s="76" t="str">
        <f t="shared" si="53"/>
        <v>-</v>
      </c>
      <c r="V701" s="76" t="str">
        <f t="shared" si="54"/>
        <v>-</v>
      </c>
      <c r="Z701" s="62"/>
    </row>
    <row r="702" spans="1:26" ht="40.15" customHeight="1" x14ac:dyDescent="0.25">
      <c r="A702" s="87">
        <v>24</v>
      </c>
      <c r="B702" s="89" t="s">
        <v>1550</v>
      </c>
      <c r="C702" s="89"/>
      <c r="D702" s="89" t="s">
        <v>1665</v>
      </c>
      <c r="E702" s="89" t="s">
        <v>1666</v>
      </c>
      <c r="F702" s="87" t="s">
        <v>1556</v>
      </c>
      <c r="G702" s="92" t="s">
        <v>1557</v>
      </c>
      <c r="H702" s="93" t="s">
        <v>3864</v>
      </c>
      <c r="I702" s="87" t="s">
        <v>3865</v>
      </c>
      <c r="J702" s="87" t="s">
        <v>1669</v>
      </c>
      <c r="K702" s="87" t="s">
        <v>1670</v>
      </c>
      <c r="L702" s="87" t="s">
        <v>52</v>
      </c>
      <c r="M702" s="94">
        <v>44368.916666666664</v>
      </c>
      <c r="N702" s="94">
        <v>44369.416666666664</v>
      </c>
      <c r="O702" s="95" t="str">
        <f>PROPER(TEXT(Table1[[#This Row],[Fecha Inicio]],"mmmm"))</f>
        <v>Junio</v>
      </c>
      <c r="P702" s="96" t="s">
        <v>3866</v>
      </c>
      <c r="Q702" s="97" t="s">
        <v>3867</v>
      </c>
      <c r="R702" s="76">
        <f t="shared" si="50"/>
        <v>1</v>
      </c>
      <c r="S702" s="76">
        <f t="shared" si="51"/>
        <v>1</v>
      </c>
      <c r="T702" s="76" t="str">
        <f t="shared" si="52"/>
        <v>-</v>
      </c>
      <c r="U702" s="76" t="str">
        <f t="shared" si="53"/>
        <v>-</v>
      </c>
      <c r="V702" s="76" t="str">
        <f t="shared" si="54"/>
        <v>-</v>
      </c>
      <c r="Z702" s="62"/>
    </row>
    <row r="703" spans="1:26" ht="40.15" customHeight="1" x14ac:dyDescent="0.25">
      <c r="A703" s="87">
        <v>24</v>
      </c>
      <c r="B703" s="89" t="s">
        <v>1550</v>
      </c>
      <c r="C703" s="89" t="s">
        <v>3701</v>
      </c>
      <c r="D703" s="89" t="s">
        <v>326</v>
      </c>
      <c r="E703" s="89" t="s">
        <v>1631</v>
      </c>
      <c r="F703" s="87" t="s">
        <v>1556</v>
      </c>
      <c r="G703" s="92" t="s">
        <v>1557</v>
      </c>
      <c r="H703" s="93" t="s">
        <v>3874</v>
      </c>
      <c r="I703" s="87" t="s">
        <v>3491</v>
      </c>
      <c r="J703" s="87" t="s">
        <v>2825</v>
      </c>
      <c r="K703" s="87" t="s">
        <v>3875</v>
      </c>
      <c r="L703" s="126" t="s">
        <v>19</v>
      </c>
      <c r="M703" s="94">
        <v>44368.958333333336</v>
      </c>
      <c r="N703" s="94">
        <v>44368.166666666664</v>
      </c>
      <c r="O703" s="95" t="str">
        <f>PROPER(TEXT(Table1[[#This Row],[Fecha Inicio]],"mmmm"))</f>
        <v>Junio</v>
      </c>
      <c r="P703" s="96" t="s">
        <v>3492</v>
      </c>
      <c r="Q703" s="97" t="s">
        <v>3876</v>
      </c>
      <c r="R703" s="76">
        <f t="shared" si="50"/>
        <v>2</v>
      </c>
      <c r="S703" s="76">
        <f t="shared" si="51"/>
        <v>2</v>
      </c>
      <c r="T703" s="76" t="str">
        <f t="shared" si="52"/>
        <v>-</v>
      </c>
      <c r="U703" s="76" t="str">
        <f t="shared" si="53"/>
        <v>-</v>
      </c>
      <c r="V703" s="76" t="str">
        <f t="shared" si="54"/>
        <v>-</v>
      </c>
      <c r="Z703" s="62"/>
    </row>
    <row r="704" spans="1:26" ht="40.15" customHeight="1" x14ac:dyDescent="0.25">
      <c r="A704" s="87">
        <v>25</v>
      </c>
      <c r="B704" s="89" t="s">
        <v>1550</v>
      </c>
      <c r="C704" s="89"/>
      <c r="D704" s="89" t="s">
        <v>1570</v>
      </c>
      <c r="E704" s="89" t="s">
        <v>1571</v>
      </c>
      <c r="F704" s="87" t="s">
        <v>1556</v>
      </c>
      <c r="G704" s="92" t="s">
        <v>1557</v>
      </c>
      <c r="H704" s="93" t="s">
        <v>3877</v>
      </c>
      <c r="I704" s="87" t="s">
        <v>3878</v>
      </c>
      <c r="J704" s="87" t="s">
        <v>1640</v>
      </c>
      <c r="K704" s="87" t="s">
        <v>1641</v>
      </c>
      <c r="L704" s="126" t="s">
        <v>19</v>
      </c>
      <c r="M704" s="94">
        <v>44368.958333333336</v>
      </c>
      <c r="N704" s="94">
        <v>44369.041666666664</v>
      </c>
      <c r="O704" s="95" t="str">
        <f>PROPER(TEXT(Table1[[#This Row],[Fecha Inicio]],"mmmm"))</f>
        <v>Junio</v>
      </c>
      <c r="P704" s="96" t="s">
        <v>1642</v>
      </c>
      <c r="Q704" s="97" t="s">
        <v>3879</v>
      </c>
      <c r="R704" s="76">
        <f t="shared" si="50"/>
        <v>8</v>
      </c>
      <c r="S704" s="76">
        <f t="shared" si="51"/>
        <v>8</v>
      </c>
      <c r="T704" s="76" t="str">
        <f t="shared" si="52"/>
        <v>-</v>
      </c>
      <c r="U704" s="76" t="str">
        <f t="shared" si="53"/>
        <v>-</v>
      </c>
      <c r="V704" s="76" t="str">
        <f t="shared" si="54"/>
        <v>-</v>
      </c>
      <c r="Z704" s="62"/>
    </row>
    <row r="705" spans="1:26" ht="40.15" customHeight="1" x14ac:dyDescent="0.25">
      <c r="A705" s="87">
        <v>25</v>
      </c>
      <c r="B705" s="89" t="s">
        <v>1550</v>
      </c>
      <c r="C705" s="89"/>
      <c r="D705" s="89" t="s">
        <v>344</v>
      </c>
      <c r="E705" s="89" t="s">
        <v>1616</v>
      </c>
      <c r="F705" s="87" t="s">
        <v>1556</v>
      </c>
      <c r="G705" s="92" t="s">
        <v>1557</v>
      </c>
      <c r="H705" s="93" t="s">
        <v>3870</v>
      </c>
      <c r="I705" s="87" t="s">
        <v>3871</v>
      </c>
      <c r="J705" s="87" t="s">
        <v>2157</v>
      </c>
      <c r="K705" s="87" t="s">
        <v>2158</v>
      </c>
      <c r="L705" s="126" t="s">
        <v>19</v>
      </c>
      <c r="M705" s="94">
        <v>44368.958333333336</v>
      </c>
      <c r="N705" s="94">
        <v>44369.125</v>
      </c>
      <c r="O705" s="95" t="str">
        <f>PROPER(TEXT(Table1[[#This Row],[Fecha Inicio]],"mmmm"))</f>
        <v>Junio</v>
      </c>
      <c r="P705" s="96" t="s">
        <v>3872</v>
      </c>
      <c r="Q705" s="97" t="s">
        <v>3873</v>
      </c>
      <c r="R705" s="76">
        <f t="shared" si="50"/>
        <v>6</v>
      </c>
      <c r="S705" s="76">
        <f t="shared" si="51"/>
        <v>6</v>
      </c>
      <c r="T705" s="76" t="str">
        <f t="shared" si="52"/>
        <v>-</v>
      </c>
      <c r="U705" s="76" t="str">
        <f t="shared" si="53"/>
        <v>-</v>
      </c>
      <c r="V705" s="76" t="str">
        <f t="shared" si="54"/>
        <v>-</v>
      </c>
      <c r="Z705" s="62"/>
    </row>
    <row r="706" spans="1:26" ht="40.15" customHeight="1" x14ac:dyDescent="0.25">
      <c r="A706" s="87">
        <v>25</v>
      </c>
      <c r="B706" s="89" t="s">
        <v>1550</v>
      </c>
      <c r="C706" s="89" t="s">
        <v>1578</v>
      </c>
      <c r="D706" s="89" t="s">
        <v>1665</v>
      </c>
      <c r="E706" s="89" t="s">
        <v>1666</v>
      </c>
      <c r="F706" s="87" t="s">
        <v>1556</v>
      </c>
      <c r="G706" s="92" t="s">
        <v>1557</v>
      </c>
      <c r="H706" s="93" t="s">
        <v>3880</v>
      </c>
      <c r="I706" s="87" t="s">
        <v>3881</v>
      </c>
      <c r="J706" s="87" t="s">
        <v>1669</v>
      </c>
      <c r="K706" s="87" t="s">
        <v>1670</v>
      </c>
      <c r="L706" s="126" t="s">
        <v>19</v>
      </c>
      <c r="M706" s="94">
        <v>44368.999305555553</v>
      </c>
      <c r="N706" s="94">
        <v>44369.25</v>
      </c>
      <c r="O706" s="95" t="str">
        <f>PROPER(TEXT(Table1[[#This Row],[Fecha Inicio]],"mmmm"))</f>
        <v>Junio</v>
      </c>
      <c r="P706" s="96" t="s">
        <v>3882</v>
      </c>
      <c r="Q706" s="97" t="s">
        <v>3883</v>
      </c>
      <c r="R706" s="76">
        <f t="shared" ref="R706:R769" si="55">LEN(TRIM(P706))-LEN(SUBSTITUTE(TRIM(P706),",",""))+1</f>
        <v>1</v>
      </c>
      <c r="S706" s="76">
        <f t="shared" ref="S706:S769" si="56">IF(B706="CON ÉXITO",R706,"-")</f>
        <v>1</v>
      </c>
      <c r="T706" s="76" t="str">
        <f t="shared" ref="T706:T769" si="57">IF($B706="Éxito con problemas",S706,"-")</f>
        <v>-</v>
      </c>
      <c r="U706" s="76" t="str">
        <f t="shared" ref="U706:U769" si="58">IF($B706="CANCELADO",R706,"-")</f>
        <v>-</v>
      </c>
      <c r="V706" s="76" t="str">
        <f t="shared" ref="V706:V769" si="59">IF($B706="Aplicada marcha atrás",R706,"-")</f>
        <v>-</v>
      </c>
      <c r="Z706" s="62"/>
    </row>
    <row r="707" spans="1:26" ht="40.15" customHeight="1" x14ac:dyDescent="0.25">
      <c r="A707" s="87">
        <v>25</v>
      </c>
      <c r="B707" s="89" t="s">
        <v>1550</v>
      </c>
      <c r="C707" s="89" t="s">
        <v>3701</v>
      </c>
      <c r="D707" s="89" t="s">
        <v>326</v>
      </c>
      <c r="E707" s="89" t="s">
        <v>1631</v>
      </c>
      <c r="F707" s="87" t="s">
        <v>1556</v>
      </c>
      <c r="G707" s="92" t="s">
        <v>1557</v>
      </c>
      <c r="H707" s="93" t="s">
        <v>3884</v>
      </c>
      <c r="I707" s="87" t="s">
        <v>3501</v>
      </c>
      <c r="J707" s="87" t="s">
        <v>3502</v>
      </c>
      <c r="K707" s="87" t="s">
        <v>1709</v>
      </c>
      <c r="L707" s="126" t="s">
        <v>19</v>
      </c>
      <c r="M707" s="94">
        <v>44369</v>
      </c>
      <c r="N707" s="94">
        <v>44369.208333333336</v>
      </c>
      <c r="O707" s="95" t="str">
        <f>PROPER(TEXT(Table1[[#This Row],[Fecha Inicio]],"mmmm"))</f>
        <v>Junio</v>
      </c>
      <c r="P707" s="96" t="s">
        <v>3503</v>
      </c>
      <c r="Q707" s="97" t="s">
        <v>3885</v>
      </c>
      <c r="R707" s="76">
        <f t="shared" si="55"/>
        <v>10</v>
      </c>
      <c r="S707" s="76">
        <f t="shared" si="56"/>
        <v>10</v>
      </c>
      <c r="T707" s="76" t="str">
        <f t="shared" si="57"/>
        <v>-</v>
      </c>
      <c r="U707" s="76" t="str">
        <f t="shared" si="58"/>
        <v>-</v>
      </c>
      <c r="V707" s="76" t="str">
        <f t="shared" si="59"/>
        <v>-</v>
      </c>
      <c r="Z707" s="62"/>
    </row>
    <row r="708" spans="1:26" ht="40.15" customHeight="1" x14ac:dyDescent="0.25">
      <c r="A708" s="87">
        <v>24</v>
      </c>
      <c r="B708" s="89" t="s">
        <v>1550</v>
      </c>
      <c r="C708" s="89" t="s">
        <v>3886</v>
      </c>
      <c r="D708" s="89" t="s">
        <v>326</v>
      </c>
      <c r="E708" s="89" t="s">
        <v>1631</v>
      </c>
      <c r="F708" s="87" t="s">
        <v>1556</v>
      </c>
      <c r="G708" s="92" t="s">
        <v>1557</v>
      </c>
      <c r="H708" s="93" t="s">
        <v>3887</v>
      </c>
      <c r="I708" s="87" t="s">
        <v>2040</v>
      </c>
      <c r="J708" s="87" t="s">
        <v>1771</v>
      </c>
      <c r="K708" s="87" t="s">
        <v>1575</v>
      </c>
      <c r="L708" s="126" t="s">
        <v>19</v>
      </c>
      <c r="M708" s="94">
        <v>44369.291666666664</v>
      </c>
      <c r="N708" s="94">
        <v>44369.5</v>
      </c>
      <c r="O708" s="95" t="str">
        <f>PROPER(TEXT(Table1[[#This Row],[Fecha Inicio]],"mmmm"))</f>
        <v>Junio</v>
      </c>
      <c r="P708" s="96" t="s">
        <v>1772</v>
      </c>
      <c r="Q708" s="97" t="s">
        <v>3888</v>
      </c>
      <c r="R708" s="76">
        <f t="shared" si="55"/>
        <v>2</v>
      </c>
      <c r="S708" s="76">
        <f t="shared" si="56"/>
        <v>2</v>
      </c>
      <c r="T708" s="76" t="str">
        <f t="shared" si="57"/>
        <v>-</v>
      </c>
      <c r="U708" s="76" t="str">
        <f t="shared" si="58"/>
        <v>-</v>
      </c>
      <c r="V708" s="76" t="str">
        <f t="shared" si="59"/>
        <v>-</v>
      </c>
      <c r="Z708" s="62"/>
    </row>
    <row r="709" spans="1:26" ht="40.15" customHeight="1" x14ac:dyDescent="0.25">
      <c r="A709" s="87">
        <v>25</v>
      </c>
      <c r="B709" s="89" t="s">
        <v>1550</v>
      </c>
      <c r="C709" s="89"/>
      <c r="D709" s="89" t="s">
        <v>1623</v>
      </c>
      <c r="E709" s="89" t="s">
        <v>1624</v>
      </c>
      <c r="F709" s="87" t="s">
        <v>1556</v>
      </c>
      <c r="G709" s="92" t="s">
        <v>1557</v>
      </c>
      <c r="H709" s="93" t="s">
        <v>3889</v>
      </c>
      <c r="I709" s="87" t="s">
        <v>3634</v>
      </c>
      <c r="J709" s="87" t="s">
        <v>3635</v>
      </c>
      <c r="K709" s="87" t="s">
        <v>1575</v>
      </c>
      <c r="L709" s="87" t="s">
        <v>3890</v>
      </c>
      <c r="M709" s="94">
        <v>44369.333333333336</v>
      </c>
      <c r="N709" s="94">
        <v>44369.416666666664</v>
      </c>
      <c r="O709" s="95" t="str">
        <f>PROPER(TEXT(Table1[[#This Row],[Fecha Inicio]],"mmmm"))</f>
        <v>Junio</v>
      </c>
      <c r="P709" s="96" t="s">
        <v>3636</v>
      </c>
      <c r="Q709" s="97" t="s">
        <v>3891</v>
      </c>
      <c r="R709" s="76">
        <f t="shared" si="55"/>
        <v>2</v>
      </c>
      <c r="S709" s="76">
        <f t="shared" si="56"/>
        <v>2</v>
      </c>
      <c r="T709" s="76" t="str">
        <f t="shared" si="57"/>
        <v>-</v>
      </c>
      <c r="U709" s="76" t="str">
        <f t="shared" si="58"/>
        <v>-</v>
      </c>
      <c r="V709" s="76" t="str">
        <f t="shared" si="59"/>
        <v>-</v>
      </c>
      <c r="Z709" s="62"/>
    </row>
    <row r="710" spans="1:26" ht="40.15" customHeight="1" x14ac:dyDescent="0.25">
      <c r="A710" s="87">
        <v>25</v>
      </c>
      <c r="B710" s="89" t="s">
        <v>1550</v>
      </c>
      <c r="C710" s="89"/>
      <c r="D710" s="89" t="s">
        <v>3892</v>
      </c>
      <c r="E710" s="89" t="s">
        <v>1555</v>
      </c>
      <c r="F710" s="87" t="s">
        <v>1556</v>
      </c>
      <c r="G710" s="92" t="s">
        <v>1557</v>
      </c>
      <c r="H710" s="93" t="s">
        <v>3893</v>
      </c>
      <c r="I710" s="87" t="s">
        <v>3090</v>
      </c>
      <c r="J710" s="87" t="s">
        <v>1902</v>
      </c>
      <c r="K710" s="87" t="s">
        <v>1575</v>
      </c>
      <c r="L710" s="87" t="s">
        <v>52</v>
      </c>
      <c r="M710" s="94">
        <v>44369.375</v>
      </c>
      <c r="N710" s="94">
        <v>44369.625</v>
      </c>
      <c r="O710" s="95" t="str">
        <f>PROPER(TEXT(Table1[[#This Row],[Fecha Inicio]],"mmmm"))</f>
        <v>Junio</v>
      </c>
      <c r="P710" s="96" t="s">
        <v>3894</v>
      </c>
      <c r="Q710" s="97" t="s">
        <v>3895</v>
      </c>
      <c r="R710" s="76">
        <f t="shared" si="55"/>
        <v>3</v>
      </c>
      <c r="S710" s="76">
        <f t="shared" si="56"/>
        <v>3</v>
      </c>
      <c r="T710" s="76" t="str">
        <f t="shared" si="57"/>
        <v>-</v>
      </c>
      <c r="U710" s="76" t="str">
        <f t="shared" si="58"/>
        <v>-</v>
      </c>
      <c r="V710" s="76" t="str">
        <f t="shared" si="59"/>
        <v>-</v>
      </c>
      <c r="Z710" s="62"/>
    </row>
    <row r="711" spans="1:26" ht="40.15" customHeight="1" x14ac:dyDescent="0.25">
      <c r="A711" s="87">
        <v>25</v>
      </c>
      <c r="B711" s="89" t="s">
        <v>1550</v>
      </c>
      <c r="C711" s="89"/>
      <c r="D711" s="89" t="s">
        <v>326</v>
      </c>
      <c r="E711" s="89" t="s">
        <v>1631</v>
      </c>
      <c r="F711" s="87" t="s">
        <v>1556</v>
      </c>
      <c r="G711" s="92" t="s">
        <v>1557</v>
      </c>
      <c r="H711" s="93" t="s">
        <v>3896</v>
      </c>
      <c r="I711" s="87" t="s">
        <v>3897</v>
      </c>
      <c r="J711" s="87" t="s">
        <v>1760</v>
      </c>
      <c r="K711" s="87" t="s">
        <v>1761</v>
      </c>
      <c r="L711" s="126" t="s">
        <v>19</v>
      </c>
      <c r="M711" s="94">
        <v>44369.4375</v>
      </c>
      <c r="N711" s="94">
        <v>44369.520833333336</v>
      </c>
      <c r="O711" s="95" t="str">
        <f>PROPER(TEXT(Table1[[#This Row],[Fecha Inicio]],"mmmm"))</f>
        <v>Junio</v>
      </c>
      <c r="P711" s="96" t="s">
        <v>152</v>
      </c>
      <c r="Q711" s="97" t="s">
        <v>3898</v>
      </c>
      <c r="R711" s="76">
        <f t="shared" si="55"/>
        <v>1</v>
      </c>
      <c r="S711" s="76">
        <f t="shared" si="56"/>
        <v>1</v>
      </c>
      <c r="T711" s="76" t="str">
        <f t="shared" si="57"/>
        <v>-</v>
      </c>
      <c r="U711" s="76" t="str">
        <f t="shared" si="58"/>
        <v>-</v>
      </c>
      <c r="V711" s="76" t="str">
        <f t="shared" si="59"/>
        <v>-</v>
      </c>
      <c r="Z711" s="62"/>
    </row>
    <row r="712" spans="1:26" ht="40.15" customHeight="1" x14ac:dyDescent="0.25">
      <c r="A712" s="87">
        <v>25</v>
      </c>
      <c r="B712" s="89" t="s">
        <v>1550</v>
      </c>
      <c r="C712" s="89" t="s">
        <v>3899</v>
      </c>
      <c r="D712" s="89" t="s">
        <v>326</v>
      </c>
      <c r="E712" s="89" t="s">
        <v>1631</v>
      </c>
      <c r="F712" s="87" t="s">
        <v>1556</v>
      </c>
      <c r="G712" s="92" t="s">
        <v>1557</v>
      </c>
      <c r="H712" s="93" t="s">
        <v>3900</v>
      </c>
      <c r="I712" s="87" t="s">
        <v>1961</v>
      </c>
      <c r="J712" s="87" t="s">
        <v>1962</v>
      </c>
      <c r="K712" s="87" t="s">
        <v>1575</v>
      </c>
      <c r="L712" s="126" t="s">
        <v>19</v>
      </c>
      <c r="M712" s="94">
        <v>44369.833333333336</v>
      </c>
      <c r="N712" s="94">
        <v>44369.875</v>
      </c>
      <c r="O712" s="95" t="str">
        <f>PROPER(TEXT(Table1[[#This Row],[Fecha Inicio]],"mmmm"))</f>
        <v>Junio</v>
      </c>
      <c r="P712" s="96" t="s">
        <v>207</v>
      </c>
      <c r="Q712" s="97" t="s">
        <v>3901</v>
      </c>
      <c r="R712" s="76">
        <f t="shared" si="55"/>
        <v>1</v>
      </c>
      <c r="S712" s="76">
        <f t="shared" si="56"/>
        <v>1</v>
      </c>
      <c r="T712" s="76" t="str">
        <f t="shared" si="57"/>
        <v>-</v>
      </c>
      <c r="U712" s="76" t="str">
        <f t="shared" si="58"/>
        <v>-</v>
      </c>
      <c r="V712" s="76" t="str">
        <f t="shared" si="59"/>
        <v>-</v>
      </c>
      <c r="Z712" s="62"/>
    </row>
    <row r="713" spans="1:26" ht="40.15" customHeight="1" x14ac:dyDescent="0.25">
      <c r="A713" s="87">
        <v>25</v>
      </c>
      <c r="B713" s="89" t="s">
        <v>1550</v>
      </c>
      <c r="C713" s="89"/>
      <c r="D713" s="89" t="s">
        <v>344</v>
      </c>
      <c r="E713" s="89" t="s">
        <v>1616</v>
      </c>
      <c r="F713" s="87" t="s">
        <v>1556</v>
      </c>
      <c r="G713" s="92" t="s">
        <v>1557</v>
      </c>
      <c r="H713" s="93" t="s">
        <v>3902</v>
      </c>
      <c r="I713" s="87" t="s">
        <v>3871</v>
      </c>
      <c r="J713" s="87" t="s">
        <v>2157</v>
      </c>
      <c r="K713" s="87" t="s">
        <v>2158</v>
      </c>
      <c r="L713" s="126" t="s">
        <v>19</v>
      </c>
      <c r="M713" s="94">
        <v>44369.958333333336</v>
      </c>
      <c r="N713" s="94">
        <v>44370.125</v>
      </c>
      <c r="O713" s="95" t="str">
        <f>PROPER(TEXT(Table1[[#This Row],[Fecha Inicio]],"mmmm"))</f>
        <v>Junio</v>
      </c>
      <c r="P713" s="96" t="s">
        <v>3903</v>
      </c>
      <c r="Q713" s="97" t="s">
        <v>3904</v>
      </c>
      <c r="R713" s="76">
        <f t="shared" si="55"/>
        <v>6</v>
      </c>
      <c r="S713" s="76">
        <f t="shared" si="56"/>
        <v>6</v>
      </c>
      <c r="T713" s="76" t="str">
        <f t="shared" si="57"/>
        <v>-</v>
      </c>
      <c r="U713" s="76" t="str">
        <f t="shared" si="58"/>
        <v>-</v>
      </c>
      <c r="V713" s="76" t="str">
        <f t="shared" si="59"/>
        <v>-</v>
      </c>
      <c r="Z713" s="62"/>
    </row>
    <row r="714" spans="1:26" ht="40.15" customHeight="1" x14ac:dyDescent="0.25">
      <c r="A714" s="87">
        <v>25</v>
      </c>
      <c r="B714" s="89" t="s">
        <v>1550</v>
      </c>
      <c r="C714" s="89" t="s">
        <v>3905</v>
      </c>
      <c r="D714" s="89" t="s">
        <v>344</v>
      </c>
      <c r="E714" s="89" t="s">
        <v>1616</v>
      </c>
      <c r="F714" s="87" t="s">
        <v>1556</v>
      </c>
      <c r="G714" s="92" t="s">
        <v>1557</v>
      </c>
      <c r="H714" s="93" t="s">
        <v>3906</v>
      </c>
      <c r="I714" s="87" t="s">
        <v>1801</v>
      </c>
      <c r="J714" s="87" t="s">
        <v>1802</v>
      </c>
      <c r="K714" s="87" t="s">
        <v>1596</v>
      </c>
      <c r="L714" s="126" t="s">
        <v>19</v>
      </c>
      <c r="M714" s="94">
        <v>44369.958333333336</v>
      </c>
      <c r="N714" s="94">
        <v>44370.125</v>
      </c>
      <c r="O714" s="95" t="str">
        <f>PROPER(TEXT(Table1[[#This Row],[Fecha Inicio]],"mmmm"))</f>
        <v>Junio</v>
      </c>
      <c r="P714" s="96" t="s">
        <v>2422</v>
      </c>
      <c r="Q714" s="97" t="s">
        <v>3907</v>
      </c>
      <c r="R714" s="76">
        <f t="shared" si="55"/>
        <v>2</v>
      </c>
      <c r="S714" s="76">
        <f t="shared" si="56"/>
        <v>2</v>
      </c>
      <c r="T714" s="76" t="str">
        <f t="shared" si="57"/>
        <v>-</v>
      </c>
      <c r="U714" s="76" t="str">
        <f t="shared" si="58"/>
        <v>-</v>
      </c>
      <c r="V714" s="76" t="str">
        <f t="shared" si="59"/>
        <v>-</v>
      </c>
      <c r="Z714" s="62"/>
    </row>
    <row r="715" spans="1:26" ht="40.15" customHeight="1" x14ac:dyDescent="0.25">
      <c r="A715" s="87">
        <v>25</v>
      </c>
      <c r="B715" s="89" t="s">
        <v>1550</v>
      </c>
      <c r="C715" s="89" t="s">
        <v>3908</v>
      </c>
      <c r="D715" s="89" t="s">
        <v>1554</v>
      </c>
      <c r="E715" s="89" t="s">
        <v>1555</v>
      </c>
      <c r="F715" s="87" t="s">
        <v>1556</v>
      </c>
      <c r="G715" s="92" t="s">
        <v>1557</v>
      </c>
      <c r="H715" s="93" t="s">
        <v>3909</v>
      </c>
      <c r="I715" s="87" t="s">
        <v>3842</v>
      </c>
      <c r="J715" s="87" t="s">
        <v>2239</v>
      </c>
      <c r="K715" s="87" t="s">
        <v>1575</v>
      </c>
      <c r="L715" s="87" t="s">
        <v>52</v>
      </c>
      <c r="M715" s="94">
        <v>44370.375</v>
      </c>
      <c r="N715" s="94">
        <v>44370.625</v>
      </c>
      <c r="O715" s="95" t="str">
        <f>PROPER(TEXT(Table1[[#This Row],[Fecha Inicio]],"mmmm"))</f>
        <v>Junio</v>
      </c>
      <c r="P715" s="96" t="s">
        <v>3910</v>
      </c>
      <c r="Q715" s="97" t="s">
        <v>3911</v>
      </c>
      <c r="R715" s="76">
        <f t="shared" si="55"/>
        <v>40</v>
      </c>
      <c r="S715" s="76">
        <f t="shared" si="56"/>
        <v>40</v>
      </c>
      <c r="T715" s="76" t="str">
        <f t="shared" si="57"/>
        <v>-</v>
      </c>
      <c r="U715" s="76" t="str">
        <f t="shared" si="58"/>
        <v>-</v>
      </c>
      <c r="V715" s="76" t="str">
        <f t="shared" si="59"/>
        <v>-</v>
      </c>
      <c r="Z715" s="62"/>
    </row>
    <row r="716" spans="1:26" ht="40.15" customHeight="1" x14ac:dyDescent="0.25">
      <c r="A716" s="105">
        <v>25</v>
      </c>
      <c r="B716" s="106" t="s">
        <v>1550</v>
      </c>
      <c r="C716" s="106"/>
      <c r="D716" s="106" t="s">
        <v>344</v>
      </c>
      <c r="E716" s="106" t="s">
        <v>1616</v>
      </c>
      <c r="F716" s="105" t="s">
        <v>1556</v>
      </c>
      <c r="G716" s="92" t="s">
        <v>1557</v>
      </c>
      <c r="H716" s="107" t="s">
        <v>3912</v>
      </c>
      <c r="I716" s="105" t="s">
        <v>2757</v>
      </c>
      <c r="J716" s="105" t="s">
        <v>1560</v>
      </c>
      <c r="K716" s="105" t="s">
        <v>1561</v>
      </c>
      <c r="L716" s="126" t="s">
        <v>19</v>
      </c>
      <c r="M716" s="108">
        <v>44370.416666666664</v>
      </c>
      <c r="N716" s="108">
        <v>44370.708333333336</v>
      </c>
      <c r="O716" s="109" t="str">
        <f>PROPER(TEXT(Table1[[#This Row],[Fecha Inicio]],"mmmm"))</f>
        <v>Junio</v>
      </c>
      <c r="P716" s="110" t="s">
        <v>1650</v>
      </c>
      <c r="Q716" s="111" t="s">
        <v>3913</v>
      </c>
      <c r="R716" s="76">
        <f t="shared" si="55"/>
        <v>1</v>
      </c>
      <c r="S716" s="76">
        <f t="shared" si="56"/>
        <v>1</v>
      </c>
      <c r="T716" s="76" t="str">
        <f t="shared" si="57"/>
        <v>-</v>
      </c>
      <c r="U716" s="76" t="str">
        <f t="shared" si="58"/>
        <v>-</v>
      </c>
      <c r="V716" s="76" t="str">
        <f t="shared" si="59"/>
        <v>-</v>
      </c>
      <c r="Z716" s="62"/>
    </row>
    <row r="717" spans="1:26" ht="40.15" customHeight="1" x14ac:dyDescent="0.25">
      <c r="A717" s="105">
        <v>25</v>
      </c>
      <c r="B717" s="106" t="s">
        <v>1550</v>
      </c>
      <c r="C717" s="106" t="s">
        <v>3914</v>
      </c>
      <c r="D717" s="106" t="s">
        <v>326</v>
      </c>
      <c r="E717" s="106" t="s">
        <v>1631</v>
      </c>
      <c r="F717" s="105" t="s">
        <v>1556</v>
      </c>
      <c r="G717" s="92" t="s">
        <v>1557</v>
      </c>
      <c r="H717" s="107" t="s">
        <v>3915</v>
      </c>
      <c r="I717" s="105" t="s">
        <v>3916</v>
      </c>
      <c r="J717" s="105" t="s">
        <v>1760</v>
      </c>
      <c r="K717" s="105" t="s">
        <v>1761</v>
      </c>
      <c r="L717" s="126" t="s">
        <v>19</v>
      </c>
      <c r="M717" s="108">
        <v>44370.5625</v>
      </c>
      <c r="N717" s="108">
        <v>44370.645833333336</v>
      </c>
      <c r="O717" s="109" t="str">
        <f>PROPER(TEXT(Table1[[#This Row],[Fecha Inicio]],"mmmm"))</f>
        <v>Junio</v>
      </c>
      <c r="P717" s="110" t="s">
        <v>107</v>
      </c>
      <c r="Q717" s="111" t="s">
        <v>3917</v>
      </c>
      <c r="R717" s="76">
        <f t="shared" si="55"/>
        <v>1</v>
      </c>
      <c r="S717" s="76">
        <f t="shared" si="56"/>
        <v>1</v>
      </c>
      <c r="T717" s="76" t="str">
        <f t="shared" si="57"/>
        <v>-</v>
      </c>
      <c r="U717" s="76" t="str">
        <f t="shared" si="58"/>
        <v>-</v>
      </c>
      <c r="V717" s="76" t="str">
        <f t="shared" si="59"/>
        <v>-</v>
      </c>
      <c r="Z717" s="62"/>
    </row>
    <row r="718" spans="1:26" ht="40.15" customHeight="1" x14ac:dyDescent="0.25">
      <c r="A718" s="105">
        <v>25</v>
      </c>
      <c r="B718" s="106" t="s">
        <v>1550</v>
      </c>
      <c r="C718" s="106"/>
      <c r="D718" s="106" t="s">
        <v>1665</v>
      </c>
      <c r="E718" s="106" t="s">
        <v>1666</v>
      </c>
      <c r="F718" s="105" t="s">
        <v>1556</v>
      </c>
      <c r="G718" s="92" t="s">
        <v>1557</v>
      </c>
      <c r="H718" s="107" t="s">
        <v>3918</v>
      </c>
      <c r="I718" s="105" t="s">
        <v>3919</v>
      </c>
      <c r="J718" s="105" t="s">
        <v>1669</v>
      </c>
      <c r="K718" s="105" t="s">
        <v>1670</v>
      </c>
      <c r="L718" s="126" t="s">
        <v>19</v>
      </c>
      <c r="M718" s="108">
        <v>44370.666666666664</v>
      </c>
      <c r="N718" s="108">
        <v>44370.694444444445</v>
      </c>
      <c r="O718" s="109" t="str">
        <f>PROPER(TEXT(Table1[[#This Row],[Fecha Inicio]],"mmmm"))</f>
        <v>Junio</v>
      </c>
      <c r="P718" s="110" t="s">
        <v>2226</v>
      </c>
      <c r="Q718" s="111" t="s">
        <v>3920</v>
      </c>
      <c r="R718" s="76">
        <f t="shared" si="55"/>
        <v>1</v>
      </c>
      <c r="S718" s="76">
        <f t="shared" si="56"/>
        <v>1</v>
      </c>
      <c r="T718" s="76" t="str">
        <f t="shared" si="57"/>
        <v>-</v>
      </c>
      <c r="U718" s="76" t="str">
        <f t="shared" si="58"/>
        <v>-</v>
      </c>
      <c r="V718" s="76" t="str">
        <f t="shared" si="59"/>
        <v>-</v>
      </c>
      <c r="Z718" s="62"/>
    </row>
    <row r="719" spans="1:26" ht="40.15" customHeight="1" x14ac:dyDescent="0.25">
      <c r="A719" s="105">
        <v>25</v>
      </c>
      <c r="B719" s="106" t="s">
        <v>1550</v>
      </c>
      <c r="C719" s="106"/>
      <c r="D719" s="106" t="s">
        <v>1665</v>
      </c>
      <c r="E719" s="106" t="s">
        <v>1666</v>
      </c>
      <c r="F719" s="105" t="s">
        <v>1556</v>
      </c>
      <c r="G719" s="92" t="s">
        <v>1557</v>
      </c>
      <c r="H719" s="107" t="s">
        <v>3921</v>
      </c>
      <c r="I719" s="105" t="s">
        <v>3922</v>
      </c>
      <c r="J719" s="105" t="s">
        <v>1669</v>
      </c>
      <c r="K719" s="105" t="s">
        <v>1670</v>
      </c>
      <c r="L719" s="105" t="s">
        <v>52</v>
      </c>
      <c r="M719" s="108">
        <v>44370.999305555553</v>
      </c>
      <c r="N719" s="108">
        <v>44371.041666666664</v>
      </c>
      <c r="O719" s="109" t="str">
        <f>PROPER(TEXT(Table1[[#This Row],[Fecha Inicio]],"mmmm"))</f>
        <v>Junio</v>
      </c>
      <c r="P719" s="110" t="s">
        <v>3923</v>
      </c>
      <c r="Q719" s="111" t="s">
        <v>3924</v>
      </c>
      <c r="R719" s="76">
        <f t="shared" si="55"/>
        <v>1</v>
      </c>
      <c r="S719" s="76">
        <f t="shared" si="56"/>
        <v>1</v>
      </c>
      <c r="T719" s="76" t="str">
        <f t="shared" si="57"/>
        <v>-</v>
      </c>
      <c r="U719" s="76" t="str">
        <f t="shared" si="58"/>
        <v>-</v>
      </c>
      <c r="V719" s="76" t="str">
        <f t="shared" si="59"/>
        <v>-</v>
      </c>
      <c r="Z719" s="62"/>
    </row>
    <row r="720" spans="1:26" ht="40.15" customHeight="1" x14ac:dyDescent="0.25">
      <c r="A720" s="105">
        <v>25</v>
      </c>
      <c r="B720" s="106" t="s">
        <v>3527</v>
      </c>
      <c r="C720" s="106" t="s">
        <v>3925</v>
      </c>
      <c r="D720" s="106" t="s">
        <v>326</v>
      </c>
      <c r="E720" s="106" t="s">
        <v>1631</v>
      </c>
      <c r="F720" s="105" t="s">
        <v>1556</v>
      </c>
      <c r="G720" s="92" t="s">
        <v>1557</v>
      </c>
      <c r="H720" s="107" t="s">
        <v>3926</v>
      </c>
      <c r="I720" s="105" t="s">
        <v>3522</v>
      </c>
      <c r="J720" s="105" t="s">
        <v>2404</v>
      </c>
      <c r="K720" s="105" t="s">
        <v>1575</v>
      </c>
      <c r="L720" s="126" t="s">
        <v>19</v>
      </c>
      <c r="M720" s="108">
        <v>44371</v>
      </c>
      <c r="N720" s="108">
        <v>44371.166666666664</v>
      </c>
      <c r="O720" s="109" t="str">
        <f>PROPER(TEXT(Table1[[#This Row],[Fecha Inicio]],"mmmm"))</f>
        <v>Junio</v>
      </c>
      <c r="P720" s="110" t="s">
        <v>3523</v>
      </c>
      <c r="Q720" s="111" t="s">
        <v>3927</v>
      </c>
      <c r="R720" s="76">
        <f t="shared" si="55"/>
        <v>1</v>
      </c>
      <c r="S720" s="76" t="str">
        <f t="shared" si="56"/>
        <v>-</v>
      </c>
      <c r="T720" s="76" t="str">
        <f t="shared" si="57"/>
        <v>-</v>
      </c>
      <c r="U720" s="76" t="str">
        <f t="shared" si="58"/>
        <v>-</v>
      </c>
      <c r="V720" s="76" t="str">
        <f t="shared" si="59"/>
        <v>-</v>
      </c>
      <c r="Z720" s="62"/>
    </row>
    <row r="721" spans="1:26" ht="40.15" customHeight="1" x14ac:dyDescent="0.25">
      <c r="A721" s="105">
        <v>25</v>
      </c>
      <c r="B721" s="106" t="s">
        <v>1550</v>
      </c>
      <c r="C721" s="106"/>
      <c r="D721" s="106" t="s">
        <v>1554</v>
      </c>
      <c r="E721" s="106" t="s">
        <v>1555</v>
      </c>
      <c r="F721" s="105" t="s">
        <v>1556</v>
      </c>
      <c r="G721" s="92" t="s">
        <v>1557</v>
      </c>
      <c r="H721" s="107" t="s">
        <v>3928</v>
      </c>
      <c r="I721" s="105" t="s">
        <v>3214</v>
      </c>
      <c r="J721" s="105" t="s">
        <v>2239</v>
      </c>
      <c r="K721" s="105" t="s">
        <v>1575</v>
      </c>
      <c r="L721" s="105" t="s">
        <v>52</v>
      </c>
      <c r="M721" s="108">
        <v>44371.375</v>
      </c>
      <c r="N721" s="108">
        <v>44371.625</v>
      </c>
      <c r="O721" s="109" t="str">
        <f>PROPER(TEXT(Table1[[#This Row],[Fecha Inicio]],"mmmm"))</f>
        <v>Junio</v>
      </c>
      <c r="P721" s="110" t="s">
        <v>3719</v>
      </c>
      <c r="Q721" s="111" t="s">
        <v>3929</v>
      </c>
      <c r="R721" s="76">
        <f t="shared" si="55"/>
        <v>16</v>
      </c>
      <c r="S721" s="76">
        <f t="shared" si="56"/>
        <v>16</v>
      </c>
      <c r="T721" s="76" t="str">
        <f t="shared" si="57"/>
        <v>-</v>
      </c>
      <c r="U721" s="76" t="str">
        <f t="shared" si="58"/>
        <v>-</v>
      </c>
      <c r="V721" s="76" t="str">
        <f t="shared" si="59"/>
        <v>-</v>
      </c>
      <c r="Z721" s="62"/>
    </row>
    <row r="722" spans="1:26" ht="40.15" customHeight="1" x14ac:dyDescent="0.25">
      <c r="A722" s="105">
        <v>25</v>
      </c>
      <c r="B722" s="106" t="s">
        <v>1550</v>
      </c>
      <c r="C722" s="106"/>
      <c r="D722" s="106" t="s">
        <v>1554</v>
      </c>
      <c r="E722" s="106" t="s">
        <v>1555</v>
      </c>
      <c r="F722" s="105" t="s">
        <v>1556</v>
      </c>
      <c r="G722" s="92" t="s">
        <v>1557</v>
      </c>
      <c r="H722" s="107" t="s">
        <v>3930</v>
      </c>
      <c r="I722" s="105" t="s">
        <v>3214</v>
      </c>
      <c r="J722" s="105" t="s">
        <v>2239</v>
      </c>
      <c r="K722" s="105" t="s">
        <v>1575</v>
      </c>
      <c r="L722" s="105" t="s">
        <v>52</v>
      </c>
      <c r="M722" s="108">
        <v>44371.375</v>
      </c>
      <c r="N722" s="108">
        <v>44371.625</v>
      </c>
      <c r="O722" s="109" t="str">
        <f>PROPER(TEXT(Table1[[#This Row],[Fecha Inicio]],"mmmm"))</f>
        <v>Junio</v>
      </c>
      <c r="P722" s="110" t="s">
        <v>3931</v>
      </c>
      <c r="Q722" s="111" t="s">
        <v>3932</v>
      </c>
      <c r="R722" s="76">
        <f t="shared" si="55"/>
        <v>11</v>
      </c>
      <c r="S722" s="76">
        <f t="shared" si="56"/>
        <v>11</v>
      </c>
      <c r="T722" s="76" t="str">
        <f t="shared" si="57"/>
        <v>-</v>
      </c>
      <c r="U722" s="76" t="str">
        <f t="shared" si="58"/>
        <v>-</v>
      </c>
      <c r="V722" s="76" t="str">
        <f t="shared" si="59"/>
        <v>-</v>
      </c>
      <c r="Z722" s="62"/>
    </row>
    <row r="723" spans="1:26" ht="40.15" customHeight="1" x14ac:dyDescent="0.25">
      <c r="A723" s="87">
        <v>25</v>
      </c>
      <c r="B723" s="89" t="s">
        <v>1550</v>
      </c>
      <c r="C723" s="89" t="s">
        <v>3937</v>
      </c>
      <c r="D723" s="89" t="s">
        <v>326</v>
      </c>
      <c r="E723" s="89" t="s">
        <v>1742</v>
      </c>
      <c r="F723" s="87" t="s">
        <v>1556</v>
      </c>
      <c r="G723" s="92" t="s">
        <v>1557</v>
      </c>
      <c r="H723" s="93" t="s">
        <v>3938</v>
      </c>
      <c r="I723" s="87" t="s">
        <v>3939</v>
      </c>
      <c r="J723" s="87" t="s">
        <v>1560</v>
      </c>
      <c r="K723" s="87" t="s">
        <v>1561</v>
      </c>
      <c r="L723" s="126" t="s">
        <v>19</v>
      </c>
      <c r="M723" s="94">
        <v>44371.395833333336</v>
      </c>
      <c r="N723" s="94">
        <v>44371.541666666664</v>
      </c>
      <c r="O723" s="95" t="str">
        <f>PROPER(TEXT(Table1[[#This Row],[Fecha Inicio]],"mmmm"))</f>
        <v>Junio</v>
      </c>
      <c r="P723" s="96" t="s">
        <v>3940</v>
      </c>
      <c r="Q723" s="97" t="s">
        <v>3941</v>
      </c>
      <c r="R723" s="76">
        <f t="shared" si="55"/>
        <v>1</v>
      </c>
      <c r="S723" s="76">
        <f t="shared" si="56"/>
        <v>1</v>
      </c>
      <c r="T723" s="76" t="str">
        <f t="shared" si="57"/>
        <v>-</v>
      </c>
      <c r="U723" s="76" t="str">
        <f t="shared" si="58"/>
        <v>-</v>
      </c>
      <c r="V723" s="76" t="str">
        <f t="shared" si="59"/>
        <v>-</v>
      </c>
      <c r="Z723" s="62"/>
    </row>
    <row r="724" spans="1:26" ht="40.15" customHeight="1" x14ac:dyDescent="0.25">
      <c r="A724" s="105">
        <v>25</v>
      </c>
      <c r="B724" s="106" t="s">
        <v>1550</v>
      </c>
      <c r="C724" s="106"/>
      <c r="D724" s="106" t="s">
        <v>326</v>
      </c>
      <c r="E724" s="106" t="s">
        <v>1742</v>
      </c>
      <c r="F724" s="105" t="s">
        <v>1556</v>
      </c>
      <c r="G724" s="92" t="s">
        <v>1557</v>
      </c>
      <c r="H724" s="107" t="s">
        <v>3933</v>
      </c>
      <c r="I724" s="105" t="s">
        <v>3934</v>
      </c>
      <c r="J724" s="105" t="s">
        <v>1560</v>
      </c>
      <c r="K724" s="105" t="s">
        <v>1561</v>
      </c>
      <c r="L724" s="126" t="s">
        <v>19</v>
      </c>
      <c r="M724" s="108">
        <v>44371.395833333336</v>
      </c>
      <c r="N724" s="108">
        <v>44371.583333333336</v>
      </c>
      <c r="O724" s="109" t="str">
        <f>PROPER(TEXT(Table1[[#This Row],[Fecha Inicio]],"mmmm"))</f>
        <v>Junio</v>
      </c>
      <c r="P724" s="110" t="s">
        <v>3935</v>
      </c>
      <c r="Q724" s="111" t="s">
        <v>3936</v>
      </c>
      <c r="R724" s="76">
        <f t="shared" si="55"/>
        <v>1</v>
      </c>
      <c r="S724" s="76">
        <f t="shared" si="56"/>
        <v>1</v>
      </c>
      <c r="T724" s="76" t="str">
        <f t="shared" si="57"/>
        <v>-</v>
      </c>
      <c r="U724" s="76" t="str">
        <f t="shared" si="58"/>
        <v>-</v>
      </c>
      <c r="V724" s="76" t="str">
        <f t="shared" si="59"/>
        <v>-</v>
      </c>
      <c r="Z724" s="62"/>
    </row>
    <row r="725" spans="1:26" ht="40.15" customHeight="1" x14ac:dyDescent="0.25">
      <c r="A725" s="87">
        <v>25</v>
      </c>
      <c r="B725" s="89" t="s">
        <v>1550</v>
      </c>
      <c r="C725" s="89"/>
      <c r="D725" s="89" t="s">
        <v>344</v>
      </c>
      <c r="E725" s="89" t="s">
        <v>1616</v>
      </c>
      <c r="F725" s="87" t="s">
        <v>1556</v>
      </c>
      <c r="G725" s="92" t="s">
        <v>1557</v>
      </c>
      <c r="H725" s="93" t="s">
        <v>3942</v>
      </c>
      <c r="I725" s="87" t="s">
        <v>2757</v>
      </c>
      <c r="J725" s="87" t="s">
        <v>1560</v>
      </c>
      <c r="K725" s="87" t="s">
        <v>1561</v>
      </c>
      <c r="L725" s="126" t="s">
        <v>19</v>
      </c>
      <c r="M725" s="94">
        <v>44371.416666666664</v>
      </c>
      <c r="N725" s="94">
        <v>44371.708333333336</v>
      </c>
      <c r="O725" s="95" t="str">
        <f>PROPER(TEXT(Table1[[#This Row],[Fecha Inicio]],"mmmm"))</f>
        <v>Junio</v>
      </c>
      <c r="P725" s="96" t="s">
        <v>1682</v>
      </c>
      <c r="Q725" s="97" t="s">
        <v>3943</v>
      </c>
      <c r="R725" s="76">
        <f t="shared" si="55"/>
        <v>1</v>
      </c>
      <c r="S725" s="76">
        <f t="shared" si="56"/>
        <v>1</v>
      </c>
      <c r="T725" s="76" t="str">
        <f t="shared" si="57"/>
        <v>-</v>
      </c>
      <c r="U725" s="76" t="str">
        <f t="shared" si="58"/>
        <v>-</v>
      </c>
      <c r="V725" s="76" t="str">
        <f t="shared" si="59"/>
        <v>-</v>
      </c>
      <c r="Z725" s="62"/>
    </row>
    <row r="726" spans="1:26" ht="40.15" customHeight="1" x14ac:dyDescent="0.25">
      <c r="A726" s="87">
        <v>25</v>
      </c>
      <c r="B726" s="89" t="s">
        <v>1550</v>
      </c>
      <c r="C726" s="89" t="s">
        <v>3944</v>
      </c>
      <c r="D726" s="89" t="s">
        <v>344</v>
      </c>
      <c r="E726" s="89" t="s">
        <v>1799</v>
      </c>
      <c r="F726" s="87" t="s">
        <v>1556</v>
      </c>
      <c r="G726" s="92" t="s">
        <v>1557</v>
      </c>
      <c r="H726" s="93" t="s">
        <v>3945</v>
      </c>
      <c r="I726" s="87" t="s">
        <v>1829</v>
      </c>
      <c r="J726" s="87" t="s">
        <v>1560</v>
      </c>
      <c r="K726" s="87" t="s">
        <v>1561</v>
      </c>
      <c r="L726" s="126" t="s">
        <v>19</v>
      </c>
      <c r="M726" s="94">
        <v>44371.666666666664</v>
      </c>
      <c r="N726" s="94">
        <v>44371.833333333336</v>
      </c>
      <c r="O726" s="95" t="str">
        <f>PROPER(TEXT(Table1[[#This Row],[Fecha Inicio]],"mmmm"))</f>
        <v>Junio</v>
      </c>
      <c r="P726" s="96" t="s">
        <v>2440</v>
      </c>
      <c r="Q726" s="97" t="s">
        <v>3946</v>
      </c>
      <c r="R726" s="76">
        <f t="shared" si="55"/>
        <v>1</v>
      </c>
      <c r="S726" s="76">
        <f t="shared" si="56"/>
        <v>1</v>
      </c>
      <c r="T726" s="76" t="str">
        <f t="shared" si="57"/>
        <v>-</v>
      </c>
      <c r="U726" s="76" t="str">
        <f t="shared" si="58"/>
        <v>-</v>
      </c>
      <c r="V726" s="76" t="str">
        <f t="shared" si="59"/>
        <v>-</v>
      </c>
      <c r="Z726" s="62"/>
    </row>
    <row r="727" spans="1:26" ht="40.15" customHeight="1" x14ac:dyDescent="0.25">
      <c r="A727" s="87">
        <v>25</v>
      </c>
      <c r="B727" s="89" t="s">
        <v>1550</v>
      </c>
      <c r="C727" s="89" t="s">
        <v>3701</v>
      </c>
      <c r="D727" s="89" t="s">
        <v>326</v>
      </c>
      <c r="E727" s="89" t="s">
        <v>1631</v>
      </c>
      <c r="F727" s="87" t="s">
        <v>1556</v>
      </c>
      <c r="G727" s="92" t="s">
        <v>1557</v>
      </c>
      <c r="H727" s="93" t="s">
        <v>3947</v>
      </c>
      <c r="I727" s="87" t="s">
        <v>3536</v>
      </c>
      <c r="J727" s="87" t="s">
        <v>3537</v>
      </c>
      <c r="K727" s="87" t="s">
        <v>1575</v>
      </c>
      <c r="L727" s="126" t="s">
        <v>19</v>
      </c>
      <c r="M727" s="94">
        <v>44372</v>
      </c>
      <c r="N727" s="94">
        <v>44372.166666666664</v>
      </c>
      <c r="O727" s="95" t="str">
        <f>PROPER(TEXT(Table1[[#This Row],[Fecha Inicio]],"mmmm"))</f>
        <v>Junio</v>
      </c>
      <c r="P727" s="96" t="s">
        <v>3538</v>
      </c>
      <c r="Q727" s="97" t="s">
        <v>3948</v>
      </c>
      <c r="R727" s="76">
        <f t="shared" si="55"/>
        <v>4</v>
      </c>
      <c r="S727" s="76">
        <f t="shared" si="56"/>
        <v>4</v>
      </c>
      <c r="T727" s="76" t="str">
        <f t="shared" si="57"/>
        <v>-</v>
      </c>
      <c r="U727" s="76" t="str">
        <f t="shared" si="58"/>
        <v>-</v>
      </c>
      <c r="V727" s="76" t="str">
        <f t="shared" si="59"/>
        <v>-</v>
      </c>
      <c r="Z727" s="62"/>
    </row>
    <row r="728" spans="1:26" ht="40.15" customHeight="1" x14ac:dyDescent="0.25">
      <c r="A728" s="87">
        <v>25</v>
      </c>
      <c r="B728" s="89" t="s">
        <v>1550</v>
      </c>
      <c r="C728" s="89" t="s">
        <v>3949</v>
      </c>
      <c r="D728" s="89" t="s">
        <v>326</v>
      </c>
      <c r="E728" s="89" t="s">
        <v>1631</v>
      </c>
      <c r="F728" s="87" t="s">
        <v>1556</v>
      </c>
      <c r="G728" s="92" t="s">
        <v>1557</v>
      </c>
      <c r="H728" s="93" t="s">
        <v>3950</v>
      </c>
      <c r="I728" s="87" t="s">
        <v>3260</v>
      </c>
      <c r="J728" s="87" t="s">
        <v>2511</v>
      </c>
      <c r="K728" s="87" t="s">
        <v>2512</v>
      </c>
      <c r="L728" s="126" t="s">
        <v>19</v>
      </c>
      <c r="M728" s="94">
        <v>44372.041666666664</v>
      </c>
      <c r="N728" s="94">
        <v>44372.125</v>
      </c>
      <c r="O728" s="95" t="str">
        <f>PROPER(TEXT(Table1[[#This Row],[Fecha Inicio]],"mmmm"))</f>
        <v>Junio</v>
      </c>
      <c r="P728" s="96" t="s">
        <v>3261</v>
      </c>
      <c r="Q728" s="97" t="s">
        <v>3951</v>
      </c>
      <c r="R728" s="76">
        <f t="shared" si="55"/>
        <v>6</v>
      </c>
      <c r="S728" s="76">
        <f t="shared" si="56"/>
        <v>6</v>
      </c>
      <c r="T728" s="76" t="str">
        <f t="shared" si="57"/>
        <v>-</v>
      </c>
      <c r="U728" s="76" t="str">
        <f t="shared" si="58"/>
        <v>-</v>
      </c>
      <c r="V728" s="76" t="str">
        <f t="shared" si="59"/>
        <v>-</v>
      </c>
      <c r="Z728" s="62"/>
    </row>
    <row r="729" spans="1:26" ht="40.15" customHeight="1" x14ac:dyDescent="0.25">
      <c r="A729" s="87">
        <v>25</v>
      </c>
      <c r="B729" s="89" t="s">
        <v>1550</v>
      </c>
      <c r="C729" s="89" t="s">
        <v>3701</v>
      </c>
      <c r="D729" s="89" t="s">
        <v>326</v>
      </c>
      <c r="E729" s="89" t="s">
        <v>1631</v>
      </c>
      <c r="F729" s="87" t="s">
        <v>1556</v>
      </c>
      <c r="G729" s="92" t="s">
        <v>1557</v>
      </c>
      <c r="H729" s="93" t="s">
        <v>3952</v>
      </c>
      <c r="I729" s="87" t="s">
        <v>2013</v>
      </c>
      <c r="J729" s="87" t="s">
        <v>2014</v>
      </c>
      <c r="K729" s="87" t="s">
        <v>1575</v>
      </c>
      <c r="L729" s="126" t="s">
        <v>19</v>
      </c>
      <c r="M729" s="94">
        <v>44372.791666666664</v>
      </c>
      <c r="N729" s="94">
        <v>44372.875</v>
      </c>
      <c r="O729" s="95" t="str">
        <f>PROPER(TEXT(Table1[[#This Row],[Fecha Inicio]],"mmmm"))</f>
        <v>Junio</v>
      </c>
      <c r="P729" s="96" t="s">
        <v>2015</v>
      </c>
      <c r="Q729" s="97" t="s">
        <v>3953</v>
      </c>
      <c r="R729" s="76">
        <f t="shared" si="55"/>
        <v>9</v>
      </c>
      <c r="S729" s="76">
        <f t="shared" si="56"/>
        <v>9</v>
      </c>
      <c r="T729" s="76" t="str">
        <f t="shared" si="57"/>
        <v>-</v>
      </c>
      <c r="U729" s="76" t="str">
        <f t="shared" si="58"/>
        <v>-</v>
      </c>
      <c r="V729" s="76" t="str">
        <f t="shared" si="59"/>
        <v>-</v>
      </c>
      <c r="Z729" s="62"/>
    </row>
    <row r="730" spans="1:26" ht="40.15" customHeight="1" x14ac:dyDescent="0.25">
      <c r="A730" s="87">
        <v>25</v>
      </c>
      <c r="B730" s="89" t="s">
        <v>1550</v>
      </c>
      <c r="C730" s="89" t="s">
        <v>3701</v>
      </c>
      <c r="D730" s="89" t="s">
        <v>326</v>
      </c>
      <c r="E730" s="89" t="s">
        <v>1631</v>
      </c>
      <c r="F730" s="87" t="s">
        <v>1556</v>
      </c>
      <c r="G730" s="92" t="s">
        <v>1557</v>
      </c>
      <c r="H730" s="93" t="s">
        <v>3954</v>
      </c>
      <c r="I730" s="87" t="s">
        <v>2013</v>
      </c>
      <c r="J730" s="87" t="s">
        <v>2014</v>
      </c>
      <c r="K730" s="87" t="s">
        <v>1575</v>
      </c>
      <c r="L730" s="126" t="s">
        <v>19</v>
      </c>
      <c r="M730" s="94">
        <v>44372.833333333336</v>
      </c>
      <c r="N730" s="94">
        <v>44372.875</v>
      </c>
      <c r="O730" s="95" t="str">
        <f>PROPER(TEXT(Table1[[#This Row],[Fecha Inicio]],"mmmm"))</f>
        <v>Junio</v>
      </c>
      <c r="P730" s="96" t="s">
        <v>219</v>
      </c>
      <c r="Q730" s="97" t="s">
        <v>3955</v>
      </c>
      <c r="R730" s="76">
        <f t="shared" si="55"/>
        <v>1</v>
      </c>
      <c r="S730" s="76">
        <f t="shared" si="56"/>
        <v>1</v>
      </c>
      <c r="T730" s="76" t="str">
        <f t="shared" si="57"/>
        <v>-</v>
      </c>
      <c r="U730" s="76" t="str">
        <f t="shared" si="58"/>
        <v>-</v>
      </c>
      <c r="V730" s="76" t="str">
        <f t="shared" si="59"/>
        <v>-</v>
      </c>
      <c r="Z730" s="62"/>
    </row>
    <row r="731" spans="1:26" ht="40.15" customHeight="1" x14ac:dyDescent="0.25">
      <c r="A731" s="87">
        <v>25</v>
      </c>
      <c r="B731" s="89" t="s">
        <v>1550</v>
      </c>
      <c r="C731" s="89" t="s">
        <v>3949</v>
      </c>
      <c r="D731" s="89" t="s">
        <v>326</v>
      </c>
      <c r="E731" s="89" t="s">
        <v>1631</v>
      </c>
      <c r="F731" s="87" t="s">
        <v>1556</v>
      </c>
      <c r="G731" s="92" t="s">
        <v>1557</v>
      </c>
      <c r="H731" s="93" t="s">
        <v>3956</v>
      </c>
      <c r="I731" s="87" t="s">
        <v>3957</v>
      </c>
      <c r="J731" s="87" t="s">
        <v>1931</v>
      </c>
      <c r="K731" s="87" t="s">
        <v>1921</v>
      </c>
      <c r="L731" s="126" t="s">
        <v>19</v>
      </c>
      <c r="M731" s="94">
        <v>44373</v>
      </c>
      <c r="N731" s="94">
        <v>44373.25</v>
      </c>
      <c r="O731" s="95" t="str">
        <f>PROPER(TEXT(Table1[[#This Row],[Fecha Inicio]],"mmmm"))</f>
        <v>Junio</v>
      </c>
      <c r="P731" s="96" t="s">
        <v>3958</v>
      </c>
      <c r="Q731" s="97" t="s">
        <v>3959</v>
      </c>
      <c r="R731" s="76">
        <f t="shared" si="55"/>
        <v>6</v>
      </c>
      <c r="S731" s="76">
        <f t="shared" si="56"/>
        <v>6</v>
      </c>
      <c r="T731" s="76" t="str">
        <f t="shared" si="57"/>
        <v>-</v>
      </c>
      <c r="U731" s="76" t="str">
        <f t="shared" si="58"/>
        <v>-</v>
      </c>
      <c r="V731" s="76" t="str">
        <f t="shared" si="59"/>
        <v>-</v>
      </c>
      <c r="Z731" s="62"/>
    </row>
    <row r="732" spans="1:26" ht="40.15" customHeight="1" x14ac:dyDescent="0.25">
      <c r="A732" s="87">
        <v>25</v>
      </c>
      <c r="B732" s="89" t="s">
        <v>1550</v>
      </c>
      <c r="C732" s="89" t="s">
        <v>3949</v>
      </c>
      <c r="D732" s="89" t="s">
        <v>326</v>
      </c>
      <c r="E732" s="89" t="s">
        <v>1631</v>
      </c>
      <c r="F732" s="87" t="s">
        <v>1556</v>
      </c>
      <c r="G732" s="92" t="s">
        <v>1557</v>
      </c>
      <c r="H732" s="93" t="s">
        <v>3960</v>
      </c>
      <c r="I732" s="87" t="s">
        <v>1919</v>
      </c>
      <c r="J732" s="91" t="s">
        <v>1920</v>
      </c>
      <c r="K732" s="87" t="s">
        <v>1921</v>
      </c>
      <c r="L732" s="126" t="s">
        <v>19</v>
      </c>
      <c r="M732" s="94">
        <v>44374</v>
      </c>
      <c r="N732" s="94">
        <v>44374.25</v>
      </c>
      <c r="O732" s="95" t="str">
        <f>PROPER(TEXT(Table1[[#This Row],[Fecha Inicio]],"mmmm"))</f>
        <v>Junio</v>
      </c>
      <c r="P732" s="96" t="s">
        <v>3549</v>
      </c>
      <c r="Q732" s="97" t="s">
        <v>3961</v>
      </c>
      <c r="R732" s="76">
        <f t="shared" si="55"/>
        <v>17</v>
      </c>
      <c r="S732" s="76">
        <f t="shared" si="56"/>
        <v>17</v>
      </c>
      <c r="T732" s="76" t="str">
        <f t="shared" si="57"/>
        <v>-</v>
      </c>
      <c r="U732" s="76" t="str">
        <f t="shared" si="58"/>
        <v>-</v>
      </c>
      <c r="V732" s="76" t="str">
        <f t="shared" si="59"/>
        <v>-</v>
      </c>
      <c r="Z732" s="62"/>
    </row>
    <row r="733" spans="1:26" ht="40.15" customHeight="1" x14ac:dyDescent="0.25">
      <c r="A733" s="87">
        <v>25</v>
      </c>
      <c r="B733" s="89" t="s">
        <v>1550</v>
      </c>
      <c r="C733" s="89"/>
      <c r="D733" s="89" t="s">
        <v>1665</v>
      </c>
      <c r="E733" s="89" t="s">
        <v>1666</v>
      </c>
      <c r="F733" s="87" t="s">
        <v>1556</v>
      </c>
      <c r="G733" s="92" t="s">
        <v>1557</v>
      </c>
      <c r="H733" s="93" t="s">
        <v>3962</v>
      </c>
      <c r="I733" s="87" t="s">
        <v>3963</v>
      </c>
      <c r="J733" s="87" t="s">
        <v>1669</v>
      </c>
      <c r="K733" s="87" t="s">
        <v>1670</v>
      </c>
      <c r="L733" s="87" t="s">
        <v>52</v>
      </c>
      <c r="M733" s="94">
        <v>44375.270833333336</v>
      </c>
      <c r="N733" s="94">
        <v>44375.375</v>
      </c>
      <c r="O733" s="95" t="str">
        <f>PROPER(TEXT(Table1[[#This Row],[Fecha Inicio]],"mmmm"))</f>
        <v>Junio</v>
      </c>
      <c r="P733" s="96" t="s">
        <v>3964</v>
      </c>
      <c r="Q733" s="97" t="s">
        <v>3965</v>
      </c>
      <c r="R733" s="76">
        <f t="shared" si="55"/>
        <v>1</v>
      </c>
      <c r="S733" s="76">
        <f t="shared" si="56"/>
        <v>1</v>
      </c>
      <c r="T733" s="76" t="str">
        <f t="shared" si="57"/>
        <v>-</v>
      </c>
      <c r="U733" s="76" t="str">
        <f t="shared" si="58"/>
        <v>-</v>
      </c>
      <c r="V733" s="76" t="str">
        <f t="shared" si="59"/>
        <v>-</v>
      </c>
      <c r="Z733" s="62"/>
    </row>
    <row r="734" spans="1:26" ht="40.15" customHeight="1" x14ac:dyDescent="0.25">
      <c r="A734" s="87">
        <v>25</v>
      </c>
      <c r="B734" s="89" t="s">
        <v>1550</v>
      </c>
      <c r="C734" s="89"/>
      <c r="D734" s="89" t="s">
        <v>1665</v>
      </c>
      <c r="E734" s="89" t="s">
        <v>1666</v>
      </c>
      <c r="F734" s="87" t="s">
        <v>1556</v>
      </c>
      <c r="G734" s="92" t="s">
        <v>1557</v>
      </c>
      <c r="H734" s="93" t="s">
        <v>3966</v>
      </c>
      <c r="I734" s="87" t="s">
        <v>3967</v>
      </c>
      <c r="J734" s="87" t="s">
        <v>1669</v>
      </c>
      <c r="K734" s="87" t="s">
        <v>1670</v>
      </c>
      <c r="L734" s="87" t="s">
        <v>52</v>
      </c>
      <c r="M734" s="94">
        <v>44375.666666666664</v>
      </c>
      <c r="N734" s="94">
        <v>44375.75</v>
      </c>
      <c r="O734" s="95" t="str">
        <f>PROPER(TEXT(Table1[[#This Row],[Fecha Inicio]],"mmmm"))</f>
        <v>Junio</v>
      </c>
      <c r="P734" s="96" t="s">
        <v>2226</v>
      </c>
      <c r="Q734" s="97" t="s">
        <v>3968</v>
      </c>
      <c r="R734" s="76">
        <f t="shared" si="55"/>
        <v>1</v>
      </c>
      <c r="S734" s="76">
        <f t="shared" si="56"/>
        <v>1</v>
      </c>
      <c r="T734" s="76" t="str">
        <f t="shared" si="57"/>
        <v>-</v>
      </c>
      <c r="U734" s="76" t="str">
        <f t="shared" si="58"/>
        <v>-</v>
      </c>
      <c r="V734" s="76" t="str">
        <f t="shared" si="59"/>
        <v>-</v>
      </c>
      <c r="Z734" s="62"/>
    </row>
    <row r="735" spans="1:26" ht="40.15" customHeight="1" x14ac:dyDescent="0.25">
      <c r="A735" s="87">
        <v>25</v>
      </c>
      <c r="B735" s="89" t="s">
        <v>1550</v>
      </c>
      <c r="C735" s="89" t="s">
        <v>3701</v>
      </c>
      <c r="D735" s="89" t="s">
        <v>326</v>
      </c>
      <c r="E735" s="89" t="s">
        <v>1631</v>
      </c>
      <c r="F735" s="87" t="s">
        <v>1556</v>
      </c>
      <c r="G735" s="92" t="s">
        <v>1557</v>
      </c>
      <c r="H735" s="93" t="s">
        <v>3969</v>
      </c>
      <c r="I735" s="87" t="s">
        <v>3970</v>
      </c>
      <c r="J735" s="87" t="s">
        <v>1911</v>
      </c>
      <c r="K735" s="87" t="s">
        <v>3971</v>
      </c>
      <c r="L735" s="126" t="s">
        <v>19</v>
      </c>
      <c r="M735" s="94">
        <v>44375.833333333336</v>
      </c>
      <c r="N735" s="94">
        <v>44375.875</v>
      </c>
      <c r="O735" s="95" t="str">
        <f>PROPER(TEXT(Table1[[#This Row],[Fecha Inicio]],"mmmm"))</f>
        <v>Junio</v>
      </c>
      <c r="P735" s="96" t="s">
        <v>1912</v>
      </c>
      <c r="Q735" s="97" t="s">
        <v>3972</v>
      </c>
      <c r="R735" s="76">
        <f t="shared" si="55"/>
        <v>1</v>
      </c>
      <c r="S735" s="76">
        <f t="shared" si="56"/>
        <v>1</v>
      </c>
      <c r="T735" s="76" t="str">
        <f t="shared" si="57"/>
        <v>-</v>
      </c>
      <c r="U735" s="76" t="str">
        <f t="shared" si="58"/>
        <v>-</v>
      </c>
      <c r="V735" s="76" t="str">
        <f t="shared" si="59"/>
        <v>-</v>
      </c>
      <c r="Z735" s="62"/>
    </row>
    <row r="736" spans="1:26" ht="40.15" customHeight="1" x14ac:dyDescent="0.25">
      <c r="A736" s="87">
        <v>25</v>
      </c>
      <c r="B736" s="89" t="s">
        <v>1550</v>
      </c>
      <c r="C736" s="89" t="s">
        <v>3973</v>
      </c>
      <c r="D736" s="89" t="s">
        <v>344</v>
      </c>
      <c r="E736" s="89" t="s">
        <v>1616</v>
      </c>
      <c r="F736" s="87" t="s">
        <v>1556</v>
      </c>
      <c r="G736" s="92" t="s">
        <v>1557</v>
      </c>
      <c r="H736" s="93" t="s">
        <v>3974</v>
      </c>
      <c r="I736" s="87" t="s">
        <v>3975</v>
      </c>
      <c r="J736" s="87" t="s">
        <v>1619</v>
      </c>
      <c r="K736" s="87" t="s">
        <v>2512</v>
      </c>
      <c r="L736" s="126" t="s">
        <v>19</v>
      </c>
      <c r="M736" s="94">
        <v>44375.958333333336</v>
      </c>
      <c r="N736" s="94">
        <v>44376.125</v>
      </c>
      <c r="O736" s="95" t="str">
        <f>PROPER(TEXT(Table1[[#This Row],[Fecha Inicio]],"mmmm"))</f>
        <v>Junio</v>
      </c>
      <c r="P736" s="96" t="s">
        <v>2842</v>
      </c>
      <c r="Q736" s="97" t="s">
        <v>3976</v>
      </c>
      <c r="R736" s="76">
        <f t="shared" si="55"/>
        <v>3</v>
      </c>
      <c r="S736" s="76">
        <f t="shared" si="56"/>
        <v>3</v>
      </c>
      <c r="T736" s="76" t="str">
        <f t="shared" si="57"/>
        <v>-</v>
      </c>
      <c r="U736" s="76" t="str">
        <f t="shared" si="58"/>
        <v>-</v>
      </c>
      <c r="V736" s="76" t="str">
        <f t="shared" si="59"/>
        <v>-</v>
      </c>
      <c r="Z736" s="62"/>
    </row>
    <row r="737" spans="1:26" ht="40.15" customHeight="1" x14ac:dyDescent="0.25">
      <c r="A737" s="87">
        <v>25</v>
      </c>
      <c r="B737" s="89" t="s">
        <v>1550</v>
      </c>
      <c r="C737" s="89" t="s">
        <v>3977</v>
      </c>
      <c r="D737" s="89" t="s">
        <v>1554</v>
      </c>
      <c r="E737" s="89" t="s">
        <v>1555</v>
      </c>
      <c r="F737" s="87" t="s">
        <v>1556</v>
      </c>
      <c r="G737" s="92" t="s">
        <v>1557</v>
      </c>
      <c r="H737" s="93" t="s">
        <v>3978</v>
      </c>
      <c r="I737" s="87" t="s">
        <v>3979</v>
      </c>
      <c r="J737" s="87" t="s">
        <v>2239</v>
      </c>
      <c r="K737" s="87" t="s">
        <v>1575</v>
      </c>
      <c r="L737" s="87" t="s">
        <v>52</v>
      </c>
      <c r="M737" s="94">
        <v>44376.375</v>
      </c>
      <c r="N737" s="94">
        <v>44376.625</v>
      </c>
      <c r="O737" s="95" t="str">
        <f>PROPER(TEXT(Table1[[#This Row],[Fecha Inicio]],"mmmm"))</f>
        <v>Junio</v>
      </c>
      <c r="P737" s="96" t="s">
        <v>3910</v>
      </c>
      <c r="Q737" s="97" t="s">
        <v>3980</v>
      </c>
      <c r="R737" s="76">
        <f t="shared" si="55"/>
        <v>40</v>
      </c>
      <c r="S737" s="76">
        <f t="shared" si="56"/>
        <v>40</v>
      </c>
      <c r="T737" s="76" t="str">
        <f t="shared" si="57"/>
        <v>-</v>
      </c>
      <c r="U737" s="76" t="str">
        <f t="shared" si="58"/>
        <v>-</v>
      </c>
      <c r="V737" s="76" t="str">
        <f t="shared" si="59"/>
        <v>-</v>
      </c>
      <c r="Z737" s="62"/>
    </row>
    <row r="738" spans="1:26" ht="40.15" customHeight="1" x14ac:dyDescent="0.25">
      <c r="A738" s="87">
        <v>25</v>
      </c>
      <c r="B738" s="89" t="s">
        <v>1550</v>
      </c>
      <c r="C738" s="89"/>
      <c r="D738" s="89" t="s">
        <v>1665</v>
      </c>
      <c r="E738" s="89" t="s">
        <v>1666</v>
      </c>
      <c r="F738" s="87" t="s">
        <v>1556</v>
      </c>
      <c r="G738" s="92" t="s">
        <v>1557</v>
      </c>
      <c r="H738" s="93" t="s">
        <v>3981</v>
      </c>
      <c r="I738" s="87" t="s">
        <v>3982</v>
      </c>
      <c r="J738" s="87" t="s">
        <v>1669</v>
      </c>
      <c r="K738" s="87" t="s">
        <v>1670</v>
      </c>
      <c r="L738" s="87" t="s">
        <v>52</v>
      </c>
      <c r="M738" s="94">
        <v>44376.666666666664</v>
      </c>
      <c r="N738" s="94">
        <v>44376.770833333336</v>
      </c>
      <c r="O738" s="95" t="str">
        <f>PROPER(TEXT(Table1[[#This Row],[Fecha Inicio]],"mmmm"))</f>
        <v>Junio</v>
      </c>
      <c r="P738" s="96" t="s">
        <v>3983</v>
      </c>
      <c r="Q738" s="97" t="s">
        <v>3984</v>
      </c>
      <c r="R738" s="76">
        <f t="shared" si="55"/>
        <v>1</v>
      </c>
      <c r="S738" s="76">
        <f t="shared" si="56"/>
        <v>1</v>
      </c>
      <c r="T738" s="76" t="str">
        <f t="shared" si="57"/>
        <v>-</v>
      </c>
      <c r="U738" s="76" t="str">
        <f t="shared" si="58"/>
        <v>-</v>
      </c>
      <c r="V738" s="76" t="str">
        <f t="shared" si="59"/>
        <v>-</v>
      </c>
      <c r="Z738" s="62"/>
    </row>
    <row r="739" spans="1:26" ht="40.15" customHeight="1" x14ac:dyDescent="0.25">
      <c r="A739" s="87">
        <v>25</v>
      </c>
      <c r="B739" s="89" t="s">
        <v>1550</v>
      </c>
      <c r="C739" s="89"/>
      <c r="D739" s="89" t="s">
        <v>344</v>
      </c>
      <c r="E739" s="89" t="s">
        <v>1616</v>
      </c>
      <c r="F739" s="87" t="s">
        <v>1556</v>
      </c>
      <c r="G739" s="92" t="s">
        <v>1557</v>
      </c>
      <c r="H739" s="93" t="s">
        <v>3985</v>
      </c>
      <c r="I739" s="87" t="s">
        <v>3975</v>
      </c>
      <c r="J739" s="87" t="s">
        <v>1619</v>
      </c>
      <c r="K739" s="87" t="s">
        <v>2512</v>
      </c>
      <c r="L739" s="126" t="s">
        <v>19</v>
      </c>
      <c r="M739" s="94">
        <v>44376.958333333336</v>
      </c>
      <c r="N739" s="94">
        <v>44377.125</v>
      </c>
      <c r="O739" s="95" t="str">
        <f>PROPER(TEXT(Table1[[#This Row],[Fecha Inicio]],"mmmm"))</f>
        <v>Junio</v>
      </c>
      <c r="P739" s="96" t="s">
        <v>2873</v>
      </c>
      <c r="Q739" s="97" t="s">
        <v>3986</v>
      </c>
      <c r="R739" s="76">
        <f t="shared" si="55"/>
        <v>3</v>
      </c>
      <c r="S739" s="76">
        <f t="shared" si="56"/>
        <v>3</v>
      </c>
      <c r="T739" s="76" t="str">
        <f t="shared" si="57"/>
        <v>-</v>
      </c>
      <c r="U739" s="76" t="str">
        <f t="shared" si="58"/>
        <v>-</v>
      </c>
      <c r="V739" s="76" t="str">
        <f t="shared" si="59"/>
        <v>-</v>
      </c>
      <c r="Z739" s="62"/>
    </row>
    <row r="740" spans="1:26" ht="40.15" customHeight="1" x14ac:dyDescent="0.25">
      <c r="A740" s="87">
        <v>25</v>
      </c>
      <c r="B740" s="89" t="s">
        <v>1550</v>
      </c>
      <c r="C740" s="89" t="s">
        <v>3987</v>
      </c>
      <c r="D740" s="89" t="s">
        <v>1554</v>
      </c>
      <c r="E740" s="89" t="s">
        <v>1555</v>
      </c>
      <c r="F740" s="87" t="s">
        <v>1556</v>
      </c>
      <c r="G740" s="92" t="s">
        <v>1557</v>
      </c>
      <c r="H740" s="93" t="s">
        <v>3988</v>
      </c>
      <c r="I740" s="87" t="s">
        <v>3989</v>
      </c>
      <c r="J740" s="87" t="s">
        <v>3990</v>
      </c>
      <c r="K740" s="87" t="s">
        <v>1575</v>
      </c>
      <c r="L740" s="87" t="s">
        <v>52</v>
      </c>
      <c r="M740" s="94">
        <v>44377.375</v>
      </c>
      <c r="N740" s="94">
        <v>44377.625</v>
      </c>
      <c r="O740" s="95" t="str">
        <f>PROPER(TEXT(Table1[[#This Row],[Fecha Inicio]],"mmmm"))</f>
        <v>Junio</v>
      </c>
      <c r="P740" s="96" t="s">
        <v>3991</v>
      </c>
      <c r="Q740" s="97" t="s">
        <v>3992</v>
      </c>
      <c r="R740" s="76">
        <f t="shared" si="55"/>
        <v>3</v>
      </c>
      <c r="S740" s="76">
        <f t="shared" si="56"/>
        <v>3</v>
      </c>
      <c r="T740" s="76" t="str">
        <f t="shared" si="57"/>
        <v>-</v>
      </c>
      <c r="U740" s="76" t="str">
        <f t="shared" si="58"/>
        <v>-</v>
      </c>
      <c r="V740" s="76" t="str">
        <f t="shared" si="59"/>
        <v>-</v>
      </c>
      <c r="Z740" s="62"/>
    </row>
    <row r="741" spans="1:26" ht="40.15" customHeight="1" x14ac:dyDescent="0.25">
      <c r="A741" s="87">
        <v>25</v>
      </c>
      <c r="B741" s="89" t="s">
        <v>1550</v>
      </c>
      <c r="C741" s="89" t="s">
        <v>3993</v>
      </c>
      <c r="D741" s="89" t="s">
        <v>344</v>
      </c>
      <c r="E741" s="89" t="s">
        <v>1616</v>
      </c>
      <c r="F741" s="87" t="s">
        <v>1556</v>
      </c>
      <c r="G741" s="92" t="s">
        <v>1557</v>
      </c>
      <c r="H741" s="93" t="s">
        <v>3994</v>
      </c>
      <c r="I741" s="87" t="s">
        <v>1942</v>
      </c>
      <c r="J741" s="87" t="s">
        <v>1583</v>
      </c>
      <c r="K741" s="87" t="s">
        <v>1584</v>
      </c>
      <c r="L741" s="126" t="s">
        <v>19</v>
      </c>
      <c r="M741" s="94">
        <v>44377.416666666664</v>
      </c>
      <c r="N741" s="94">
        <v>44377.708333333336</v>
      </c>
      <c r="O741" s="95" t="str">
        <f>PROPER(TEXT(Table1[[#This Row],[Fecha Inicio]],"mmmm"))</f>
        <v>Junio</v>
      </c>
      <c r="P741" s="96" t="s">
        <v>1943</v>
      </c>
      <c r="Q741" s="97" t="s">
        <v>3995</v>
      </c>
      <c r="R741" s="76">
        <f t="shared" si="55"/>
        <v>3</v>
      </c>
      <c r="S741" s="76">
        <f t="shared" si="56"/>
        <v>3</v>
      </c>
      <c r="T741" s="76" t="str">
        <f t="shared" si="57"/>
        <v>-</v>
      </c>
      <c r="U741" s="76" t="str">
        <f t="shared" si="58"/>
        <v>-</v>
      </c>
      <c r="V741" s="76" t="str">
        <f t="shared" si="59"/>
        <v>-</v>
      </c>
      <c r="Z741" s="62"/>
    </row>
    <row r="742" spans="1:26" ht="40.15" customHeight="1" x14ac:dyDescent="0.25">
      <c r="A742" s="87">
        <v>25</v>
      </c>
      <c r="B742" s="89" t="s">
        <v>1550</v>
      </c>
      <c r="C742" s="89" t="s">
        <v>3996</v>
      </c>
      <c r="D742" s="89" t="s">
        <v>326</v>
      </c>
      <c r="E742" s="89" t="s">
        <v>1631</v>
      </c>
      <c r="F742" s="87" t="s">
        <v>1556</v>
      </c>
      <c r="G742" s="92" t="s">
        <v>1557</v>
      </c>
      <c r="H742" s="93" t="s">
        <v>3997</v>
      </c>
      <c r="I742" s="87" t="s">
        <v>1987</v>
      </c>
      <c r="J742" s="87" t="s">
        <v>1988</v>
      </c>
      <c r="K742" s="87" t="s">
        <v>1575</v>
      </c>
      <c r="L742" s="126" t="s">
        <v>19</v>
      </c>
      <c r="M742" s="94">
        <v>44377.604166666664</v>
      </c>
      <c r="N742" s="94">
        <v>44377.729166666664</v>
      </c>
      <c r="O742" s="95" t="str">
        <f>PROPER(TEXT(Table1[[#This Row],[Fecha Inicio]],"mmmm"))</f>
        <v>Junio</v>
      </c>
      <c r="P742" s="96" t="s">
        <v>3998</v>
      </c>
      <c r="Q742" s="97" t="s">
        <v>3999</v>
      </c>
      <c r="R742" s="76">
        <f t="shared" si="55"/>
        <v>4</v>
      </c>
      <c r="S742" s="76">
        <f t="shared" si="56"/>
        <v>4</v>
      </c>
      <c r="T742" s="76" t="str">
        <f t="shared" si="57"/>
        <v>-</v>
      </c>
      <c r="U742" s="76" t="str">
        <f t="shared" si="58"/>
        <v>-</v>
      </c>
      <c r="V742" s="76" t="str">
        <f t="shared" si="59"/>
        <v>-</v>
      </c>
      <c r="Z742" s="62"/>
    </row>
    <row r="743" spans="1:26" ht="40.15" customHeight="1" x14ac:dyDescent="0.25">
      <c r="A743" s="87">
        <v>25</v>
      </c>
      <c r="B743" s="89" t="s">
        <v>1550</v>
      </c>
      <c r="C743" s="89"/>
      <c r="D743" s="89" t="s">
        <v>344</v>
      </c>
      <c r="E743" s="89" t="s">
        <v>1616</v>
      </c>
      <c r="F743" s="87" t="s">
        <v>1556</v>
      </c>
      <c r="G743" s="92" t="s">
        <v>1557</v>
      </c>
      <c r="H743" s="93" t="s">
        <v>4000</v>
      </c>
      <c r="I743" s="87" t="s">
        <v>1942</v>
      </c>
      <c r="J743" s="87" t="s">
        <v>1583</v>
      </c>
      <c r="K743" s="87" t="s">
        <v>1584</v>
      </c>
      <c r="L743" s="126" t="s">
        <v>19</v>
      </c>
      <c r="M743" s="94">
        <v>44378.416666666664</v>
      </c>
      <c r="N743" s="94">
        <v>44378.708333333336</v>
      </c>
      <c r="O743" s="95" t="str">
        <f>PROPER(TEXT(Table1[[#This Row],[Fecha Inicio]],"mmmm"))</f>
        <v>Julio</v>
      </c>
      <c r="P743" s="96" t="s">
        <v>1958</v>
      </c>
      <c r="Q743" s="97" t="s">
        <v>4001</v>
      </c>
      <c r="R743" s="76">
        <f t="shared" si="55"/>
        <v>2</v>
      </c>
      <c r="S743" s="76">
        <f t="shared" si="56"/>
        <v>2</v>
      </c>
      <c r="T743" s="76" t="str">
        <f t="shared" si="57"/>
        <v>-</v>
      </c>
      <c r="U743" s="76" t="str">
        <f t="shared" si="58"/>
        <v>-</v>
      </c>
      <c r="V743" s="76" t="str">
        <f t="shared" si="59"/>
        <v>-</v>
      </c>
      <c r="Z743" s="62"/>
    </row>
    <row r="744" spans="1:26" ht="40.15" customHeight="1" x14ac:dyDescent="0.25">
      <c r="A744" s="87">
        <v>26</v>
      </c>
      <c r="B744" s="89" t="s">
        <v>1550</v>
      </c>
      <c r="C744" s="89"/>
      <c r="D744" s="89" t="s">
        <v>1623</v>
      </c>
      <c r="E744" s="89" t="s">
        <v>1624</v>
      </c>
      <c r="F744" s="87" t="s">
        <v>1556</v>
      </c>
      <c r="G744" s="92" t="s">
        <v>1557</v>
      </c>
      <c r="H744" s="93" t="s">
        <v>4002</v>
      </c>
      <c r="I744" s="87" t="s">
        <v>1685</v>
      </c>
      <c r="J744" s="87" t="s">
        <v>1627</v>
      </c>
      <c r="K744" s="87" t="s">
        <v>1575</v>
      </c>
      <c r="L744" s="126" t="s">
        <v>19</v>
      </c>
      <c r="M744" s="94">
        <v>44378.5</v>
      </c>
      <c r="N744" s="94">
        <v>44378.625</v>
      </c>
      <c r="O744" s="95" t="str">
        <f>PROPER(TEXT(Table1[[#This Row],[Fecha Inicio]],"mmmm"))</f>
        <v>Julio</v>
      </c>
      <c r="P744" s="96" t="s">
        <v>2764</v>
      </c>
      <c r="Q744" s="97" t="s">
        <v>4003</v>
      </c>
      <c r="R744" s="76">
        <f t="shared" si="55"/>
        <v>2</v>
      </c>
      <c r="S744" s="76">
        <f t="shared" si="56"/>
        <v>2</v>
      </c>
      <c r="T744" s="76" t="str">
        <f t="shared" si="57"/>
        <v>-</v>
      </c>
      <c r="U744" s="76" t="str">
        <f t="shared" si="58"/>
        <v>-</v>
      </c>
      <c r="V744" s="76" t="str">
        <f t="shared" si="59"/>
        <v>-</v>
      </c>
      <c r="Z744" s="62"/>
    </row>
    <row r="745" spans="1:26" ht="40.15" customHeight="1" x14ac:dyDescent="0.25">
      <c r="A745" s="87">
        <v>26</v>
      </c>
      <c r="B745" s="89" t="s">
        <v>1550</v>
      </c>
      <c r="C745" s="89" t="s">
        <v>4004</v>
      </c>
      <c r="D745" s="89" t="s">
        <v>326</v>
      </c>
      <c r="E745" s="89" t="s">
        <v>1631</v>
      </c>
      <c r="F745" s="87" t="s">
        <v>1556</v>
      </c>
      <c r="G745" s="92" t="s">
        <v>1557</v>
      </c>
      <c r="H745" s="93" t="s">
        <v>4005</v>
      </c>
      <c r="I745" s="87" t="s">
        <v>4006</v>
      </c>
      <c r="J745" s="87" t="s">
        <v>1839</v>
      </c>
      <c r="K745" s="87" t="s">
        <v>1575</v>
      </c>
      <c r="L745" s="126" t="s">
        <v>19</v>
      </c>
      <c r="M745" s="94">
        <v>44378.583333333336</v>
      </c>
      <c r="N745" s="94">
        <v>44378.791666666664</v>
      </c>
      <c r="O745" s="95" t="str">
        <f>PROPER(TEXT(Table1[[#This Row],[Fecha Inicio]],"mmmm"))</f>
        <v>Julio</v>
      </c>
      <c r="P745" s="96" t="s">
        <v>4007</v>
      </c>
      <c r="Q745" s="97" t="s">
        <v>4008</v>
      </c>
      <c r="R745" s="76">
        <f t="shared" si="55"/>
        <v>2</v>
      </c>
      <c r="S745" s="76">
        <f t="shared" si="56"/>
        <v>2</v>
      </c>
      <c r="T745" s="76" t="str">
        <f t="shared" si="57"/>
        <v>-</v>
      </c>
      <c r="U745" s="76" t="str">
        <f t="shared" si="58"/>
        <v>-</v>
      </c>
      <c r="V745" s="76" t="str">
        <f t="shared" si="59"/>
        <v>-</v>
      </c>
      <c r="Z745" s="62"/>
    </row>
    <row r="746" spans="1:26" ht="40.15" customHeight="1" x14ac:dyDescent="0.25">
      <c r="A746" s="87">
        <v>26</v>
      </c>
      <c r="B746" s="89" t="s">
        <v>1552</v>
      </c>
      <c r="C746" s="89" t="s">
        <v>4009</v>
      </c>
      <c r="D746" s="89" t="s">
        <v>1554</v>
      </c>
      <c r="E746" s="89" t="s">
        <v>1555</v>
      </c>
      <c r="F746" s="87" t="s">
        <v>1556</v>
      </c>
      <c r="G746" s="92" t="s">
        <v>1965</v>
      </c>
      <c r="H746" s="93" t="s">
        <v>4010</v>
      </c>
      <c r="I746" s="87" t="s">
        <v>4011</v>
      </c>
      <c r="J746" s="87" t="s">
        <v>1931</v>
      </c>
      <c r="K746" s="87" t="s">
        <v>1921</v>
      </c>
      <c r="L746" s="87" t="s">
        <v>52</v>
      </c>
      <c r="M746" s="94">
        <v>44379.375</v>
      </c>
      <c r="N746" s="94">
        <v>44379.625</v>
      </c>
      <c r="O746" s="95" t="str">
        <f>PROPER(TEXT(Table1[[#This Row],[Fecha Inicio]],"mmmm"))</f>
        <v>Julio</v>
      </c>
      <c r="P746" s="96" t="s">
        <v>4012</v>
      </c>
      <c r="Q746" s="97" t="s">
        <v>4013</v>
      </c>
      <c r="R746" s="76">
        <f t="shared" si="55"/>
        <v>1</v>
      </c>
      <c r="S746" s="76" t="str">
        <f t="shared" si="56"/>
        <v>-</v>
      </c>
      <c r="T746" s="76" t="str">
        <f t="shared" si="57"/>
        <v>-</v>
      </c>
      <c r="U746" s="76">
        <f t="shared" si="58"/>
        <v>1</v>
      </c>
      <c r="V746" s="76" t="str">
        <f t="shared" si="59"/>
        <v>-</v>
      </c>
      <c r="Z746" s="62"/>
    </row>
    <row r="747" spans="1:26" ht="40.15" customHeight="1" x14ac:dyDescent="0.25">
      <c r="A747" s="87">
        <v>26</v>
      </c>
      <c r="B747" s="89" t="s">
        <v>1550</v>
      </c>
      <c r="C747" s="89"/>
      <c r="D747" s="89" t="s">
        <v>1554</v>
      </c>
      <c r="E747" s="89" t="s">
        <v>1555</v>
      </c>
      <c r="F747" s="87" t="s">
        <v>1556</v>
      </c>
      <c r="G747" s="92" t="s">
        <v>1557</v>
      </c>
      <c r="H747" s="93" t="s">
        <v>4014</v>
      </c>
      <c r="I747" s="87" t="s">
        <v>4011</v>
      </c>
      <c r="J747" s="87" t="s">
        <v>1931</v>
      </c>
      <c r="K747" s="87" t="s">
        <v>1921</v>
      </c>
      <c r="L747" s="87" t="s">
        <v>52</v>
      </c>
      <c r="M747" s="94">
        <v>44379.375</v>
      </c>
      <c r="N747" s="94">
        <v>44379.625</v>
      </c>
      <c r="O747" s="95" t="str">
        <f>PROPER(TEXT(Table1[[#This Row],[Fecha Inicio]],"mmmm"))</f>
        <v>Julio</v>
      </c>
      <c r="P747" s="96" t="s">
        <v>4015</v>
      </c>
      <c r="Q747" s="97" t="s">
        <v>4016</v>
      </c>
      <c r="R747" s="76">
        <f t="shared" si="55"/>
        <v>1</v>
      </c>
      <c r="S747" s="76">
        <f t="shared" si="56"/>
        <v>1</v>
      </c>
      <c r="T747" s="76" t="str">
        <f t="shared" si="57"/>
        <v>-</v>
      </c>
      <c r="U747" s="76" t="str">
        <f t="shared" si="58"/>
        <v>-</v>
      </c>
      <c r="V747" s="76" t="str">
        <f t="shared" si="59"/>
        <v>-</v>
      </c>
      <c r="Z747" s="62"/>
    </row>
    <row r="748" spans="1:26" ht="40.15" customHeight="1" x14ac:dyDescent="0.25">
      <c r="A748" s="87">
        <v>26</v>
      </c>
      <c r="B748" s="89" t="s">
        <v>1550</v>
      </c>
      <c r="C748" s="89" t="s">
        <v>2022</v>
      </c>
      <c r="D748" s="89" t="s">
        <v>1570</v>
      </c>
      <c r="E748" s="89" t="s">
        <v>1571</v>
      </c>
      <c r="F748" s="87" t="s">
        <v>1600</v>
      </c>
      <c r="G748" s="92" t="s">
        <v>1557</v>
      </c>
      <c r="H748" s="93" t="s">
        <v>4017</v>
      </c>
      <c r="I748" s="87" t="s">
        <v>4018</v>
      </c>
      <c r="J748" s="87" t="s">
        <v>2025</v>
      </c>
      <c r="K748" s="87" t="s">
        <v>1341</v>
      </c>
      <c r="L748" s="126" t="s">
        <v>19</v>
      </c>
      <c r="M748" s="94">
        <v>44381.958333333336</v>
      </c>
      <c r="N748" s="94">
        <v>44382.375</v>
      </c>
      <c r="O748" s="95" t="str">
        <f>PROPER(TEXT(Table1[[#This Row],[Fecha Inicio]],"mmmm"))</f>
        <v>Julio</v>
      </c>
      <c r="P748" s="96" t="s">
        <v>2026</v>
      </c>
      <c r="Q748" s="97" t="s">
        <v>4019</v>
      </c>
      <c r="R748" s="76">
        <f t="shared" si="55"/>
        <v>2</v>
      </c>
      <c r="S748" s="76">
        <f t="shared" si="56"/>
        <v>2</v>
      </c>
      <c r="T748" s="76" t="str">
        <f t="shared" si="57"/>
        <v>-</v>
      </c>
      <c r="U748" s="76" t="str">
        <f t="shared" si="58"/>
        <v>-</v>
      </c>
      <c r="V748" s="76" t="str">
        <f t="shared" si="59"/>
        <v>-</v>
      </c>
      <c r="Z748" s="62"/>
    </row>
    <row r="749" spans="1:26" ht="40.15" customHeight="1" x14ac:dyDescent="0.25">
      <c r="A749" s="87">
        <v>26</v>
      </c>
      <c r="B749" s="89" t="s">
        <v>1550</v>
      </c>
      <c r="C749" s="89"/>
      <c r="D749" s="89" t="s">
        <v>1554</v>
      </c>
      <c r="E749" s="89" t="s">
        <v>1555</v>
      </c>
      <c r="F749" s="87" t="s">
        <v>1556</v>
      </c>
      <c r="G749" s="92" t="s">
        <v>1557</v>
      </c>
      <c r="H749" s="93" t="s">
        <v>4020</v>
      </c>
      <c r="I749" s="87" t="s">
        <v>4021</v>
      </c>
      <c r="J749" s="87" t="s">
        <v>3513</v>
      </c>
      <c r="K749" s="87" t="s">
        <v>1575</v>
      </c>
      <c r="L749" s="87" t="s">
        <v>52</v>
      </c>
      <c r="M749" s="94">
        <v>44382.375</v>
      </c>
      <c r="N749" s="94">
        <v>44382.625</v>
      </c>
      <c r="O749" s="95" t="str">
        <f>PROPER(TEXT(Table1[[#This Row],[Fecha Inicio]],"mmmm"))</f>
        <v>Julio</v>
      </c>
      <c r="P749" s="87" t="s">
        <v>4022</v>
      </c>
      <c r="Q749" s="97" t="s">
        <v>4023</v>
      </c>
      <c r="R749" s="76">
        <f t="shared" si="55"/>
        <v>1</v>
      </c>
      <c r="S749" s="76">
        <f t="shared" si="56"/>
        <v>1</v>
      </c>
      <c r="T749" s="76" t="str">
        <f t="shared" si="57"/>
        <v>-</v>
      </c>
      <c r="U749" s="76" t="str">
        <f t="shared" si="58"/>
        <v>-</v>
      </c>
      <c r="V749" s="76" t="str">
        <f t="shared" si="59"/>
        <v>-</v>
      </c>
      <c r="Z749" s="62"/>
    </row>
    <row r="750" spans="1:26" ht="40.15" customHeight="1" x14ac:dyDescent="0.25">
      <c r="A750" s="87">
        <v>26</v>
      </c>
      <c r="B750" s="89" t="s">
        <v>1550</v>
      </c>
      <c r="C750" s="89"/>
      <c r="D750" s="89" t="s">
        <v>1554</v>
      </c>
      <c r="E750" s="89" t="s">
        <v>1555</v>
      </c>
      <c r="F750" s="87" t="s">
        <v>1556</v>
      </c>
      <c r="G750" s="92" t="s">
        <v>1557</v>
      </c>
      <c r="H750" s="93" t="s">
        <v>4024</v>
      </c>
      <c r="I750" s="87" t="s">
        <v>4025</v>
      </c>
      <c r="J750" s="87" t="s">
        <v>4026</v>
      </c>
      <c r="K750" s="87" t="s">
        <v>1575</v>
      </c>
      <c r="L750" s="87" t="s">
        <v>52</v>
      </c>
      <c r="M750" s="94">
        <v>44382.375</v>
      </c>
      <c r="N750" s="94">
        <v>44382.625</v>
      </c>
      <c r="O750" s="95" t="str">
        <f>PROPER(TEXT(Table1[[#This Row],[Fecha Inicio]],"mmmm"))</f>
        <v>Julio</v>
      </c>
      <c r="P750" s="96" t="s">
        <v>4012</v>
      </c>
      <c r="Q750" s="97" t="s">
        <v>4027</v>
      </c>
      <c r="R750" s="76">
        <f t="shared" si="55"/>
        <v>1</v>
      </c>
      <c r="S750" s="76">
        <f t="shared" si="56"/>
        <v>1</v>
      </c>
      <c r="T750" s="76" t="str">
        <f t="shared" si="57"/>
        <v>-</v>
      </c>
      <c r="U750" s="76" t="str">
        <f t="shared" si="58"/>
        <v>-</v>
      </c>
      <c r="V750" s="76" t="str">
        <f t="shared" si="59"/>
        <v>-</v>
      </c>
      <c r="Z750" s="62"/>
    </row>
    <row r="751" spans="1:26" ht="40.15" customHeight="1" x14ac:dyDescent="0.25">
      <c r="A751" s="87">
        <v>26</v>
      </c>
      <c r="B751" s="89" t="s">
        <v>1550</v>
      </c>
      <c r="C751" s="89"/>
      <c r="D751" s="89" t="s">
        <v>1554</v>
      </c>
      <c r="E751" s="89" t="s">
        <v>1555</v>
      </c>
      <c r="F751" s="87" t="s">
        <v>1556</v>
      </c>
      <c r="G751" s="92" t="s">
        <v>1557</v>
      </c>
      <c r="H751" s="93" t="s">
        <v>4028</v>
      </c>
      <c r="I751" s="87" t="s">
        <v>4029</v>
      </c>
      <c r="J751" s="87" t="s">
        <v>3990</v>
      </c>
      <c r="K751" s="87" t="s">
        <v>1575</v>
      </c>
      <c r="L751" s="87" t="s">
        <v>52</v>
      </c>
      <c r="M751" s="94">
        <v>44382.375</v>
      </c>
      <c r="N751" s="94">
        <v>44382.625</v>
      </c>
      <c r="O751" s="95" t="str">
        <f>PROPER(TEXT(Table1[[#This Row],[Fecha Inicio]],"mmmm"))</f>
        <v>Julio</v>
      </c>
      <c r="P751" s="96" t="s">
        <v>3991</v>
      </c>
      <c r="Q751" s="97" t="s">
        <v>4030</v>
      </c>
      <c r="R751" s="76">
        <f t="shared" si="55"/>
        <v>3</v>
      </c>
      <c r="S751" s="76">
        <f t="shared" si="56"/>
        <v>3</v>
      </c>
      <c r="T751" s="76" t="str">
        <f t="shared" si="57"/>
        <v>-</v>
      </c>
      <c r="U751" s="76" t="str">
        <f t="shared" si="58"/>
        <v>-</v>
      </c>
      <c r="V751" s="76" t="str">
        <f t="shared" si="59"/>
        <v>-</v>
      </c>
      <c r="Z751" s="62"/>
    </row>
    <row r="752" spans="1:26" ht="40.15" customHeight="1" x14ac:dyDescent="0.25">
      <c r="A752" s="87">
        <v>26</v>
      </c>
      <c r="B752" s="89" t="s">
        <v>1550</v>
      </c>
      <c r="C752" s="89"/>
      <c r="D752" s="89" t="s">
        <v>326</v>
      </c>
      <c r="E752" s="89" t="s">
        <v>1742</v>
      </c>
      <c r="F752" s="87" t="s">
        <v>1556</v>
      </c>
      <c r="G752" s="92" t="s">
        <v>1557</v>
      </c>
      <c r="H752" s="93" t="s">
        <v>4031</v>
      </c>
      <c r="I752" s="87" t="s">
        <v>4032</v>
      </c>
      <c r="J752" s="87" t="s">
        <v>1839</v>
      </c>
      <c r="K752" s="87" t="s">
        <v>1575</v>
      </c>
      <c r="L752" s="126" t="s">
        <v>19</v>
      </c>
      <c r="M752" s="94">
        <v>44382.583333333336</v>
      </c>
      <c r="N752" s="94">
        <v>44382.791666666664</v>
      </c>
      <c r="O752" s="95" t="str">
        <f>PROPER(TEXT(Table1[[#This Row],[Fecha Inicio]],"mmmm"))</f>
        <v>Julio</v>
      </c>
      <c r="P752" s="96" t="s">
        <v>4033</v>
      </c>
      <c r="Q752" s="97" t="s">
        <v>4034</v>
      </c>
      <c r="R752" s="76">
        <f t="shared" si="55"/>
        <v>2</v>
      </c>
      <c r="S752" s="76">
        <f t="shared" si="56"/>
        <v>2</v>
      </c>
      <c r="T752" s="76" t="str">
        <f t="shared" si="57"/>
        <v>-</v>
      </c>
      <c r="U752" s="76" t="str">
        <f t="shared" si="58"/>
        <v>-</v>
      </c>
      <c r="V752" s="76" t="str">
        <f t="shared" si="59"/>
        <v>-</v>
      </c>
      <c r="Z752" s="62"/>
    </row>
    <row r="753" spans="1:26" ht="40.15" customHeight="1" x14ac:dyDescent="0.25">
      <c r="A753" s="87">
        <v>26</v>
      </c>
      <c r="B753" s="89" t="s">
        <v>1550</v>
      </c>
      <c r="C753" s="89"/>
      <c r="D753" s="89" t="s">
        <v>1570</v>
      </c>
      <c r="E753" s="89" t="s">
        <v>1571</v>
      </c>
      <c r="F753" s="87" t="s">
        <v>1556</v>
      </c>
      <c r="G753" s="92" t="s">
        <v>1557</v>
      </c>
      <c r="H753" s="93" t="s">
        <v>4035</v>
      </c>
      <c r="I753" s="87" t="s">
        <v>4036</v>
      </c>
      <c r="J753" s="87" t="s">
        <v>1595</v>
      </c>
      <c r="K753" s="87" t="s">
        <v>1596</v>
      </c>
      <c r="L753" s="126" t="s">
        <v>19</v>
      </c>
      <c r="M753" s="94">
        <v>44382.958333333336</v>
      </c>
      <c r="N753" s="94">
        <v>44383.041666666664</v>
      </c>
      <c r="O753" s="95" t="str">
        <f>PROPER(TEXT(Table1[[#This Row],[Fecha Inicio]],"mmmm"))</f>
        <v>Julio</v>
      </c>
      <c r="P753" s="96" t="s">
        <v>1597</v>
      </c>
      <c r="Q753" s="97" t="s">
        <v>4037</v>
      </c>
      <c r="R753" s="76">
        <f t="shared" si="55"/>
        <v>2</v>
      </c>
      <c r="S753" s="76">
        <f t="shared" si="56"/>
        <v>2</v>
      </c>
      <c r="T753" s="76" t="str">
        <f t="shared" si="57"/>
        <v>-</v>
      </c>
      <c r="U753" s="76" t="str">
        <f t="shared" si="58"/>
        <v>-</v>
      </c>
      <c r="V753" s="76" t="str">
        <f t="shared" si="59"/>
        <v>-</v>
      </c>
      <c r="Z753" s="62"/>
    </row>
    <row r="754" spans="1:26" ht="40.15" customHeight="1" x14ac:dyDescent="0.25">
      <c r="A754" s="87">
        <v>26</v>
      </c>
      <c r="B754" s="89" t="s">
        <v>1550</v>
      </c>
      <c r="C754" s="89"/>
      <c r="D754" s="89" t="s">
        <v>1623</v>
      </c>
      <c r="E754" s="89" t="s">
        <v>4038</v>
      </c>
      <c r="F754" s="87" t="s">
        <v>1556</v>
      </c>
      <c r="G754" s="92" t="s">
        <v>1557</v>
      </c>
      <c r="H754" s="93" t="s">
        <v>4039</v>
      </c>
      <c r="I754" s="87" t="s">
        <v>2040</v>
      </c>
      <c r="J754" s="87" t="s">
        <v>1771</v>
      </c>
      <c r="K754" s="87" t="s">
        <v>1575</v>
      </c>
      <c r="L754" s="126" t="s">
        <v>19</v>
      </c>
      <c r="M754" s="94">
        <v>44383.291666666664</v>
      </c>
      <c r="N754" s="94">
        <v>44383.5</v>
      </c>
      <c r="O754" s="95" t="str">
        <f>PROPER(TEXT(Table1[[#This Row],[Fecha Inicio]],"mmmm"))</f>
        <v>Julio</v>
      </c>
      <c r="P754" s="96" t="s">
        <v>1772</v>
      </c>
      <c r="Q754" s="97" t="s">
        <v>4040</v>
      </c>
      <c r="R754" s="76">
        <f t="shared" si="55"/>
        <v>2</v>
      </c>
      <c r="S754" s="76">
        <f t="shared" si="56"/>
        <v>2</v>
      </c>
      <c r="T754" s="76" t="str">
        <f t="shared" si="57"/>
        <v>-</v>
      </c>
      <c r="U754" s="76" t="str">
        <f t="shared" si="58"/>
        <v>-</v>
      </c>
      <c r="V754" s="76" t="str">
        <f t="shared" si="59"/>
        <v>-</v>
      </c>
      <c r="Z754" s="62"/>
    </row>
    <row r="755" spans="1:26" ht="40.15" customHeight="1" x14ac:dyDescent="0.25">
      <c r="A755" s="87">
        <v>26</v>
      </c>
      <c r="B755" s="89" t="s">
        <v>1550</v>
      </c>
      <c r="C755" s="89" t="s">
        <v>4041</v>
      </c>
      <c r="D755" s="89" t="s">
        <v>1554</v>
      </c>
      <c r="E755" s="89" t="s">
        <v>1555</v>
      </c>
      <c r="F755" s="87" t="s">
        <v>1556</v>
      </c>
      <c r="G755" s="92" t="s">
        <v>1557</v>
      </c>
      <c r="H755" s="93" t="s">
        <v>4042</v>
      </c>
      <c r="I755" s="87" t="s">
        <v>4043</v>
      </c>
      <c r="J755" s="87" t="s">
        <v>1612</v>
      </c>
      <c r="K755" s="87" t="s">
        <v>1613</v>
      </c>
      <c r="L755" s="87" t="s">
        <v>52</v>
      </c>
      <c r="M755" s="94">
        <v>44383.375</v>
      </c>
      <c r="N755" s="94">
        <v>44383.583333333336</v>
      </c>
      <c r="O755" s="95" t="str">
        <f>PROPER(TEXT(Table1[[#This Row],[Fecha Inicio]],"mmmm"))</f>
        <v>Julio</v>
      </c>
      <c r="P755" s="96" t="s">
        <v>4044</v>
      </c>
      <c r="Q755" s="97" t="s">
        <v>4045</v>
      </c>
      <c r="R755" s="76">
        <f t="shared" si="55"/>
        <v>1</v>
      </c>
      <c r="S755" s="76">
        <f t="shared" si="56"/>
        <v>1</v>
      </c>
      <c r="T755" s="76" t="str">
        <f t="shared" si="57"/>
        <v>-</v>
      </c>
      <c r="U755" s="76" t="str">
        <f t="shared" si="58"/>
        <v>-</v>
      </c>
      <c r="V755" s="76" t="str">
        <f t="shared" si="59"/>
        <v>-</v>
      </c>
      <c r="Z755" s="62"/>
    </row>
    <row r="756" spans="1:26" ht="40.15" customHeight="1" x14ac:dyDescent="0.25">
      <c r="A756" s="87">
        <v>27</v>
      </c>
      <c r="B756" s="89" t="s">
        <v>1550</v>
      </c>
      <c r="C756" s="89"/>
      <c r="D756" s="89" t="s">
        <v>326</v>
      </c>
      <c r="E756" s="89" t="s">
        <v>1742</v>
      </c>
      <c r="F756" s="87" t="s">
        <v>1556</v>
      </c>
      <c r="G756" s="92" t="s">
        <v>1557</v>
      </c>
      <c r="H756" s="93" t="s">
        <v>4046</v>
      </c>
      <c r="I756" s="87" t="s">
        <v>4047</v>
      </c>
      <c r="J756" s="87" t="s">
        <v>1931</v>
      </c>
      <c r="K756" s="87" t="s">
        <v>1921</v>
      </c>
      <c r="L756" s="87" t="s">
        <v>52</v>
      </c>
      <c r="M756" s="94">
        <v>44383.375</v>
      </c>
      <c r="N756" s="94">
        <v>44383.583333333336</v>
      </c>
      <c r="O756" s="95" t="str">
        <f>PROPER(TEXT(Table1[[#This Row],[Fecha Inicio]],"mmmm"))</f>
        <v>Julio</v>
      </c>
      <c r="P756" s="96" t="s">
        <v>4048</v>
      </c>
      <c r="Q756" s="97" t="s">
        <v>4049</v>
      </c>
      <c r="R756" s="76">
        <f t="shared" si="55"/>
        <v>4</v>
      </c>
      <c r="S756" s="76">
        <f t="shared" si="56"/>
        <v>4</v>
      </c>
      <c r="T756" s="76" t="str">
        <f t="shared" si="57"/>
        <v>-</v>
      </c>
      <c r="U756" s="76" t="str">
        <f t="shared" si="58"/>
        <v>-</v>
      </c>
      <c r="V756" s="76" t="str">
        <f t="shared" si="59"/>
        <v>-</v>
      </c>
      <c r="Z756" s="62"/>
    </row>
    <row r="757" spans="1:26" ht="40.15" customHeight="1" x14ac:dyDescent="0.25">
      <c r="A757" s="87">
        <v>27</v>
      </c>
      <c r="B757" s="89" t="s">
        <v>1550</v>
      </c>
      <c r="C757" s="89"/>
      <c r="D757" s="89" t="s">
        <v>1623</v>
      </c>
      <c r="E757" s="89" t="s">
        <v>4038</v>
      </c>
      <c r="F757" s="87" t="s">
        <v>1556</v>
      </c>
      <c r="G757" s="92" t="s">
        <v>1557</v>
      </c>
      <c r="H757" s="93" t="s">
        <v>4050</v>
      </c>
      <c r="I757" s="87" t="s">
        <v>1626</v>
      </c>
      <c r="J757" s="87" t="s">
        <v>1627</v>
      </c>
      <c r="K757" s="87" t="s">
        <v>1575</v>
      </c>
      <c r="L757" s="126" t="s">
        <v>19</v>
      </c>
      <c r="M757" s="94">
        <v>44383.5</v>
      </c>
      <c r="N757" s="94">
        <v>44383.625</v>
      </c>
      <c r="O757" s="95" t="str">
        <f>PROPER(TEXT(Table1[[#This Row],[Fecha Inicio]],"mmmm"))</f>
        <v>Julio</v>
      </c>
      <c r="P757" s="96" t="s">
        <v>4051</v>
      </c>
      <c r="Q757" s="97" t="s">
        <v>4052</v>
      </c>
      <c r="R757" s="76">
        <f t="shared" si="55"/>
        <v>2</v>
      </c>
      <c r="S757" s="76">
        <f t="shared" si="56"/>
        <v>2</v>
      </c>
      <c r="T757" s="76" t="str">
        <f t="shared" si="57"/>
        <v>-</v>
      </c>
      <c r="U757" s="76" t="str">
        <f t="shared" si="58"/>
        <v>-</v>
      </c>
      <c r="V757" s="76" t="str">
        <f t="shared" si="59"/>
        <v>-</v>
      </c>
      <c r="Z757" s="62"/>
    </row>
    <row r="758" spans="1:26" ht="40.15" customHeight="1" x14ac:dyDescent="0.25">
      <c r="A758" s="87">
        <v>27</v>
      </c>
      <c r="B758" s="89" t="s">
        <v>1550</v>
      </c>
      <c r="C758" s="89"/>
      <c r="D758" s="89" t="s">
        <v>1570</v>
      </c>
      <c r="E758" s="89" t="s">
        <v>1571</v>
      </c>
      <c r="F758" s="87" t="s">
        <v>1556</v>
      </c>
      <c r="G758" s="92" t="s">
        <v>1557</v>
      </c>
      <c r="H758" s="93" t="s">
        <v>4053</v>
      </c>
      <c r="I758" s="87" t="s">
        <v>4054</v>
      </c>
      <c r="J758" s="87" t="s">
        <v>1755</v>
      </c>
      <c r="K758" s="87" t="s">
        <v>4055</v>
      </c>
      <c r="L758" s="126" t="s">
        <v>19</v>
      </c>
      <c r="M758" s="94">
        <v>44383.958333333336</v>
      </c>
      <c r="N758" s="94">
        <v>44384.041666666664</v>
      </c>
      <c r="O758" s="95" t="str">
        <f>PROPER(TEXT(Table1[[#This Row],[Fecha Inicio]],"mmmm"))</f>
        <v>Julio</v>
      </c>
      <c r="P758" s="96" t="s">
        <v>1756</v>
      </c>
      <c r="Q758" s="97" t="s">
        <v>4056</v>
      </c>
      <c r="R758" s="76">
        <f t="shared" si="55"/>
        <v>1</v>
      </c>
      <c r="S758" s="76">
        <f t="shared" si="56"/>
        <v>1</v>
      </c>
      <c r="T758" s="76" t="str">
        <f t="shared" si="57"/>
        <v>-</v>
      </c>
      <c r="U758" s="76" t="str">
        <f t="shared" si="58"/>
        <v>-</v>
      </c>
      <c r="V758" s="76" t="str">
        <f t="shared" si="59"/>
        <v>-</v>
      </c>
      <c r="Z758" s="62"/>
    </row>
    <row r="759" spans="1:26" ht="40.15" customHeight="1" x14ac:dyDescent="0.25">
      <c r="A759" s="87">
        <v>27</v>
      </c>
      <c r="B759" s="89" t="s">
        <v>1550</v>
      </c>
      <c r="C759" s="89"/>
      <c r="D759" s="89" t="s">
        <v>344</v>
      </c>
      <c r="E759" s="89" t="s">
        <v>1616</v>
      </c>
      <c r="F759" s="87" t="s">
        <v>1556</v>
      </c>
      <c r="G759" s="92" t="s">
        <v>1557</v>
      </c>
      <c r="H759" s="93" t="s">
        <v>4057</v>
      </c>
      <c r="I759" s="87" t="s">
        <v>1823</v>
      </c>
      <c r="J759" s="87" t="s">
        <v>1824</v>
      </c>
      <c r="K759" s="87" t="s">
        <v>1825</v>
      </c>
      <c r="L759" s="126" t="s">
        <v>19</v>
      </c>
      <c r="M759" s="94">
        <v>44384.416666666664</v>
      </c>
      <c r="N759" s="94">
        <v>44384.666666666664</v>
      </c>
      <c r="O759" s="95" t="str">
        <f>PROPER(TEXT(Table1[[#This Row],[Fecha Inicio]],"mmmm"))</f>
        <v>Julio</v>
      </c>
      <c r="P759" s="96" t="s">
        <v>2553</v>
      </c>
      <c r="Q759" s="97" t="s">
        <v>4058</v>
      </c>
      <c r="R759" s="76">
        <f t="shared" si="55"/>
        <v>3</v>
      </c>
      <c r="S759" s="76">
        <f t="shared" si="56"/>
        <v>3</v>
      </c>
      <c r="T759" s="76" t="str">
        <f t="shared" si="57"/>
        <v>-</v>
      </c>
      <c r="U759" s="76" t="str">
        <f t="shared" si="58"/>
        <v>-</v>
      </c>
      <c r="V759" s="76" t="str">
        <f t="shared" si="59"/>
        <v>-</v>
      </c>
      <c r="Z759" s="62"/>
    </row>
    <row r="760" spans="1:26" ht="40.15" customHeight="1" x14ac:dyDescent="0.25">
      <c r="A760" s="87">
        <v>27</v>
      </c>
      <c r="B760" s="89" t="s">
        <v>1550</v>
      </c>
      <c r="C760" s="89"/>
      <c r="D760" s="89" t="s">
        <v>1570</v>
      </c>
      <c r="E760" s="89" t="s">
        <v>1571</v>
      </c>
      <c r="F760" s="87" t="s">
        <v>1556</v>
      </c>
      <c r="G760" s="92" t="s">
        <v>1557</v>
      </c>
      <c r="H760" s="93" t="s">
        <v>4059</v>
      </c>
      <c r="I760" s="87" t="s">
        <v>4060</v>
      </c>
      <c r="J760" s="87" t="s">
        <v>1654</v>
      </c>
      <c r="K760" s="87" t="s">
        <v>1575</v>
      </c>
      <c r="L760" s="126" t="s">
        <v>19</v>
      </c>
      <c r="M760" s="94">
        <v>44384.625</v>
      </c>
      <c r="N760" s="94">
        <v>44386.416666666664</v>
      </c>
      <c r="O760" s="95" t="str">
        <f>PROPER(TEXT(Table1[[#This Row],[Fecha Inicio]],"mmmm"))</f>
        <v>Julio</v>
      </c>
      <c r="P760" s="96" t="s">
        <v>2095</v>
      </c>
      <c r="Q760" s="97" t="s">
        <v>4061</v>
      </c>
      <c r="R760" s="76">
        <f t="shared" si="55"/>
        <v>8</v>
      </c>
      <c r="S760" s="76">
        <f t="shared" si="56"/>
        <v>8</v>
      </c>
      <c r="T760" s="76" t="str">
        <f t="shared" si="57"/>
        <v>-</v>
      </c>
      <c r="U760" s="76" t="str">
        <f t="shared" si="58"/>
        <v>-</v>
      </c>
      <c r="V760" s="76" t="str">
        <f t="shared" si="59"/>
        <v>-</v>
      </c>
      <c r="Z760" s="62"/>
    </row>
    <row r="761" spans="1:26" ht="40.15" customHeight="1" x14ac:dyDescent="0.25">
      <c r="A761" s="87">
        <v>27</v>
      </c>
      <c r="B761" s="89" t="s">
        <v>1550</v>
      </c>
      <c r="C761" s="89"/>
      <c r="D761" s="89" t="s">
        <v>344</v>
      </c>
      <c r="E761" s="89" t="s">
        <v>1616</v>
      </c>
      <c r="F761" s="87" t="s">
        <v>1556</v>
      </c>
      <c r="G761" s="92" t="s">
        <v>1557</v>
      </c>
      <c r="H761" s="93" t="s">
        <v>4062</v>
      </c>
      <c r="I761" s="87" t="s">
        <v>1871</v>
      </c>
      <c r="J761" s="87" t="s">
        <v>1824</v>
      </c>
      <c r="K761" s="87" t="s">
        <v>1825</v>
      </c>
      <c r="L761" s="126" t="s">
        <v>19</v>
      </c>
      <c r="M761" s="94">
        <v>44385.416666666664</v>
      </c>
      <c r="N761" s="94">
        <v>44385.666666666664</v>
      </c>
      <c r="O761" s="95" t="str">
        <f>PROPER(TEXT(Table1[[#This Row],[Fecha Inicio]],"mmmm"))</f>
        <v>Julio</v>
      </c>
      <c r="P761" s="96" t="s">
        <v>2568</v>
      </c>
      <c r="Q761" s="97" t="s">
        <v>4063</v>
      </c>
      <c r="R761" s="76">
        <f t="shared" si="55"/>
        <v>3</v>
      </c>
      <c r="S761" s="76">
        <f t="shared" si="56"/>
        <v>3</v>
      </c>
      <c r="T761" s="76" t="str">
        <f t="shared" si="57"/>
        <v>-</v>
      </c>
      <c r="U761" s="76" t="str">
        <f t="shared" si="58"/>
        <v>-</v>
      </c>
      <c r="V761" s="76" t="str">
        <f t="shared" si="59"/>
        <v>-</v>
      </c>
      <c r="Z761" s="62"/>
    </row>
    <row r="762" spans="1:26" ht="40.15" customHeight="1" x14ac:dyDescent="0.25">
      <c r="A762" s="87">
        <v>27</v>
      </c>
      <c r="B762" s="89" t="s">
        <v>1550</v>
      </c>
      <c r="C762" s="89"/>
      <c r="D762" s="89" t="s">
        <v>1665</v>
      </c>
      <c r="E762" s="89" t="s">
        <v>2228</v>
      </c>
      <c r="F762" s="87" t="s">
        <v>1556</v>
      </c>
      <c r="G762" s="92" t="s">
        <v>1557</v>
      </c>
      <c r="H762" s="93" t="s">
        <v>4064</v>
      </c>
      <c r="I762" s="87" t="s">
        <v>4065</v>
      </c>
      <c r="J762" s="87" t="s">
        <v>1669</v>
      </c>
      <c r="K762" s="87" t="s">
        <v>1670</v>
      </c>
      <c r="L762" s="126" t="s">
        <v>19</v>
      </c>
      <c r="M762" s="94">
        <v>44385.916666666664</v>
      </c>
      <c r="N762" s="94">
        <v>44386.291666666664</v>
      </c>
      <c r="O762" s="95" t="str">
        <f>PROPER(TEXT(Table1[[#This Row],[Fecha Inicio]],"mmmm"))</f>
        <v>Julio</v>
      </c>
      <c r="P762" s="96" t="s">
        <v>4066</v>
      </c>
      <c r="Q762" s="97" t="s">
        <v>4067</v>
      </c>
      <c r="R762" s="76">
        <f t="shared" si="55"/>
        <v>1</v>
      </c>
      <c r="S762" s="76">
        <f t="shared" si="56"/>
        <v>1</v>
      </c>
      <c r="T762" s="76" t="str">
        <f t="shared" si="57"/>
        <v>-</v>
      </c>
      <c r="U762" s="76" t="str">
        <f t="shared" si="58"/>
        <v>-</v>
      </c>
      <c r="V762" s="76" t="str">
        <f t="shared" si="59"/>
        <v>-</v>
      </c>
      <c r="Z762" s="62"/>
    </row>
    <row r="763" spans="1:26" ht="40.15" customHeight="1" x14ac:dyDescent="0.25">
      <c r="A763" s="87">
        <v>27</v>
      </c>
      <c r="B763" s="89" t="s">
        <v>1550</v>
      </c>
      <c r="C763" s="89"/>
      <c r="D763" s="89" t="s">
        <v>1570</v>
      </c>
      <c r="E763" s="89" t="s">
        <v>1571</v>
      </c>
      <c r="F763" s="87" t="s">
        <v>1556</v>
      </c>
      <c r="G763" s="92" t="s">
        <v>1557</v>
      </c>
      <c r="H763" s="93" t="s">
        <v>4068</v>
      </c>
      <c r="I763" s="87" t="s">
        <v>4069</v>
      </c>
      <c r="J763" s="91" t="s">
        <v>1574</v>
      </c>
      <c r="K763" s="87" t="s">
        <v>1575</v>
      </c>
      <c r="L763" s="126" t="s">
        <v>19</v>
      </c>
      <c r="M763" s="94">
        <v>44385.958333333336</v>
      </c>
      <c r="N763" s="94">
        <v>44386.041666666664</v>
      </c>
      <c r="O763" s="95" t="str">
        <f>PROPER(TEXT(Table1[[#This Row],[Fecha Inicio]],"mmmm"))</f>
        <v>Julio</v>
      </c>
      <c r="P763" s="87" t="s">
        <v>4070</v>
      </c>
      <c r="Q763" s="97" t="s">
        <v>4071</v>
      </c>
      <c r="R763" s="76">
        <f t="shared" si="55"/>
        <v>1</v>
      </c>
      <c r="S763" s="76">
        <f t="shared" si="56"/>
        <v>1</v>
      </c>
      <c r="T763" s="76" t="str">
        <f t="shared" si="57"/>
        <v>-</v>
      </c>
      <c r="U763" s="76" t="str">
        <f t="shared" si="58"/>
        <v>-</v>
      </c>
      <c r="V763" s="76" t="str">
        <f t="shared" si="59"/>
        <v>-</v>
      </c>
      <c r="Z763" s="62"/>
    </row>
    <row r="764" spans="1:26" ht="40.15" customHeight="1" x14ac:dyDescent="0.25">
      <c r="A764" s="87">
        <v>27</v>
      </c>
      <c r="B764" s="89" t="s">
        <v>1550</v>
      </c>
      <c r="C764" s="89"/>
      <c r="D764" s="89" t="s">
        <v>1554</v>
      </c>
      <c r="E764" s="89" t="s">
        <v>1555</v>
      </c>
      <c r="F764" s="87" t="s">
        <v>1556</v>
      </c>
      <c r="G764" s="92" t="s">
        <v>1557</v>
      </c>
      <c r="H764" s="93" t="s">
        <v>4072</v>
      </c>
      <c r="I764" s="87" t="s">
        <v>4073</v>
      </c>
      <c r="J764" s="87" t="s">
        <v>3513</v>
      </c>
      <c r="K764" s="87" t="s">
        <v>1575</v>
      </c>
      <c r="L764" s="87" t="s">
        <v>52</v>
      </c>
      <c r="M764" s="94">
        <v>44386.375</v>
      </c>
      <c r="N764" s="94">
        <v>44386.625</v>
      </c>
      <c r="O764" s="95" t="str">
        <f>PROPER(TEXT(Table1[[#This Row],[Fecha Inicio]],"mmmm"))</f>
        <v>Julio</v>
      </c>
      <c r="P764" s="96" t="s">
        <v>4074</v>
      </c>
      <c r="Q764" s="97" t="s">
        <v>4075</v>
      </c>
      <c r="R764" s="76">
        <f t="shared" si="55"/>
        <v>20</v>
      </c>
      <c r="S764" s="76">
        <f t="shared" si="56"/>
        <v>20</v>
      </c>
      <c r="T764" s="76" t="str">
        <f t="shared" si="57"/>
        <v>-</v>
      </c>
      <c r="U764" s="76" t="str">
        <f t="shared" si="58"/>
        <v>-</v>
      </c>
      <c r="V764" s="76" t="str">
        <f t="shared" si="59"/>
        <v>-</v>
      </c>
      <c r="Z764" s="62"/>
    </row>
    <row r="765" spans="1:26" ht="40.15" customHeight="1" x14ac:dyDescent="0.25">
      <c r="A765" s="87">
        <v>27</v>
      </c>
      <c r="B765" s="89" t="s">
        <v>1550</v>
      </c>
      <c r="C765" s="89"/>
      <c r="D765" s="89" t="s">
        <v>1579</v>
      </c>
      <c r="E765" s="89" t="s">
        <v>2972</v>
      </c>
      <c r="F765" s="87" t="s">
        <v>1556</v>
      </c>
      <c r="G765" s="92" t="s">
        <v>1557</v>
      </c>
      <c r="H765" s="93" t="s">
        <v>4076</v>
      </c>
      <c r="I765" s="87" t="s">
        <v>3606</v>
      </c>
      <c r="J765" s="87" t="s">
        <v>3310</v>
      </c>
      <c r="K765" s="87" t="s">
        <v>3311</v>
      </c>
      <c r="L765" s="87" t="s">
        <v>52</v>
      </c>
      <c r="M765" s="94">
        <v>44386.875</v>
      </c>
      <c r="N765" s="94">
        <v>44386.916666666664</v>
      </c>
      <c r="O765" s="95" t="str">
        <f>PROPER(TEXT(Table1[[#This Row],[Fecha Inicio]],"mmmm"))</f>
        <v>Julio</v>
      </c>
      <c r="P765" s="96" t="s">
        <v>3312</v>
      </c>
      <c r="Q765" s="97" t="s">
        <v>4077</v>
      </c>
      <c r="R765" s="76">
        <f t="shared" si="55"/>
        <v>2</v>
      </c>
      <c r="S765" s="76">
        <f t="shared" si="56"/>
        <v>2</v>
      </c>
      <c r="T765" s="76" t="str">
        <f t="shared" si="57"/>
        <v>-</v>
      </c>
      <c r="U765" s="76" t="str">
        <f t="shared" si="58"/>
        <v>-</v>
      </c>
      <c r="V765" s="76" t="str">
        <f t="shared" si="59"/>
        <v>-</v>
      </c>
      <c r="Z765" s="62"/>
    </row>
    <row r="766" spans="1:26" ht="40.15" customHeight="1" x14ac:dyDescent="0.25">
      <c r="A766" s="87">
        <v>27</v>
      </c>
      <c r="B766" s="89" t="s">
        <v>1550</v>
      </c>
      <c r="C766" s="89" t="s">
        <v>4078</v>
      </c>
      <c r="D766" s="89" t="s">
        <v>1570</v>
      </c>
      <c r="E766" s="89" t="s">
        <v>1571</v>
      </c>
      <c r="F766" s="87" t="s">
        <v>1556</v>
      </c>
      <c r="G766" s="92" t="s">
        <v>1557</v>
      </c>
      <c r="H766" s="93" t="s">
        <v>4079</v>
      </c>
      <c r="I766" s="87" t="s">
        <v>3281</v>
      </c>
      <c r="J766" s="87" t="s">
        <v>1694</v>
      </c>
      <c r="K766" s="87" t="s">
        <v>2240</v>
      </c>
      <c r="L766" s="126" t="s">
        <v>19</v>
      </c>
      <c r="M766" s="94">
        <v>44386.958333333336</v>
      </c>
      <c r="N766" s="94">
        <v>44387.083333333336</v>
      </c>
      <c r="O766" s="95" t="str">
        <f>PROPER(TEXT(Table1[[#This Row],[Fecha Inicio]],"mmmm"))</f>
        <v>Julio</v>
      </c>
      <c r="P766" s="96" t="s">
        <v>4080</v>
      </c>
      <c r="Q766" s="97" t="s">
        <v>4081</v>
      </c>
      <c r="R766" s="76">
        <f t="shared" si="55"/>
        <v>1</v>
      </c>
      <c r="S766" s="76">
        <f t="shared" si="56"/>
        <v>1</v>
      </c>
      <c r="T766" s="76" t="str">
        <f t="shared" si="57"/>
        <v>-</v>
      </c>
      <c r="U766" s="76" t="str">
        <f t="shared" si="58"/>
        <v>-</v>
      </c>
      <c r="V766" s="76" t="str">
        <f t="shared" si="59"/>
        <v>-</v>
      </c>
      <c r="Z766" s="62"/>
    </row>
    <row r="767" spans="1:26" ht="40.15" customHeight="1" x14ac:dyDescent="0.25">
      <c r="A767" s="87">
        <v>27</v>
      </c>
      <c r="B767" s="89" t="s">
        <v>1550</v>
      </c>
      <c r="C767" s="89" t="s">
        <v>4078</v>
      </c>
      <c r="D767" s="89" t="s">
        <v>1570</v>
      </c>
      <c r="E767" s="89" t="s">
        <v>1571</v>
      </c>
      <c r="F767" s="87" t="s">
        <v>1556</v>
      </c>
      <c r="G767" s="92" t="s">
        <v>1557</v>
      </c>
      <c r="H767" s="93" t="s">
        <v>4082</v>
      </c>
      <c r="I767" s="87" t="s">
        <v>4083</v>
      </c>
      <c r="J767" s="87" t="s">
        <v>1708</v>
      </c>
      <c r="K767" s="87" t="s">
        <v>1709</v>
      </c>
      <c r="L767" s="126" t="s">
        <v>19</v>
      </c>
      <c r="M767" s="94">
        <v>44387.958333333336</v>
      </c>
      <c r="N767" s="94">
        <v>44388.083333333336</v>
      </c>
      <c r="O767" s="95" t="str">
        <f>PROPER(TEXT(Table1[[#This Row],[Fecha Inicio]],"mmmm"))</f>
        <v>Julio</v>
      </c>
      <c r="P767" s="96" t="s">
        <v>1710</v>
      </c>
      <c r="Q767" s="97" t="s">
        <v>4084</v>
      </c>
      <c r="R767" s="76">
        <f t="shared" si="55"/>
        <v>15</v>
      </c>
      <c r="S767" s="76">
        <f t="shared" si="56"/>
        <v>15</v>
      </c>
      <c r="T767" s="76" t="str">
        <f t="shared" si="57"/>
        <v>-</v>
      </c>
      <c r="U767" s="76" t="str">
        <f t="shared" si="58"/>
        <v>-</v>
      </c>
      <c r="V767" s="76" t="str">
        <f t="shared" si="59"/>
        <v>-</v>
      </c>
      <c r="Z767" s="62"/>
    </row>
    <row r="768" spans="1:26" ht="40.15" customHeight="1" x14ac:dyDescent="0.25">
      <c r="A768" s="87">
        <v>27</v>
      </c>
      <c r="B768" s="89" t="s">
        <v>1550</v>
      </c>
      <c r="C768" s="89"/>
      <c r="D768" s="89" t="s">
        <v>1570</v>
      </c>
      <c r="E768" s="89" t="s">
        <v>1571</v>
      </c>
      <c r="F768" s="87" t="s">
        <v>1556</v>
      </c>
      <c r="G768" s="92" t="s">
        <v>1557</v>
      </c>
      <c r="H768" s="93" t="s">
        <v>4085</v>
      </c>
      <c r="I768" s="87" t="s">
        <v>4086</v>
      </c>
      <c r="J768" s="87" t="s">
        <v>1724</v>
      </c>
      <c r="K768" s="87" t="s">
        <v>1575</v>
      </c>
      <c r="L768" s="126" t="s">
        <v>19</v>
      </c>
      <c r="M768" s="94">
        <v>44388.958333333336</v>
      </c>
      <c r="N768" s="94">
        <v>44389.083333333336</v>
      </c>
      <c r="O768" s="95" t="str">
        <f>PROPER(TEXT(Table1[[#This Row],[Fecha Inicio]],"mmmm"))</f>
        <v>Julio</v>
      </c>
      <c r="P768" s="87" t="s">
        <v>4087</v>
      </c>
      <c r="Q768" s="97" t="s">
        <v>4088</v>
      </c>
      <c r="R768" s="76">
        <f t="shared" si="55"/>
        <v>1</v>
      </c>
      <c r="S768" s="76">
        <f t="shared" si="56"/>
        <v>1</v>
      </c>
      <c r="T768" s="76" t="str">
        <f t="shared" si="57"/>
        <v>-</v>
      </c>
      <c r="U768" s="76" t="str">
        <f t="shared" si="58"/>
        <v>-</v>
      </c>
      <c r="V768" s="76" t="str">
        <f t="shared" si="59"/>
        <v>-</v>
      </c>
      <c r="Z768" s="62"/>
    </row>
    <row r="769" spans="1:26" ht="40.15" customHeight="1" x14ac:dyDescent="0.25">
      <c r="A769" s="87">
        <v>26</v>
      </c>
      <c r="B769" s="89" t="s">
        <v>1550</v>
      </c>
      <c r="C769" s="89" t="s">
        <v>4089</v>
      </c>
      <c r="D769" s="89" t="s">
        <v>1570</v>
      </c>
      <c r="E769" s="89" t="s">
        <v>1571</v>
      </c>
      <c r="F769" s="87" t="s">
        <v>1600</v>
      </c>
      <c r="G769" s="92" t="s">
        <v>1557</v>
      </c>
      <c r="H769" s="93" t="s">
        <v>4090</v>
      </c>
      <c r="I769" s="87" t="s">
        <v>4091</v>
      </c>
      <c r="J769" s="87" t="s">
        <v>2025</v>
      </c>
      <c r="K769" s="87" t="s">
        <v>1341</v>
      </c>
      <c r="L769" s="126" t="s">
        <v>19</v>
      </c>
      <c r="M769" s="94">
        <v>44388.958333333336</v>
      </c>
      <c r="N769" s="94">
        <v>44389.375</v>
      </c>
      <c r="O769" s="95" t="str">
        <f>PROPER(TEXT(Table1[[#This Row],[Fecha Inicio]],"mmmm"))</f>
        <v>Julio</v>
      </c>
      <c r="P769" s="96" t="s">
        <v>2026</v>
      </c>
      <c r="Q769" s="97" t="s">
        <v>4092</v>
      </c>
      <c r="R769" s="76">
        <f t="shared" si="55"/>
        <v>2</v>
      </c>
      <c r="S769" s="76">
        <f t="shared" si="56"/>
        <v>2</v>
      </c>
      <c r="T769" s="76" t="str">
        <f t="shared" si="57"/>
        <v>-</v>
      </c>
      <c r="U769" s="76" t="str">
        <f t="shared" si="58"/>
        <v>-</v>
      </c>
      <c r="V769" s="76" t="str">
        <f t="shared" si="59"/>
        <v>-</v>
      </c>
      <c r="Z769" s="62"/>
    </row>
    <row r="770" spans="1:26" ht="40.15" customHeight="1" x14ac:dyDescent="0.25">
      <c r="A770" s="87">
        <v>27</v>
      </c>
      <c r="B770" s="89" t="s">
        <v>1550</v>
      </c>
      <c r="C770" s="89"/>
      <c r="D770" s="89" t="s">
        <v>344</v>
      </c>
      <c r="E770" s="89" t="s">
        <v>1616</v>
      </c>
      <c r="F770" s="87" t="s">
        <v>1556</v>
      </c>
      <c r="G770" s="92" t="s">
        <v>1557</v>
      </c>
      <c r="H770" s="89" t="s">
        <v>4093</v>
      </c>
      <c r="I770" s="89" t="s">
        <v>2603</v>
      </c>
      <c r="J770" s="91" t="s">
        <v>1920</v>
      </c>
      <c r="K770" s="87" t="s">
        <v>1921</v>
      </c>
      <c r="L770" s="126" t="s">
        <v>19</v>
      </c>
      <c r="M770" s="94">
        <v>44389.416666666664</v>
      </c>
      <c r="N770" s="94">
        <v>44389.583333333336</v>
      </c>
      <c r="O770" s="95" t="str">
        <f>PROPER(TEXT(Table1[[#This Row],[Fecha Inicio]],"mmmm"))</f>
        <v>Julio</v>
      </c>
      <c r="P770" s="96" t="s">
        <v>4094</v>
      </c>
      <c r="Q770" s="97" t="s">
        <v>4095</v>
      </c>
      <c r="R770" s="76">
        <f t="shared" ref="R770:R833" si="60">LEN(TRIM(P770))-LEN(SUBSTITUTE(TRIM(P770),",",""))+1</f>
        <v>3</v>
      </c>
      <c r="S770" s="76">
        <f t="shared" ref="S770:S833" si="61">IF(B770="CON ÉXITO",R770,"-")</f>
        <v>3</v>
      </c>
      <c r="T770" s="76" t="str">
        <f t="shared" ref="T770:T833" si="62">IF($B770="Éxito con problemas",S770,"-")</f>
        <v>-</v>
      </c>
      <c r="U770" s="76" t="str">
        <f t="shared" ref="U770:U833" si="63">IF($B770="CANCELADO",R770,"-")</f>
        <v>-</v>
      </c>
      <c r="V770" s="76" t="str">
        <f t="shared" ref="V770:V833" si="64">IF($B770="Aplicada marcha atrás",R770,"-")</f>
        <v>-</v>
      </c>
      <c r="Z770" s="62"/>
    </row>
    <row r="771" spans="1:26" ht="40.15" customHeight="1" x14ac:dyDescent="0.25">
      <c r="A771" s="87">
        <v>27</v>
      </c>
      <c r="B771" s="89" t="s">
        <v>1550</v>
      </c>
      <c r="C771" s="89"/>
      <c r="D771" s="89" t="s">
        <v>1570</v>
      </c>
      <c r="E771" s="89" t="s">
        <v>1571</v>
      </c>
      <c r="F771" s="87" t="s">
        <v>1556</v>
      </c>
      <c r="G771" s="92" t="s">
        <v>1557</v>
      </c>
      <c r="H771" s="93" t="s">
        <v>4099</v>
      </c>
      <c r="I771" s="87" t="s">
        <v>4100</v>
      </c>
      <c r="J771" s="87" t="s">
        <v>1612</v>
      </c>
      <c r="K771" s="87" t="s">
        <v>1613</v>
      </c>
      <c r="L771" s="126" t="s">
        <v>19</v>
      </c>
      <c r="M771" s="94">
        <v>44389.958333333336</v>
      </c>
      <c r="N771" s="94">
        <v>44390.041666666664</v>
      </c>
      <c r="O771" s="95" t="str">
        <f>PROPER(TEXT(Table1[[#This Row],[Fecha Inicio]],"mmmm"))</f>
        <v>Julio</v>
      </c>
      <c r="P771" s="87" t="s">
        <v>4101</v>
      </c>
      <c r="Q771" s="97" t="s">
        <v>4102</v>
      </c>
      <c r="R771" s="76">
        <f t="shared" si="60"/>
        <v>1</v>
      </c>
      <c r="S771" s="76">
        <f t="shared" si="61"/>
        <v>1</v>
      </c>
      <c r="T771" s="76" t="str">
        <f t="shared" si="62"/>
        <v>-</v>
      </c>
      <c r="U771" s="76" t="str">
        <f t="shared" si="63"/>
        <v>-</v>
      </c>
      <c r="V771" s="76" t="str">
        <f t="shared" si="64"/>
        <v>-</v>
      </c>
      <c r="Z771" s="62"/>
    </row>
    <row r="772" spans="1:26" ht="40.15" customHeight="1" x14ac:dyDescent="0.25">
      <c r="A772" s="87">
        <v>27</v>
      </c>
      <c r="B772" s="89" t="s">
        <v>1550</v>
      </c>
      <c r="C772" s="89"/>
      <c r="D772" s="89" t="s">
        <v>344</v>
      </c>
      <c r="E772" s="89" t="s">
        <v>1616</v>
      </c>
      <c r="F772" s="87" t="s">
        <v>1556</v>
      </c>
      <c r="G772" s="92" t="s">
        <v>1557</v>
      </c>
      <c r="H772" s="93" t="s">
        <v>4096</v>
      </c>
      <c r="I772" s="87" t="s">
        <v>2036</v>
      </c>
      <c r="J772" s="87" t="s">
        <v>1802</v>
      </c>
      <c r="K772" s="87" t="s">
        <v>1596</v>
      </c>
      <c r="L772" s="126" t="s">
        <v>19</v>
      </c>
      <c r="M772" s="94">
        <v>44389.958333333336</v>
      </c>
      <c r="N772" s="94">
        <v>44390.125</v>
      </c>
      <c r="O772" s="95" t="str">
        <f>PROPER(TEXT(Table1[[#This Row],[Fecha Inicio]],"mmmm"))</f>
        <v>Julio</v>
      </c>
      <c r="P772" s="96" t="s">
        <v>4097</v>
      </c>
      <c r="Q772" s="97" t="s">
        <v>4098</v>
      </c>
      <c r="R772" s="76">
        <f t="shared" si="60"/>
        <v>5</v>
      </c>
      <c r="S772" s="76">
        <f t="shared" si="61"/>
        <v>5</v>
      </c>
      <c r="T772" s="76" t="str">
        <f t="shared" si="62"/>
        <v>-</v>
      </c>
      <c r="U772" s="76" t="str">
        <f t="shared" si="63"/>
        <v>-</v>
      </c>
      <c r="V772" s="76" t="str">
        <f t="shared" si="64"/>
        <v>-</v>
      </c>
      <c r="Z772" s="62"/>
    </row>
    <row r="773" spans="1:26" ht="40.15" customHeight="1" x14ac:dyDescent="0.25">
      <c r="A773" s="87">
        <v>27</v>
      </c>
      <c r="B773" s="89" t="s">
        <v>1550</v>
      </c>
      <c r="C773" s="89"/>
      <c r="D773" s="89" t="s">
        <v>344</v>
      </c>
      <c r="E773" s="89" t="s">
        <v>1616</v>
      </c>
      <c r="F773" s="87" t="s">
        <v>1556</v>
      </c>
      <c r="G773" s="92" t="s">
        <v>1557</v>
      </c>
      <c r="H773" s="93" t="s">
        <v>4103</v>
      </c>
      <c r="I773" s="87" t="s">
        <v>2635</v>
      </c>
      <c r="J773" s="91" t="s">
        <v>1920</v>
      </c>
      <c r="K773" s="87" t="s">
        <v>1921</v>
      </c>
      <c r="L773" s="126" t="s">
        <v>19</v>
      </c>
      <c r="M773" s="94">
        <v>44390.416666666664</v>
      </c>
      <c r="N773" s="94">
        <v>44390.583333333336</v>
      </c>
      <c r="O773" s="95" t="str">
        <f>PROPER(TEXT(Table1[[#This Row],[Fecha Inicio]],"mmmm"))</f>
        <v>Julio</v>
      </c>
      <c r="P773" s="96" t="s">
        <v>4104</v>
      </c>
      <c r="Q773" s="97" t="s">
        <v>4105</v>
      </c>
      <c r="R773" s="76">
        <f t="shared" si="60"/>
        <v>3</v>
      </c>
      <c r="S773" s="76">
        <f t="shared" si="61"/>
        <v>3</v>
      </c>
      <c r="T773" s="76" t="str">
        <f t="shared" si="62"/>
        <v>-</v>
      </c>
      <c r="U773" s="76" t="str">
        <f t="shared" si="63"/>
        <v>-</v>
      </c>
      <c r="V773" s="76" t="str">
        <f t="shared" si="64"/>
        <v>-</v>
      </c>
      <c r="Z773" s="62"/>
    </row>
    <row r="774" spans="1:26" ht="40.15" customHeight="1" x14ac:dyDescent="0.25">
      <c r="A774" s="87">
        <v>27</v>
      </c>
      <c r="B774" s="89" t="s">
        <v>1550</v>
      </c>
      <c r="C774" s="89"/>
      <c r="D774" s="89" t="s">
        <v>326</v>
      </c>
      <c r="E774" s="89" t="s">
        <v>1631</v>
      </c>
      <c r="F774" s="87" t="s">
        <v>1556</v>
      </c>
      <c r="G774" s="92" t="s">
        <v>1557</v>
      </c>
      <c r="H774" s="93" t="s">
        <v>4106</v>
      </c>
      <c r="I774" s="87" t="s">
        <v>4107</v>
      </c>
      <c r="J774" s="87" t="s">
        <v>4108</v>
      </c>
      <c r="K774" s="87" t="s">
        <v>3703</v>
      </c>
      <c r="L774" s="126" t="s">
        <v>19</v>
      </c>
      <c r="M774" s="94">
        <v>44390.625</v>
      </c>
      <c r="N774" s="94">
        <v>44390.833333333336</v>
      </c>
      <c r="O774" s="95" t="str">
        <f>PROPER(TEXT(Table1[[#This Row],[Fecha Inicio]],"mmmm"))</f>
        <v>Julio</v>
      </c>
      <c r="P774" s="96" t="s">
        <v>4109</v>
      </c>
      <c r="Q774" s="97" t="s">
        <v>4110</v>
      </c>
      <c r="R774" s="76">
        <f t="shared" si="60"/>
        <v>5</v>
      </c>
      <c r="S774" s="76">
        <f t="shared" si="61"/>
        <v>5</v>
      </c>
      <c r="T774" s="76" t="str">
        <f t="shared" si="62"/>
        <v>-</v>
      </c>
      <c r="U774" s="76" t="str">
        <f t="shared" si="63"/>
        <v>-</v>
      </c>
      <c r="V774" s="76" t="str">
        <f t="shared" si="64"/>
        <v>-</v>
      </c>
      <c r="Z774" s="62"/>
    </row>
    <row r="775" spans="1:26" ht="40.15" customHeight="1" x14ac:dyDescent="0.25">
      <c r="A775" s="87">
        <v>28</v>
      </c>
      <c r="B775" s="89" t="s">
        <v>1550</v>
      </c>
      <c r="C775" s="89" t="s">
        <v>4111</v>
      </c>
      <c r="D775" s="89" t="s">
        <v>326</v>
      </c>
      <c r="E775" s="89" t="s">
        <v>1631</v>
      </c>
      <c r="F775" s="87" t="s">
        <v>1556</v>
      </c>
      <c r="G775" s="92" t="s">
        <v>1557</v>
      </c>
      <c r="H775" s="93" t="s">
        <v>4112</v>
      </c>
      <c r="I775" s="87" t="s">
        <v>1633</v>
      </c>
      <c r="J775" s="87" t="s">
        <v>1634</v>
      </c>
      <c r="K775" s="87" t="s">
        <v>1635</v>
      </c>
      <c r="L775" s="126" t="s">
        <v>19</v>
      </c>
      <c r="M775" s="94">
        <v>44390.895833333336</v>
      </c>
      <c r="N775" s="94">
        <v>44391.020833333336</v>
      </c>
      <c r="O775" s="95" t="str">
        <f>PROPER(TEXT(Table1[[#This Row],[Fecha Inicio]],"mmmm"))</f>
        <v>Julio</v>
      </c>
      <c r="P775" s="96" t="s">
        <v>1636</v>
      </c>
      <c r="Q775" s="97" t="s">
        <v>4113</v>
      </c>
      <c r="R775" s="76">
        <f t="shared" si="60"/>
        <v>6</v>
      </c>
      <c r="S775" s="76">
        <f t="shared" si="61"/>
        <v>6</v>
      </c>
      <c r="T775" s="76" t="str">
        <f t="shared" si="62"/>
        <v>-</v>
      </c>
      <c r="U775" s="76" t="str">
        <f t="shared" si="63"/>
        <v>-</v>
      </c>
      <c r="V775" s="76" t="str">
        <f t="shared" si="64"/>
        <v>-</v>
      </c>
      <c r="Z775" s="62"/>
    </row>
    <row r="776" spans="1:26" ht="40.15" customHeight="1" x14ac:dyDescent="0.25">
      <c r="A776" s="87">
        <v>27</v>
      </c>
      <c r="B776" s="89" t="s">
        <v>1550</v>
      </c>
      <c r="C776" s="89"/>
      <c r="D776" s="89" t="s">
        <v>326</v>
      </c>
      <c r="E776" s="89" t="s">
        <v>1631</v>
      </c>
      <c r="F776" s="87" t="s">
        <v>1556</v>
      </c>
      <c r="G776" s="92" t="s">
        <v>1557</v>
      </c>
      <c r="H776" s="93" t="s">
        <v>4114</v>
      </c>
      <c r="I776" s="87" t="s">
        <v>3347</v>
      </c>
      <c r="J776" s="87" t="s">
        <v>3348</v>
      </c>
      <c r="K776" s="87" t="s">
        <v>1613</v>
      </c>
      <c r="L776" s="126" t="s">
        <v>19</v>
      </c>
      <c r="M776" s="94">
        <v>44390.916666666664</v>
      </c>
      <c r="N776" s="94">
        <v>44391.041666666664</v>
      </c>
      <c r="O776" s="95" t="str">
        <f>PROPER(TEXT(Table1[[#This Row],[Fecha Inicio]],"mmmm"))</f>
        <v>Julio</v>
      </c>
      <c r="P776" s="96" t="s">
        <v>3349</v>
      </c>
      <c r="Q776" s="97" t="s">
        <v>4115</v>
      </c>
      <c r="R776" s="76">
        <f t="shared" si="60"/>
        <v>5</v>
      </c>
      <c r="S776" s="76">
        <f t="shared" si="61"/>
        <v>5</v>
      </c>
      <c r="T776" s="76" t="str">
        <f t="shared" si="62"/>
        <v>-</v>
      </c>
      <c r="U776" s="76" t="str">
        <f t="shared" si="63"/>
        <v>-</v>
      </c>
      <c r="V776" s="76" t="str">
        <f t="shared" si="64"/>
        <v>-</v>
      </c>
      <c r="Z776" s="62"/>
    </row>
    <row r="777" spans="1:26" ht="40.15" customHeight="1" x14ac:dyDescent="0.25">
      <c r="A777" s="87">
        <v>27</v>
      </c>
      <c r="B777" s="89" t="s">
        <v>1550</v>
      </c>
      <c r="C777" s="89"/>
      <c r="D777" s="89" t="s">
        <v>344</v>
      </c>
      <c r="E777" s="89" t="s">
        <v>1616</v>
      </c>
      <c r="F777" s="87" t="s">
        <v>1556</v>
      </c>
      <c r="G777" s="92" t="s">
        <v>1557</v>
      </c>
      <c r="H777" s="93" t="s">
        <v>4116</v>
      </c>
      <c r="I777" s="87" t="s">
        <v>2067</v>
      </c>
      <c r="J777" s="87" t="s">
        <v>1802</v>
      </c>
      <c r="K777" s="87" t="s">
        <v>1596</v>
      </c>
      <c r="L777" s="126" t="s">
        <v>19</v>
      </c>
      <c r="M777" s="94">
        <v>44390.958333333336</v>
      </c>
      <c r="N777" s="94">
        <v>44391.125</v>
      </c>
      <c r="O777" s="95" t="str">
        <f>PROPER(TEXT(Table1[[#This Row],[Fecha Inicio]],"mmmm"))</f>
        <v>Julio</v>
      </c>
      <c r="P777" s="96" t="s">
        <v>3667</v>
      </c>
      <c r="Q777" s="97" t="s">
        <v>4117</v>
      </c>
      <c r="R777" s="76">
        <f t="shared" si="60"/>
        <v>6</v>
      </c>
      <c r="S777" s="76">
        <f t="shared" si="61"/>
        <v>6</v>
      </c>
      <c r="T777" s="76" t="str">
        <f t="shared" si="62"/>
        <v>-</v>
      </c>
      <c r="U777" s="76" t="str">
        <f t="shared" si="63"/>
        <v>-</v>
      </c>
      <c r="V777" s="76" t="str">
        <f t="shared" si="64"/>
        <v>-</v>
      </c>
      <c r="Z777" s="62"/>
    </row>
    <row r="778" spans="1:26" ht="40.15" customHeight="1" x14ac:dyDescent="0.25">
      <c r="A778" s="87">
        <v>27</v>
      </c>
      <c r="B778" s="89" t="s">
        <v>1550</v>
      </c>
      <c r="C778" s="89"/>
      <c r="D778" s="89" t="s">
        <v>1570</v>
      </c>
      <c r="E778" s="89" t="s">
        <v>1571</v>
      </c>
      <c r="F778" s="87" t="s">
        <v>1556</v>
      </c>
      <c r="G778" s="92" t="s">
        <v>1557</v>
      </c>
      <c r="H778" s="93" t="s">
        <v>4118</v>
      </c>
      <c r="I778" s="87" t="s">
        <v>3232</v>
      </c>
      <c r="J778" s="87" t="s">
        <v>1790</v>
      </c>
      <c r="K778" s="87" t="s">
        <v>1791</v>
      </c>
      <c r="L778" s="126" t="s">
        <v>19</v>
      </c>
      <c r="M778" s="94">
        <v>44390.958333333336</v>
      </c>
      <c r="N778" s="94">
        <v>44391.125</v>
      </c>
      <c r="O778" s="95" t="str">
        <f>PROPER(TEXT(Table1[[#This Row],[Fecha Inicio]],"mmmm"))</f>
        <v>Julio</v>
      </c>
      <c r="P778" s="96" t="s">
        <v>1792</v>
      </c>
      <c r="Q778" s="97" t="s">
        <v>4119</v>
      </c>
      <c r="R778" s="76">
        <f t="shared" si="60"/>
        <v>113</v>
      </c>
      <c r="S778" s="76">
        <f t="shared" si="61"/>
        <v>113</v>
      </c>
      <c r="T778" s="76" t="str">
        <f t="shared" si="62"/>
        <v>-</v>
      </c>
      <c r="U778" s="76" t="str">
        <f t="shared" si="63"/>
        <v>-</v>
      </c>
      <c r="V778" s="76" t="str">
        <f t="shared" si="64"/>
        <v>-</v>
      </c>
      <c r="Z778" s="62"/>
    </row>
    <row r="779" spans="1:26" ht="40.15" customHeight="1" x14ac:dyDescent="0.25">
      <c r="A779" s="87">
        <v>27</v>
      </c>
      <c r="B779" s="89" t="s">
        <v>3527</v>
      </c>
      <c r="C779" s="89" t="s">
        <v>4120</v>
      </c>
      <c r="D779" s="89" t="s">
        <v>326</v>
      </c>
      <c r="E779" s="89" t="s">
        <v>1631</v>
      </c>
      <c r="F779" s="87" t="s">
        <v>1556</v>
      </c>
      <c r="G779" s="92" t="s">
        <v>1557</v>
      </c>
      <c r="H779" s="93" t="s">
        <v>4121</v>
      </c>
      <c r="I779" s="87" t="s">
        <v>3522</v>
      </c>
      <c r="J779" s="87" t="s">
        <v>2404</v>
      </c>
      <c r="K779" s="87" t="s">
        <v>1575</v>
      </c>
      <c r="L779" s="126" t="s">
        <v>19</v>
      </c>
      <c r="M779" s="94">
        <v>44391</v>
      </c>
      <c r="N779" s="94">
        <v>44391.166666666664</v>
      </c>
      <c r="O779" s="95" t="str">
        <f>PROPER(TEXT(Table1[[#This Row],[Fecha Inicio]],"mmmm"))</f>
        <v>Julio</v>
      </c>
      <c r="P779" s="96" t="s">
        <v>3523</v>
      </c>
      <c r="Q779" s="97" t="s">
        <v>4122</v>
      </c>
      <c r="R779" s="76">
        <f t="shared" si="60"/>
        <v>1</v>
      </c>
      <c r="S779" s="76" t="str">
        <f t="shared" si="61"/>
        <v>-</v>
      </c>
      <c r="T779" s="76" t="str">
        <f t="shared" si="62"/>
        <v>-</v>
      </c>
      <c r="U779" s="76" t="str">
        <f t="shared" si="63"/>
        <v>-</v>
      </c>
      <c r="V779" s="76" t="str">
        <f t="shared" si="64"/>
        <v>-</v>
      </c>
      <c r="Z779" s="62"/>
    </row>
    <row r="780" spans="1:26" ht="40.15" customHeight="1" x14ac:dyDescent="0.25">
      <c r="A780" s="87">
        <v>27</v>
      </c>
      <c r="B780" s="89" t="s">
        <v>1550</v>
      </c>
      <c r="C780" s="89"/>
      <c r="D780" s="89" t="s">
        <v>326</v>
      </c>
      <c r="E780" s="89" t="s">
        <v>1631</v>
      </c>
      <c r="F780" s="87" t="s">
        <v>1556</v>
      </c>
      <c r="G780" s="92" t="s">
        <v>1557</v>
      </c>
      <c r="H780" s="93" t="s">
        <v>4123</v>
      </c>
      <c r="I780" s="87" t="s">
        <v>4107</v>
      </c>
      <c r="J780" s="87" t="s">
        <v>4108</v>
      </c>
      <c r="K780" s="87" t="s">
        <v>3703</v>
      </c>
      <c r="L780" s="126" t="s">
        <v>19</v>
      </c>
      <c r="M780" s="94">
        <v>44391.625</v>
      </c>
      <c r="N780" s="94">
        <v>44391.875</v>
      </c>
      <c r="O780" s="95" t="str">
        <f>PROPER(TEXT(Table1[[#This Row],[Fecha Inicio]],"mmmm"))</f>
        <v>Julio</v>
      </c>
      <c r="P780" s="96" t="s">
        <v>4124</v>
      </c>
      <c r="Q780" s="97" t="s">
        <v>4125</v>
      </c>
      <c r="R780" s="76">
        <f t="shared" si="60"/>
        <v>6</v>
      </c>
      <c r="S780" s="76">
        <f t="shared" si="61"/>
        <v>6</v>
      </c>
      <c r="T780" s="76" t="str">
        <f t="shared" si="62"/>
        <v>-</v>
      </c>
      <c r="U780" s="76" t="str">
        <f t="shared" si="63"/>
        <v>-</v>
      </c>
      <c r="V780" s="76" t="str">
        <f t="shared" si="64"/>
        <v>-</v>
      </c>
      <c r="Z780" s="62"/>
    </row>
    <row r="781" spans="1:26" ht="40.15" customHeight="1" x14ac:dyDescent="0.25">
      <c r="A781" s="87">
        <v>27</v>
      </c>
      <c r="B781" s="89" t="s">
        <v>1550</v>
      </c>
      <c r="C781" s="89"/>
      <c r="D781" s="89" t="s">
        <v>1570</v>
      </c>
      <c r="E781" s="89" t="s">
        <v>1571</v>
      </c>
      <c r="F781" s="87" t="s">
        <v>1556</v>
      </c>
      <c r="G781" s="92" t="s">
        <v>1557</v>
      </c>
      <c r="H781" s="93" t="s">
        <v>4129</v>
      </c>
      <c r="I781" s="87" t="s">
        <v>4130</v>
      </c>
      <c r="J781" s="87" t="s">
        <v>1640</v>
      </c>
      <c r="K781" s="87" t="s">
        <v>1641</v>
      </c>
      <c r="L781" s="126" t="s">
        <v>19</v>
      </c>
      <c r="M781" s="94">
        <v>44391.958333333336</v>
      </c>
      <c r="N781" s="94">
        <v>44392.083333333336</v>
      </c>
      <c r="O781" s="95" t="str">
        <f>PROPER(TEXT(Table1[[#This Row],[Fecha Inicio]],"mmmm"))</f>
        <v>Julio</v>
      </c>
      <c r="P781" s="96" t="s">
        <v>1642</v>
      </c>
      <c r="Q781" s="97" t="s">
        <v>4131</v>
      </c>
      <c r="R781" s="76">
        <f t="shared" si="60"/>
        <v>8</v>
      </c>
      <c r="S781" s="76">
        <f t="shared" si="61"/>
        <v>8</v>
      </c>
      <c r="T781" s="76" t="str">
        <f t="shared" si="62"/>
        <v>-</v>
      </c>
      <c r="U781" s="76" t="str">
        <f t="shared" si="63"/>
        <v>-</v>
      </c>
      <c r="V781" s="76" t="str">
        <f t="shared" si="64"/>
        <v>-</v>
      </c>
      <c r="Z781" s="62"/>
    </row>
    <row r="782" spans="1:26" ht="40.15" customHeight="1" x14ac:dyDescent="0.25">
      <c r="A782" s="87">
        <v>27</v>
      </c>
      <c r="B782" s="89" t="s">
        <v>1552</v>
      </c>
      <c r="C782" s="89" t="s">
        <v>4126</v>
      </c>
      <c r="D782" s="89" t="s">
        <v>344</v>
      </c>
      <c r="E782" s="89" t="s">
        <v>1616</v>
      </c>
      <c r="F782" s="87" t="s">
        <v>1556</v>
      </c>
      <c r="G782" s="92" t="s">
        <v>1965</v>
      </c>
      <c r="H782" s="93" t="s">
        <v>4127</v>
      </c>
      <c r="I782" s="87" t="s">
        <v>1765</v>
      </c>
      <c r="J782" s="87" t="s">
        <v>1766</v>
      </c>
      <c r="K782" s="87" t="s">
        <v>1575</v>
      </c>
      <c r="L782" s="126" t="s">
        <v>19</v>
      </c>
      <c r="M782" s="94">
        <v>44391.958333333336</v>
      </c>
      <c r="N782" s="94">
        <v>44392.125</v>
      </c>
      <c r="O782" s="95" t="str">
        <f>PROPER(TEXT(Table1[[#This Row],[Fecha Inicio]],"mmmm"))</f>
        <v>Julio</v>
      </c>
      <c r="P782" s="96" t="s">
        <v>3794</v>
      </c>
      <c r="Q782" s="97" t="s">
        <v>4128</v>
      </c>
      <c r="R782" s="76">
        <f t="shared" si="60"/>
        <v>3</v>
      </c>
      <c r="S782" s="76" t="str">
        <f t="shared" si="61"/>
        <v>-</v>
      </c>
      <c r="T782" s="76" t="str">
        <f t="shared" si="62"/>
        <v>-</v>
      </c>
      <c r="U782" s="76">
        <f t="shared" si="63"/>
        <v>3</v>
      </c>
      <c r="V782" s="76" t="str">
        <f t="shared" si="64"/>
        <v>-</v>
      </c>
      <c r="Z782" s="62"/>
    </row>
    <row r="783" spans="1:26" ht="40.15" customHeight="1" x14ac:dyDescent="0.25">
      <c r="A783" s="87">
        <v>28</v>
      </c>
      <c r="B783" s="89" t="s">
        <v>1550</v>
      </c>
      <c r="C783" s="89" t="s">
        <v>4132</v>
      </c>
      <c r="D783" s="89" t="s">
        <v>326</v>
      </c>
      <c r="E783" s="89" t="s">
        <v>1631</v>
      </c>
      <c r="F783" s="87" t="s">
        <v>1556</v>
      </c>
      <c r="G783" s="92" t="s">
        <v>1557</v>
      </c>
      <c r="H783" s="93" t="s">
        <v>4133</v>
      </c>
      <c r="I783" s="87" t="s">
        <v>1689</v>
      </c>
      <c r="J783" s="87" t="s">
        <v>1634</v>
      </c>
      <c r="K783" s="87" t="s">
        <v>1635</v>
      </c>
      <c r="L783" s="126" t="s">
        <v>19</v>
      </c>
      <c r="M783" s="94">
        <v>44392.916666666664</v>
      </c>
      <c r="N783" s="94">
        <v>44393.125</v>
      </c>
      <c r="O783" s="95" t="str">
        <f>PROPER(TEXT(Table1[[#This Row],[Fecha Inicio]],"mmmm"))</f>
        <v>Julio</v>
      </c>
      <c r="P783" s="96" t="s">
        <v>3378</v>
      </c>
      <c r="Q783" s="97" t="s">
        <v>4134</v>
      </c>
      <c r="R783" s="76">
        <f t="shared" si="60"/>
        <v>20</v>
      </c>
      <c r="S783" s="76">
        <f t="shared" si="61"/>
        <v>20</v>
      </c>
      <c r="T783" s="76" t="str">
        <f t="shared" si="62"/>
        <v>-</v>
      </c>
      <c r="U783" s="76" t="str">
        <f t="shared" si="63"/>
        <v>-</v>
      </c>
      <c r="V783" s="76" t="str">
        <f t="shared" si="64"/>
        <v>-</v>
      </c>
      <c r="Z783" s="62"/>
    </row>
    <row r="784" spans="1:26" ht="40.15" customHeight="1" x14ac:dyDescent="0.25">
      <c r="A784" s="87">
        <v>27</v>
      </c>
      <c r="B784" s="89" t="s">
        <v>1552</v>
      </c>
      <c r="C784" s="89"/>
      <c r="D784" s="89" t="s">
        <v>344</v>
      </c>
      <c r="E784" s="89" t="s">
        <v>1616</v>
      </c>
      <c r="F784" s="87" t="s">
        <v>1556</v>
      </c>
      <c r="G784" s="92" t="s">
        <v>1965</v>
      </c>
      <c r="H784" s="93" t="s">
        <v>4135</v>
      </c>
      <c r="I784" s="87" t="s">
        <v>1806</v>
      </c>
      <c r="J784" s="87" t="s">
        <v>1766</v>
      </c>
      <c r="K784" s="87" t="s">
        <v>1575</v>
      </c>
      <c r="L784" s="126" t="s">
        <v>19</v>
      </c>
      <c r="M784" s="94">
        <v>44392.958333333336</v>
      </c>
      <c r="N784" s="94">
        <v>44393.125</v>
      </c>
      <c r="O784" s="95" t="str">
        <f>PROPER(TEXT(Table1[[#This Row],[Fecha Inicio]],"mmmm"))</f>
        <v>Julio</v>
      </c>
      <c r="P784" s="96" t="s">
        <v>3835</v>
      </c>
      <c r="Q784" s="97" t="s">
        <v>4136</v>
      </c>
      <c r="R784" s="76">
        <f t="shared" si="60"/>
        <v>3</v>
      </c>
      <c r="S784" s="76" t="str">
        <f t="shared" si="61"/>
        <v>-</v>
      </c>
      <c r="T784" s="76" t="str">
        <f t="shared" si="62"/>
        <v>-</v>
      </c>
      <c r="U784" s="76">
        <f t="shared" si="63"/>
        <v>3</v>
      </c>
      <c r="V784" s="76" t="str">
        <f t="shared" si="64"/>
        <v>-</v>
      </c>
      <c r="Z784" s="62"/>
    </row>
    <row r="785" spans="1:26" ht="40.15" customHeight="1" x14ac:dyDescent="0.25">
      <c r="A785" s="87">
        <v>27</v>
      </c>
      <c r="B785" s="89" t="s">
        <v>1550</v>
      </c>
      <c r="C785" s="89" t="s">
        <v>4137</v>
      </c>
      <c r="D785" s="89" t="s">
        <v>326</v>
      </c>
      <c r="E785" s="89" t="s">
        <v>1631</v>
      </c>
      <c r="F785" s="87" t="s">
        <v>1556</v>
      </c>
      <c r="G785" s="92" t="s">
        <v>1557</v>
      </c>
      <c r="H785" s="93" t="s">
        <v>4138</v>
      </c>
      <c r="I785" s="87" t="s">
        <v>1718</v>
      </c>
      <c r="J785" s="87" t="s">
        <v>1719</v>
      </c>
      <c r="K785" s="87" t="s">
        <v>1575</v>
      </c>
      <c r="L785" s="126" t="s">
        <v>19</v>
      </c>
      <c r="M785" s="94">
        <v>44395</v>
      </c>
      <c r="N785" s="94">
        <v>44395.25</v>
      </c>
      <c r="O785" s="95" t="str">
        <f>PROPER(TEXT(Table1[[#This Row],[Fecha Inicio]],"mmmm"))</f>
        <v>Julio</v>
      </c>
      <c r="P785" s="96" t="s">
        <v>4139</v>
      </c>
      <c r="Q785" s="97" t="s">
        <v>4140</v>
      </c>
      <c r="R785" s="76">
        <f t="shared" si="60"/>
        <v>17</v>
      </c>
      <c r="S785" s="76">
        <f t="shared" si="61"/>
        <v>17</v>
      </c>
      <c r="T785" s="76" t="str">
        <f t="shared" si="62"/>
        <v>-</v>
      </c>
      <c r="U785" s="76" t="str">
        <f t="shared" si="63"/>
        <v>-</v>
      </c>
      <c r="V785" s="76" t="str">
        <f t="shared" si="64"/>
        <v>-</v>
      </c>
      <c r="Z785" s="62"/>
    </row>
    <row r="786" spans="1:26" ht="40.15" customHeight="1" x14ac:dyDescent="0.25">
      <c r="A786" s="87">
        <v>27</v>
      </c>
      <c r="B786" s="89" t="s">
        <v>1550</v>
      </c>
      <c r="C786" s="89" t="s">
        <v>4141</v>
      </c>
      <c r="D786" s="89" t="s">
        <v>1570</v>
      </c>
      <c r="E786" s="89" t="s">
        <v>1571</v>
      </c>
      <c r="F786" s="87" t="s">
        <v>1556</v>
      </c>
      <c r="G786" s="92" t="s">
        <v>1557</v>
      </c>
      <c r="H786" s="93" t="s">
        <v>4142</v>
      </c>
      <c r="I786" s="87" t="s">
        <v>4143</v>
      </c>
      <c r="J786" s="87" t="s">
        <v>4144</v>
      </c>
      <c r="K786" s="87" t="s">
        <v>2935</v>
      </c>
      <c r="L786" s="126" t="s">
        <v>19</v>
      </c>
      <c r="M786" s="94">
        <v>44395.958333333336</v>
      </c>
      <c r="N786" s="94">
        <v>44396.083333333336</v>
      </c>
      <c r="O786" s="95" t="str">
        <f>PROPER(TEXT(Table1[[#This Row],[Fecha Inicio]],"mmmm"))</f>
        <v>Julio</v>
      </c>
      <c r="P786" s="87" t="s">
        <v>4145</v>
      </c>
      <c r="Q786" s="97" t="s">
        <v>4146</v>
      </c>
      <c r="R786" s="76">
        <f t="shared" si="60"/>
        <v>1</v>
      </c>
      <c r="S786" s="76">
        <f t="shared" si="61"/>
        <v>1</v>
      </c>
      <c r="T786" s="76" t="str">
        <f t="shared" si="62"/>
        <v>-</v>
      </c>
      <c r="U786" s="76" t="str">
        <f t="shared" si="63"/>
        <v>-</v>
      </c>
      <c r="V786" s="76" t="str">
        <f t="shared" si="64"/>
        <v>-</v>
      </c>
      <c r="Z786" s="62"/>
    </row>
    <row r="787" spans="1:26" ht="40.15" customHeight="1" x14ac:dyDescent="0.25">
      <c r="A787" s="87">
        <v>27</v>
      </c>
      <c r="B787" s="89" t="s">
        <v>1550</v>
      </c>
      <c r="C787" s="89"/>
      <c r="D787" s="89" t="s">
        <v>326</v>
      </c>
      <c r="E787" s="89" t="s">
        <v>1631</v>
      </c>
      <c r="F787" s="87" t="s">
        <v>1556</v>
      </c>
      <c r="G787" s="92" t="s">
        <v>1557</v>
      </c>
      <c r="H787" s="93" t="s">
        <v>4147</v>
      </c>
      <c r="I787" s="87" t="s">
        <v>3388</v>
      </c>
      <c r="J787" s="87" t="s">
        <v>2152</v>
      </c>
      <c r="K787" s="87" t="s">
        <v>1575</v>
      </c>
      <c r="L787" s="126" t="s">
        <v>19</v>
      </c>
      <c r="M787" s="94">
        <v>44396.041666666664</v>
      </c>
      <c r="N787" s="94">
        <v>44396.125</v>
      </c>
      <c r="O787" s="95" t="str">
        <f>PROPER(TEXT(Table1[[#This Row],[Fecha Inicio]],"mmmm"))</f>
        <v>Julio</v>
      </c>
      <c r="P787" s="96" t="s">
        <v>3389</v>
      </c>
      <c r="Q787" s="97" t="s">
        <v>4148</v>
      </c>
      <c r="R787" s="76">
        <f t="shared" si="60"/>
        <v>1</v>
      </c>
      <c r="S787" s="76">
        <f t="shared" si="61"/>
        <v>1</v>
      </c>
      <c r="T787" s="76" t="str">
        <f t="shared" si="62"/>
        <v>-</v>
      </c>
      <c r="U787" s="76" t="str">
        <f t="shared" si="63"/>
        <v>-</v>
      </c>
      <c r="V787" s="76" t="str">
        <f t="shared" si="64"/>
        <v>-</v>
      </c>
      <c r="Z787" s="62"/>
    </row>
    <row r="788" spans="1:26" ht="40.15" customHeight="1" x14ac:dyDescent="0.25">
      <c r="A788" s="87">
        <v>28</v>
      </c>
      <c r="B788" s="89" t="s">
        <v>1550</v>
      </c>
      <c r="C788" s="89" t="s">
        <v>4149</v>
      </c>
      <c r="D788" s="102" t="s">
        <v>1579</v>
      </c>
      <c r="E788" s="112" t="s">
        <v>2972</v>
      </c>
      <c r="F788" s="87" t="s">
        <v>1556</v>
      </c>
      <c r="G788" s="92" t="s">
        <v>1557</v>
      </c>
      <c r="H788" s="93" t="s">
        <v>4150</v>
      </c>
      <c r="I788" s="87" t="s">
        <v>4151</v>
      </c>
      <c r="J788" s="87" t="s">
        <v>2135</v>
      </c>
      <c r="K788" s="87" t="s">
        <v>2935</v>
      </c>
      <c r="L788" s="126" t="s">
        <v>19</v>
      </c>
      <c r="M788" s="94">
        <v>44396.645833333336</v>
      </c>
      <c r="N788" s="94">
        <v>44396.729166666664</v>
      </c>
      <c r="O788" s="95" t="str">
        <f>PROPER(TEXT(Table1[[#This Row],[Fecha Inicio]],"mmmm"))</f>
        <v>Julio</v>
      </c>
      <c r="P788" s="96" t="s">
        <v>4152</v>
      </c>
      <c r="Q788" s="97" t="s">
        <v>4153</v>
      </c>
      <c r="R788" s="76">
        <f t="shared" si="60"/>
        <v>2</v>
      </c>
      <c r="S788" s="76">
        <f t="shared" si="61"/>
        <v>2</v>
      </c>
      <c r="T788" s="76" t="str">
        <f t="shared" si="62"/>
        <v>-</v>
      </c>
      <c r="U788" s="76" t="str">
        <f t="shared" si="63"/>
        <v>-</v>
      </c>
      <c r="V788" s="76" t="str">
        <f t="shared" si="64"/>
        <v>-</v>
      </c>
      <c r="Z788" s="62"/>
    </row>
    <row r="789" spans="1:26" ht="40.15" customHeight="1" x14ac:dyDescent="0.25">
      <c r="A789" s="87">
        <v>28</v>
      </c>
      <c r="B789" s="89" t="s">
        <v>1550</v>
      </c>
      <c r="C789" s="89" t="s">
        <v>4137</v>
      </c>
      <c r="D789" s="90" t="s">
        <v>326</v>
      </c>
      <c r="E789" s="90" t="s">
        <v>1631</v>
      </c>
      <c r="F789" s="91" t="s">
        <v>1556</v>
      </c>
      <c r="G789" s="92" t="s">
        <v>1557</v>
      </c>
      <c r="H789" s="93" t="s">
        <v>4154</v>
      </c>
      <c r="I789" s="87" t="s">
        <v>1750</v>
      </c>
      <c r="J789" s="87" t="s">
        <v>1560</v>
      </c>
      <c r="K789" s="87" t="s">
        <v>1561</v>
      </c>
      <c r="L789" s="126" t="s">
        <v>19</v>
      </c>
      <c r="M789" s="94">
        <v>44396.791666666664</v>
      </c>
      <c r="N789" s="94">
        <v>44397.083333333336</v>
      </c>
      <c r="O789" s="95" t="str">
        <f>PROPER(TEXT(Table1[[#This Row],[Fecha Inicio]],"mmmm"))</f>
        <v>Julio</v>
      </c>
      <c r="P789" s="96" t="s">
        <v>4155</v>
      </c>
      <c r="Q789" s="97" t="s">
        <v>4156</v>
      </c>
      <c r="R789" s="76">
        <f t="shared" si="60"/>
        <v>4</v>
      </c>
      <c r="S789" s="76">
        <f t="shared" si="61"/>
        <v>4</v>
      </c>
      <c r="T789" s="76" t="str">
        <f t="shared" si="62"/>
        <v>-</v>
      </c>
      <c r="U789" s="76" t="str">
        <f t="shared" si="63"/>
        <v>-</v>
      </c>
      <c r="V789" s="76" t="str">
        <f t="shared" si="64"/>
        <v>-</v>
      </c>
      <c r="Z789" s="62"/>
    </row>
    <row r="790" spans="1:26" ht="40.15" customHeight="1" x14ac:dyDescent="0.25">
      <c r="A790" s="87">
        <v>28</v>
      </c>
      <c r="B790" s="89" t="s">
        <v>1550</v>
      </c>
      <c r="C790" s="89" t="s">
        <v>4137</v>
      </c>
      <c r="D790" s="89" t="s">
        <v>326</v>
      </c>
      <c r="E790" s="89" t="s">
        <v>1631</v>
      </c>
      <c r="F790" s="87" t="s">
        <v>1556</v>
      </c>
      <c r="G790" s="92" t="s">
        <v>1557</v>
      </c>
      <c r="H790" s="93" t="s">
        <v>4157</v>
      </c>
      <c r="I790" s="87" t="s">
        <v>1759</v>
      </c>
      <c r="J790" s="87" t="s">
        <v>1760</v>
      </c>
      <c r="K790" s="87" t="s">
        <v>1761</v>
      </c>
      <c r="L790" s="126" t="s">
        <v>19</v>
      </c>
      <c r="M790" s="94">
        <v>44396.916666666664</v>
      </c>
      <c r="N790" s="94">
        <v>44397.041666666664</v>
      </c>
      <c r="O790" s="95" t="str">
        <f>PROPER(TEXT(Table1[[#This Row],[Fecha Inicio]],"mmmm"))</f>
        <v>Julio</v>
      </c>
      <c r="P790" s="96" t="s">
        <v>1762</v>
      </c>
      <c r="Q790" s="97" t="s">
        <v>4158</v>
      </c>
      <c r="R790" s="76">
        <f t="shared" si="60"/>
        <v>9</v>
      </c>
      <c r="S790" s="76">
        <f t="shared" si="61"/>
        <v>9</v>
      </c>
      <c r="T790" s="76" t="str">
        <f t="shared" si="62"/>
        <v>-</v>
      </c>
      <c r="U790" s="76" t="str">
        <f t="shared" si="63"/>
        <v>-</v>
      </c>
      <c r="V790" s="76" t="str">
        <f t="shared" si="64"/>
        <v>-</v>
      </c>
      <c r="Z790" s="62"/>
    </row>
    <row r="791" spans="1:26" ht="40.15" customHeight="1" x14ac:dyDescent="0.25">
      <c r="A791" s="105">
        <v>28</v>
      </c>
      <c r="B791" s="106" t="s">
        <v>1550</v>
      </c>
      <c r="C791" s="106"/>
      <c r="D791" s="106" t="s">
        <v>344</v>
      </c>
      <c r="E791" s="106" t="s">
        <v>1616</v>
      </c>
      <c r="F791" s="105" t="s">
        <v>1556</v>
      </c>
      <c r="G791" s="92" t="s">
        <v>1557</v>
      </c>
      <c r="H791" s="107" t="s">
        <v>4159</v>
      </c>
      <c r="I791" s="105" t="s">
        <v>3871</v>
      </c>
      <c r="J791" s="105" t="s">
        <v>2157</v>
      </c>
      <c r="K791" s="105" t="s">
        <v>4160</v>
      </c>
      <c r="L791" s="126" t="s">
        <v>19</v>
      </c>
      <c r="M791" s="108">
        <v>44396.958333333336</v>
      </c>
      <c r="N791" s="108">
        <v>44397.125</v>
      </c>
      <c r="O791" s="109" t="str">
        <f>PROPER(TEXT(Table1[[#This Row],[Fecha Inicio]],"mmmm"))</f>
        <v>Julio</v>
      </c>
      <c r="P791" s="110" t="s">
        <v>3872</v>
      </c>
      <c r="Q791" s="111" t="s">
        <v>4161</v>
      </c>
      <c r="R791" s="76">
        <f t="shared" si="60"/>
        <v>6</v>
      </c>
      <c r="S791" s="76">
        <f t="shared" si="61"/>
        <v>6</v>
      </c>
      <c r="T791" s="76" t="str">
        <f t="shared" si="62"/>
        <v>-</v>
      </c>
      <c r="U791" s="76" t="str">
        <f t="shared" si="63"/>
        <v>-</v>
      </c>
      <c r="V791" s="76" t="str">
        <f t="shared" si="64"/>
        <v>-</v>
      </c>
      <c r="Z791" s="62"/>
    </row>
    <row r="792" spans="1:26" ht="40.15" customHeight="1" x14ac:dyDescent="0.25">
      <c r="A792" s="105">
        <v>28</v>
      </c>
      <c r="B792" s="106" t="s">
        <v>1550</v>
      </c>
      <c r="C792" s="106" t="s">
        <v>4137</v>
      </c>
      <c r="D792" s="113" t="s">
        <v>326</v>
      </c>
      <c r="E792" s="113" t="s">
        <v>1631</v>
      </c>
      <c r="F792" s="114" t="s">
        <v>1556</v>
      </c>
      <c r="G792" s="92" t="s">
        <v>1557</v>
      </c>
      <c r="H792" s="107" t="s">
        <v>4162</v>
      </c>
      <c r="I792" s="105" t="s">
        <v>1728</v>
      </c>
      <c r="J792" s="105" t="s">
        <v>1729</v>
      </c>
      <c r="K792" s="105" t="s">
        <v>1575</v>
      </c>
      <c r="L792" s="126" t="s">
        <v>19</v>
      </c>
      <c r="M792" s="108">
        <v>44397.25</v>
      </c>
      <c r="N792" s="108">
        <v>44397.333333333336</v>
      </c>
      <c r="O792" s="109" t="str">
        <f>PROPER(TEXT(Table1[[#This Row],[Fecha Inicio]],"mmmm"))</f>
        <v>Julio</v>
      </c>
      <c r="P792" s="110" t="s">
        <v>1730</v>
      </c>
      <c r="Q792" s="111" t="s">
        <v>4163</v>
      </c>
      <c r="R792" s="76">
        <f t="shared" si="60"/>
        <v>5</v>
      </c>
      <c r="S792" s="76">
        <f t="shared" si="61"/>
        <v>5</v>
      </c>
      <c r="T792" s="76" t="str">
        <f t="shared" si="62"/>
        <v>-</v>
      </c>
      <c r="U792" s="76" t="str">
        <f t="shared" si="63"/>
        <v>-</v>
      </c>
      <c r="V792" s="76" t="str">
        <f t="shared" si="64"/>
        <v>-</v>
      </c>
      <c r="Z792" s="62"/>
    </row>
    <row r="793" spans="1:26" ht="40.15" customHeight="1" x14ac:dyDescent="0.25">
      <c r="A793" s="105">
        <v>28</v>
      </c>
      <c r="B793" s="106" t="s">
        <v>1550</v>
      </c>
      <c r="C793" s="106" t="s">
        <v>3701</v>
      </c>
      <c r="D793" s="113" t="s">
        <v>326</v>
      </c>
      <c r="E793" s="113" t="s">
        <v>1631</v>
      </c>
      <c r="F793" s="114" t="s">
        <v>1556</v>
      </c>
      <c r="G793" s="92" t="s">
        <v>1557</v>
      </c>
      <c r="H793" s="107" t="s">
        <v>4164</v>
      </c>
      <c r="I793" s="105" t="s">
        <v>3744</v>
      </c>
      <c r="J793" s="105" t="s">
        <v>2135</v>
      </c>
      <c r="K793" s="105" t="s">
        <v>2935</v>
      </c>
      <c r="L793" s="126" t="s">
        <v>19</v>
      </c>
      <c r="M793" s="108">
        <v>44397.291666666664</v>
      </c>
      <c r="N793" s="108">
        <v>44397.354166666664</v>
      </c>
      <c r="O793" s="109" t="str">
        <f>PROPER(TEXT(Table1[[#This Row],[Fecha Inicio]],"mmmm"))</f>
        <v>Julio</v>
      </c>
      <c r="P793" s="110" t="s">
        <v>4165</v>
      </c>
      <c r="Q793" s="111" t="s">
        <v>4166</v>
      </c>
      <c r="R793" s="76">
        <f t="shared" si="60"/>
        <v>2</v>
      </c>
      <c r="S793" s="76">
        <f t="shared" si="61"/>
        <v>2</v>
      </c>
      <c r="T793" s="76" t="str">
        <f t="shared" si="62"/>
        <v>-</v>
      </c>
      <c r="U793" s="76" t="str">
        <f t="shared" si="63"/>
        <v>-</v>
      </c>
      <c r="V793" s="76" t="str">
        <f t="shared" si="64"/>
        <v>-</v>
      </c>
      <c r="Z793" s="62"/>
    </row>
    <row r="794" spans="1:26" ht="40.15" customHeight="1" x14ac:dyDescent="0.25">
      <c r="A794" s="105">
        <v>29</v>
      </c>
      <c r="B794" s="106" t="s">
        <v>1550</v>
      </c>
      <c r="C794" s="106"/>
      <c r="D794" s="106" t="s">
        <v>1579</v>
      </c>
      <c r="E794" s="106" t="s">
        <v>2972</v>
      </c>
      <c r="F794" s="105" t="s">
        <v>1556</v>
      </c>
      <c r="G794" s="92" t="s">
        <v>1557</v>
      </c>
      <c r="H794" s="107" t="s">
        <v>4167</v>
      </c>
      <c r="I794" s="105" t="s">
        <v>4168</v>
      </c>
      <c r="J794" s="105" t="s">
        <v>1640</v>
      </c>
      <c r="K794" s="105" t="s">
        <v>1641</v>
      </c>
      <c r="L794" s="105" t="s">
        <v>52</v>
      </c>
      <c r="M794" s="108">
        <v>44397.333333333336</v>
      </c>
      <c r="N794" s="108">
        <v>44397.354166666664</v>
      </c>
      <c r="O794" s="109" t="str">
        <f>PROPER(TEXT(Table1[[#This Row],[Fecha Inicio]],"mmmm"))</f>
        <v>Julio</v>
      </c>
      <c r="P794" s="110" t="s">
        <v>4169</v>
      </c>
      <c r="Q794" s="111" t="s">
        <v>4170</v>
      </c>
      <c r="R794" s="76">
        <f t="shared" si="60"/>
        <v>2</v>
      </c>
      <c r="S794" s="76">
        <f t="shared" si="61"/>
        <v>2</v>
      </c>
      <c r="T794" s="76" t="str">
        <f t="shared" si="62"/>
        <v>-</v>
      </c>
      <c r="U794" s="76" t="str">
        <f t="shared" si="63"/>
        <v>-</v>
      </c>
      <c r="V794" s="76" t="str">
        <f t="shared" si="64"/>
        <v>-</v>
      </c>
      <c r="Z794" s="62"/>
    </row>
    <row r="795" spans="1:26" ht="40.15" customHeight="1" x14ac:dyDescent="0.25">
      <c r="A795" s="105">
        <v>28</v>
      </c>
      <c r="B795" s="106" t="s">
        <v>1550</v>
      </c>
      <c r="C795" s="106"/>
      <c r="D795" s="106" t="s">
        <v>1554</v>
      </c>
      <c r="E795" s="106" t="s">
        <v>1555</v>
      </c>
      <c r="F795" s="105" t="s">
        <v>1556</v>
      </c>
      <c r="G795" s="92" t="s">
        <v>1557</v>
      </c>
      <c r="H795" s="107" t="s">
        <v>4171</v>
      </c>
      <c r="I795" s="105" t="s">
        <v>4172</v>
      </c>
      <c r="J795" s="105" t="s">
        <v>4173</v>
      </c>
      <c r="K795" s="105" t="s">
        <v>1575</v>
      </c>
      <c r="L795" s="105" t="s">
        <v>52</v>
      </c>
      <c r="M795" s="108">
        <v>44397.375</v>
      </c>
      <c r="N795" s="108">
        <v>44397.625</v>
      </c>
      <c r="O795" s="109" t="str">
        <f>PROPER(TEXT(Table1[[#This Row],[Fecha Inicio]],"mmmm"))</f>
        <v>Julio</v>
      </c>
      <c r="P795" s="110" t="s">
        <v>4174</v>
      </c>
      <c r="Q795" s="111" t="s">
        <v>4175</v>
      </c>
      <c r="R795" s="76">
        <f t="shared" si="60"/>
        <v>1</v>
      </c>
      <c r="S795" s="76">
        <f t="shared" si="61"/>
        <v>1</v>
      </c>
      <c r="T795" s="76" t="str">
        <f t="shared" si="62"/>
        <v>-</v>
      </c>
      <c r="U795" s="76" t="str">
        <f t="shared" si="63"/>
        <v>-</v>
      </c>
      <c r="V795" s="76" t="str">
        <f t="shared" si="64"/>
        <v>-</v>
      </c>
      <c r="Z795" s="62"/>
    </row>
    <row r="796" spans="1:26" ht="40.15" customHeight="1" x14ac:dyDescent="0.25">
      <c r="A796" s="105">
        <v>28</v>
      </c>
      <c r="B796" s="106" t="s">
        <v>1550</v>
      </c>
      <c r="C796" s="106" t="s">
        <v>4137</v>
      </c>
      <c r="D796" s="113" t="s">
        <v>326</v>
      </c>
      <c r="E796" s="113" t="s">
        <v>1631</v>
      </c>
      <c r="F796" s="114" t="s">
        <v>1556</v>
      </c>
      <c r="G796" s="92" t="s">
        <v>1557</v>
      </c>
      <c r="H796" s="107" t="s">
        <v>4176</v>
      </c>
      <c r="I796" s="105" t="s">
        <v>1775</v>
      </c>
      <c r="J796" s="105" t="s">
        <v>1776</v>
      </c>
      <c r="K796" s="105" t="s">
        <v>1575</v>
      </c>
      <c r="L796" s="126" t="s">
        <v>19</v>
      </c>
      <c r="M796" s="108">
        <v>44397.666666666664</v>
      </c>
      <c r="N796" s="108">
        <v>44397.75</v>
      </c>
      <c r="O796" s="109" t="str">
        <f>PROPER(TEXT(Table1[[#This Row],[Fecha Inicio]],"mmmm"))</f>
        <v>Julio</v>
      </c>
      <c r="P796" s="110" t="s">
        <v>1777</v>
      </c>
      <c r="Q796" s="111" t="s">
        <v>4177</v>
      </c>
      <c r="R796" s="76">
        <f t="shared" si="60"/>
        <v>2</v>
      </c>
      <c r="S796" s="76">
        <f t="shared" si="61"/>
        <v>2</v>
      </c>
      <c r="T796" s="76" t="str">
        <f t="shared" si="62"/>
        <v>-</v>
      </c>
      <c r="U796" s="76" t="str">
        <f t="shared" si="63"/>
        <v>-</v>
      </c>
      <c r="V796" s="76" t="str">
        <f t="shared" si="64"/>
        <v>-</v>
      </c>
      <c r="Z796" s="62"/>
    </row>
    <row r="797" spans="1:26" ht="40.15" customHeight="1" x14ac:dyDescent="0.25">
      <c r="A797" s="105">
        <v>28</v>
      </c>
      <c r="B797" s="106" t="s">
        <v>1550</v>
      </c>
      <c r="C797" s="106" t="s">
        <v>4137</v>
      </c>
      <c r="D797" s="113" t="s">
        <v>326</v>
      </c>
      <c r="E797" s="113" t="s">
        <v>1631</v>
      </c>
      <c r="F797" s="114" t="s">
        <v>1556</v>
      </c>
      <c r="G797" s="92" t="s">
        <v>1557</v>
      </c>
      <c r="H797" s="107" t="s">
        <v>4178</v>
      </c>
      <c r="I797" s="105" t="s">
        <v>2306</v>
      </c>
      <c r="J797" s="105" t="s">
        <v>1786</v>
      </c>
      <c r="K797" s="105" t="s">
        <v>2307</v>
      </c>
      <c r="L797" s="126" t="s">
        <v>19</v>
      </c>
      <c r="M797" s="108">
        <v>44397.833333333336</v>
      </c>
      <c r="N797" s="108">
        <v>44397.875</v>
      </c>
      <c r="O797" s="109" t="str">
        <f>PROPER(TEXT(Table1[[#This Row],[Fecha Inicio]],"mmmm"))</f>
        <v>Julio</v>
      </c>
      <c r="P797" s="110" t="s">
        <v>250</v>
      </c>
      <c r="Q797" s="111" t="s">
        <v>4179</v>
      </c>
      <c r="R797" s="76">
        <f t="shared" si="60"/>
        <v>1</v>
      </c>
      <c r="S797" s="76">
        <f t="shared" si="61"/>
        <v>1</v>
      </c>
      <c r="T797" s="76" t="str">
        <f t="shared" si="62"/>
        <v>-</v>
      </c>
      <c r="U797" s="76" t="str">
        <f t="shared" si="63"/>
        <v>-</v>
      </c>
      <c r="V797" s="76" t="str">
        <f t="shared" si="64"/>
        <v>-</v>
      </c>
      <c r="Z797" s="62"/>
    </row>
    <row r="798" spans="1:26" ht="40.15" customHeight="1" x14ac:dyDescent="0.25">
      <c r="A798" s="87">
        <v>28</v>
      </c>
      <c r="B798" s="89" t="s">
        <v>1550</v>
      </c>
      <c r="C798" s="89"/>
      <c r="D798" s="89" t="s">
        <v>344</v>
      </c>
      <c r="E798" s="89" t="s">
        <v>1616</v>
      </c>
      <c r="F798" s="87" t="s">
        <v>1556</v>
      </c>
      <c r="G798" s="92" t="s">
        <v>1557</v>
      </c>
      <c r="H798" s="93" t="s">
        <v>4182</v>
      </c>
      <c r="I798" s="87" t="s">
        <v>3871</v>
      </c>
      <c r="J798" s="87" t="s">
        <v>2157</v>
      </c>
      <c r="K798" s="87" t="s">
        <v>4160</v>
      </c>
      <c r="L798" s="126" t="s">
        <v>19</v>
      </c>
      <c r="M798" s="94">
        <v>44397.958333333336</v>
      </c>
      <c r="N798" s="94">
        <v>44398.125</v>
      </c>
      <c r="O798" s="95" t="str">
        <f>PROPER(TEXT(Table1[[#This Row],[Fecha Inicio]],"mmmm"))</f>
        <v>Julio</v>
      </c>
      <c r="P798" s="96" t="s">
        <v>3903</v>
      </c>
      <c r="Q798" s="97" t="s">
        <v>4183</v>
      </c>
      <c r="R798" s="76">
        <f t="shared" si="60"/>
        <v>6</v>
      </c>
      <c r="S798" s="76">
        <f t="shared" si="61"/>
        <v>6</v>
      </c>
      <c r="T798" s="76" t="str">
        <f t="shared" si="62"/>
        <v>-</v>
      </c>
      <c r="U798" s="76" t="str">
        <f t="shared" si="63"/>
        <v>-</v>
      </c>
      <c r="V798" s="76" t="str">
        <f t="shared" si="64"/>
        <v>-</v>
      </c>
      <c r="Z798" s="62"/>
    </row>
    <row r="799" spans="1:26" ht="40.15" customHeight="1" x14ac:dyDescent="0.25">
      <c r="A799" s="87">
        <v>28</v>
      </c>
      <c r="B799" s="89" t="s">
        <v>1550</v>
      </c>
      <c r="C799" s="89"/>
      <c r="D799" s="89" t="s">
        <v>344</v>
      </c>
      <c r="E799" s="89" t="s">
        <v>1616</v>
      </c>
      <c r="F799" s="87" t="s">
        <v>1556</v>
      </c>
      <c r="G799" s="92" t="s">
        <v>1557</v>
      </c>
      <c r="H799" s="93" t="s">
        <v>4184</v>
      </c>
      <c r="I799" s="87" t="s">
        <v>1801</v>
      </c>
      <c r="J799" s="87" t="s">
        <v>1802</v>
      </c>
      <c r="K799" s="87" t="s">
        <v>1596</v>
      </c>
      <c r="L799" s="126" t="s">
        <v>19</v>
      </c>
      <c r="M799" s="94">
        <v>44397.958333333336</v>
      </c>
      <c r="N799" s="94">
        <v>44398.125</v>
      </c>
      <c r="O799" s="95" t="str">
        <f>PROPER(TEXT(Table1[[#This Row],[Fecha Inicio]],"mmmm"))</f>
        <v>Julio</v>
      </c>
      <c r="P799" s="96" t="s">
        <v>2422</v>
      </c>
      <c r="Q799" s="97" t="s">
        <v>4185</v>
      </c>
      <c r="R799" s="76">
        <f t="shared" si="60"/>
        <v>2</v>
      </c>
      <c r="S799" s="76">
        <f t="shared" si="61"/>
        <v>2</v>
      </c>
      <c r="T799" s="76" t="str">
        <f t="shared" si="62"/>
        <v>-</v>
      </c>
      <c r="U799" s="76" t="str">
        <f t="shared" si="63"/>
        <v>-</v>
      </c>
      <c r="V799" s="76" t="str">
        <f t="shared" si="64"/>
        <v>-</v>
      </c>
      <c r="Z799" s="62"/>
    </row>
    <row r="800" spans="1:26" ht="40.15" customHeight="1" x14ac:dyDescent="0.25">
      <c r="A800" s="87">
        <v>28</v>
      </c>
      <c r="B800" s="89" t="s">
        <v>1550</v>
      </c>
      <c r="C800" s="89" t="s">
        <v>3701</v>
      </c>
      <c r="D800" s="90" t="s">
        <v>326</v>
      </c>
      <c r="E800" s="90" t="s">
        <v>1631</v>
      </c>
      <c r="F800" s="91" t="s">
        <v>1556</v>
      </c>
      <c r="G800" s="92" t="s">
        <v>1557</v>
      </c>
      <c r="H800" s="93" t="s">
        <v>4180</v>
      </c>
      <c r="I800" s="87" t="s">
        <v>3744</v>
      </c>
      <c r="J800" s="87" t="s">
        <v>2135</v>
      </c>
      <c r="K800" s="87" t="s">
        <v>2935</v>
      </c>
      <c r="L800" s="126" t="s">
        <v>19</v>
      </c>
      <c r="M800" s="94">
        <v>44397.958333333336</v>
      </c>
      <c r="N800" s="94">
        <v>44398.25</v>
      </c>
      <c r="O800" s="95" t="str">
        <f>PROPER(TEXT(Table1[[#This Row],[Fecha Inicio]],"mmmm"))</f>
        <v>Julio</v>
      </c>
      <c r="P800" s="96" t="s">
        <v>3763</v>
      </c>
      <c r="Q800" s="97" t="s">
        <v>4181</v>
      </c>
      <c r="R800" s="76">
        <f t="shared" si="60"/>
        <v>10</v>
      </c>
      <c r="S800" s="76">
        <f t="shared" si="61"/>
        <v>10</v>
      </c>
      <c r="T800" s="76" t="str">
        <f t="shared" si="62"/>
        <v>-</v>
      </c>
      <c r="U800" s="76" t="str">
        <f t="shared" si="63"/>
        <v>-</v>
      </c>
      <c r="V800" s="76" t="str">
        <f t="shared" si="64"/>
        <v>-</v>
      </c>
      <c r="Z800" s="62"/>
    </row>
    <row r="801" spans="1:26" ht="40.15" customHeight="1" x14ac:dyDescent="0.25">
      <c r="A801" s="87">
        <v>28</v>
      </c>
      <c r="B801" s="89" t="s">
        <v>1550</v>
      </c>
      <c r="C801" s="89" t="s">
        <v>4137</v>
      </c>
      <c r="D801" s="89" t="s">
        <v>326</v>
      </c>
      <c r="E801" s="89" t="s">
        <v>1631</v>
      </c>
      <c r="F801" s="87" t="s">
        <v>1556</v>
      </c>
      <c r="G801" s="92" t="s">
        <v>1557</v>
      </c>
      <c r="H801" s="93" t="s">
        <v>4186</v>
      </c>
      <c r="I801" s="87" t="s">
        <v>1759</v>
      </c>
      <c r="J801" s="87" t="s">
        <v>1760</v>
      </c>
      <c r="K801" s="87" t="s">
        <v>1761</v>
      </c>
      <c r="L801" s="126" t="s">
        <v>19</v>
      </c>
      <c r="M801" s="94">
        <v>44398.041666666664</v>
      </c>
      <c r="N801" s="94">
        <v>44398.166666666664</v>
      </c>
      <c r="O801" s="95" t="str">
        <f>PROPER(TEXT(Table1[[#This Row],[Fecha Inicio]],"mmmm"))</f>
        <v>Julio</v>
      </c>
      <c r="P801" s="96" t="s">
        <v>3766</v>
      </c>
      <c r="Q801" s="97" t="s">
        <v>4187</v>
      </c>
      <c r="R801" s="76">
        <f t="shared" si="60"/>
        <v>7</v>
      </c>
      <c r="S801" s="76">
        <f t="shared" si="61"/>
        <v>7</v>
      </c>
      <c r="T801" s="76" t="str">
        <f t="shared" si="62"/>
        <v>-</v>
      </c>
      <c r="U801" s="76" t="str">
        <f t="shared" si="63"/>
        <v>-</v>
      </c>
      <c r="V801" s="76" t="str">
        <f t="shared" si="64"/>
        <v>-</v>
      </c>
      <c r="Z801" s="62"/>
    </row>
    <row r="802" spans="1:26" ht="40.15" customHeight="1" x14ac:dyDescent="0.25">
      <c r="A802" s="87">
        <v>28</v>
      </c>
      <c r="B802" s="89" t="s">
        <v>1550</v>
      </c>
      <c r="C802" s="89" t="s">
        <v>4137</v>
      </c>
      <c r="D802" s="90" t="s">
        <v>326</v>
      </c>
      <c r="E802" s="90" t="s">
        <v>1631</v>
      </c>
      <c r="F802" s="91" t="s">
        <v>1556</v>
      </c>
      <c r="G802" s="92" t="s">
        <v>1557</v>
      </c>
      <c r="H802" s="93" t="s">
        <v>4188</v>
      </c>
      <c r="I802" s="87" t="s">
        <v>1813</v>
      </c>
      <c r="J802" s="91" t="s">
        <v>1814</v>
      </c>
      <c r="K802" s="87" t="s">
        <v>1761</v>
      </c>
      <c r="L802" s="126" t="s">
        <v>19</v>
      </c>
      <c r="M802" s="94">
        <v>44398.291666666664</v>
      </c>
      <c r="N802" s="94">
        <v>44398.333333333336</v>
      </c>
      <c r="O802" s="95" t="str">
        <f>PROPER(TEXT(Table1[[#This Row],[Fecha Inicio]],"mmmm"))</f>
        <v>Julio</v>
      </c>
      <c r="P802" s="96" t="s">
        <v>109</v>
      </c>
      <c r="Q802" s="97" t="s">
        <v>4189</v>
      </c>
      <c r="R802" s="76">
        <f t="shared" si="60"/>
        <v>1</v>
      </c>
      <c r="S802" s="76">
        <f t="shared" si="61"/>
        <v>1</v>
      </c>
      <c r="T802" s="76" t="str">
        <f t="shared" si="62"/>
        <v>-</v>
      </c>
      <c r="U802" s="76" t="str">
        <f t="shared" si="63"/>
        <v>-</v>
      </c>
      <c r="V802" s="76" t="str">
        <f t="shared" si="64"/>
        <v>-</v>
      </c>
      <c r="Z802" s="62"/>
    </row>
    <row r="803" spans="1:26" ht="40.15" customHeight="1" x14ac:dyDescent="0.25">
      <c r="A803" s="87">
        <v>29</v>
      </c>
      <c r="B803" s="89" t="s">
        <v>1550</v>
      </c>
      <c r="C803" s="89" t="s">
        <v>4190</v>
      </c>
      <c r="D803" s="102" t="s">
        <v>1554</v>
      </c>
      <c r="E803" s="102" t="s">
        <v>1555</v>
      </c>
      <c r="F803" s="91" t="s">
        <v>1556</v>
      </c>
      <c r="G803" s="92" t="s">
        <v>1557</v>
      </c>
      <c r="H803" s="93" t="s">
        <v>4191</v>
      </c>
      <c r="I803" s="87" t="s">
        <v>4192</v>
      </c>
      <c r="J803" s="91" t="s">
        <v>4193</v>
      </c>
      <c r="K803" s="87" t="s">
        <v>1575</v>
      </c>
      <c r="L803" s="87" t="s">
        <v>4194</v>
      </c>
      <c r="M803" s="94">
        <v>44398.375</v>
      </c>
      <c r="N803" s="94">
        <v>44398.625</v>
      </c>
      <c r="O803" s="95" t="str">
        <f>PROPER(TEXT(Table1[[#This Row],[Fecha Inicio]],"mmmm"))</f>
        <v>Julio</v>
      </c>
      <c r="P803" s="96" t="s">
        <v>4195</v>
      </c>
      <c r="Q803" s="97" t="s">
        <v>4196</v>
      </c>
      <c r="R803" s="76">
        <f t="shared" si="60"/>
        <v>1</v>
      </c>
      <c r="S803" s="76">
        <f t="shared" si="61"/>
        <v>1</v>
      </c>
      <c r="T803" s="76" t="str">
        <f t="shared" si="62"/>
        <v>-</v>
      </c>
      <c r="U803" s="76" t="str">
        <f t="shared" si="63"/>
        <v>-</v>
      </c>
      <c r="V803" s="76" t="str">
        <f t="shared" si="64"/>
        <v>-</v>
      </c>
      <c r="Z803" s="62"/>
    </row>
    <row r="804" spans="1:26" ht="40.15" customHeight="1" x14ac:dyDescent="0.25">
      <c r="A804" s="87">
        <v>29</v>
      </c>
      <c r="B804" s="89" t="s">
        <v>1550</v>
      </c>
      <c r="C804" s="89"/>
      <c r="D804" s="89" t="s">
        <v>326</v>
      </c>
      <c r="E804" s="89" t="s">
        <v>1742</v>
      </c>
      <c r="F804" s="87" t="s">
        <v>1556</v>
      </c>
      <c r="G804" s="92" t="s">
        <v>1557</v>
      </c>
      <c r="H804" s="93" t="s">
        <v>4197</v>
      </c>
      <c r="I804" s="87" t="s">
        <v>4032</v>
      </c>
      <c r="J804" s="87" t="s">
        <v>1839</v>
      </c>
      <c r="K804" s="87" t="s">
        <v>1575</v>
      </c>
      <c r="L804" s="126" t="s">
        <v>19</v>
      </c>
      <c r="M804" s="94">
        <v>44398.583333333336</v>
      </c>
      <c r="N804" s="94">
        <v>44398.791666666664</v>
      </c>
      <c r="O804" s="95" t="str">
        <f>PROPER(TEXT(Table1[[#This Row],[Fecha Inicio]],"mmmm"))</f>
        <v>Julio</v>
      </c>
      <c r="P804" s="87" t="s">
        <v>4198</v>
      </c>
      <c r="Q804" s="97" t="s">
        <v>4199</v>
      </c>
      <c r="R804" s="76">
        <f t="shared" si="60"/>
        <v>3</v>
      </c>
      <c r="S804" s="76">
        <f t="shared" si="61"/>
        <v>3</v>
      </c>
      <c r="T804" s="76" t="str">
        <f t="shared" si="62"/>
        <v>-</v>
      </c>
      <c r="U804" s="76" t="str">
        <f t="shared" si="63"/>
        <v>-</v>
      </c>
      <c r="V804" s="76" t="str">
        <f t="shared" si="64"/>
        <v>-</v>
      </c>
      <c r="Z804" s="62"/>
    </row>
    <row r="805" spans="1:26" ht="40.15" customHeight="1" x14ac:dyDescent="0.25">
      <c r="A805" s="87">
        <v>28</v>
      </c>
      <c r="B805" s="89" t="s">
        <v>1550</v>
      </c>
      <c r="C805" s="89"/>
      <c r="D805" s="89" t="s">
        <v>344</v>
      </c>
      <c r="E805" s="89" t="s">
        <v>1799</v>
      </c>
      <c r="F805" s="87" t="s">
        <v>1556</v>
      </c>
      <c r="G805" s="92" t="s">
        <v>1557</v>
      </c>
      <c r="H805" s="93" t="s">
        <v>4200</v>
      </c>
      <c r="I805" s="87" t="s">
        <v>1829</v>
      </c>
      <c r="J805" s="87" t="s">
        <v>1560</v>
      </c>
      <c r="K805" s="87" t="s">
        <v>1561</v>
      </c>
      <c r="L805" s="126" t="s">
        <v>19</v>
      </c>
      <c r="M805" s="94">
        <v>44398.666666666664</v>
      </c>
      <c r="N805" s="94">
        <v>44398.833333333336</v>
      </c>
      <c r="O805" s="95" t="str">
        <f>PROPER(TEXT(Table1[[#This Row],[Fecha Inicio]],"mmmm"))</f>
        <v>Julio</v>
      </c>
      <c r="P805" s="96" t="s">
        <v>2440</v>
      </c>
      <c r="Q805" s="97" t="s">
        <v>4201</v>
      </c>
      <c r="R805" s="76">
        <f t="shared" si="60"/>
        <v>1</v>
      </c>
      <c r="S805" s="76">
        <f t="shared" si="61"/>
        <v>1</v>
      </c>
      <c r="T805" s="76" t="str">
        <f t="shared" si="62"/>
        <v>-</v>
      </c>
      <c r="U805" s="76" t="str">
        <f t="shared" si="63"/>
        <v>-</v>
      </c>
      <c r="V805" s="76" t="str">
        <f t="shared" si="64"/>
        <v>-</v>
      </c>
      <c r="Z805" s="62"/>
    </row>
    <row r="806" spans="1:26" ht="40.15" customHeight="1" x14ac:dyDescent="0.25">
      <c r="A806" s="87">
        <v>28</v>
      </c>
      <c r="B806" s="89" t="s">
        <v>1550</v>
      </c>
      <c r="C806" s="89" t="s">
        <v>4137</v>
      </c>
      <c r="D806" s="90" t="s">
        <v>326</v>
      </c>
      <c r="E806" s="90" t="s">
        <v>1631</v>
      </c>
      <c r="F806" s="91" t="s">
        <v>1556</v>
      </c>
      <c r="G806" s="92" t="s">
        <v>1557</v>
      </c>
      <c r="H806" s="93" t="s">
        <v>4202</v>
      </c>
      <c r="I806" s="87" t="s">
        <v>3744</v>
      </c>
      <c r="J806" s="87" t="s">
        <v>2135</v>
      </c>
      <c r="K806" s="87" t="s">
        <v>2935</v>
      </c>
      <c r="L806" s="126" t="s">
        <v>19</v>
      </c>
      <c r="M806" s="94">
        <v>44398.708333333336</v>
      </c>
      <c r="N806" s="94">
        <v>44398.791666666664</v>
      </c>
      <c r="O806" s="95" t="str">
        <f>PROPER(TEXT(Table1[[#This Row],[Fecha Inicio]],"mmmm"))</f>
        <v>Julio</v>
      </c>
      <c r="P806" s="96" t="s">
        <v>3445</v>
      </c>
      <c r="Q806" s="97" t="s">
        <v>4203</v>
      </c>
      <c r="R806" s="76">
        <f t="shared" si="60"/>
        <v>2</v>
      </c>
      <c r="S806" s="76">
        <f t="shared" si="61"/>
        <v>2</v>
      </c>
      <c r="T806" s="76" t="str">
        <f t="shared" si="62"/>
        <v>-</v>
      </c>
      <c r="U806" s="76" t="str">
        <f t="shared" si="63"/>
        <v>-</v>
      </c>
      <c r="V806" s="76" t="str">
        <f t="shared" si="64"/>
        <v>-</v>
      </c>
      <c r="Z806" s="62"/>
    </row>
    <row r="807" spans="1:26" ht="40.15" customHeight="1" x14ac:dyDescent="0.25">
      <c r="A807" s="87">
        <v>28</v>
      </c>
      <c r="B807" s="89" t="s">
        <v>1550</v>
      </c>
      <c r="C807" s="89" t="s">
        <v>4137</v>
      </c>
      <c r="D807" s="90" t="s">
        <v>326</v>
      </c>
      <c r="E807" s="90" t="s">
        <v>1631</v>
      </c>
      <c r="F807" s="91" t="s">
        <v>1556</v>
      </c>
      <c r="G807" s="92" t="s">
        <v>1557</v>
      </c>
      <c r="H807" s="93" t="s">
        <v>4204</v>
      </c>
      <c r="I807" s="91" t="s">
        <v>1780</v>
      </c>
      <c r="J807" s="87" t="s">
        <v>1781</v>
      </c>
      <c r="K807" s="91" t="s">
        <v>1575</v>
      </c>
      <c r="L807" s="126" t="s">
        <v>19</v>
      </c>
      <c r="M807" s="94">
        <v>44398.708333333336</v>
      </c>
      <c r="N807" s="94">
        <v>44398.791666666664</v>
      </c>
      <c r="O807" s="95" t="str">
        <f>PROPER(TEXT(Table1[[#This Row],[Fecha Inicio]],"mmmm"))</f>
        <v>Julio</v>
      </c>
      <c r="P807" s="96" t="s">
        <v>1782</v>
      </c>
      <c r="Q807" s="97" t="s">
        <v>4205</v>
      </c>
      <c r="R807" s="76">
        <f t="shared" si="60"/>
        <v>7</v>
      </c>
      <c r="S807" s="76">
        <f t="shared" si="61"/>
        <v>7</v>
      </c>
      <c r="T807" s="76" t="str">
        <f t="shared" si="62"/>
        <v>-</v>
      </c>
      <c r="U807" s="76" t="str">
        <f t="shared" si="63"/>
        <v>-</v>
      </c>
      <c r="V807" s="76" t="str">
        <f t="shared" si="64"/>
        <v>-</v>
      </c>
      <c r="Z807" s="62"/>
    </row>
    <row r="808" spans="1:26" ht="40.15" customHeight="1" x14ac:dyDescent="0.25">
      <c r="A808" s="87">
        <v>29</v>
      </c>
      <c r="B808" s="89" t="s">
        <v>1550</v>
      </c>
      <c r="C808" s="89"/>
      <c r="D808" s="89" t="s">
        <v>326</v>
      </c>
      <c r="E808" s="89" t="s">
        <v>1631</v>
      </c>
      <c r="F808" s="87" t="s">
        <v>1556</v>
      </c>
      <c r="G808" s="92" t="s">
        <v>1557</v>
      </c>
      <c r="H808" s="93" t="s">
        <v>4206</v>
      </c>
      <c r="I808" s="87" t="s">
        <v>4207</v>
      </c>
      <c r="J808" s="87" t="s">
        <v>4108</v>
      </c>
      <c r="K808" s="87" t="s">
        <v>3703</v>
      </c>
      <c r="L808" s="126" t="s">
        <v>19</v>
      </c>
      <c r="M808" s="94">
        <v>44398.833333333336</v>
      </c>
      <c r="N808" s="94">
        <v>44398.166666666664</v>
      </c>
      <c r="O808" s="95" t="str">
        <f>PROPER(TEXT(Table1[[#This Row],[Fecha Inicio]],"mmmm"))</f>
        <v>Julio</v>
      </c>
      <c r="P808" s="96" t="s">
        <v>4208</v>
      </c>
      <c r="Q808" s="97" t="s">
        <v>4209</v>
      </c>
      <c r="R808" s="76">
        <f t="shared" si="60"/>
        <v>7</v>
      </c>
      <c r="S808" s="76">
        <f t="shared" si="61"/>
        <v>7</v>
      </c>
      <c r="T808" s="76" t="str">
        <f t="shared" si="62"/>
        <v>-</v>
      </c>
      <c r="U808" s="76" t="str">
        <f t="shared" si="63"/>
        <v>-</v>
      </c>
      <c r="V808" s="76" t="str">
        <f t="shared" si="64"/>
        <v>-</v>
      </c>
      <c r="Z808" s="62"/>
    </row>
    <row r="809" spans="1:26" ht="40.15" customHeight="1" x14ac:dyDescent="0.25">
      <c r="A809" s="87">
        <v>28</v>
      </c>
      <c r="B809" s="89" t="s">
        <v>1550</v>
      </c>
      <c r="C809" s="89" t="s">
        <v>4137</v>
      </c>
      <c r="D809" s="90" t="s">
        <v>326</v>
      </c>
      <c r="E809" s="90" t="s">
        <v>1631</v>
      </c>
      <c r="F809" s="91" t="s">
        <v>1556</v>
      </c>
      <c r="G809" s="92" t="s">
        <v>1557</v>
      </c>
      <c r="H809" s="93" t="s">
        <v>4210</v>
      </c>
      <c r="I809" s="87" t="s">
        <v>1833</v>
      </c>
      <c r="J809" s="87" t="s">
        <v>1834</v>
      </c>
      <c r="K809" s="87" t="s">
        <v>1596</v>
      </c>
      <c r="L809" s="126" t="s">
        <v>19</v>
      </c>
      <c r="M809" s="94">
        <v>44398.916666666664</v>
      </c>
      <c r="N809" s="94">
        <v>44398.958333333336</v>
      </c>
      <c r="O809" s="95" t="str">
        <f>PROPER(TEXT(Table1[[#This Row],[Fecha Inicio]],"mmmm"))</f>
        <v>Julio</v>
      </c>
      <c r="P809" s="96" t="s">
        <v>1835</v>
      </c>
      <c r="Q809" s="97" t="s">
        <v>4211</v>
      </c>
      <c r="R809" s="76">
        <f t="shared" si="60"/>
        <v>2</v>
      </c>
      <c r="S809" s="76">
        <f t="shared" si="61"/>
        <v>2</v>
      </c>
      <c r="T809" s="76" t="str">
        <f t="shared" si="62"/>
        <v>-</v>
      </c>
      <c r="U809" s="76" t="str">
        <f t="shared" si="63"/>
        <v>-</v>
      </c>
      <c r="V809" s="76" t="str">
        <f t="shared" si="64"/>
        <v>-</v>
      </c>
      <c r="Z809" s="62"/>
    </row>
    <row r="810" spans="1:26" ht="40.15" customHeight="1" x14ac:dyDescent="0.25">
      <c r="A810" s="87">
        <v>28</v>
      </c>
      <c r="B810" s="89" t="s">
        <v>1550</v>
      </c>
      <c r="C810" s="89" t="s">
        <v>4137</v>
      </c>
      <c r="D810" s="90" t="s">
        <v>326</v>
      </c>
      <c r="E810" s="90" t="s">
        <v>1631</v>
      </c>
      <c r="F810" s="91" t="s">
        <v>1556</v>
      </c>
      <c r="G810" s="92" t="s">
        <v>1557</v>
      </c>
      <c r="H810" s="93" t="s">
        <v>4212</v>
      </c>
      <c r="I810" s="87" t="s">
        <v>1842</v>
      </c>
      <c r="J810" s="87" t="s">
        <v>1612</v>
      </c>
      <c r="K810" s="87" t="s">
        <v>1613</v>
      </c>
      <c r="L810" s="126" t="s">
        <v>19</v>
      </c>
      <c r="M810" s="94">
        <v>44398.958333333336</v>
      </c>
      <c r="N810" s="94">
        <v>44399.208333333336</v>
      </c>
      <c r="O810" s="95" t="str">
        <f>PROPER(TEXT(Table1[[#This Row],[Fecha Inicio]],"mmmm"))</f>
        <v>Julio</v>
      </c>
      <c r="P810" s="96" t="s">
        <v>1843</v>
      </c>
      <c r="Q810" s="97" t="s">
        <v>4213</v>
      </c>
      <c r="R810" s="76">
        <f t="shared" si="60"/>
        <v>19</v>
      </c>
      <c r="S810" s="76">
        <f t="shared" si="61"/>
        <v>19</v>
      </c>
      <c r="T810" s="76" t="str">
        <f t="shared" si="62"/>
        <v>-</v>
      </c>
      <c r="U810" s="76" t="str">
        <f t="shared" si="63"/>
        <v>-</v>
      </c>
      <c r="V810" s="76" t="str">
        <f t="shared" si="64"/>
        <v>-</v>
      </c>
      <c r="Z810" s="62"/>
    </row>
    <row r="811" spans="1:26" ht="40.15" customHeight="1" x14ac:dyDescent="0.25">
      <c r="A811" s="87">
        <v>28</v>
      </c>
      <c r="B811" s="89" t="s">
        <v>1550</v>
      </c>
      <c r="C811" s="89" t="s">
        <v>4137</v>
      </c>
      <c r="D811" s="90" t="s">
        <v>326</v>
      </c>
      <c r="E811" s="90" t="s">
        <v>1631</v>
      </c>
      <c r="F811" s="91" t="s">
        <v>1556</v>
      </c>
      <c r="G811" s="92" t="s">
        <v>1557</v>
      </c>
      <c r="H811" s="93" t="s">
        <v>4214</v>
      </c>
      <c r="I811" s="87" t="s">
        <v>1846</v>
      </c>
      <c r="J811" s="87" t="s">
        <v>1560</v>
      </c>
      <c r="K811" s="87" t="s">
        <v>1561</v>
      </c>
      <c r="L811" s="126" t="s">
        <v>19</v>
      </c>
      <c r="M811" s="94">
        <v>44398.958333333336</v>
      </c>
      <c r="N811" s="94">
        <v>44399.291666666664</v>
      </c>
      <c r="O811" s="95" t="str">
        <f>PROPER(TEXT(Table1[[#This Row],[Fecha Inicio]],"mmmm"))</f>
        <v>Julio</v>
      </c>
      <c r="P811" s="96" t="s">
        <v>1847</v>
      </c>
      <c r="Q811" s="97" t="s">
        <v>4215</v>
      </c>
      <c r="R811" s="76">
        <f t="shared" si="60"/>
        <v>14</v>
      </c>
      <c r="S811" s="76">
        <f t="shared" si="61"/>
        <v>14</v>
      </c>
      <c r="T811" s="76" t="str">
        <f t="shared" si="62"/>
        <v>-</v>
      </c>
      <c r="U811" s="76" t="str">
        <f t="shared" si="63"/>
        <v>-</v>
      </c>
      <c r="V811" s="76" t="str">
        <f t="shared" si="64"/>
        <v>-</v>
      </c>
      <c r="Z811" s="62"/>
    </row>
    <row r="812" spans="1:26" ht="40.15" customHeight="1" x14ac:dyDescent="0.25">
      <c r="A812" s="87">
        <v>28</v>
      </c>
      <c r="B812" s="89" t="s">
        <v>1550</v>
      </c>
      <c r="C812" s="89" t="s">
        <v>4216</v>
      </c>
      <c r="D812" s="90" t="s">
        <v>326</v>
      </c>
      <c r="E812" s="90" t="s">
        <v>1631</v>
      </c>
      <c r="F812" s="91" t="s">
        <v>1556</v>
      </c>
      <c r="G812" s="92" t="s">
        <v>1557</v>
      </c>
      <c r="H812" s="93" t="s">
        <v>4217</v>
      </c>
      <c r="I812" s="87" t="s">
        <v>1850</v>
      </c>
      <c r="J812" s="87" t="s">
        <v>1771</v>
      </c>
      <c r="K812" s="87" t="s">
        <v>1575</v>
      </c>
      <c r="L812" s="126" t="s">
        <v>19</v>
      </c>
      <c r="M812" s="94">
        <v>44399.291666666664</v>
      </c>
      <c r="N812" s="94">
        <v>44399.333333333336</v>
      </c>
      <c r="O812" s="95" t="str">
        <f>PROPER(TEXT(Table1[[#This Row],[Fecha Inicio]],"mmmm"))</f>
        <v>Julio</v>
      </c>
      <c r="P812" s="96" t="s">
        <v>1772</v>
      </c>
      <c r="Q812" s="97" t="s">
        <v>4218</v>
      </c>
      <c r="R812" s="76">
        <f t="shared" si="60"/>
        <v>2</v>
      </c>
      <c r="S812" s="76">
        <f t="shared" si="61"/>
        <v>2</v>
      </c>
      <c r="T812" s="76" t="str">
        <f t="shared" si="62"/>
        <v>-</v>
      </c>
      <c r="U812" s="76" t="str">
        <f t="shared" si="63"/>
        <v>-</v>
      </c>
      <c r="V812" s="76" t="str">
        <f t="shared" si="64"/>
        <v>-</v>
      </c>
      <c r="Z812" s="62"/>
    </row>
    <row r="813" spans="1:26" ht="40.15" customHeight="1" x14ac:dyDescent="0.25">
      <c r="A813" s="87">
        <v>29</v>
      </c>
      <c r="B813" s="89" t="s">
        <v>1550</v>
      </c>
      <c r="C813" s="89" t="s">
        <v>1578</v>
      </c>
      <c r="D813" s="89" t="s">
        <v>1665</v>
      </c>
      <c r="E813" s="89" t="s">
        <v>1666</v>
      </c>
      <c r="F813" s="87" t="s">
        <v>1556</v>
      </c>
      <c r="G813" s="92" t="s">
        <v>1557</v>
      </c>
      <c r="H813" s="93" t="s">
        <v>4219</v>
      </c>
      <c r="I813" s="87" t="s">
        <v>3967</v>
      </c>
      <c r="J813" s="87" t="s">
        <v>1669</v>
      </c>
      <c r="K813" s="87" t="s">
        <v>1670</v>
      </c>
      <c r="L813" s="87" t="s">
        <v>4220</v>
      </c>
      <c r="M813" s="94">
        <v>44399.666666666664</v>
      </c>
      <c r="N813" s="94">
        <v>44399.715277777781</v>
      </c>
      <c r="O813" s="95" t="str">
        <f>PROPER(TEXT(Table1[[#This Row],[Fecha Inicio]],"mmmm"))</f>
        <v>Julio</v>
      </c>
      <c r="P813" s="96" t="s">
        <v>2226</v>
      </c>
      <c r="Q813" s="97" t="s">
        <v>4221</v>
      </c>
      <c r="R813" s="76">
        <f t="shared" si="60"/>
        <v>1</v>
      </c>
      <c r="S813" s="76">
        <f t="shared" si="61"/>
        <v>1</v>
      </c>
      <c r="T813" s="76" t="str">
        <f t="shared" si="62"/>
        <v>-</v>
      </c>
      <c r="U813" s="76" t="str">
        <f t="shared" si="63"/>
        <v>-</v>
      </c>
      <c r="V813" s="76" t="str">
        <f t="shared" si="64"/>
        <v>-</v>
      </c>
      <c r="Z813" s="62"/>
    </row>
    <row r="814" spans="1:26" ht="40.15" customHeight="1" x14ac:dyDescent="0.25">
      <c r="A814" s="87">
        <v>28</v>
      </c>
      <c r="B814" s="89" t="s">
        <v>1550</v>
      </c>
      <c r="C814" s="89" t="s">
        <v>4137</v>
      </c>
      <c r="D814" s="89" t="s">
        <v>326</v>
      </c>
      <c r="E814" s="89" t="s">
        <v>1631</v>
      </c>
      <c r="F814" s="87" t="s">
        <v>1556</v>
      </c>
      <c r="G814" s="92" t="s">
        <v>1557</v>
      </c>
      <c r="H814" s="93" t="s">
        <v>4222</v>
      </c>
      <c r="I814" s="87" t="s">
        <v>1759</v>
      </c>
      <c r="J814" s="87" t="s">
        <v>1760</v>
      </c>
      <c r="K814" s="87" t="s">
        <v>1761</v>
      </c>
      <c r="L814" s="126" t="s">
        <v>19</v>
      </c>
      <c r="M814" s="94">
        <v>44399.75</v>
      </c>
      <c r="N814" s="94">
        <v>44399.875</v>
      </c>
      <c r="O814" s="95" t="str">
        <f>PROPER(TEXT(Table1[[#This Row],[Fecha Inicio]],"mmmm"))</f>
        <v>Julio</v>
      </c>
      <c r="P814" s="96" t="s">
        <v>2793</v>
      </c>
      <c r="Q814" s="97" t="s">
        <v>4223</v>
      </c>
      <c r="R814" s="76">
        <f t="shared" si="60"/>
        <v>4</v>
      </c>
      <c r="S814" s="76">
        <f t="shared" si="61"/>
        <v>4</v>
      </c>
      <c r="T814" s="76" t="str">
        <f t="shared" si="62"/>
        <v>-</v>
      </c>
      <c r="U814" s="76" t="str">
        <f t="shared" si="63"/>
        <v>-</v>
      </c>
      <c r="V814" s="76" t="str">
        <f t="shared" si="64"/>
        <v>-</v>
      </c>
      <c r="Z814" s="62"/>
    </row>
    <row r="815" spans="1:26" ht="40.15" customHeight="1" x14ac:dyDescent="0.25">
      <c r="A815" s="87">
        <v>29</v>
      </c>
      <c r="B815" s="89" t="s">
        <v>1550</v>
      </c>
      <c r="C815" s="89"/>
      <c r="D815" s="89" t="s">
        <v>326</v>
      </c>
      <c r="E815" s="89" t="s">
        <v>1631</v>
      </c>
      <c r="F815" s="87" t="s">
        <v>1556</v>
      </c>
      <c r="G815" s="92" t="s">
        <v>1557</v>
      </c>
      <c r="H815" s="93" t="s">
        <v>4224</v>
      </c>
      <c r="I815" s="87" t="s">
        <v>6875</v>
      </c>
      <c r="J815" s="87" t="s">
        <v>4108</v>
      </c>
      <c r="K815" s="87" t="s">
        <v>3703</v>
      </c>
      <c r="L815" s="126" t="s">
        <v>19</v>
      </c>
      <c r="M815" s="94">
        <v>44399.833333333336</v>
      </c>
      <c r="N815" s="94">
        <v>44399.166666666664</v>
      </c>
      <c r="O815" s="95" t="str">
        <f>PROPER(TEXT(Table1[[#This Row],[Fecha Inicio]],"mmmm"))</f>
        <v>Julio</v>
      </c>
      <c r="P815" s="96" t="s">
        <v>4225</v>
      </c>
      <c r="Q815" s="97" t="s">
        <v>4226</v>
      </c>
      <c r="R815" s="76">
        <f t="shared" si="60"/>
        <v>7</v>
      </c>
      <c r="S815" s="76">
        <f t="shared" si="61"/>
        <v>7</v>
      </c>
      <c r="T815" s="76" t="str">
        <f t="shared" si="62"/>
        <v>-</v>
      </c>
      <c r="U815" s="76" t="str">
        <f t="shared" si="63"/>
        <v>-</v>
      </c>
      <c r="V815" s="76" t="str">
        <f t="shared" si="64"/>
        <v>-</v>
      </c>
      <c r="Z815" s="62"/>
    </row>
    <row r="816" spans="1:26" ht="40.15" customHeight="1" x14ac:dyDescent="0.25">
      <c r="A816" s="87">
        <v>28</v>
      </c>
      <c r="B816" s="89" t="s">
        <v>1550</v>
      </c>
      <c r="C816" s="89" t="s">
        <v>4137</v>
      </c>
      <c r="D816" s="90" t="s">
        <v>326</v>
      </c>
      <c r="E816" s="90" t="s">
        <v>1631</v>
      </c>
      <c r="F816" s="91" t="s">
        <v>1556</v>
      </c>
      <c r="G816" s="92" t="s">
        <v>1557</v>
      </c>
      <c r="H816" s="93" t="s">
        <v>4227</v>
      </c>
      <c r="I816" s="87" t="s">
        <v>1880</v>
      </c>
      <c r="J816" s="87" t="s">
        <v>1881</v>
      </c>
      <c r="K816" s="87" t="s">
        <v>1575</v>
      </c>
      <c r="L816" s="126" t="s">
        <v>19</v>
      </c>
      <c r="M816" s="94">
        <v>44399.84375</v>
      </c>
      <c r="N816" s="94">
        <v>44399.927083333336</v>
      </c>
      <c r="O816" s="95" t="str">
        <f>PROPER(TEXT(Table1[[#This Row],[Fecha Inicio]],"mmmm"))</f>
        <v>Julio</v>
      </c>
      <c r="P816" s="96" t="s">
        <v>1882</v>
      </c>
      <c r="Q816" s="97" t="s">
        <v>4228</v>
      </c>
      <c r="R816" s="76">
        <f t="shared" si="60"/>
        <v>6</v>
      </c>
      <c r="S816" s="76">
        <f t="shared" si="61"/>
        <v>6</v>
      </c>
      <c r="T816" s="76" t="str">
        <f t="shared" si="62"/>
        <v>-</v>
      </c>
      <c r="U816" s="76" t="str">
        <f t="shared" si="63"/>
        <v>-</v>
      </c>
      <c r="V816" s="76" t="str">
        <f t="shared" si="64"/>
        <v>-</v>
      </c>
      <c r="Z816" s="62"/>
    </row>
    <row r="817" spans="1:26" ht="40.15" customHeight="1" x14ac:dyDescent="0.25">
      <c r="A817" s="87">
        <v>29</v>
      </c>
      <c r="B817" s="89" t="s">
        <v>1550</v>
      </c>
      <c r="C817" s="89" t="s">
        <v>4137</v>
      </c>
      <c r="D817" s="90" t="s">
        <v>326</v>
      </c>
      <c r="E817" s="90" t="s">
        <v>1631</v>
      </c>
      <c r="F817" s="91" t="s">
        <v>1556</v>
      </c>
      <c r="G817" s="92" t="s">
        <v>1557</v>
      </c>
      <c r="H817" s="93" t="s">
        <v>4229</v>
      </c>
      <c r="I817" s="87" t="s">
        <v>1889</v>
      </c>
      <c r="J817" s="87" t="s">
        <v>1890</v>
      </c>
      <c r="K817" s="87" t="s">
        <v>1575</v>
      </c>
      <c r="L817" s="126" t="s">
        <v>19</v>
      </c>
      <c r="M817" s="94">
        <v>44399.916666666664</v>
      </c>
      <c r="N817" s="94">
        <v>44399.958333333336</v>
      </c>
      <c r="O817" s="95" t="str">
        <f>PROPER(TEXT(Table1[[#This Row],[Fecha Inicio]],"mmmm"))</f>
        <v>Julio</v>
      </c>
      <c r="P817" s="96" t="s">
        <v>164</v>
      </c>
      <c r="Q817" s="97" t="s">
        <v>4230</v>
      </c>
      <c r="R817" s="76">
        <f t="shared" si="60"/>
        <v>1</v>
      </c>
      <c r="S817" s="76">
        <f t="shared" si="61"/>
        <v>1</v>
      </c>
      <c r="T817" s="76" t="str">
        <f t="shared" si="62"/>
        <v>-</v>
      </c>
      <c r="U817" s="76" t="str">
        <f t="shared" si="63"/>
        <v>-</v>
      </c>
      <c r="V817" s="76" t="str">
        <f t="shared" si="64"/>
        <v>-</v>
      </c>
      <c r="Z817" s="62"/>
    </row>
    <row r="818" spans="1:26" ht="40.15" customHeight="1" x14ac:dyDescent="0.25">
      <c r="A818" s="87">
        <v>29</v>
      </c>
      <c r="B818" s="89" t="s">
        <v>4231</v>
      </c>
      <c r="C818" s="89" t="s">
        <v>4232</v>
      </c>
      <c r="D818" s="90" t="s">
        <v>326</v>
      </c>
      <c r="E818" s="90" t="s">
        <v>1631</v>
      </c>
      <c r="F818" s="91" t="s">
        <v>1556</v>
      </c>
      <c r="G818" s="92" t="s">
        <v>1557</v>
      </c>
      <c r="H818" s="93" t="s">
        <v>4233</v>
      </c>
      <c r="I818" s="87" t="s">
        <v>3744</v>
      </c>
      <c r="J818" s="87" t="s">
        <v>2135</v>
      </c>
      <c r="K818" s="87" t="s">
        <v>2935</v>
      </c>
      <c r="L818" s="126" t="s">
        <v>19</v>
      </c>
      <c r="M818" s="94">
        <v>44399.958333333336</v>
      </c>
      <c r="N818" s="94">
        <v>44400.25</v>
      </c>
      <c r="O818" s="95" t="str">
        <f>PROPER(TEXT(Table1[[#This Row],[Fecha Inicio]],"mmmm"))</f>
        <v>Julio</v>
      </c>
      <c r="P818" s="96" t="s">
        <v>4234</v>
      </c>
      <c r="Q818" s="97" t="s">
        <v>4235</v>
      </c>
      <c r="R818" s="76">
        <f t="shared" si="60"/>
        <v>12</v>
      </c>
      <c r="S818" s="76" t="str">
        <f t="shared" si="61"/>
        <v>-</v>
      </c>
      <c r="T818" s="76" t="str">
        <f t="shared" si="62"/>
        <v>-</v>
      </c>
      <c r="U818" s="76" t="str">
        <f t="shared" si="63"/>
        <v>-</v>
      </c>
      <c r="V818" s="76" t="str">
        <f t="shared" si="64"/>
        <v>-</v>
      </c>
      <c r="Z818" s="62"/>
    </row>
    <row r="819" spans="1:26" ht="40.15" customHeight="1" x14ac:dyDescent="0.25">
      <c r="A819" s="87">
        <v>29</v>
      </c>
      <c r="B819" s="89" t="s">
        <v>1550</v>
      </c>
      <c r="C819" s="89" t="s">
        <v>1578</v>
      </c>
      <c r="D819" s="89" t="s">
        <v>1623</v>
      </c>
      <c r="E819" s="89" t="s">
        <v>1624</v>
      </c>
      <c r="F819" s="87" t="s">
        <v>1556</v>
      </c>
      <c r="G819" s="92" t="s">
        <v>1557</v>
      </c>
      <c r="H819" s="93" t="s">
        <v>4236</v>
      </c>
      <c r="I819" s="87" t="s">
        <v>1685</v>
      </c>
      <c r="J819" s="87" t="s">
        <v>1627</v>
      </c>
      <c r="K819" s="87" t="s">
        <v>1575</v>
      </c>
      <c r="L819" s="126" t="s">
        <v>19</v>
      </c>
      <c r="M819" s="94">
        <v>44400.458333333336</v>
      </c>
      <c r="N819" s="94">
        <v>44400.625</v>
      </c>
      <c r="O819" s="95" t="str">
        <f>PROPER(TEXT(Table1[[#This Row],[Fecha Inicio]],"mmmm"))</f>
        <v>Julio</v>
      </c>
      <c r="P819" s="96" t="s">
        <v>2764</v>
      </c>
      <c r="Q819" s="97" t="s">
        <v>4237</v>
      </c>
      <c r="R819" s="76">
        <f t="shared" si="60"/>
        <v>2</v>
      </c>
      <c r="S819" s="76">
        <f t="shared" si="61"/>
        <v>2</v>
      </c>
      <c r="T819" s="76" t="str">
        <f t="shared" si="62"/>
        <v>-</v>
      </c>
      <c r="U819" s="76" t="str">
        <f t="shared" si="63"/>
        <v>-</v>
      </c>
      <c r="V819" s="76" t="str">
        <f t="shared" si="64"/>
        <v>-</v>
      </c>
      <c r="Z819" s="62"/>
    </row>
    <row r="820" spans="1:26" ht="40.15" customHeight="1" x14ac:dyDescent="0.25">
      <c r="A820" s="87">
        <v>29</v>
      </c>
      <c r="B820" s="89" t="s">
        <v>1550</v>
      </c>
      <c r="C820" s="89" t="s">
        <v>4137</v>
      </c>
      <c r="D820" s="89" t="s">
        <v>326</v>
      </c>
      <c r="E820" s="89" t="s">
        <v>1631</v>
      </c>
      <c r="F820" s="87" t="s">
        <v>1556</v>
      </c>
      <c r="G820" s="92" t="s">
        <v>1557</v>
      </c>
      <c r="H820" s="93" t="s">
        <v>4238</v>
      </c>
      <c r="I820" s="87" t="s">
        <v>1901</v>
      </c>
      <c r="J820" s="87" t="s">
        <v>1902</v>
      </c>
      <c r="K820" s="87" t="s">
        <v>1575</v>
      </c>
      <c r="L820" s="126" t="s">
        <v>19</v>
      </c>
      <c r="M820" s="94">
        <v>44400.791666666664</v>
      </c>
      <c r="N820" s="94">
        <v>44400.875</v>
      </c>
      <c r="O820" s="95" t="str">
        <f>PROPER(TEXT(Table1[[#This Row],[Fecha Inicio]],"mmmm"))</f>
        <v>Julio</v>
      </c>
      <c r="P820" s="96" t="s">
        <v>1903</v>
      </c>
      <c r="Q820" s="97" t="s">
        <v>4239</v>
      </c>
      <c r="R820" s="76">
        <f t="shared" si="60"/>
        <v>2</v>
      </c>
      <c r="S820" s="76">
        <f t="shared" si="61"/>
        <v>2</v>
      </c>
      <c r="T820" s="76" t="str">
        <f t="shared" si="62"/>
        <v>-</v>
      </c>
      <c r="U820" s="76" t="str">
        <f t="shared" si="63"/>
        <v>-</v>
      </c>
      <c r="V820" s="76" t="str">
        <f t="shared" si="64"/>
        <v>-</v>
      </c>
      <c r="Z820" s="62"/>
    </row>
    <row r="821" spans="1:26" ht="40.15" customHeight="1" x14ac:dyDescent="0.25">
      <c r="A821" s="87">
        <v>29</v>
      </c>
      <c r="B821" s="89" t="s">
        <v>1550</v>
      </c>
      <c r="C821" s="89" t="s">
        <v>4137</v>
      </c>
      <c r="D821" s="89" t="s">
        <v>326</v>
      </c>
      <c r="E821" s="89" t="s">
        <v>1631</v>
      </c>
      <c r="F821" s="87" t="s">
        <v>1556</v>
      </c>
      <c r="G821" s="92" t="s">
        <v>1557</v>
      </c>
      <c r="H821" s="93" t="s">
        <v>4240</v>
      </c>
      <c r="I821" s="87" t="s">
        <v>1759</v>
      </c>
      <c r="J821" s="87" t="s">
        <v>1760</v>
      </c>
      <c r="K821" s="87" t="s">
        <v>1761</v>
      </c>
      <c r="L821" s="126" t="s">
        <v>19</v>
      </c>
      <c r="M821" s="94">
        <v>44401.958333333336</v>
      </c>
      <c r="N821" s="94">
        <v>44402.125</v>
      </c>
      <c r="O821" s="95" t="str">
        <f>PROPER(TEXT(Table1[[#This Row],[Fecha Inicio]],"mmmm"))</f>
        <v>Julio</v>
      </c>
      <c r="P821" s="96" t="s">
        <v>4241</v>
      </c>
      <c r="Q821" s="97" t="s">
        <v>4242</v>
      </c>
      <c r="R821" s="76">
        <f t="shared" si="60"/>
        <v>5</v>
      </c>
      <c r="S821" s="76">
        <f t="shared" si="61"/>
        <v>5</v>
      </c>
      <c r="T821" s="76" t="str">
        <f t="shared" si="62"/>
        <v>-</v>
      </c>
      <c r="U821" s="76" t="str">
        <f t="shared" si="63"/>
        <v>-</v>
      </c>
      <c r="V821" s="76" t="str">
        <f t="shared" si="64"/>
        <v>-</v>
      </c>
      <c r="Z821" s="62"/>
    </row>
    <row r="822" spans="1:26" ht="40.15" customHeight="1" x14ac:dyDescent="0.25">
      <c r="A822" s="87">
        <v>29</v>
      </c>
      <c r="B822" s="89" t="s">
        <v>1550</v>
      </c>
      <c r="C822" s="89"/>
      <c r="D822" s="89" t="s">
        <v>326</v>
      </c>
      <c r="E822" s="89" t="s">
        <v>1631</v>
      </c>
      <c r="F822" s="87" t="s">
        <v>1556</v>
      </c>
      <c r="G822" s="92" t="s">
        <v>1557</v>
      </c>
      <c r="H822" s="91" t="s">
        <v>4243</v>
      </c>
      <c r="I822" s="87" t="s">
        <v>1919</v>
      </c>
      <c r="J822" s="91" t="s">
        <v>1920</v>
      </c>
      <c r="K822" s="87" t="s">
        <v>1921</v>
      </c>
      <c r="L822" s="126" t="s">
        <v>19</v>
      </c>
      <c r="M822" s="94">
        <v>44402</v>
      </c>
      <c r="N822" s="94">
        <v>44402.25</v>
      </c>
      <c r="O822" s="95" t="str">
        <f>PROPER(TEXT(Table1[[#This Row],[Fecha Inicio]],"mmmm"))</f>
        <v>Julio</v>
      </c>
      <c r="P822" s="96" t="s">
        <v>4244</v>
      </c>
      <c r="Q822" s="97" t="s">
        <v>4245</v>
      </c>
      <c r="R822" s="76">
        <f t="shared" si="60"/>
        <v>5</v>
      </c>
      <c r="S822" s="76">
        <f t="shared" si="61"/>
        <v>5</v>
      </c>
      <c r="T822" s="76" t="str">
        <f t="shared" si="62"/>
        <v>-</v>
      </c>
      <c r="U822" s="76" t="str">
        <f t="shared" si="63"/>
        <v>-</v>
      </c>
      <c r="V822" s="76" t="str">
        <f t="shared" si="64"/>
        <v>-</v>
      </c>
      <c r="Z822" s="62"/>
    </row>
    <row r="823" spans="1:26" ht="40.15" customHeight="1" x14ac:dyDescent="0.25">
      <c r="A823" s="87">
        <v>29</v>
      </c>
      <c r="B823" s="89" t="s">
        <v>1550</v>
      </c>
      <c r="C823" s="89" t="s">
        <v>4137</v>
      </c>
      <c r="D823" s="89" t="s">
        <v>326</v>
      </c>
      <c r="E823" s="89" t="s">
        <v>1631</v>
      </c>
      <c r="F823" s="87" t="s">
        <v>1556</v>
      </c>
      <c r="G823" s="92" t="s">
        <v>1557</v>
      </c>
      <c r="H823" s="93" t="s">
        <v>4246</v>
      </c>
      <c r="I823" s="87" t="s">
        <v>3491</v>
      </c>
      <c r="J823" s="87" t="s">
        <v>2825</v>
      </c>
      <c r="K823" s="87" t="s">
        <v>3875</v>
      </c>
      <c r="L823" s="126" t="s">
        <v>19</v>
      </c>
      <c r="M823" s="94">
        <v>44403</v>
      </c>
      <c r="N823" s="94">
        <v>44403.166666666664</v>
      </c>
      <c r="O823" s="95" t="str">
        <f>PROPER(TEXT(Table1[[#This Row],[Fecha Inicio]],"mmmm"))</f>
        <v>Julio</v>
      </c>
      <c r="P823" s="96" t="s">
        <v>3492</v>
      </c>
      <c r="Q823" s="97" t="s">
        <v>4247</v>
      </c>
      <c r="R823" s="76">
        <f t="shared" si="60"/>
        <v>2</v>
      </c>
      <c r="S823" s="76">
        <f t="shared" si="61"/>
        <v>2</v>
      </c>
      <c r="T823" s="76" t="str">
        <f t="shared" si="62"/>
        <v>-</v>
      </c>
      <c r="U823" s="76" t="str">
        <f t="shared" si="63"/>
        <v>-</v>
      </c>
      <c r="V823" s="76" t="str">
        <f t="shared" si="64"/>
        <v>-</v>
      </c>
      <c r="Z823" s="62"/>
    </row>
    <row r="824" spans="1:26" ht="40.15" customHeight="1" x14ac:dyDescent="0.25">
      <c r="A824" s="87">
        <v>29</v>
      </c>
      <c r="B824" s="89" t="s">
        <v>1550</v>
      </c>
      <c r="C824" s="89" t="s">
        <v>3701</v>
      </c>
      <c r="D824" s="89" t="s">
        <v>326</v>
      </c>
      <c r="E824" s="89" t="s">
        <v>1631</v>
      </c>
      <c r="F824" s="87" t="s">
        <v>1556</v>
      </c>
      <c r="G824" s="92" t="s">
        <v>1557</v>
      </c>
      <c r="H824" s="93" t="s">
        <v>4248</v>
      </c>
      <c r="I824" s="87" t="s">
        <v>3862</v>
      </c>
      <c r="J824" s="87" t="s">
        <v>1951</v>
      </c>
      <c r="K824" s="87" t="s">
        <v>1575</v>
      </c>
      <c r="L824" s="126" t="s">
        <v>19</v>
      </c>
      <c r="M824" s="94">
        <v>44403</v>
      </c>
      <c r="N824" s="94">
        <v>44403.208333333336</v>
      </c>
      <c r="O824" s="95" t="str">
        <f>PROPER(TEXT(Table1[[#This Row],[Fecha Inicio]],"mmmm"))</f>
        <v>Julio</v>
      </c>
      <c r="P824" s="96" t="s">
        <v>1952</v>
      </c>
      <c r="Q824" s="97" t="s">
        <v>4249</v>
      </c>
      <c r="R824" s="76">
        <f t="shared" si="60"/>
        <v>7</v>
      </c>
      <c r="S824" s="76">
        <f t="shared" si="61"/>
        <v>7</v>
      </c>
      <c r="T824" s="76" t="str">
        <f t="shared" si="62"/>
        <v>-</v>
      </c>
      <c r="U824" s="76" t="str">
        <f t="shared" si="63"/>
        <v>-</v>
      </c>
      <c r="V824" s="76" t="str">
        <f t="shared" si="64"/>
        <v>-</v>
      </c>
      <c r="Z824" s="62"/>
    </row>
    <row r="825" spans="1:26" ht="40.15" customHeight="1" x14ac:dyDescent="0.25">
      <c r="A825" s="87">
        <v>29</v>
      </c>
      <c r="B825" s="89" t="s">
        <v>1550</v>
      </c>
      <c r="C825" s="89" t="s">
        <v>4137</v>
      </c>
      <c r="D825" s="89" t="s">
        <v>326</v>
      </c>
      <c r="E825" s="89" t="s">
        <v>1631</v>
      </c>
      <c r="F825" s="87" t="s">
        <v>1556</v>
      </c>
      <c r="G825" s="92" t="s">
        <v>1557</v>
      </c>
      <c r="H825" s="93" t="s">
        <v>4251</v>
      </c>
      <c r="I825" s="87" t="s">
        <v>1838</v>
      </c>
      <c r="J825" s="87" t="s">
        <v>1839</v>
      </c>
      <c r="K825" s="87" t="s">
        <v>1575</v>
      </c>
      <c r="L825" s="126" t="s">
        <v>19</v>
      </c>
      <c r="M825" s="94">
        <v>44403.916666666664</v>
      </c>
      <c r="N825" s="94">
        <v>44403.958333333336</v>
      </c>
      <c r="O825" s="95" t="str">
        <f>PROPER(TEXT(Table1[[#This Row],[Fecha Inicio]],"mmmm"))</f>
        <v>Julio</v>
      </c>
      <c r="P825" s="96" t="s">
        <v>194</v>
      </c>
      <c r="Q825" s="97" t="s">
        <v>4252</v>
      </c>
      <c r="R825" s="76">
        <f t="shared" si="60"/>
        <v>1</v>
      </c>
      <c r="S825" s="76">
        <f t="shared" si="61"/>
        <v>1</v>
      </c>
      <c r="T825" s="76" t="str">
        <f t="shared" si="62"/>
        <v>-</v>
      </c>
      <c r="U825" s="76" t="str">
        <f t="shared" si="63"/>
        <v>-</v>
      </c>
      <c r="V825" s="76" t="str">
        <f t="shared" si="64"/>
        <v>-</v>
      </c>
      <c r="Z825" s="62"/>
    </row>
    <row r="826" spans="1:26" ht="40.15" customHeight="1" x14ac:dyDescent="0.25">
      <c r="A826" s="87">
        <v>29</v>
      </c>
      <c r="B826" s="89" t="s">
        <v>1550</v>
      </c>
      <c r="C826" s="89"/>
      <c r="D826" s="89" t="s">
        <v>344</v>
      </c>
      <c r="E826" s="89" t="s">
        <v>1616</v>
      </c>
      <c r="F826" s="87" t="s">
        <v>1556</v>
      </c>
      <c r="G826" s="92" t="s">
        <v>1557</v>
      </c>
      <c r="H826" s="93" t="s">
        <v>4253</v>
      </c>
      <c r="I826" s="87" t="s">
        <v>2841</v>
      </c>
      <c r="J826" s="87" t="s">
        <v>1619</v>
      </c>
      <c r="K826" s="87" t="s">
        <v>2512</v>
      </c>
      <c r="L826" s="126" t="s">
        <v>19</v>
      </c>
      <c r="M826" s="94">
        <v>44403.958333333336</v>
      </c>
      <c r="N826" s="94">
        <v>44404.125</v>
      </c>
      <c r="O826" s="95" t="str">
        <f>PROPER(TEXT(Table1[[#This Row],[Fecha Inicio]],"mmmm"))</f>
        <v>Julio</v>
      </c>
      <c r="P826" s="96" t="s">
        <v>4254</v>
      </c>
      <c r="Q826" s="97" t="s">
        <v>4255</v>
      </c>
      <c r="R826" s="76">
        <f t="shared" si="60"/>
        <v>3</v>
      </c>
      <c r="S826" s="76">
        <f t="shared" si="61"/>
        <v>3</v>
      </c>
      <c r="T826" s="76" t="str">
        <f t="shared" si="62"/>
        <v>-</v>
      </c>
      <c r="U826" s="76" t="str">
        <f t="shared" si="63"/>
        <v>-</v>
      </c>
      <c r="V826" s="76" t="str">
        <f t="shared" si="64"/>
        <v>-</v>
      </c>
      <c r="Z826" s="62"/>
    </row>
    <row r="827" spans="1:26" ht="40.15" customHeight="1" x14ac:dyDescent="0.25">
      <c r="A827" s="87">
        <v>30</v>
      </c>
      <c r="B827" s="89" t="s">
        <v>1550</v>
      </c>
      <c r="C827" s="89" t="s">
        <v>4137</v>
      </c>
      <c r="D827" s="89" t="s">
        <v>326</v>
      </c>
      <c r="E827" s="89" t="s">
        <v>1631</v>
      </c>
      <c r="F827" s="87" t="s">
        <v>1556</v>
      </c>
      <c r="G827" s="92" t="s">
        <v>1557</v>
      </c>
      <c r="H827" s="93" t="s">
        <v>4256</v>
      </c>
      <c r="I827" s="87" t="s">
        <v>3501</v>
      </c>
      <c r="J827" s="87" t="s">
        <v>3502</v>
      </c>
      <c r="K827" s="87" t="s">
        <v>1709</v>
      </c>
      <c r="L827" s="126" t="s">
        <v>19</v>
      </c>
      <c r="M827" s="94">
        <v>44404</v>
      </c>
      <c r="N827" s="94">
        <v>44404.208333333336</v>
      </c>
      <c r="O827" s="95" t="str">
        <f>PROPER(TEXT(Table1[[#This Row],[Fecha Inicio]],"mmmm"))</f>
        <v>Julio</v>
      </c>
      <c r="P827" s="96" t="s">
        <v>3503</v>
      </c>
      <c r="Q827" s="97" t="s">
        <v>4257</v>
      </c>
      <c r="R827" s="76">
        <f t="shared" si="60"/>
        <v>10</v>
      </c>
      <c r="S827" s="76">
        <f t="shared" si="61"/>
        <v>10</v>
      </c>
      <c r="T827" s="76" t="str">
        <f t="shared" si="62"/>
        <v>-</v>
      </c>
      <c r="U827" s="76" t="str">
        <f t="shared" si="63"/>
        <v>-</v>
      </c>
      <c r="V827" s="76" t="str">
        <f t="shared" si="64"/>
        <v>-</v>
      </c>
      <c r="Z827" s="62"/>
    </row>
    <row r="828" spans="1:26" ht="40.15" customHeight="1" x14ac:dyDescent="0.25">
      <c r="A828" s="87">
        <v>30</v>
      </c>
      <c r="B828" s="89" t="s">
        <v>1550</v>
      </c>
      <c r="C828" s="89"/>
      <c r="D828" s="89" t="s">
        <v>326</v>
      </c>
      <c r="E828" s="89" t="s">
        <v>1742</v>
      </c>
      <c r="F828" s="87" t="s">
        <v>1556</v>
      </c>
      <c r="G828" s="92" t="s">
        <v>1557</v>
      </c>
      <c r="H828" s="93" t="s">
        <v>4258</v>
      </c>
      <c r="I828" s="87" t="s">
        <v>4032</v>
      </c>
      <c r="J828" s="87" t="s">
        <v>1839</v>
      </c>
      <c r="K828" s="87" t="s">
        <v>1575</v>
      </c>
      <c r="L828" s="126" t="s">
        <v>19</v>
      </c>
      <c r="M828" s="94">
        <v>44404.583333333336</v>
      </c>
      <c r="N828" s="94">
        <v>44404.833333333336</v>
      </c>
      <c r="O828" s="95" t="str">
        <f>PROPER(TEXT(Table1[[#This Row],[Fecha Inicio]],"mmmm"))</f>
        <v>Julio</v>
      </c>
      <c r="P828" s="96" t="s">
        <v>4259</v>
      </c>
      <c r="Q828" s="97" t="s">
        <v>4260</v>
      </c>
      <c r="R828" s="76">
        <f t="shared" si="60"/>
        <v>3</v>
      </c>
      <c r="S828" s="76">
        <f t="shared" si="61"/>
        <v>3</v>
      </c>
      <c r="T828" s="76" t="str">
        <f t="shared" si="62"/>
        <v>-</v>
      </c>
      <c r="U828" s="76" t="str">
        <f t="shared" si="63"/>
        <v>-</v>
      </c>
      <c r="V828" s="76" t="str">
        <f t="shared" si="64"/>
        <v>-</v>
      </c>
      <c r="Z828" s="62"/>
    </row>
    <row r="829" spans="1:26" ht="40.15" customHeight="1" x14ac:dyDescent="0.25">
      <c r="A829" s="87">
        <v>29</v>
      </c>
      <c r="B829" s="89" t="s">
        <v>1550</v>
      </c>
      <c r="C829" s="99" t="s">
        <v>3383</v>
      </c>
      <c r="D829" s="90" t="s">
        <v>326</v>
      </c>
      <c r="E829" s="90" t="s">
        <v>1631</v>
      </c>
      <c r="F829" s="91" t="s">
        <v>1556</v>
      </c>
      <c r="G829" s="92" t="s">
        <v>1557</v>
      </c>
      <c r="H829" s="93" t="s">
        <v>4261</v>
      </c>
      <c r="I829" s="87" t="s">
        <v>1961</v>
      </c>
      <c r="J829" s="87" t="s">
        <v>1962</v>
      </c>
      <c r="K829" s="87" t="s">
        <v>1575</v>
      </c>
      <c r="L829" s="126" t="s">
        <v>19</v>
      </c>
      <c r="M829" s="94">
        <v>44404.833333333336</v>
      </c>
      <c r="N829" s="94">
        <v>44404.875</v>
      </c>
      <c r="O829" s="95" t="str">
        <f>PROPER(TEXT(Table1[[#This Row],[Fecha Inicio]],"mmmm"))</f>
        <v>Julio</v>
      </c>
      <c r="P829" s="96" t="s">
        <v>207</v>
      </c>
      <c r="Q829" s="97" t="s">
        <v>4262</v>
      </c>
      <c r="R829" s="76">
        <f t="shared" si="60"/>
        <v>1</v>
      </c>
      <c r="S829" s="76">
        <f t="shared" si="61"/>
        <v>1</v>
      </c>
      <c r="T829" s="76" t="str">
        <f t="shared" si="62"/>
        <v>-</v>
      </c>
      <c r="U829" s="76" t="str">
        <f t="shared" si="63"/>
        <v>-</v>
      </c>
      <c r="V829" s="76" t="str">
        <f t="shared" si="64"/>
        <v>-</v>
      </c>
      <c r="Z829" s="62"/>
    </row>
    <row r="830" spans="1:26" ht="40.15" customHeight="1" x14ac:dyDescent="0.25">
      <c r="A830" s="87">
        <v>29</v>
      </c>
      <c r="B830" s="89" t="s">
        <v>1550</v>
      </c>
      <c r="C830" s="89"/>
      <c r="D830" s="89" t="s">
        <v>344</v>
      </c>
      <c r="E830" s="89" t="s">
        <v>1616</v>
      </c>
      <c r="F830" s="87" t="s">
        <v>1556</v>
      </c>
      <c r="G830" s="92" t="s">
        <v>1557</v>
      </c>
      <c r="H830" s="93" t="s">
        <v>4266</v>
      </c>
      <c r="I830" s="87" t="s">
        <v>2872</v>
      </c>
      <c r="J830" s="87" t="s">
        <v>1619</v>
      </c>
      <c r="K830" s="87" t="s">
        <v>2512</v>
      </c>
      <c r="L830" s="126" t="s">
        <v>19</v>
      </c>
      <c r="M830" s="94">
        <v>44404.958333333336</v>
      </c>
      <c r="N830" s="94">
        <v>44405.125</v>
      </c>
      <c r="O830" s="95" t="str">
        <f>PROPER(TEXT(Table1[[#This Row],[Fecha Inicio]],"mmmm"))</f>
        <v>Julio</v>
      </c>
      <c r="P830" s="96" t="s">
        <v>2873</v>
      </c>
      <c r="Q830" s="97" t="s">
        <v>4267</v>
      </c>
      <c r="R830" s="76">
        <f t="shared" si="60"/>
        <v>3</v>
      </c>
      <c r="S830" s="76">
        <f t="shared" si="61"/>
        <v>3</v>
      </c>
      <c r="T830" s="76" t="str">
        <f t="shared" si="62"/>
        <v>-</v>
      </c>
      <c r="U830" s="76" t="str">
        <f t="shared" si="63"/>
        <v>-</v>
      </c>
      <c r="V830" s="76" t="str">
        <f t="shared" si="64"/>
        <v>-</v>
      </c>
      <c r="Z830" s="62"/>
    </row>
    <row r="831" spans="1:26" ht="40.15" customHeight="1" x14ac:dyDescent="0.25">
      <c r="A831" s="87">
        <v>29</v>
      </c>
      <c r="B831" s="89" t="s">
        <v>1552</v>
      </c>
      <c r="C831" s="89" t="s">
        <v>4263</v>
      </c>
      <c r="D831" s="89" t="s">
        <v>326</v>
      </c>
      <c r="E831" s="89" t="s">
        <v>1631</v>
      </c>
      <c r="F831" s="87" t="s">
        <v>1556</v>
      </c>
      <c r="G831" s="92" t="s">
        <v>1965</v>
      </c>
      <c r="H831" s="93" t="s">
        <v>4264</v>
      </c>
      <c r="I831" s="87" t="s">
        <v>1759</v>
      </c>
      <c r="J831" s="87" t="s">
        <v>1760</v>
      </c>
      <c r="K831" s="87" t="s">
        <v>1761</v>
      </c>
      <c r="L831" s="126" t="s">
        <v>19</v>
      </c>
      <c r="M831" s="94">
        <v>44404.958333333336</v>
      </c>
      <c r="N831" s="94">
        <v>44405.25</v>
      </c>
      <c r="O831" s="95" t="str">
        <f>PROPER(TEXT(Table1[[#This Row],[Fecha Inicio]],"mmmm"))</f>
        <v>Julio</v>
      </c>
      <c r="P831" s="96" t="s">
        <v>1762</v>
      </c>
      <c r="Q831" s="97" t="s">
        <v>4265</v>
      </c>
      <c r="R831" s="76">
        <f t="shared" si="60"/>
        <v>9</v>
      </c>
      <c r="S831" s="76" t="str">
        <f t="shared" si="61"/>
        <v>-</v>
      </c>
      <c r="T831" s="76" t="str">
        <f t="shared" si="62"/>
        <v>-</v>
      </c>
      <c r="U831" s="76">
        <f t="shared" si="63"/>
        <v>9</v>
      </c>
      <c r="V831" s="76" t="str">
        <f t="shared" si="64"/>
        <v>-</v>
      </c>
      <c r="Z831" s="62"/>
    </row>
    <row r="832" spans="1:26" ht="40.15" customHeight="1" x14ac:dyDescent="0.25">
      <c r="A832" s="115">
        <v>30</v>
      </c>
      <c r="B832" s="116" t="s">
        <v>1550</v>
      </c>
      <c r="C832" s="116" t="s">
        <v>4270</v>
      </c>
      <c r="D832" s="116" t="s">
        <v>1623</v>
      </c>
      <c r="E832" s="116" t="s">
        <v>4038</v>
      </c>
      <c r="F832" s="115" t="s">
        <v>1556</v>
      </c>
      <c r="G832" s="92" t="s">
        <v>1557</v>
      </c>
      <c r="H832" s="117" t="s">
        <v>4271</v>
      </c>
      <c r="I832" s="115" t="s">
        <v>1626</v>
      </c>
      <c r="J832" s="115" t="s">
        <v>1627</v>
      </c>
      <c r="K832" s="115" t="s">
        <v>1575</v>
      </c>
      <c r="L832" s="126" t="s">
        <v>19</v>
      </c>
      <c r="M832" s="118">
        <v>44405.416666666664</v>
      </c>
      <c r="N832" s="118">
        <v>44405.541666666664</v>
      </c>
      <c r="O832" s="119" t="str">
        <f>PROPER(TEXT(Table1[[#This Row],[Fecha Inicio]],"mmmm"))</f>
        <v>Julio</v>
      </c>
      <c r="P832" s="120" t="s">
        <v>4051</v>
      </c>
      <c r="Q832" s="121" t="s">
        <v>4272</v>
      </c>
      <c r="R832" s="76">
        <f t="shared" si="60"/>
        <v>2</v>
      </c>
      <c r="S832" s="76">
        <f t="shared" si="61"/>
        <v>2</v>
      </c>
      <c r="T832" s="76" t="str">
        <f t="shared" si="62"/>
        <v>-</v>
      </c>
      <c r="U832" s="76" t="str">
        <f t="shared" si="63"/>
        <v>-</v>
      </c>
      <c r="V832" s="76" t="str">
        <f t="shared" si="64"/>
        <v>-</v>
      </c>
      <c r="Z832" s="62"/>
    </row>
    <row r="833" spans="1:26" ht="40.15" customHeight="1" x14ac:dyDescent="0.25">
      <c r="A833" s="115">
        <v>30</v>
      </c>
      <c r="B833" s="116" t="s">
        <v>1550</v>
      </c>
      <c r="C833" s="116"/>
      <c r="D833" s="116" t="s">
        <v>344</v>
      </c>
      <c r="E833" s="116" t="s">
        <v>1616</v>
      </c>
      <c r="F833" s="115" t="s">
        <v>1556</v>
      </c>
      <c r="G833" s="92" t="s">
        <v>1557</v>
      </c>
      <c r="H833" s="117" t="s">
        <v>4268</v>
      </c>
      <c r="I833" s="115" t="s">
        <v>1942</v>
      </c>
      <c r="J833" s="115" t="s">
        <v>1583</v>
      </c>
      <c r="K833" s="115" t="s">
        <v>1584</v>
      </c>
      <c r="L833" s="126" t="s">
        <v>19</v>
      </c>
      <c r="M833" s="118">
        <v>44405.416666666664</v>
      </c>
      <c r="N833" s="118">
        <v>44405.708333333336</v>
      </c>
      <c r="O833" s="119" t="str">
        <f>PROPER(TEXT(Table1[[#This Row],[Fecha Inicio]],"mmmm"))</f>
        <v>Julio</v>
      </c>
      <c r="P833" s="120" t="s">
        <v>1943</v>
      </c>
      <c r="Q833" s="121" t="s">
        <v>4269</v>
      </c>
      <c r="R833" s="76">
        <f t="shared" si="60"/>
        <v>3</v>
      </c>
      <c r="S833" s="76">
        <f t="shared" si="61"/>
        <v>3</v>
      </c>
      <c r="T833" s="76" t="str">
        <f t="shared" si="62"/>
        <v>-</v>
      </c>
      <c r="U833" s="76" t="str">
        <f t="shared" si="63"/>
        <v>-</v>
      </c>
      <c r="V833" s="76" t="str">
        <f t="shared" si="64"/>
        <v>-</v>
      </c>
      <c r="Z833" s="62"/>
    </row>
    <row r="834" spans="1:26" ht="40.15" customHeight="1" x14ac:dyDescent="0.25">
      <c r="A834" s="115">
        <v>30</v>
      </c>
      <c r="B834" s="116" t="s">
        <v>4231</v>
      </c>
      <c r="C834" s="116" t="s">
        <v>4273</v>
      </c>
      <c r="D834" s="122" t="s">
        <v>326</v>
      </c>
      <c r="E834" s="122" t="s">
        <v>1631</v>
      </c>
      <c r="F834" s="123" t="s">
        <v>1556</v>
      </c>
      <c r="G834" s="92" t="s">
        <v>1557</v>
      </c>
      <c r="H834" s="117" t="s">
        <v>4274</v>
      </c>
      <c r="I834" s="115" t="s">
        <v>1987</v>
      </c>
      <c r="J834" s="115" t="s">
        <v>1988</v>
      </c>
      <c r="K834" s="123" t="s">
        <v>1575</v>
      </c>
      <c r="L834" s="126" t="s">
        <v>19</v>
      </c>
      <c r="M834" s="118">
        <v>44405.604166666664</v>
      </c>
      <c r="N834" s="118">
        <v>44405.729166666664</v>
      </c>
      <c r="O834" s="119" t="str">
        <f>PROPER(TEXT(Table1[[#This Row],[Fecha Inicio]],"mmmm"))</f>
        <v>Julio</v>
      </c>
      <c r="P834" s="120" t="s">
        <v>1989</v>
      </c>
      <c r="Q834" s="121" t="s">
        <v>4275</v>
      </c>
      <c r="R834" s="76">
        <f t="shared" ref="R834:R897" si="65">LEN(TRIM(P834))-LEN(SUBSTITUTE(TRIM(P834),",",""))+1</f>
        <v>4</v>
      </c>
      <c r="S834" s="76" t="str">
        <f t="shared" ref="S834:S897" si="66">IF(B834="CON ÉXITO",R834,"-")</f>
        <v>-</v>
      </c>
      <c r="T834" s="76" t="str">
        <f t="shared" ref="T834:T897" si="67">IF($B834="Éxito con problemas",S834,"-")</f>
        <v>-</v>
      </c>
      <c r="U834" s="76" t="str">
        <f t="shared" ref="U834:U897" si="68">IF($B834="CANCELADO",R834,"-")</f>
        <v>-</v>
      </c>
      <c r="V834" s="76" t="str">
        <f t="shared" ref="V834:V897" si="69">IF($B834="Aplicada marcha atrás",R834,"-")</f>
        <v>-</v>
      </c>
      <c r="Z834" s="62"/>
    </row>
    <row r="835" spans="1:26" ht="40.15" customHeight="1" x14ac:dyDescent="0.25">
      <c r="A835" s="115">
        <v>30</v>
      </c>
      <c r="B835" s="116" t="s">
        <v>1553</v>
      </c>
      <c r="C835" s="116" t="s">
        <v>4276</v>
      </c>
      <c r="D835" s="116" t="s">
        <v>1665</v>
      </c>
      <c r="E835" s="116" t="s">
        <v>1666</v>
      </c>
      <c r="F835" s="115" t="s">
        <v>1556</v>
      </c>
      <c r="G835" s="92" t="s">
        <v>1557</v>
      </c>
      <c r="H835" s="117" t="s">
        <v>4277</v>
      </c>
      <c r="I835" s="115" t="s">
        <v>4278</v>
      </c>
      <c r="J835" s="115" t="s">
        <v>1669</v>
      </c>
      <c r="K835" s="115" t="s">
        <v>1670</v>
      </c>
      <c r="L835" s="115" t="s">
        <v>4220</v>
      </c>
      <c r="M835" s="118">
        <v>44405.958333333336</v>
      </c>
      <c r="N835" s="118">
        <v>44406.020833333336</v>
      </c>
      <c r="O835" s="119" t="str">
        <f>PROPER(TEXT(Table1[[#This Row],[Fecha Inicio]],"mmmm"))</f>
        <v>Julio</v>
      </c>
      <c r="P835" s="120" t="s">
        <v>2226</v>
      </c>
      <c r="Q835" s="121" t="s">
        <v>4279</v>
      </c>
      <c r="R835" s="76">
        <f t="shared" si="65"/>
        <v>1</v>
      </c>
      <c r="S835" s="76" t="str">
        <f t="shared" si="66"/>
        <v>-</v>
      </c>
      <c r="T835" s="76" t="str">
        <f t="shared" si="67"/>
        <v>-</v>
      </c>
      <c r="U835" s="76" t="str">
        <f t="shared" si="68"/>
        <v>-</v>
      </c>
      <c r="V835" s="76">
        <f t="shared" si="69"/>
        <v>1</v>
      </c>
      <c r="Z835" s="62"/>
    </row>
    <row r="836" spans="1:26" ht="40.15" customHeight="1" x14ac:dyDescent="0.25">
      <c r="A836" s="87">
        <v>30</v>
      </c>
      <c r="B836" s="89" t="s">
        <v>1550</v>
      </c>
      <c r="C836" s="89" t="s">
        <v>4280</v>
      </c>
      <c r="D836" s="89" t="s">
        <v>326</v>
      </c>
      <c r="E836" s="89" t="s">
        <v>1631</v>
      </c>
      <c r="F836" s="87" t="s">
        <v>1556</v>
      </c>
      <c r="G836" s="92" t="s">
        <v>1557</v>
      </c>
      <c r="H836" s="93" t="s">
        <v>4281</v>
      </c>
      <c r="I836" s="87" t="s">
        <v>3522</v>
      </c>
      <c r="J836" s="87" t="s">
        <v>2404</v>
      </c>
      <c r="K836" s="87" t="s">
        <v>1575</v>
      </c>
      <c r="L836" s="126" t="s">
        <v>19</v>
      </c>
      <c r="M836" s="94">
        <v>44405.958333333336</v>
      </c>
      <c r="N836" s="94">
        <v>44406.291666666664</v>
      </c>
      <c r="O836" s="95" t="str">
        <f>PROPER(TEXT(Table1[[#This Row],[Fecha Inicio]],"mmmm"))</f>
        <v>Julio</v>
      </c>
      <c r="P836" s="96" t="s">
        <v>3523</v>
      </c>
      <c r="Q836" s="97" t="s">
        <v>4282</v>
      </c>
      <c r="R836" s="76">
        <f t="shared" si="65"/>
        <v>1</v>
      </c>
      <c r="S836" s="76">
        <f t="shared" si="66"/>
        <v>1</v>
      </c>
      <c r="T836" s="76" t="str">
        <f t="shared" si="67"/>
        <v>-</v>
      </c>
      <c r="U836" s="76" t="str">
        <f t="shared" si="68"/>
        <v>-</v>
      </c>
      <c r="V836" s="76" t="str">
        <f t="shared" si="69"/>
        <v>-</v>
      </c>
      <c r="Z836" s="62"/>
    </row>
    <row r="837" spans="1:26" ht="40.15" customHeight="1" x14ac:dyDescent="0.25">
      <c r="A837" s="87">
        <v>30</v>
      </c>
      <c r="B837" s="89" t="s">
        <v>1550</v>
      </c>
      <c r="C837" s="89"/>
      <c r="D837" s="89" t="s">
        <v>344</v>
      </c>
      <c r="E837" s="89" t="s">
        <v>1616</v>
      </c>
      <c r="F837" s="87" t="s">
        <v>1556</v>
      </c>
      <c r="G837" s="92" t="s">
        <v>1557</v>
      </c>
      <c r="H837" s="93" t="s">
        <v>4283</v>
      </c>
      <c r="I837" s="87" t="s">
        <v>1942</v>
      </c>
      <c r="J837" s="87" t="s">
        <v>1583</v>
      </c>
      <c r="K837" s="87" t="s">
        <v>1584</v>
      </c>
      <c r="L837" s="126" t="s">
        <v>19</v>
      </c>
      <c r="M837" s="94">
        <v>44406.416666666664</v>
      </c>
      <c r="N837" s="94">
        <v>44406.708333333336</v>
      </c>
      <c r="O837" s="95" t="str">
        <f>PROPER(TEXT(Table1[[#This Row],[Fecha Inicio]],"mmmm"))</f>
        <v>Julio</v>
      </c>
      <c r="P837" s="96" t="s">
        <v>1958</v>
      </c>
      <c r="Q837" s="97" t="s">
        <v>4284</v>
      </c>
      <c r="R837" s="76">
        <f t="shared" si="65"/>
        <v>2</v>
      </c>
      <c r="S837" s="76">
        <f t="shared" si="66"/>
        <v>2</v>
      </c>
      <c r="T837" s="76" t="str">
        <f t="shared" si="67"/>
        <v>-</v>
      </c>
      <c r="U837" s="76" t="str">
        <f t="shared" si="68"/>
        <v>-</v>
      </c>
      <c r="V837" s="76" t="str">
        <f t="shared" si="69"/>
        <v>-</v>
      </c>
      <c r="Z837" s="62"/>
    </row>
    <row r="838" spans="1:26" ht="40.15" customHeight="1" x14ac:dyDescent="0.25">
      <c r="A838" s="87">
        <v>30</v>
      </c>
      <c r="B838" s="89" t="s">
        <v>1550</v>
      </c>
      <c r="C838" s="89" t="s">
        <v>4270</v>
      </c>
      <c r="D838" s="89" t="s">
        <v>1623</v>
      </c>
      <c r="E838" s="89" t="s">
        <v>1624</v>
      </c>
      <c r="F838" s="87" t="s">
        <v>1556</v>
      </c>
      <c r="G838" s="92" t="s">
        <v>1557</v>
      </c>
      <c r="H838" s="93" t="s">
        <v>4285</v>
      </c>
      <c r="I838" s="87" t="s">
        <v>1685</v>
      </c>
      <c r="J838" s="87" t="s">
        <v>1627</v>
      </c>
      <c r="K838" s="87" t="s">
        <v>1575</v>
      </c>
      <c r="L838" s="126" t="s">
        <v>19</v>
      </c>
      <c r="M838" s="94">
        <v>44406.5</v>
      </c>
      <c r="N838" s="94">
        <v>44406.625</v>
      </c>
      <c r="O838" s="95" t="str">
        <f>PROPER(TEXT(Table1[[#This Row],[Fecha Inicio]],"mmmm"))</f>
        <v>Julio</v>
      </c>
      <c r="P838" s="96" t="s">
        <v>2764</v>
      </c>
      <c r="Q838" s="97" t="s">
        <v>4286</v>
      </c>
      <c r="R838" s="76">
        <f t="shared" si="65"/>
        <v>2</v>
      </c>
      <c r="S838" s="76">
        <f t="shared" si="66"/>
        <v>2</v>
      </c>
      <c r="T838" s="76" t="str">
        <f t="shared" si="67"/>
        <v>-</v>
      </c>
      <c r="U838" s="76" t="str">
        <f t="shared" si="68"/>
        <v>-</v>
      </c>
      <c r="V838" s="76" t="str">
        <f t="shared" si="69"/>
        <v>-</v>
      </c>
      <c r="Z838" s="62"/>
    </row>
    <row r="839" spans="1:26" ht="40.15" customHeight="1" x14ac:dyDescent="0.25">
      <c r="A839" s="87">
        <v>30</v>
      </c>
      <c r="B839" s="89" t="s">
        <v>1550</v>
      </c>
      <c r="C839" s="89" t="s">
        <v>4137</v>
      </c>
      <c r="D839" s="89" t="s">
        <v>326</v>
      </c>
      <c r="E839" s="89" t="s">
        <v>1631</v>
      </c>
      <c r="F839" s="87" t="s">
        <v>1556</v>
      </c>
      <c r="G839" s="92" t="s">
        <v>1557</v>
      </c>
      <c r="H839" s="93" t="s">
        <v>4287</v>
      </c>
      <c r="I839" s="87" t="s">
        <v>3536</v>
      </c>
      <c r="J839" s="87" t="s">
        <v>3537</v>
      </c>
      <c r="K839" s="87" t="s">
        <v>1575</v>
      </c>
      <c r="L839" s="126" t="s">
        <v>19</v>
      </c>
      <c r="M839" s="94">
        <v>44407</v>
      </c>
      <c r="N839" s="94">
        <v>44407.166666666664</v>
      </c>
      <c r="O839" s="95" t="str">
        <f>PROPER(TEXT(Table1[[#This Row],[Fecha Inicio]],"mmmm"))</f>
        <v>Julio</v>
      </c>
      <c r="P839" s="96" t="s">
        <v>3538</v>
      </c>
      <c r="Q839" s="97" t="s">
        <v>4288</v>
      </c>
      <c r="R839" s="76">
        <f t="shared" si="65"/>
        <v>4</v>
      </c>
      <c r="S839" s="76">
        <f t="shared" si="66"/>
        <v>4</v>
      </c>
      <c r="T839" s="76" t="str">
        <f t="shared" si="67"/>
        <v>-</v>
      </c>
      <c r="U839" s="76" t="str">
        <f t="shared" si="68"/>
        <v>-</v>
      </c>
      <c r="V839" s="76" t="str">
        <f t="shared" si="69"/>
        <v>-</v>
      </c>
      <c r="Z839" s="62"/>
    </row>
    <row r="840" spans="1:26" ht="40.15" customHeight="1" x14ac:dyDescent="0.25">
      <c r="A840" s="87">
        <v>30</v>
      </c>
      <c r="B840" s="89" t="s">
        <v>1550</v>
      </c>
      <c r="C840" s="89" t="s">
        <v>4137</v>
      </c>
      <c r="D840" s="89" t="s">
        <v>326</v>
      </c>
      <c r="E840" s="89" t="s">
        <v>1631</v>
      </c>
      <c r="F840" s="87" t="s">
        <v>1556</v>
      </c>
      <c r="G840" s="92" t="s">
        <v>1557</v>
      </c>
      <c r="H840" s="93" t="s">
        <v>4289</v>
      </c>
      <c r="I840" s="87" t="s">
        <v>3260</v>
      </c>
      <c r="J840" s="87" t="s">
        <v>2511</v>
      </c>
      <c r="K840" s="87" t="s">
        <v>2512</v>
      </c>
      <c r="L840" s="126" t="s">
        <v>19</v>
      </c>
      <c r="M840" s="94">
        <v>44407.041666666664</v>
      </c>
      <c r="N840" s="94">
        <v>44407.125</v>
      </c>
      <c r="O840" s="95" t="str">
        <f>PROPER(TEXT(Table1[[#This Row],[Fecha Inicio]],"mmmm"))</f>
        <v>Julio</v>
      </c>
      <c r="P840" s="96" t="s">
        <v>3261</v>
      </c>
      <c r="Q840" s="97" t="s">
        <v>4290</v>
      </c>
      <c r="R840" s="76">
        <f t="shared" si="65"/>
        <v>6</v>
      </c>
      <c r="S840" s="76">
        <f t="shared" si="66"/>
        <v>6</v>
      </c>
      <c r="T840" s="76" t="str">
        <f t="shared" si="67"/>
        <v>-</v>
      </c>
      <c r="U840" s="76" t="str">
        <f t="shared" si="68"/>
        <v>-</v>
      </c>
      <c r="V840" s="76" t="str">
        <f t="shared" si="69"/>
        <v>-</v>
      </c>
      <c r="Z840" s="62"/>
    </row>
    <row r="841" spans="1:26" ht="40.15" customHeight="1" x14ac:dyDescent="0.25">
      <c r="A841" s="87">
        <v>30</v>
      </c>
      <c r="B841" s="89" t="s">
        <v>1550</v>
      </c>
      <c r="C841" s="89" t="s">
        <v>4137</v>
      </c>
      <c r="D841" s="89" t="s">
        <v>326</v>
      </c>
      <c r="E841" s="89" t="s">
        <v>1631</v>
      </c>
      <c r="F841" s="87" t="s">
        <v>1556</v>
      </c>
      <c r="G841" s="92" t="s">
        <v>1557</v>
      </c>
      <c r="H841" s="93" t="s">
        <v>4291</v>
      </c>
      <c r="I841" s="87" t="s">
        <v>2013</v>
      </c>
      <c r="J841" s="87" t="s">
        <v>2014</v>
      </c>
      <c r="K841" s="87" t="s">
        <v>1575</v>
      </c>
      <c r="L841" s="126" t="s">
        <v>19</v>
      </c>
      <c r="M841" s="94">
        <v>44407.791666666664</v>
      </c>
      <c r="N841" s="94">
        <v>44407.875</v>
      </c>
      <c r="O841" s="95" t="str">
        <f>PROPER(TEXT(Table1[[#This Row],[Fecha Inicio]],"mmmm"))</f>
        <v>Julio</v>
      </c>
      <c r="P841" s="96" t="s">
        <v>4292</v>
      </c>
      <c r="Q841" s="97" t="s">
        <v>4293</v>
      </c>
      <c r="R841" s="76">
        <f t="shared" si="65"/>
        <v>10</v>
      </c>
      <c r="S841" s="76">
        <f t="shared" si="66"/>
        <v>10</v>
      </c>
      <c r="T841" s="76" t="str">
        <f t="shared" si="67"/>
        <v>-</v>
      </c>
      <c r="U841" s="76" t="str">
        <f t="shared" si="68"/>
        <v>-</v>
      </c>
      <c r="V841" s="76" t="str">
        <f t="shared" si="69"/>
        <v>-</v>
      </c>
      <c r="Z841" s="62"/>
    </row>
    <row r="842" spans="1:26" ht="40.15" customHeight="1" x14ac:dyDescent="0.25">
      <c r="A842" s="87">
        <v>30</v>
      </c>
      <c r="B842" s="89" t="s">
        <v>1550</v>
      </c>
      <c r="C842" s="89"/>
      <c r="D842" s="89" t="s">
        <v>326</v>
      </c>
      <c r="E842" s="89" t="s">
        <v>1631</v>
      </c>
      <c r="F842" s="87" t="s">
        <v>1556</v>
      </c>
      <c r="G842" s="92" t="s">
        <v>1557</v>
      </c>
      <c r="H842" s="93" t="s">
        <v>4294</v>
      </c>
      <c r="I842" s="87" t="s">
        <v>3957</v>
      </c>
      <c r="J842" s="87" t="s">
        <v>1931</v>
      </c>
      <c r="K842" s="87" t="s">
        <v>1921</v>
      </c>
      <c r="L842" s="126" t="s">
        <v>19</v>
      </c>
      <c r="M842" s="94">
        <v>44408</v>
      </c>
      <c r="N842" s="94">
        <v>44408.25</v>
      </c>
      <c r="O842" s="95" t="str">
        <f>PROPER(TEXT(Table1[[#This Row],[Fecha Inicio]],"mmmm"))</f>
        <v>Julio</v>
      </c>
      <c r="P842" s="96" t="s">
        <v>3958</v>
      </c>
      <c r="Q842" s="97" t="s">
        <v>4295</v>
      </c>
      <c r="R842" s="76">
        <f t="shared" si="65"/>
        <v>6</v>
      </c>
      <c r="S842" s="76">
        <f t="shared" si="66"/>
        <v>6</v>
      </c>
      <c r="T842" s="76" t="str">
        <f t="shared" si="67"/>
        <v>-</v>
      </c>
      <c r="U842" s="76" t="str">
        <f t="shared" si="68"/>
        <v>-</v>
      </c>
      <c r="V842" s="76" t="str">
        <f t="shared" si="69"/>
        <v>-</v>
      </c>
      <c r="Z842" s="62"/>
    </row>
    <row r="843" spans="1:26" ht="40.15" customHeight="1" x14ac:dyDescent="0.25">
      <c r="A843" s="87">
        <v>30</v>
      </c>
      <c r="B843" s="89" t="s">
        <v>1550</v>
      </c>
      <c r="C843" s="89"/>
      <c r="D843" s="89" t="s">
        <v>326</v>
      </c>
      <c r="E843" s="89" t="s">
        <v>1631</v>
      </c>
      <c r="F843" s="87" t="s">
        <v>1556</v>
      </c>
      <c r="G843" s="92" t="s">
        <v>1557</v>
      </c>
      <c r="H843" s="93" t="s">
        <v>4296</v>
      </c>
      <c r="I843" s="87" t="s">
        <v>1919</v>
      </c>
      <c r="J843" s="91" t="s">
        <v>1920</v>
      </c>
      <c r="K843" s="87" t="s">
        <v>1921</v>
      </c>
      <c r="L843" s="126" t="s">
        <v>19</v>
      </c>
      <c r="M843" s="94">
        <v>44409</v>
      </c>
      <c r="N843" s="94">
        <v>44409.25</v>
      </c>
      <c r="O843" s="95" t="str">
        <f>PROPER(TEXT(Table1[[#This Row],[Fecha Inicio]],"mmmm"))</f>
        <v>Agosto</v>
      </c>
      <c r="P843" s="96" t="s">
        <v>3549</v>
      </c>
      <c r="Q843" s="97" t="s">
        <v>4297</v>
      </c>
      <c r="R843" s="76">
        <f t="shared" si="65"/>
        <v>17</v>
      </c>
      <c r="S843" s="76">
        <f t="shared" si="66"/>
        <v>17</v>
      </c>
      <c r="T843" s="76" t="str">
        <f t="shared" si="67"/>
        <v>-</v>
      </c>
      <c r="U843" s="76" t="str">
        <f t="shared" si="68"/>
        <v>-</v>
      </c>
      <c r="V843" s="76" t="str">
        <f t="shared" si="69"/>
        <v>-</v>
      </c>
      <c r="Z843" s="62"/>
    </row>
    <row r="844" spans="1:26" ht="40.15" customHeight="1" x14ac:dyDescent="0.25">
      <c r="A844" s="87">
        <v>30</v>
      </c>
      <c r="B844" s="89" t="s">
        <v>1552</v>
      </c>
      <c r="C844" s="89" t="s">
        <v>4298</v>
      </c>
      <c r="D844" s="89" t="s">
        <v>1554</v>
      </c>
      <c r="E844" s="89" t="s">
        <v>1555</v>
      </c>
      <c r="F844" s="91" t="s">
        <v>1556</v>
      </c>
      <c r="G844" s="92" t="s">
        <v>1965</v>
      </c>
      <c r="H844" s="93" t="s">
        <v>4299</v>
      </c>
      <c r="I844" s="124" t="s">
        <v>2166</v>
      </c>
      <c r="J844" s="87" t="s">
        <v>1560</v>
      </c>
      <c r="K844" s="87" t="s">
        <v>1561</v>
      </c>
      <c r="L844" s="87" t="s">
        <v>52</v>
      </c>
      <c r="M844" s="94">
        <v>44410.375</v>
      </c>
      <c r="N844" s="94">
        <v>44410.541666666664</v>
      </c>
      <c r="O844" s="95" t="str">
        <f>PROPER(TEXT(Table1[[#This Row],[Fecha Inicio]],"mmmm"))</f>
        <v>Agosto</v>
      </c>
      <c r="P844" s="96" t="s">
        <v>4300</v>
      </c>
      <c r="Q844" s="97" t="s">
        <v>4301</v>
      </c>
      <c r="R844" s="76">
        <f t="shared" si="65"/>
        <v>1</v>
      </c>
      <c r="S844" s="76" t="str">
        <f t="shared" si="66"/>
        <v>-</v>
      </c>
      <c r="T844" s="76" t="str">
        <f t="shared" si="67"/>
        <v>-</v>
      </c>
      <c r="U844" s="76">
        <f t="shared" si="68"/>
        <v>1</v>
      </c>
      <c r="V844" s="76" t="str">
        <f t="shared" si="69"/>
        <v>-</v>
      </c>
      <c r="Z844" s="62"/>
    </row>
    <row r="845" spans="1:26" ht="40.15" customHeight="1" x14ac:dyDescent="0.25">
      <c r="A845" s="87">
        <v>30</v>
      </c>
      <c r="B845" s="89" t="s">
        <v>1550</v>
      </c>
      <c r="C845" s="89"/>
      <c r="D845" s="89" t="s">
        <v>1554</v>
      </c>
      <c r="E845" s="89" t="s">
        <v>1555</v>
      </c>
      <c r="F845" s="87" t="s">
        <v>1556</v>
      </c>
      <c r="G845" s="92" t="s">
        <v>1557</v>
      </c>
      <c r="H845" s="93" t="s">
        <v>4302</v>
      </c>
      <c r="I845" s="87" t="s">
        <v>4021</v>
      </c>
      <c r="J845" s="87" t="s">
        <v>3513</v>
      </c>
      <c r="K845" s="87" t="s">
        <v>1575</v>
      </c>
      <c r="L845" s="87" t="s">
        <v>52</v>
      </c>
      <c r="M845" s="94">
        <v>44410.375</v>
      </c>
      <c r="N845" s="94">
        <v>44410.625</v>
      </c>
      <c r="O845" s="95" t="str">
        <f>PROPER(TEXT(Table1[[#This Row],[Fecha Inicio]],"mmmm"))</f>
        <v>Agosto</v>
      </c>
      <c r="P845" s="96" t="s">
        <v>4303</v>
      </c>
      <c r="Q845" s="97" t="s">
        <v>4304</v>
      </c>
      <c r="R845" s="76">
        <f t="shared" si="65"/>
        <v>5</v>
      </c>
      <c r="S845" s="76">
        <f t="shared" si="66"/>
        <v>5</v>
      </c>
      <c r="T845" s="76" t="str">
        <f t="shared" si="67"/>
        <v>-</v>
      </c>
      <c r="U845" s="76" t="str">
        <f t="shared" si="68"/>
        <v>-</v>
      </c>
      <c r="V845" s="76" t="str">
        <f t="shared" si="69"/>
        <v>-</v>
      </c>
      <c r="Z845" s="62"/>
    </row>
    <row r="846" spans="1:26" ht="40.15" customHeight="1" x14ac:dyDescent="0.25">
      <c r="A846" s="87">
        <v>30</v>
      </c>
      <c r="B846" s="89" t="s">
        <v>1550</v>
      </c>
      <c r="C846" s="89"/>
      <c r="D846" s="90" t="s">
        <v>1554</v>
      </c>
      <c r="E846" s="90" t="s">
        <v>1555</v>
      </c>
      <c r="F846" s="91" t="s">
        <v>1556</v>
      </c>
      <c r="G846" s="92" t="s">
        <v>1557</v>
      </c>
      <c r="H846" s="93" t="s">
        <v>4305</v>
      </c>
      <c r="I846" s="87" t="s">
        <v>3842</v>
      </c>
      <c r="J846" s="87" t="s">
        <v>2239</v>
      </c>
      <c r="K846" s="87" t="s">
        <v>1575</v>
      </c>
      <c r="L846" s="87" t="s">
        <v>52</v>
      </c>
      <c r="M846" s="94">
        <v>44410.375</v>
      </c>
      <c r="N846" s="94">
        <v>44410.625</v>
      </c>
      <c r="O846" s="95" t="str">
        <f>PROPER(TEXT(Table1[[#This Row],[Fecha Inicio]],"mmmm"))</f>
        <v>Agosto</v>
      </c>
      <c r="P846" s="96" t="s">
        <v>4306</v>
      </c>
      <c r="Q846" s="97" t="s">
        <v>4307</v>
      </c>
      <c r="R846" s="76">
        <f t="shared" si="65"/>
        <v>4</v>
      </c>
      <c r="S846" s="76">
        <f t="shared" si="66"/>
        <v>4</v>
      </c>
      <c r="T846" s="76" t="str">
        <f t="shared" si="67"/>
        <v>-</v>
      </c>
      <c r="U846" s="76" t="str">
        <f t="shared" si="68"/>
        <v>-</v>
      </c>
      <c r="V846" s="76" t="str">
        <f t="shared" si="69"/>
        <v>-</v>
      </c>
      <c r="Z846" s="62"/>
    </row>
    <row r="847" spans="1:26" ht="40.15" customHeight="1" x14ac:dyDescent="0.25">
      <c r="A847" s="87">
        <v>30</v>
      </c>
      <c r="B847" s="89" t="s">
        <v>1550</v>
      </c>
      <c r="C847" s="89" t="s">
        <v>4270</v>
      </c>
      <c r="D847" s="89" t="s">
        <v>1623</v>
      </c>
      <c r="E847" s="89" t="s">
        <v>4038</v>
      </c>
      <c r="F847" s="87" t="s">
        <v>1556</v>
      </c>
      <c r="G847" s="92" t="s">
        <v>1557</v>
      </c>
      <c r="H847" s="93" t="s">
        <v>4308</v>
      </c>
      <c r="I847" s="87" t="s">
        <v>1626</v>
      </c>
      <c r="J847" s="87" t="s">
        <v>1627</v>
      </c>
      <c r="K847" s="87" t="s">
        <v>1575</v>
      </c>
      <c r="L847" s="126" t="s">
        <v>19</v>
      </c>
      <c r="M847" s="94">
        <v>44410.458333333336</v>
      </c>
      <c r="N847" s="94">
        <v>44410.541666666664</v>
      </c>
      <c r="O847" s="95" t="str">
        <f>PROPER(TEXT(Table1[[#This Row],[Fecha Inicio]],"mmmm"))</f>
        <v>Agosto</v>
      </c>
      <c r="P847" s="96" t="s">
        <v>1628</v>
      </c>
      <c r="Q847" s="97" t="s">
        <v>4309</v>
      </c>
      <c r="R847" s="76">
        <f t="shared" si="65"/>
        <v>2</v>
      </c>
      <c r="S847" s="76">
        <f t="shared" si="66"/>
        <v>2</v>
      </c>
      <c r="T847" s="76" t="str">
        <f t="shared" si="67"/>
        <v>-</v>
      </c>
      <c r="U847" s="76" t="str">
        <f t="shared" si="68"/>
        <v>-</v>
      </c>
      <c r="V847" s="76" t="str">
        <f t="shared" si="69"/>
        <v>-</v>
      </c>
      <c r="Z847" s="62"/>
    </row>
    <row r="848" spans="1:26" ht="40.15" customHeight="1" x14ac:dyDescent="0.25">
      <c r="A848" s="87">
        <v>30</v>
      </c>
      <c r="B848" s="89" t="s">
        <v>1550</v>
      </c>
      <c r="C848" s="89" t="s">
        <v>4137</v>
      </c>
      <c r="D848" s="89" t="s">
        <v>326</v>
      </c>
      <c r="E848" s="89" t="s">
        <v>1631</v>
      </c>
      <c r="F848" s="87" t="s">
        <v>1556</v>
      </c>
      <c r="G848" s="92" t="s">
        <v>1557</v>
      </c>
      <c r="H848" s="93" t="s">
        <v>4310</v>
      </c>
      <c r="I848" s="87" t="s">
        <v>3970</v>
      </c>
      <c r="J848" s="87" t="s">
        <v>1911</v>
      </c>
      <c r="K848" s="87" t="s">
        <v>3971</v>
      </c>
      <c r="L848" s="126" t="s">
        <v>19</v>
      </c>
      <c r="M848" s="94">
        <v>44410.833333333336</v>
      </c>
      <c r="N848" s="94">
        <v>44410.875</v>
      </c>
      <c r="O848" s="95" t="str">
        <f>PROPER(TEXT(Table1[[#This Row],[Fecha Inicio]],"mmmm"))</f>
        <v>Agosto</v>
      </c>
      <c r="P848" s="96" t="s">
        <v>248</v>
      </c>
      <c r="Q848" s="97" t="s">
        <v>4311</v>
      </c>
      <c r="R848" s="76">
        <f t="shared" si="65"/>
        <v>1</v>
      </c>
      <c r="S848" s="76">
        <f t="shared" si="66"/>
        <v>1</v>
      </c>
      <c r="T848" s="76" t="str">
        <f t="shared" si="67"/>
        <v>-</v>
      </c>
      <c r="U848" s="76" t="str">
        <f t="shared" si="68"/>
        <v>-</v>
      </c>
      <c r="V848" s="76" t="str">
        <f t="shared" si="69"/>
        <v>-</v>
      </c>
      <c r="Z848" s="62"/>
    </row>
    <row r="849" spans="1:26" ht="40.15" customHeight="1" x14ac:dyDescent="0.25">
      <c r="A849" s="87">
        <v>30</v>
      </c>
      <c r="B849" s="89" t="s">
        <v>1550</v>
      </c>
      <c r="C849" s="89"/>
      <c r="D849" s="89" t="s">
        <v>1570</v>
      </c>
      <c r="E849" s="89" t="s">
        <v>1571</v>
      </c>
      <c r="F849" s="87" t="s">
        <v>1556</v>
      </c>
      <c r="G849" s="92" t="s">
        <v>1557</v>
      </c>
      <c r="H849" s="93" t="s">
        <v>4312</v>
      </c>
      <c r="I849" s="87" t="s">
        <v>4069</v>
      </c>
      <c r="J849" s="91" t="s">
        <v>1574</v>
      </c>
      <c r="K849" s="87" t="s">
        <v>1575</v>
      </c>
      <c r="L849" s="126" t="s">
        <v>19</v>
      </c>
      <c r="M849" s="94">
        <v>44410.958333333336</v>
      </c>
      <c r="N849" s="94">
        <v>44411.041666666664</v>
      </c>
      <c r="O849" s="95" t="str">
        <f>PROPER(TEXT(Table1[[#This Row],[Fecha Inicio]],"mmmm"))</f>
        <v>Agosto</v>
      </c>
      <c r="P849" s="96" t="s">
        <v>1576</v>
      </c>
      <c r="Q849" s="97" t="s">
        <v>4313</v>
      </c>
      <c r="R849" s="76">
        <f t="shared" si="65"/>
        <v>5</v>
      </c>
      <c r="S849" s="76">
        <f t="shared" si="66"/>
        <v>5</v>
      </c>
      <c r="T849" s="76" t="str">
        <f t="shared" si="67"/>
        <v>-</v>
      </c>
      <c r="U849" s="76" t="str">
        <f t="shared" si="68"/>
        <v>-</v>
      </c>
      <c r="V849" s="76" t="str">
        <f t="shared" si="69"/>
        <v>-</v>
      </c>
      <c r="Z849" s="62"/>
    </row>
    <row r="850" spans="1:26" ht="40.15" customHeight="1" x14ac:dyDescent="0.25">
      <c r="A850" s="87">
        <v>30</v>
      </c>
      <c r="B850" s="89" t="s">
        <v>1550</v>
      </c>
      <c r="C850" s="89"/>
      <c r="D850" s="89" t="s">
        <v>1623</v>
      </c>
      <c r="E850" s="89" t="s">
        <v>4038</v>
      </c>
      <c r="F850" s="87" t="s">
        <v>1556</v>
      </c>
      <c r="G850" s="92" t="s">
        <v>1557</v>
      </c>
      <c r="H850" s="93" t="s">
        <v>4314</v>
      </c>
      <c r="I850" s="87" t="s">
        <v>2040</v>
      </c>
      <c r="J850" s="87" t="s">
        <v>1771</v>
      </c>
      <c r="K850" s="87" t="s">
        <v>1575</v>
      </c>
      <c r="L850" s="126" t="s">
        <v>19</v>
      </c>
      <c r="M850" s="94">
        <v>44411.291666666664</v>
      </c>
      <c r="N850" s="94">
        <v>44411.5</v>
      </c>
      <c r="O850" s="95" t="str">
        <f>PROPER(TEXT(Table1[[#This Row],[Fecha Inicio]],"mmmm"))</f>
        <v>Agosto</v>
      </c>
      <c r="P850" s="96" t="s">
        <v>1772</v>
      </c>
      <c r="Q850" s="97" t="s">
        <v>4315</v>
      </c>
      <c r="R850" s="76">
        <f t="shared" si="65"/>
        <v>2</v>
      </c>
      <c r="S850" s="76">
        <f t="shared" si="66"/>
        <v>2</v>
      </c>
      <c r="T850" s="76" t="str">
        <f t="shared" si="67"/>
        <v>-</v>
      </c>
      <c r="U850" s="76" t="str">
        <f t="shared" si="68"/>
        <v>-</v>
      </c>
      <c r="V850" s="76" t="str">
        <f t="shared" si="69"/>
        <v>-</v>
      </c>
      <c r="Z850" s="62"/>
    </row>
    <row r="851" spans="1:26" ht="40.15" customHeight="1" x14ac:dyDescent="0.25">
      <c r="A851" s="87">
        <v>30</v>
      </c>
      <c r="B851" s="89" t="s">
        <v>1550</v>
      </c>
      <c r="C851" s="89"/>
      <c r="D851" s="90" t="s">
        <v>1554</v>
      </c>
      <c r="E851" s="90" t="s">
        <v>1555</v>
      </c>
      <c r="F851" s="91" t="s">
        <v>1556</v>
      </c>
      <c r="G851" s="92" t="s">
        <v>1557</v>
      </c>
      <c r="H851" s="93" t="s">
        <v>4316</v>
      </c>
      <c r="I851" s="87" t="s">
        <v>4317</v>
      </c>
      <c r="J851" s="87" t="s">
        <v>4318</v>
      </c>
      <c r="K851" s="87" t="s">
        <v>1575</v>
      </c>
      <c r="L851" s="87" t="s">
        <v>52</v>
      </c>
      <c r="M851" s="94">
        <v>44411.375</v>
      </c>
      <c r="N851" s="94">
        <v>44411.625</v>
      </c>
      <c r="O851" s="95" t="str">
        <f>PROPER(TEXT(Table1[[#This Row],[Fecha Inicio]],"mmmm"))</f>
        <v>Agosto</v>
      </c>
      <c r="P851" s="96" t="s">
        <v>4319</v>
      </c>
      <c r="Q851" s="97" t="s">
        <v>4320</v>
      </c>
      <c r="R851" s="76">
        <f t="shared" si="65"/>
        <v>1</v>
      </c>
      <c r="S851" s="76">
        <f t="shared" si="66"/>
        <v>1</v>
      </c>
      <c r="T851" s="76" t="str">
        <f t="shared" si="67"/>
        <v>-</v>
      </c>
      <c r="U851" s="76" t="str">
        <f t="shared" si="68"/>
        <v>-</v>
      </c>
      <c r="V851" s="76" t="str">
        <f t="shared" si="69"/>
        <v>-</v>
      </c>
      <c r="Z851" s="62"/>
    </row>
    <row r="852" spans="1:26" ht="40.15" customHeight="1" x14ac:dyDescent="0.25">
      <c r="A852" s="87">
        <v>30</v>
      </c>
      <c r="B852" s="89" t="s">
        <v>1550</v>
      </c>
      <c r="C852" s="89"/>
      <c r="D852" s="90" t="s">
        <v>1554</v>
      </c>
      <c r="E852" s="90" t="s">
        <v>1555</v>
      </c>
      <c r="F852" s="91" t="s">
        <v>1556</v>
      </c>
      <c r="G852" s="92" t="s">
        <v>1557</v>
      </c>
      <c r="H852" s="93" t="s">
        <v>4321</v>
      </c>
      <c r="I852" s="87" t="s">
        <v>3842</v>
      </c>
      <c r="J852" s="87" t="s">
        <v>2239</v>
      </c>
      <c r="K852" s="87" t="s">
        <v>1575</v>
      </c>
      <c r="L852" s="87" t="s">
        <v>52</v>
      </c>
      <c r="M852" s="94">
        <v>44411.375</v>
      </c>
      <c r="N852" s="94">
        <v>44411.625</v>
      </c>
      <c r="O852" s="95" t="str">
        <f>PROPER(TEXT(Table1[[#This Row],[Fecha Inicio]],"mmmm"))</f>
        <v>Agosto</v>
      </c>
      <c r="P852" s="96" t="s">
        <v>4322</v>
      </c>
      <c r="Q852" s="97" t="s">
        <v>4323</v>
      </c>
      <c r="R852" s="76">
        <f t="shared" si="65"/>
        <v>15</v>
      </c>
      <c r="S852" s="76">
        <f t="shared" si="66"/>
        <v>15</v>
      </c>
      <c r="T852" s="76" t="str">
        <f t="shared" si="67"/>
        <v>-</v>
      </c>
      <c r="U852" s="76" t="str">
        <f t="shared" si="68"/>
        <v>-</v>
      </c>
      <c r="V852" s="76" t="str">
        <f t="shared" si="69"/>
        <v>-</v>
      </c>
      <c r="Z852" s="62"/>
    </row>
    <row r="853" spans="1:26" ht="40.15" customHeight="1" x14ac:dyDescent="0.25">
      <c r="A853" s="87">
        <v>30</v>
      </c>
      <c r="B853" s="89" t="s">
        <v>1550</v>
      </c>
      <c r="C853" s="89"/>
      <c r="D853" s="89" t="s">
        <v>1570</v>
      </c>
      <c r="E853" s="89" t="s">
        <v>1571</v>
      </c>
      <c r="F853" s="87" t="s">
        <v>1556</v>
      </c>
      <c r="G853" s="92" t="s">
        <v>1557</v>
      </c>
      <c r="H853" s="93" t="s">
        <v>4324</v>
      </c>
      <c r="I853" s="87" t="s">
        <v>4036</v>
      </c>
      <c r="J853" s="87" t="s">
        <v>1595</v>
      </c>
      <c r="K853" s="87" t="s">
        <v>1596</v>
      </c>
      <c r="L853" s="126" t="s">
        <v>19</v>
      </c>
      <c r="M853" s="94">
        <v>44411.958333333336</v>
      </c>
      <c r="N853" s="94">
        <v>44412.041666666664</v>
      </c>
      <c r="O853" s="95" t="str">
        <f>PROPER(TEXT(Table1[[#This Row],[Fecha Inicio]],"mmmm"))</f>
        <v>Agosto</v>
      </c>
      <c r="P853" s="96" t="s">
        <v>1597</v>
      </c>
      <c r="Q853" s="97" t="s">
        <v>4325</v>
      </c>
      <c r="R853" s="76">
        <f t="shared" si="65"/>
        <v>2</v>
      </c>
      <c r="S853" s="76">
        <f t="shared" si="66"/>
        <v>2</v>
      </c>
      <c r="T853" s="76" t="str">
        <f t="shared" si="67"/>
        <v>-</v>
      </c>
      <c r="U853" s="76" t="str">
        <f t="shared" si="68"/>
        <v>-</v>
      </c>
      <c r="V853" s="76" t="str">
        <f t="shared" si="69"/>
        <v>-</v>
      </c>
      <c r="Z853" s="62"/>
    </row>
    <row r="854" spans="1:26" ht="40.15" customHeight="1" x14ac:dyDescent="0.25">
      <c r="A854" s="87">
        <v>31</v>
      </c>
      <c r="B854" s="89" t="s">
        <v>1550</v>
      </c>
      <c r="C854" s="89"/>
      <c r="D854" s="89" t="s">
        <v>1554</v>
      </c>
      <c r="E854" s="89" t="s">
        <v>1555</v>
      </c>
      <c r="F854" s="87" t="s">
        <v>1556</v>
      </c>
      <c r="G854" s="92" t="s">
        <v>1557</v>
      </c>
      <c r="H854" s="93" t="s">
        <v>4326</v>
      </c>
      <c r="I854" s="87" t="s">
        <v>4327</v>
      </c>
      <c r="J854" s="87" t="s">
        <v>2135</v>
      </c>
      <c r="K854" s="87" t="s">
        <v>2935</v>
      </c>
      <c r="L854" s="87" t="s">
        <v>52</v>
      </c>
      <c r="M854" s="94">
        <v>44412.375</v>
      </c>
      <c r="N854" s="94">
        <v>44412.625</v>
      </c>
      <c r="O854" s="95" t="str">
        <f>PROPER(TEXT(Table1[[#This Row],[Fecha Inicio]],"mmmm"))</f>
        <v>Agosto</v>
      </c>
      <c r="P854" s="96" t="s">
        <v>4328</v>
      </c>
      <c r="Q854" s="97" t="s">
        <v>4329</v>
      </c>
      <c r="R854" s="76">
        <f t="shared" si="65"/>
        <v>6</v>
      </c>
      <c r="S854" s="76">
        <f t="shared" si="66"/>
        <v>6</v>
      </c>
      <c r="T854" s="76" t="str">
        <f t="shared" si="67"/>
        <v>-</v>
      </c>
      <c r="U854" s="76" t="str">
        <f t="shared" si="68"/>
        <v>-</v>
      </c>
      <c r="V854" s="76" t="str">
        <f t="shared" si="69"/>
        <v>-</v>
      </c>
      <c r="Z854" s="62"/>
    </row>
    <row r="855" spans="1:26" ht="40.15" customHeight="1" x14ac:dyDescent="0.25">
      <c r="A855" s="87">
        <v>31</v>
      </c>
      <c r="B855" s="89" t="s">
        <v>1550</v>
      </c>
      <c r="C855" s="89"/>
      <c r="D855" s="89" t="s">
        <v>344</v>
      </c>
      <c r="E855" s="89" t="s">
        <v>1616</v>
      </c>
      <c r="F855" s="87" t="s">
        <v>1556</v>
      </c>
      <c r="G855" s="92" t="s">
        <v>1557</v>
      </c>
      <c r="H855" s="93" t="s">
        <v>4330</v>
      </c>
      <c r="I855" s="87" t="s">
        <v>1823</v>
      </c>
      <c r="J855" s="87" t="s">
        <v>1824</v>
      </c>
      <c r="K855" s="87" t="s">
        <v>1825</v>
      </c>
      <c r="L855" s="126" t="s">
        <v>19</v>
      </c>
      <c r="M855" s="94">
        <v>44412.416666666664</v>
      </c>
      <c r="N855" s="94">
        <v>44412.666666666664</v>
      </c>
      <c r="O855" s="95" t="str">
        <f>PROPER(TEXT(Table1[[#This Row],[Fecha Inicio]],"mmmm"))</f>
        <v>Agosto</v>
      </c>
      <c r="P855" s="96" t="s">
        <v>2553</v>
      </c>
      <c r="Q855" s="97" t="s">
        <v>4331</v>
      </c>
      <c r="R855" s="76">
        <f t="shared" si="65"/>
        <v>3</v>
      </c>
      <c r="S855" s="76">
        <f t="shared" si="66"/>
        <v>3</v>
      </c>
      <c r="T855" s="76" t="str">
        <f t="shared" si="67"/>
        <v>-</v>
      </c>
      <c r="U855" s="76" t="str">
        <f t="shared" si="68"/>
        <v>-</v>
      </c>
      <c r="V855" s="76" t="str">
        <f t="shared" si="69"/>
        <v>-</v>
      </c>
      <c r="Z855" s="62"/>
    </row>
    <row r="856" spans="1:26" ht="40.15" customHeight="1" x14ac:dyDescent="0.25">
      <c r="A856" s="87">
        <v>30</v>
      </c>
      <c r="B856" s="89" t="s">
        <v>1550</v>
      </c>
      <c r="C856" s="89" t="s">
        <v>4332</v>
      </c>
      <c r="D856" s="89" t="s">
        <v>1570</v>
      </c>
      <c r="E856" s="89" t="s">
        <v>1571</v>
      </c>
      <c r="F856" s="87" t="s">
        <v>1556</v>
      </c>
      <c r="G856" s="92" t="s">
        <v>1557</v>
      </c>
      <c r="H856" s="93" t="s">
        <v>4333</v>
      </c>
      <c r="I856" s="87" t="s">
        <v>4060</v>
      </c>
      <c r="J856" s="87" t="s">
        <v>1654</v>
      </c>
      <c r="K856" s="87" t="s">
        <v>1575</v>
      </c>
      <c r="L856" s="126" t="s">
        <v>19</v>
      </c>
      <c r="M856" s="94">
        <v>44412.625</v>
      </c>
      <c r="N856" s="94">
        <v>44414.416666666664</v>
      </c>
      <c r="O856" s="95" t="str">
        <f>PROPER(TEXT(Table1[[#This Row],[Fecha Inicio]],"mmmm"))</f>
        <v>Agosto</v>
      </c>
      <c r="P856" s="96" t="s">
        <v>2095</v>
      </c>
      <c r="Q856" s="97" t="s">
        <v>4334</v>
      </c>
      <c r="R856" s="76">
        <f t="shared" si="65"/>
        <v>8</v>
      </c>
      <c r="S856" s="76">
        <f t="shared" si="66"/>
        <v>8</v>
      </c>
      <c r="T856" s="76" t="str">
        <f t="shared" si="67"/>
        <v>-</v>
      </c>
      <c r="U856" s="76" t="str">
        <f t="shared" si="68"/>
        <v>-</v>
      </c>
      <c r="V856" s="76" t="str">
        <f t="shared" si="69"/>
        <v>-</v>
      </c>
      <c r="Z856" s="62"/>
    </row>
    <row r="857" spans="1:26" ht="40.15" customHeight="1" x14ac:dyDescent="0.25">
      <c r="A857" s="87">
        <v>31</v>
      </c>
      <c r="B857" s="89" t="s">
        <v>1550</v>
      </c>
      <c r="C857" s="89"/>
      <c r="D857" s="89" t="s">
        <v>344</v>
      </c>
      <c r="E857" s="89" t="s">
        <v>1616</v>
      </c>
      <c r="F857" s="87" t="s">
        <v>1556</v>
      </c>
      <c r="G857" s="92" t="s">
        <v>1557</v>
      </c>
      <c r="H857" s="93" t="s">
        <v>4335</v>
      </c>
      <c r="I857" s="87" t="s">
        <v>1871</v>
      </c>
      <c r="J857" s="87" t="s">
        <v>1824</v>
      </c>
      <c r="K857" s="87" t="s">
        <v>1825</v>
      </c>
      <c r="L857" s="126" t="s">
        <v>19</v>
      </c>
      <c r="M857" s="94">
        <v>44413.416666666664</v>
      </c>
      <c r="N857" s="94">
        <v>44413.666666666664</v>
      </c>
      <c r="O857" s="95" t="str">
        <f>PROPER(TEXT(Table1[[#This Row],[Fecha Inicio]],"mmmm"))</f>
        <v>Agosto</v>
      </c>
      <c r="P857" s="96" t="s">
        <v>2568</v>
      </c>
      <c r="Q857" s="97" t="s">
        <v>4336</v>
      </c>
      <c r="R857" s="76">
        <f t="shared" si="65"/>
        <v>3</v>
      </c>
      <c r="S857" s="76">
        <f t="shared" si="66"/>
        <v>3</v>
      </c>
      <c r="T857" s="76" t="str">
        <f t="shared" si="67"/>
        <v>-</v>
      </c>
      <c r="U857" s="76" t="str">
        <f t="shared" si="68"/>
        <v>-</v>
      </c>
      <c r="V857" s="76" t="str">
        <f t="shared" si="69"/>
        <v>-</v>
      </c>
      <c r="Z857" s="62"/>
    </row>
    <row r="858" spans="1:26" ht="40.15" customHeight="1" x14ac:dyDescent="0.25">
      <c r="A858" s="87">
        <v>31</v>
      </c>
      <c r="B858" s="89" t="s">
        <v>1550</v>
      </c>
      <c r="C858" s="89" t="s">
        <v>4270</v>
      </c>
      <c r="D858" s="89" t="s">
        <v>1623</v>
      </c>
      <c r="E858" s="89" t="s">
        <v>1624</v>
      </c>
      <c r="F858" s="87" t="s">
        <v>1556</v>
      </c>
      <c r="G858" s="92" t="s">
        <v>1557</v>
      </c>
      <c r="H858" s="93" t="s">
        <v>4337</v>
      </c>
      <c r="I858" s="87" t="s">
        <v>1685</v>
      </c>
      <c r="J858" s="87" t="s">
        <v>1627</v>
      </c>
      <c r="K858" s="87" t="s">
        <v>1575</v>
      </c>
      <c r="L858" s="126" t="s">
        <v>19</v>
      </c>
      <c r="M858" s="94">
        <v>44413.5</v>
      </c>
      <c r="N858" s="94">
        <v>44413.625</v>
      </c>
      <c r="O858" s="95" t="str">
        <f>PROPER(TEXT(Table1[[#This Row],[Fecha Inicio]],"mmmm"))</f>
        <v>Agosto</v>
      </c>
      <c r="P858" s="96" t="s">
        <v>2764</v>
      </c>
      <c r="Q858" s="97" t="s">
        <v>4338</v>
      </c>
      <c r="R858" s="76">
        <f t="shared" si="65"/>
        <v>2</v>
      </c>
      <c r="S858" s="76">
        <f t="shared" si="66"/>
        <v>2</v>
      </c>
      <c r="T858" s="76" t="str">
        <f t="shared" si="67"/>
        <v>-</v>
      </c>
      <c r="U858" s="76" t="str">
        <f t="shared" si="68"/>
        <v>-</v>
      </c>
      <c r="V858" s="76" t="str">
        <f t="shared" si="69"/>
        <v>-</v>
      </c>
      <c r="Z858" s="62"/>
    </row>
    <row r="859" spans="1:26" ht="40.15" customHeight="1" x14ac:dyDescent="0.25">
      <c r="A859" s="87">
        <v>30</v>
      </c>
      <c r="B859" s="89" t="s">
        <v>1550</v>
      </c>
      <c r="C859" s="89"/>
      <c r="D859" s="89" t="s">
        <v>1570</v>
      </c>
      <c r="E859" s="89" t="s">
        <v>1571</v>
      </c>
      <c r="F859" s="87" t="s">
        <v>1556</v>
      </c>
      <c r="G859" s="92" t="s">
        <v>1557</v>
      </c>
      <c r="H859" s="93" t="s">
        <v>4339</v>
      </c>
      <c r="I859" s="87" t="s">
        <v>4054</v>
      </c>
      <c r="J859" s="87" t="s">
        <v>1755</v>
      </c>
      <c r="K859" s="87" t="s">
        <v>4055</v>
      </c>
      <c r="L859" s="126" t="s">
        <v>19</v>
      </c>
      <c r="M859" s="94">
        <v>44413.958333333336</v>
      </c>
      <c r="N859" s="94">
        <v>44414.041666666664</v>
      </c>
      <c r="O859" s="95" t="str">
        <f>PROPER(TEXT(Table1[[#This Row],[Fecha Inicio]],"mmmm"))</f>
        <v>Agosto</v>
      </c>
      <c r="P859" s="96" t="s">
        <v>1756</v>
      </c>
      <c r="Q859" s="97" t="s">
        <v>4340</v>
      </c>
      <c r="R859" s="76">
        <f t="shared" si="65"/>
        <v>1</v>
      </c>
      <c r="S859" s="76">
        <f t="shared" si="66"/>
        <v>1</v>
      </c>
      <c r="T859" s="76" t="str">
        <f t="shared" si="67"/>
        <v>-</v>
      </c>
      <c r="U859" s="76" t="str">
        <f t="shared" si="68"/>
        <v>-</v>
      </c>
      <c r="V859" s="76" t="str">
        <f t="shared" si="69"/>
        <v>-</v>
      </c>
      <c r="Z859" s="62"/>
    </row>
    <row r="860" spans="1:26" ht="40.15" customHeight="1" x14ac:dyDescent="0.25">
      <c r="A860" s="87">
        <v>30</v>
      </c>
      <c r="B860" s="89" t="s">
        <v>1550</v>
      </c>
      <c r="C860" s="89"/>
      <c r="D860" s="89" t="s">
        <v>1570</v>
      </c>
      <c r="E860" s="89" t="s">
        <v>1571</v>
      </c>
      <c r="F860" s="87" t="s">
        <v>1556</v>
      </c>
      <c r="G860" s="92" t="s">
        <v>1557</v>
      </c>
      <c r="H860" s="93" t="s">
        <v>4341</v>
      </c>
      <c r="I860" s="87" t="s">
        <v>4083</v>
      </c>
      <c r="J860" s="87" t="s">
        <v>1708</v>
      </c>
      <c r="K860" s="87" t="s">
        <v>1709</v>
      </c>
      <c r="L860" s="126" t="s">
        <v>19</v>
      </c>
      <c r="M860" s="94">
        <v>44414.958333333336</v>
      </c>
      <c r="N860" s="94">
        <v>44415.083333333336</v>
      </c>
      <c r="O860" s="95" t="str">
        <f>PROPER(TEXT(Table1[[#This Row],[Fecha Inicio]],"mmmm"))</f>
        <v>Agosto</v>
      </c>
      <c r="P860" s="96" t="s">
        <v>1710</v>
      </c>
      <c r="Q860" s="97" t="s">
        <v>4342</v>
      </c>
      <c r="R860" s="76">
        <f t="shared" si="65"/>
        <v>15</v>
      </c>
      <c r="S860" s="76">
        <f t="shared" si="66"/>
        <v>15</v>
      </c>
      <c r="T860" s="76" t="str">
        <f t="shared" si="67"/>
        <v>-</v>
      </c>
      <c r="U860" s="76" t="str">
        <f t="shared" si="68"/>
        <v>-</v>
      </c>
      <c r="V860" s="76" t="str">
        <f t="shared" si="69"/>
        <v>-</v>
      </c>
      <c r="Z860" s="62"/>
    </row>
    <row r="861" spans="1:26" ht="40.15" customHeight="1" x14ac:dyDescent="0.25">
      <c r="A861" s="87">
        <v>30</v>
      </c>
      <c r="B861" s="89" t="s">
        <v>1550</v>
      </c>
      <c r="C861" s="89"/>
      <c r="D861" s="89" t="s">
        <v>1570</v>
      </c>
      <c r="E861" s="89" t="s">
        <v>1571</v>
      </c>
      <c r="F861" s="87" t="s">
        <v>1556</v>
      </c>
      <c r="G861" s="92" t="s">
        <v>1557</v>
      </c>
      <c r="H861" s="93" t="s">
        <v>4343</v>
      </c>
      <c r="I861" s="87" t="s">
        <v>3281</v>
      </c>
      <c r="J861" s="87" t="s">
        <v>1694</v>
      </c>
      <c r="K861" s="87" t="s">
        <v>2240</v>
      </c>
      <c r="L861" s="126" t="s">
        <v>19</v>
      </c>
      <c r="M861" s="94">
        <v>44415.958333333336</v>
      </c>
      <c r="N861" s="94">
        <v>44235.083333333336</v>
      </c>
      <c r="O861" s="95" t="str">
        <f>PROPER(TEXT(Table1[[#This Row],[Fecha Inicio]],"mmmm"))</f>
        <v>Agosto</v>
      </c>
      <c r="P861" s="96" t="s">
        <v>4080</v>
      </c>
      <c r="Q861" s="97" t="s">
        <v>4344</v>
      </c>
      <c r="R861" s="76">
        <f t="shared" si="65"/>
        <v>1</v>
      </c>
      <c r="S861" s="76">
        <f t="shared" si="66"/>
        <v>1</v>
      </c>
      <c r="T861" s="76" t="str">
        <f t="shared" si="67"/>
        <v>-</v>
      </c>
      <c r="U861" s="76" t="str">
        <f t="shared" si="68"/>
        <v>-</v>
      </c>
      <c r="V861" s="76" t="str">
        <f t="shared" si="69"/>
        <v>-</v>
      </c>
      <c r="Z861" s="62"/>
    </row>
    <row r="862" spans="1:26" ht="40.15" customHeight="1" x14ac:dyDescent="0.25">
      <c r="A862" s="87">
        <v>31</v>
      </c>
      <c r="B862" s="89" t="s">
        <v>1550</v>
      </c>
      <c r="C862" s="89"/>
      <c r="D862" s="89" t="s">
        <v>1570</v>
      </c>
      <c r="E862" s="89" t="s">
        <v>1571</v>
      </c>
      <c r="F862" s="87" t="s">
        <v>1556</v>
      </c>
      <c r="G862" s="92" t="s">
        <v>1557</v>
      </c>
      <c r="H862" s="93" t="s">
        <v>4345</v>
      </c>
      <c r="I862" s="87" t="s">
        <v>4086</v>
      </c>
      <c r="J862" s="87" t="s">
        <v>1724</v>
      </c>
      <c r="K862" s="87" t="s">
        <v>1575</v>
      </c>
      <c r="L862" s="126" t="s">
        <v>19</v>
      </c>
      <c r="M862" s="94">
        <v>44416.958333333336</v>
      </c>
      <c r="N862" s="94">
        <v>44416.083333333336</v>
      </c>
      <c r="O862" s="95" t="str">
        <f>PROPER(TEXT(Table1[[#This Row],[Fecha Inicio]],"mmmm"))</f>
        <v>Agosto</v>
      </c>
      <c r="P862" s="96" t="s">
        <v>1725</v>
      </c>
      <c r="Q862" s="97" t="s">
        <v>4346</v>
      </c>
      <c r="R862" s="76">
        <f t="shared" si="65"/>
        <v>13</v>
      </c>
      <c r="S862" s="76">
        <f t="shared" si="66"/>
        <v>13</v>
      </c>
      <c r="T862" s="76" t="str">
        <f t="shared" si="67"/>
        <v>-</v>
      </c>
      <c r="U862" s="76" t="str">
        <f t="shared" si="68"/>
        <v>-</v>
      </c>
      <c r="V862" s="76" t="str">
        <f t="shared" si="69"/>
        <v>-</v>
      </c>
      <c r="Z862" s="62"/>
    </row>
    <row r="863" spans="1:26" ht="40.15" customHeight="1" x14ac:dyDescent="0.25">
      <c r="A863" s="87">
        <v>31</v>
      </c>
      <c r="B863" s="89" t="s">
        <v>1550</v>
      </c>
      <c r="C863" s="89"/>
      <c r="D863" s="90" t="s">
        <v>326</v>
      </c>
      <c r="E863" s="90" t="s">
        <v>1742</v>
      </c>
      <c r="F863" s="87" t="s">
        <v>1556</v>
      </c>
      <c r="G863" s="92" t="s">
        <v>1557</v>
      </c>
      <c r="H863" s="93" t="s">
        <v>4347</v>
      </c>
      <c r="I863" s="87" t="s">
        <v>4348</v>
      </c>
      <c r="J863" s="87" t="s">
        <v>4349</v>
      </c>
      <c r="K863" s="87" t="s">
        <v>2935</v>
      </c>
      <c r="L863" s="87" t="s">
        <v>52</v>
      </c>
      <c r="M863" s="94">
        <v>44417.375</v>
      </c>
      <c r="N863" s="94">
        <v>44417.625</v>
      </c>
      <c r="O863" s="95" t="str">
        <f>PROPER(TEXT(Table1[[#This Row],[Fecha Inicio]],"mmmm"))</f>
        <v>Agosto</v>
      </c>
      <c r="P863" s="96" t="s">
        <v>4350</v>
      </c>
      <c r="Q863" s="97" t="s">
        <v>4351</v>
      </c>
      <c r="R863" s="76">
        <f t="shared" si="65"/>
        <v>6</v>
      </c>
      <c r="S863" s="76">
        <f t="shared" si="66"/>
        <v>6</v>
      </c>
      <c r="T863" s="76" t="str">
        <f t="shared" si="67"/>
        <v>-</v>
      </c>
      <c r="U863" s="76" t="str">
        <f t="shared" si="68"/>
        <v>-</v>
      </c>
      <c r="V863" s="76" t="str">
        <f t="shared" si="69"/>
        <v>-</v>
      </c>
      <c r="Z863" s="62"/>
    </row>
    <row r="864" spans="1:26" ht="40.15" customHeight="1" x14ac:dyDescent="0.25">
      <c r="A864" s="87">
        <v>31</v>
      </c>
      <c r="B864" s="89" t="s">
        <v>1550</v>
      </c>
      <c r="C864" s="89"/>
      <c r="D864" s="89" t="s">
        <v>1570</v>
      </c>
      <c r="E864" s="89" t="s">
        <v>1571</v>
      </c>
      <c r="F864" s="87" t="s">
        <v>1556</v>
      </c>
      <c r="G864" s="92" t="s">
        <v>1557</v>
      </c>
      <c r="H864" s="93" t="s">
        <v>4352</v>
      </c>
      <c r="I864" s="87" t="s">
        <v>3232</v>
      </c>
      <c r="J864" s="87" t="s">
        <v>1790</v>
      </c>
      <c r="K864" s="87" t="s">
        <v>1791</v>
      </c>
      <c r="L864" s="126" t="s">
        <v>19</v>
      </c>
      <c r="M864" s="94">
        <v>44417.958333333336</v>
      </c>
      <c r="N864" s="94">
        <v>44418.125</v>
      </c>
      <c r="O864" s="95" t="str">
        <f>PROPER(TEXT(Table1[[#This Row],[Fecha Inicio]],"mmmm"))</f>
        <v>Agosto</v>
      </c>
      <c r="P864" s="96" t="s">
        <v>1792</v>
      </c>
      <c r="Q864" s="97" t="s">
        <v>4353</v>
      </c>
      <c r="R864" s="76">
        <f t="shared" si="65"/>
        <v>113</v>
      </c>
      <c r="S864" s="76">
        <f t="shared" si="66"/>
        <v>113</v>
      </c>
      <c r="T864" s="76" t="str">
        <f t="shared" si="67"/>
        <v>-</v>
      </c>
      <c r="U864" s="76" t="str">
        <f t="shared" si="68"/>
        <v>-</v>
      </c>
      <c r="V864" s="76" t="str">
        <f t="shared" si="69"/>
        <v>-</v>
      </c>
      <c r="Z864" s="62"/>
    </row>
    <row r="865" spans="1:26" ht="40.15" customHeight="1" x14ac:dyDescent="0.25">
      <c r="A865" s="87">
        <v>31</v>
      </c>
      <c r="B865" s="89" t="s">
        <v>1550</v>
      </c>
      <c r="C865" s="99" t="s">
        <v>4137</v>
      </c>
      <c r="D865" s="89" t="s">
        <v>326</v>
      </c>
      <c r="E865" s="89" t="s">
        <v>1631</v>
      </c>
      <c r="F865" s="87" t="s">
        <v>1556</v>
      </c>
      <c r="G865" s="92" t="s">
        <v>1557</v>
      </c>
      <c r="H865" s="93" t="s">
        <v>4354</v>
      </c>
      <c r="I865" s="87" t="s">
        <v>1633</v>
      </c>
      <c r="J865" s="87" t="s">
        <v>1634</v>
      </c>
      <c r="K865" s="87" t="s">
        <v>1635</v>
      </c>
      <c r="L865" s="126" t="s">
        <v>19</v>
      </c>
      <c r="M865" s="94">
        <v>44418.895833333336</v>
      </c>
      <c r="N865" s="94">
        <v>44418.979166666664</v>
      </c>
      <c r="O865" s="95" t="str">
        <f>PROPER(TEXT(Table1[[#This Row],[Fecha Inicio]],"mmmm"))</f>
        <v>Agosto</v>
      </c>
      <c r="P865" s="96" t="s">
        <v>1636</v>
      </c>
      <c r="Q865" s="97" t="s">
        <v>4355</v>
      </c>
      <c r="R865" s="76">
        <f t="shared" si="65"/>
        <v>6</v>
      </c>
      <c r="S865" s="76">
        <f t="shared" si="66"/>
        <v>6</v>
      </c>
      <c r="T865" s="76" t="str">
        <f t="shared" si="67"/>
        <v>-</v>
      </c>
      <c r="U865" s="76" t="str">
        <f t="shared" si="68"/>
        <v>-</v>
      </c>
      <c r="V865" s="76" t="str">
        <f t="shared" si="69"/>
        <v>-</v>
      </c>
      <c r="Z865" s="62"/>
    </row>
    <row r="866" spans="1:26" ht="40.15" customHeight="1" x14ac:dyDescent="0.25">
      <c r="A866" s="87">
        <v>31</v>
      </c>
      <c r="B866" s="89" t="s">
        <v>1550</v>
      </c>
      <c r="C866" s="89"/>
      <c r="D866" s="89" t="s">
        <v>344</v>
      </c>
      <c r="E866" s="89" t="s">
        <v>1616</v>
      </c>
      <c r="F866" s="87" t="s">
        <v>1556</v>
      </c>
      <c r="G866" s="92" t="s">
        <v>1557</v>
      </c>
      <c r="H866" s="93" t="s">
        <v>4357</v>
      </c>
      <c r="I866" s="87" t="s">
        <v>1765</v>
      </c>
      <c r="J866" s="87" t="s">
        <v>1766</v>
      </c>
      <c r="K866" s="87" t="s">
        <v>1575</v>
      </c>
      <c r="L866" s="126" t="s">
        <v>19</v>
      </c>
      <c r="M866" s="94">
        <v>44419.958333333336</v>
      </c>
      <c r="N866" s="94">
        <v>44420.125</v>
      </c>
      <c r="O866" s="95" t="str">
        <f>PROPER(TEXT(Table1[[#This Row],[Fecha Inicio]],"mmmm"))</f>
        <v>Agosto</v>
      </c>
      <c r="P866" s="96" t="s">
        <v>3794</v>
      </c>
      <c r="Q866" s="97" t="s">
        <v>4358</v>
      </c>
      <c r="R866" s="76">
        <f t="shared" si="65"/>
        <v>3</v>
      </c>
      <c r="S866" s="76">
        <f t="shared" si="66"/>
        <v>3</v>
      </c>
      <c r="T866" s="76" t="str">
        <f t="shared" si="67"/>
        <v>-</v>
      </c>
      <c r="U866" s="76" t="str">
        <f t="shared" si="68"/>
        <v>-</v>
      </c>
      <c r="V866" s="76" t="str">
        <f t="shared" si="69"/>
        <v>-</v>
      </c>
      <c r="Z866" s="62"/>
    </row>
    <row r="867" spans="1:26" ht="40.15" customHeight="1" x14ac:dyDescent="0.25">
      <c r="A867" s="87">
        <v>31</v>
      </c>
      <c r="B867" s="89" t="s">
        <v>1550</v>
      </c>
      <c r="C867" s="99" t="s">
        <v>4137</v>
      </c>
      <c r="D867" s="89" t="s">
        <v>326</v>
      </c>
      <c r="E867" s="89" t="s">
        <v>1631</v>
      </c>
      <c r="F867" s="87" t="s">
        <v>1556</v>
      </c>
      <c r="G867" s="92" t="s">
        <v>1557</v>
      </c>
      <c r="H867" s="93" t="s">
        <v>4359</v>
      </c>
      <c r="I867" s="87" t="s">
        <v>1689</v>
      </c>
      <c r="J867" s="87" t="s">
        <v>1634</v>
      </c>
      <c r="K867" s="87" t="s">
        <v>1635</v>
      </c>
      <c r="L867" s="126" t="s">
        <v>19</v>
      </c>
      <c r="M867" s="94">
        <v>44420.916666666664</v>
      </c>
      <c r="N867" s="94">
        <v>44421.166666666664</v>
      </c>
      <c r="O867" s="95" t="str">
        <f>PROPER(TEXT(Table1[[#This Row],[Fecha Inicio]],"mmmm"))</f>
        <v>Agosto</v>
      </c>
      <c r="P867" s="96" t="s">
        <v>3378</v>
      </c>
      <c r="Q867" s="97" t="s">
        <v>4360</v>
      </c>
      <c r="R867" s="76">
        <f t="shared" si="65"/>
        <v>20</v>
      </c>
      <c r="S867" s="76">
        <f t="shared" si="66"/>
        <v>20</v>
      </c>
      <c r="T867" s="76" t="str">
        <f t="shared" si="67"/>
        <v>-</v>
      </c>
      <c r="U867" s="76" t="str">
        <f t="shared" si="68"/>
        <v>-</v>
      </c>
      <c r="V867" s="76" t="str">
        <f t="shared" si="69"/>
        <v>-</v>
      </c>
      <c r="Z867" s="62"/>
    </row>
    <row r="868" spans="1:26" ht="40.15" customHeight="1" x14ac:dyDescent="0.25">
      <c r="A868" s="87">
        <v>31</v>
      </c>
      <c r="B868" s="89" t="s">
        <v>1550</v>
      </c>
      <c r="C868" s="89"/>
      <c r="D868" s="89" t="s">
        <v>344</v>
      </c>
      <c r="E868" s="89" t="s">
        <v>1616</v>
      </c>
      <c r="F868" s="87" t="s">
        <v>1556</v>
      </c>
      <c r="G868" s="92" t="s">
        <v>1557</v>
      </c>
      <c r="H868" s="93" t="s">
        <v>4361</v>
      </c>
      <c r="I868" s="87" t="s">
        <v>1806</v>
      </c>
      <c r="J868" s="87" t="s">
        <v>1766</v>
      </c>
      <c r="K868" s="87" t="s">
        <v>1575</v>
      </c>
      <c r="L868" s="126" t="s">
        <v>19</v>
      </c>
      <c r="M868" s="94">
        <v>44420.958333333336</v>
      </c>
      <c r="N868" s="94">
        <v>44421.125</v>
      </c>
      <c r="O868" s="95" t="str">
        <f>PROPER(TEXT(Table1[[#This Row],[Fecha Inicio]],"mmmm"))</f>
        <v>Agosto</v>
      </c>
      <c r="P868" s="96" t="s">
        <v>3835</v>
      </c>
      <c r="Q868" s="97" t="s">
        <v>4362</v>
      </c>
      <c r="R868" s="76">
        <f t="shared" si="65"/>
        <v>3</v>
      </c>
      <c r="S868" s="76">
        <f t="shared" si="66"/>
        <v>3</v>
      </c>
      <c r="T868" s="76" t="str">
        <f t="shared" si="67"/>
        <v>-</v>
      </c>
      <c r="U868" s="76" t="str">
        <f t="shared" si="68"/>
        <v>-</v>
      </c>
      <c r="V868" s="76" t="str">
        <f t="shared" si="69"/>
        <v>-</v>
      </c>
      <c r="Z868" s="62"/>
    </row>
    <row r="869" spans="1:26" ht="40.15" customHeight="1" x14ac:dyDescent="0.25">
      <c r="A869" s="105">
        <v>32</v>
      </c>
      <c r="B869" s="106" t="s">
        <v>4231</v>
      </c>
      <c r="C869" s="89"/>
      <c r="D869" s="113" t="s">
        <v>326</v>
      </c>
      <c r="E869" s="113" t="s">
        <v>1631</v>
      </c>
      <c r="F869" s="105" t="s">
        <v>1556</v>
      </c>
      <c r="G869" s="92" t="s">
        <v>1557</v>
      </c>
      <c r="H869" s="107" t="s">
        <v>6861</v>
      </c>
      <c r="I869" s="105" t="s">
        <v>6857</v>
      </c>
      <c r="J869" s="105" t="s">
        <v>3812</v>
      </c>
      <c r="K869" s="105" t="s">
        <v>1575</v>
      </c>
      <c r="L869" s="105" t="s">
        <v>6856</v>
      </c>
      <c r="M869" s="108">
        <v>44421.333333333336</v>
      </c>
      <c r="N869" s="108">
        <v>44421.458333333336</v>
      </c>
      <c r="O869" s="109" t="str">
        <f>PROPER(TEXT(Table1[[#This Row],[Fecha Inicio]],"mmmm"))</f>
        <v>Agosto</v>
      </c>
      <c r="P869" s="105" t="s">
        <v>6858</v>
      </c>
      <c r="Q869" s="111" t="s">
        <v>6863</v>
      </c>
      <c r="R869" s="76">
        <f t="shared" si="65"/>
        <v>3</v>
      </c>
      <c r="S869" s="76" t="str">
        <f t="shared" si="66"/>
        <v>-</v>
      </c>
      <c r="T869" s="76" t="str">
        <f t="shared" si="67"/>
        <v>-</v>
      </c>
      <c r="U869" s="76" t="str">
        <f t="shared" si="68"/>
        <v>-</v>
      </c>
      <c r="V869" s="76" t="str">
        <f t="shared" si="69"/>
        <v>-</v>
      </c>
      <c r="Z869" s="62"/>
    </row>
    <row r="870" spans="1:26" ht="40.15" customHeight="1" x14ac:dyDescent="0.25">
      <c r="A870" s="87">
        <v>31</v>
      </c>
      <c r="B870" s="89" t="s">
        <v>1550</v>
      </c>
      <c r="C870" s="89" t="s">
        <v>4250</v>
      </c>
      <c r="D870" s="89" t="s">
        <v>326</v>
      </c>
      <c r="E870" s="89" t="s">
        <v>1631</v>
      </c>
      <c r="F870" s="87" t="s">
        <v>1556</v>
      </c>
      <c r="G870" s="92" t="s">
        <v>1557</v>
      </c>
      <c r="H870" s="93" t="s">
        <v>4363</v>
      </c>
      <c r="I870" s="87" t="s">
        <v>1718</v>
      </c>
      <c r="J870" s="87" t="s">
        <v>1719</v>
      </c>
      <c r="K870" s="87" t="s">
        <v>1575</v>
      </c>
      <c r="L870" s="126" t="s">
        <v>19</v>
      </c>
      <c r="M870" s="94">
        <v>44423</v>
      </c>
      <c r="N870" s="94">
        <v>44423.25</v>
      </c>
      <c r="O870" s="95" t="str">
        <f>PROPER(TEXT(Table1[[#This Row],[Fecha Inicio]],"mmmm"))</f>
        <v>Agosto</v>
      </c>
      <c r="P870" s="96" t="s">
        <v>4139</v>
      </c>
      <c r="Q870" s="97" t="s">
        <v>4364</v>
      </c>
      <c r="R870" s="76">
        <f t="shared" si="65"/>
        <v>17</v>
      </c>
      <c r="S870" s="76">
        <f t="shared" si="66"/>
        <v>17</v>
      </c>
      <c r="T870" s="76" t="str">
        <f t="shared" si="67"/>
        <v>-</v>
      </c>
      <c r="U870" s="76" t="str">
        <f t="shared" si="68"/>
        <v>-</v>
      </c>
      <c r="V870" s="76" t="str">
        <f t="shared" si="69"/>
        <v>-</v>
      </c>
      <c r="Z870" s="62"/>
    </row>
    <row r="871" spans="1:26" ht="40.15" customHeight="1" x14ac:dyDescent="0.25">
      <c r="A871" s="105">
        <v>32</v>
      </c>
      <c r="B871" s="106" t="s">
        <v>1550</v>
      </c>
      <c r="C871" s="89" t="s">
        <v>4250</v>
      </c>
      <c r="D871" s="106" t="s">
        <v>344</v>
      </c>
      <c r="E871" s="106" t="s">
        <v>1616</v>
      </c>
      <c r="F871" s="105" t="s">
        <v>1556</v>
      </c>
      <c r="G871" s="92" t="s">
        <v>1557</v>
      </c>
      <c r="H871" s="107" t="s">
        <v>6849</v>
      </c>
      <c r="I871" s="89" t="s">
        <v>6846</v>
      </c>
      <c r="J871" s="105" t="s">
        <v>2157</v>
      </c>
      <c r="K871" s="87" t="s">
        <v>2158</v>
      </c>
      <c r="L871" s="126" t="s">
        <v>19</v>
      </c>
      <c r="M871" s="108">
        <v>44423.958333333336</v>
      </c>
      <c r="N871" s="108">
        <v>44424.125</v>
      </c>
      <c r="O871" s="109" t="str">
        <f>PROPER(TEXT(Table1[[#This Row],[Fecha Inicio]],"mmmm"))</f>
        <v>Agosto</v>
      </c>
      <c r="P871" s="110" t="s">
        <v>3872</v>
      </c>
      <c r="Q871" s="97" t="s">
        <v>6848</v>
      </c>
      <c r="R871" s="76">
        <f t="shared" si="65"/>
        <v>6</v>
      </c>
      <c r="S871" s="76">
        <f t="shared" si="66"/>
        <v>6</v>
      </c>
      <c r="T871" s="76" t="str">
        <f t="shared" si="67"/>
        <v>-</v>
      </c>
      <c r="U871" s="76" t="str">
        <f t="shared" si="68"/>
        <v>-</v>
      </c>
      <c r="V871" s="76" t="str">
        <f t="shared" si="69"/>
        <v>-</v>
      </c>
      <c r="Z871" s="62"/>
    </row>
    <row r="872" spans="1:26" ht="40.15" customHeight="1" x14ac:dyDescent="0.25">
      <c r="A872" s="87">
        <v>31</v>
      </c>
      <c r="B872" s="89" t="s">
        <v>1550</v>
      </c>
      <c r="C872" s="89" t="s">
        <v>4250</v>
      </c>
      <c r="D872" s="89" t="s">
        <v>326</v>
      </c>
      <c r="E872" s="89" t="s">
        <v>1631</v>
      </c>
      <c r="F872" s="87" t="s">
        <v>1556</v>
      </c>
      <c r="G872" s="92" t="s">
        <v>1557</v>
      </c>
      <c r="H872" s="93" t="s">
        <v>4365</v>
      </c>
      <c r="I872" s="87" t="s">
        <v>3388</v>
      </c>
      <c r="J872" s="87" t="s">
        <v>2152</v>
      </c>
      <c r="K872" s="87" t="s">
        <v>1575</v>
      </c>
      <c r="L872" s="126" t="s">
        <v>19</v>
      </c>
      <c r="M872" s="94">
        <v>44424.041666666664</v>
      </c>
      <c r="N872" s="94">
        <v>44424.125</v>
      </c>
      <c r="O872" s="95" t="str">
        <f>PROPER(TEXT(Table1[[#This Row],[Fecha Inicio]],"mmmm"))</f>
        <v>Agosto</v>
      </c>
      <c r="P872" s="96" t="s">
        <v>3389</v>
      </c>
      <c r="Q872" s="97" t="s">
        <v>4366</v>
      </c>
      <c r="R872" s="76">
        <f t="shared" si="65"/>
        <v>1</v>
      </c>
      <c r="S872" s="76">
        <f t="shared" si="66"/>
        <v>1</v>
      </c>
      <c r="T872" s="76" t="str">
        <f t="shared" si="67"/>
        <v>-</v>
      </c>
      <c r="U872" s="76" t="str">
        <f t="shared" si="68"/>
        <v>-</v>
      </c>
      <c r="V872" s="76" t="str">
        <f t="shared" si="69"/>
        <v>-</v>
      </c>
      <c r="Z872" s="62"/>
    </row>
    <row r="873" spans="1:26" ht="40.15" customHeight="1" x14ac:dyDescent="0.25">
      <c r="A873" s="105">
        <v>32</v>
      </c>
      <c r="B873" s="106" t="s">
        <v>1550</v>
      </c>
      <c r="C873" s="106" t="s">
        <v>4250</v>
      </c>
      <c r="D873" s="106" t="s">
        <v>344</v>
      </c>
      <c r="E873" s="106" t="s">
        <v>1616</v>
      </c>
      <c r="F873" s="105" t="s">
        <v>1556</v>
      </c>
      <c r="G873" s="92" t="s">
        <v>1557</v>
      </c>
      <c r="H873" s="107" t="s">
        <v>4367</v>
      </c>
      <c r="I873" s="87" t="s">
        <v>1649</v>
      </c>
      <c r="J873" s="105" t="s">
        <v>1560</v>
      </c>
      <c r="K873" s="105" t="s">
        <v>1561</v>
      </c>
      <c r="L873" s="126" t="s">
        <v>19</v>
      </c>
      <c r="M873" s="94">
        <v>44424.416666666664</v>
      </c>
      <c r="N873" s="94">
        <v>44424.708333333336</v>
      </c>
      <c r="O873" s="95" t="str">
        <f>PROPER(TEXT(Table1[[#This Row],[Fecha Inicio]],"mmmm"))</f>
        <v>Agosto</v>
      </c>
      <c r="P873" s="110" t="s">
        <v>1650</v>
      </c>
      <c r="Q873" s="111" t="s">
        <v>4368</v>
      </c>
      <c r="R873" s="76">
        <f t="shared" si="65"/>
        <v>1</v>
      </c>
      <c r="S873" s="76">
        <f t="shared" si="66"/>
        <v>1</v>
      </c>
      <c r="T873" s="76" t="str">
        <f t="shared" si="67"/>
        <v>-</v>
      </c>
      <c r="U873" s="76" t="str">
        <f t="shared" si="68"/>
        <v>-</v>
      </c>
      <c r="V873" s="76" t="str">
        <f t="shared" si="69"/>
        <v>-</v>
      </c>
      <c r="Z873" s="62"/>
    </row>
    <row r="874" spans="1:26" ht="40.15" customHeight="1" x14ac:dyDescent="0.25">
      <c r="A874" s="87">
        <v>31</v>
      </c>
      <c r="B874" s="89" t="s">
        <v>1550</v>
      </c>
      <c r="C874" s="89" t="s">
        <v>4250</v>
      </c>
      <c r="D874" s="90" t="s">
        <v>326</v>
      </c>
      <c r="E874" s="90" t="s">
        <v>1631</v>
      </c>
      <c r="F874" s="91" t="s">
        <v>1556</v>
      </c>
      <c r="G874" s="92" t="s">
        <v>1557</v>
      </c>
      <c r="H874" s="93" t="s">
        <v>4369</v>
      </c>
      <c r="I874" s="87" t="s">
        <v>1750</v>
      </c>
      <c r="J874" s="87" t="s">
        <v>1560</v>
      </c>
      <c r="K874" s="87" t="s">
        <v>1561</v>
      </c>
      <c r="L874" s="126" t="s">
        <v>19</v>
      </c>
      <c r="M874" s="94">
        <v>44424.791666666664</v>
      </c>
      <c r="N874" s="94">
        <v>44425.083333333336</v>
      </c>
      <c r="O874" s="95" t="str">
        <f>PROPER(TEXT(Table1[[#This Row],[Fecha Inicio]],"mmmm"))</f>
        <v>Agosto</v>
      </c>
      <c r="P874" s="96" t="s">
        <v>4155</v>
      </c>
      <c r="Q874" s="97" t="s">
        <v>4370</v>
      </c>
      <c r="R874" s="76">
        <f t="shared" si="65"/>
        <v>4</v>
      </c>
      <c r="S874" s="76">
        <f t="shared" si="66"/>
        <v>4</v>
      </c>
      <c r="T874" s="76" t="str">
        <f t="shared" si="67"/>
        <v>-</v>
      </c>
      <c r="U874" s="76" t="str">
        <f t="shared" si="68"/>
        <v>-</v>
      </c>
      <c r="V874" s="76" t="str">
        <f t="shared" si="69"/>
        <v>-</v>
      </c>
      <c r="Z874" s="62"/>
    </row>
    <row r="875" spans="1:26" ht="40.15" customHeight="1" x14ac:dyDescent="0.25">
      <c r="A875" s="87">
        <v>31</v>
      </c>
      <c r="B875" s="89" t="s">
        <v>1550</v>
      </c>
      <c r="C875" s="89" t="s">
        <v>4250</v>
      </c>
      <c r="D875" s="89" t="s">
        <v>326</v>
      </c>
      <c r="E875" s="89" t="s">
        <v>1631</v>
      </c>
      <c r="F875" s="87" t="s">
        <v>1556</v>
      </c>
      <c r="G875" s="92" t="s">
        <v>1557</v>
      </c>
      <c r="H875" s="93" t="s">
        <v>4371</v>
      </c>
      <c r="I875" s="87" t="s">
        <v>1759</v>
      </c>
      <c r="J875" s="87" t="s">
        <v>1760</v>
      </c>
      <c r="K875" s="87" t="s">
        <v>1761</v>
      </c>
      <c r="L875" s="126" t="s">
        <v>19</v>
      </c>
      <c r="M875" s="94">
        <v>44424.916666666664</v>
      </c>
      <c r="N875" s="94">
        <v>44425.041666666664</v>
      </c>
      <c r="O875" s="95" t="str">
        <f>PROPER(TEXT(Table1[[#This Row],[Fecha Inicio]],"mmmm"))</f>
        <v>Agosto</v>
      </c>
      <c r="P875" s="96" t="s">
        <v>1762</v>
      </c>
      <c r="Q875" s="97" t="s">
        <v>4372</v>
      </c>
      <c r="R875" s="76">
        <f t="shared" si="65"/>
        <v>9</v>
      </c>
      <c r="S875" s="76">
        <f t="shared" si="66"/>
        <v>9</v>
      </c>
      <c r="T875" s="76" t="str">
        <f t="shared" si="67"/>
        <v>-</v>
      </c>
      <c r="U875" s="76" t="str">
        <f t="shared" si="68"/>
        <v>-</v>
      </c>
      <c r="V875" s="76" t="str">
        <f t="shared" si="69"/>
        <v>-</v>
      </c>
      <c r="Z875" s="62"/>
    </row>
    <row r="876" spans="1:26" ht="40.15" customHeight="1" x14ac:dyDescent="0.25">
      <c r="A876" s="87">
        <v>31</v>
      </c>
      <c r="B876" s="89" t="s">
        <v>1550</v>
      </c>
      <c r="C876" s="89" t="s">
        <v>4250</v>
      </c>
      <c r="D876" s="90" t="s">
        <v>326</v>
      </c>
      <c r="E876" s="90" t="s">
        <v>1631</v>
      </c>
      <c r="F876" s="91" t="s">
        <v>1556</v>
      </c>
      <c r="G876" s="92" t="s">
        <v>1557</v>
      </c>
      <c r="H876" s="93" t="s">
        <v>4373</v>
      </c>
      <c r="I876" s="87" t="s">
        <v>1728</v>
      </c>
      <c r="J876" s="87" t="s">
        <v>1729</v>
      </c>
      <c r="K876" s="87" t="s">
        <v>1575</v>
      </c>
      <c r="L876" s="126" t="s">
        <v>19</v>
      </c>
      <c r="M876" s="94">
        <v>44425.25</v>
      </c>
      <c r="N876" s="94">
        <v>44425.333333333336</v>
      </c>
      <c r="O876" s="95" t="str">
        <f>PROPER(TEXT(Table1[[#This Row],[Fecha Inicio]],"mmmm"))</f>
        <v>Agosto</v>
      </c>
      <c r="P876" s="96" t="s">
        <v>1730</v>
      </c>
      <c r="Q876" s="97" t="s">
        <v>4374</v>
      </c>
      <c r="R876" s="76">
        <f t="shared" si="65"/>
        <v>5</v>
      </c>
      <c r="S876" s="76">
        <f t="shared" si="66"/>
        <v>5</v>
      </c>
      <c r="T876" s="76" t="str">
        <f t="shared" si="67"/>
        <v>-</v>
      </c>
      <c r="U876" s="76" t="str">
        <f t="shared" si="68"/>
        <v>-</v>
      </c>
      <c r="V876" s="76" t="str">
        <f t="shared" si="69"/>
        <v>-</v>
      </c>
      <c r="Z876" s="62"/>
    </row>
    <row r="877" spans="1:26" ht="40.15" customHeight="1" x14ac:dyDescent="0.25">
      <c r="A877" s="87">
        <v>31</v>
      </c>
      <c r="B877" s="89" t="s">
        <v>1550</v>
      </c>
      <c r="C877" s="89" t="s">
        <v>6874</v>
      </c>
      <c r="D877" s="90" t="s">
        <v>326</v>
      </c>
      <c r="E877" s="90" t="s">
        <v>1631</v>
      </c>
      <c r="F877" s="91" t="s">
        <v>1556</v>
      </c>
      <c r="G877" s="92" t="s">
        <v>1557</v>
      </c>
      <c r="H877" s="93" t="s">
        <v>4375</v>
      </c>
      <c r="I877" s="87" t="s">
        <v>3744</v>
      </c>
      <c r="J877" s="87" t="s">
        <v>2135</v>
      </c>
      <c r="K877" s="87" t="s">
        <v>2935</v>
      </c>
      <c r="L877" s="126" t="s">
        <v>19</v>
      </c>
      <c r="M877" s="94">
        <v>44425.291666666664</v>
      </c>
      <c r="N877" s="94">
        <v>44425.354166666664</v>
      </c>
      <c r="O877" s="95" t="str">
        <f>PROPER(TEXT(Table1[[#This Row],[Fecha Inicio]],"mmmm"))</f>
        <v>Agosto</v>
      </c>
      <c r="P877" s="96" t="s">
        <v>3413</v>
      </c>
      <c r="Q877" s="97" t="s">
        <v>4376</v>
      </c>
      <c r="R877" s="76">
        <f t="shared" si="65"/>
        <v>2</v>
      </c>
      <c r="S877" s="76">
        <f t="shared" si="66"/>
        <v>2</v>
      </c>
      <c r="T877" s="76" t="str">
        <f t="shared" si="67"/>
        <v>-</v>
      </c>
      <c r="U877" s="76" t="str">
        <f t="shared" si="68"/>
        <v>-</v>
      </c>
      <c r="V877" s="76" t="str">
        <f t="shared" si="69"/>
        <v>-</v>
      </c>
      <c r="Z877" s="62"/>
    </row>
    <row r="878" spans="1:26" ht="40.15" customHeight="1" x14ac:dyDescent="0.25">
      <c r="A878" s="105">
        <v>32</v>
      </c>
      <c r="B878" s="106" t="s">
        <v>1550</v>
      </c>
      <c r="C878" s="106" t="s">
        <v>4250</v>
      </c>
      <c r="D878" s="89" t="s">
        <v>344</v>
      </c>
      <c r="E878" s="89" t="s">
        <v>1616</v>
      </c>
      <c r="F878" s="87" t="s">
        <v>1556</v>
      </c>
      <c r="G878" s="92" t="s">
        <v>1557</v>
      </c>
      <c r="H878" s="93" t="s">
        <v>4377</v>
      </c>
      <c r="I878" s="87" t="s">
        <v>1681</v>
      </c>
      <c r="J878" s="87" t="s">
        <v>1560</v>
      </c>
      <c r="K878" s="87" t="s">
        <v>1561</v>
      </c>
      <c r="L878" s="126" t="s">
        <v>19</v>
      </c>
      <c r="M878" s="94">
        <v>44425.416666666664</v>
      </c>
      <c r="N878" s="94">
        <v>44425.708333333336</v>
      </c>
      <c r="O878" s="95" t="str">
        <f>PROPER(TEXT(Table1[[#This Row],[Fecha Inicio]],"mmmm"))</f>
        <v>Agosto</v>
      </c>
      <c r="P878" s="96" t="s">
        <v>1682</v>
      </c>
      <c r="Q878" s="111" t="s">
        <v>4378</v>
      </c>
      <c r="R878" s="76">
        <f t="shared" si="65"/>
        <v>1</v>
      </c>
      <c r="S878" s="76">
        <f t="shared" si="66"/>
        <v>1</v>
      </c>
      <c r="T878" s="76" t="str">
        <f t="shared" si="67"/>
        <v>-</v>
      </c>
      <c r="U878" s="76" t="str">
        <f t="shared" si="68"/>
        <v>-</v>
      </c>
      <c r="V878" s="76" t="str">
        <f t="shared" si="69"/>
        <v>-</v>
      </c>
      <c r="Z878" s="62"/>
    </row>
    <row r="879" spans="1:26" ht="40.15" customHeight="1" x14ac:dyDescent="0.25">
      <c r="A879" s="87">
        <v>31</v>
      </c>
      <c r="B879" s="89" t="s">
        <v>1550</v>
      </c>
      <c r="C879" s="89" t="s">
        <v>4250</v>
      </c>
      <c r="D879" s="90" t="s">
        <v>326</v>
      </c>
      <c r="E879" s="90" t="s">
        <v>1631</v>
      </c>
      <c r="F879" s="91" t="s">
        <v>1556</v>
      </c>
      <c r="G879" s="92" t="s">
        <v>1557</v>
      </c>
      <c r="H879" s="93" t="s">
        <v>4379</v>
      </c>
      <c r="I879" s="87" t="s">
        <v>1775</v>
      </c>
      <c r="J879" s="87" t="s">
        <v>1776</v>
      </c>
      <c r="K879" s="87" t="s">
        <v>1575</v>
      </c>
      <c r="L879" s="126" t="s">
        <v>19</v>
      </c>
      <c r="M879" s="94">
        <v>44425.666666666664</v>
      </c>
      <c r="N879" s="94">
        <v>44425.75</v>
      </c>
      <c r="O879" s="95" t="str">
        <f>PROPER(TEXT(Table1[[#This Row],[Fecha Inicio]],"mmmm"))</f>
        <v>Agosto</v>
      </c>
      <c r="P879" s="96" t="s">
        <v>1777</v>
      </c>
      <c r="Q879" s="97" t="s">
        <v>4380</v>
      </c>
      <c r="R879" s="76">
        <f t="shared" si="65"/>
        <v>2</v>
      </c>
      <c r="S879" s="76">
        <f t="shared" si="66"/>
        <v>2</v>
      </c>
      <c r="T879" s="76" t="str">
        <f t="shared" si="67"/>
        <v>-</v>
      </c>
      <c r="U879" s="76" t="str">
        <f t="shared" si="68"/>
        <v>-</v>
      </c>
      <c r="V879" s="76" t="str">
        <f t="shared" si="69"/>
        <v>-</v>
      </c>
      <c r="Z879" s="62"/>
    </row>
    <row r="880" spans="1:26" ht="40.15" customHeight="1" x14ac:dyDescent="0.25">
      <c r="A880" s="87">
        <v>31</v>
      </c>
      <c r="B880" s="89" t="s">
        <v>1550</v>
      </c>
      <c r="C880" s="89" t="s">
        <v>4250</v>
      </c>
      <c r="D880" s="90" t="s">
        <v>326</v>
      </c>
      <c r="E880" s="90" t="s">
        <v>1631</v>
      </c>
      <c r="F880" s="91" t="s">
        <v>1556</v>
      </c>
      <c r="G880" s="92" t="s">
        <v>1557</v>
      </c>
      <c r="H880" s="93" t="s">
        <v>4381</v>
      </c>
      <c r="I880" s="87" t="s">
        <v>2306</v>
      </c>
      <c r="J880" s="87" t="s">
        <v>1786</v>
      </c>
      <c r="K880" s="87" t="s">
        <v>2307</v>
      </c>
      <c r="L880" s="126" t="s">
        <v>19</v>
      </c>
      <c r="M880" s="94">
        <v>44425.833333333336</v>
      </c>
      <c r="N880" s="94">
        <v>44425.875</v>
      </c>
      <c r="O880" s="95" t="str">
        <f>PROPER(TEXT(Table1[[#This Row],[Fecha Inicio]],"mmmm"))</f>
        <v>Agosto</v>
      </c>
      <c r="P880" s="96" t="s">
        <v>250</v>
      </c>
      <c r="Q880" s="97" t="s">
        <v>4382</v>
      </c>
      <c r="R880" s="76">
        <f t="shared" si="65"/>
        <v>1</v>
      </c>
      <c r="S880" s="76">
        <f t="shared" si="66"/>
        <v>1</v>
      </c>
      <c r="T880" s="76" t="str">
        <f t="shared" si="67"/>
        <v>-</v>
      </c>
      <c r="U880" s="76" t="str">
        <f t="shared" si="68"/>
        <v>-</v>
      </c>
      <c r="V880" s="76" t="str">
        <f t="shared" si="69"/>
        <v>-</v>
      </c>
      <c r="Z880" s="62"/>
    </row>
    <row r="881" spans="1:26" ht="40.15" customHeight="1" x14ac:dyDescent="0.25">
      <c r="A881" s="105">
        <v>32</v>
      </c>
      <c r="B881" s="106" t="s">
        <v>1550</v>
      </c>
      <c r="C881" s="89" t="s">
        <v>4250</v>
      </c>
      <c r="D881" s="89" t="s">
        <v>344</v>
      </c>
      <c r="E881" s="89" t="s">
        <v>1616</v>
      </c>
      <c r="F881" s="87" t="s">
        <v>1556</v>
      </c>
      <c r="G881" s="92" t="s">
        <v>1557</v>
      </c>
      <c r="H881" s="93" t="s">
        <v>6854</v>
      </c>
      <c r="I881" s="89" t="s">
        <v>6847</v>
      </c>
      <c r="J881" s="87" t="s">
        <v>2157</v>
      </c>
      <c r="K881" s="87" t="s">
        <v>2158</v>
      </c>
      <c r="L881" s="126" t="s">
        <v>19</v>
      </c>
      <c r="M881" s="94">
        <v>44425.958333333336</v>
      </c>
      <c r="N881" s="94">
        <v>44426.125</v>
      </c>
      <c r="O881" s="109" t="str">
        <f>PROPER(TEXT(Table1[[#This Row],[Fecha Inicio]],"mmmm"))</f>
        <v>Agosto</v>
      </c>
      <c r="P881" s="96" t="s">
        <v>3903</v>
      </c>
      <c r="Q881" s="97" t="s">
        <v>6855</v>
      </c>
      <c r="R881" s="76">
        <f t="shared" si="65"/>
        <v>6</v>
      </c>
      <c r="S881" s="76">
        <f t="shared" si="66"/>
        <v>6</v>
      </c>
      <c r="T881" s="76" t="str">
        <f t="shared" si="67"/>
        <v>-</v>
      </c>
      <c r="U881" s="76" t="str">
        <f t="shared" si="68"/>
        <v>-</v>
      </c>
      <c r="V881" s="76" t="str">
        <f t="shared" si="69"/>
        <v>-</v>
      </c>
      <c r="Z881" s="62"/>
    </row>
    <row r="882" spans="1:26" ht="40.15" customHeight="1" x14ac:dyDescent="0.25">
      <c r="A882" s="87">
        <v>31</v>
      </c>
      <c r="B882" s="89" t="s">
        <v>1550</v>
      </c>
      <c r="C882" s="89" t="s">
        <v>4250</v>
      </c>
      <c r="D882" s="90" t="s">
        <v>326</v>
      </c>
      <c r="E882" s="90" t="s">
        <v>1631</v>
      </c>
      <c r="F882" s="91" t="s">
        <v>1556</v>
      </c>
      <c r="G882" s="92" t="s">
        <v>1557</v>
      </c>
      <c r="H882" s="93" t="s">
        <v>4383</v>
      </c>
      <c r="I882" s="87" t="s">
        <v>3744</v>
      </c>
      <c r="J882" s="87" t="s">
        <v>2135</v>
      </c>
      <c r="K882" s="87" t="s">
        <v>2935</v>
      </c>
      <c r="L882" s="126" t="s">
        <v>19</v>
      </c>
      <c r="M882" s="94">
        <v>44425.958333333336</v>
      </c>
      <c r="N882" s="94">
        <v>44426.25</v>
      </c>
      <c r="O882" s="95" t="str">
        <f>PROPER(TEXT(Table1[[#This Row],[Fecha Inicio]],"mmmm"))</f>
        <v>Agosto</v>
      </c>
      <c r="P882" s="96" t="s">
        <v>4384</v>
      </c>
      <c r="Q882" s="97" t="s">
        <v>4385</v>
      </c>
      <c r="R882" s="76">
        <f t="shared" si="65"/>
        <v>10</v>
      </c>
      <c r="S882" s="76">
        <f t="shared" si="66"/>
        <v>10</v>
      </c>
      <c r="T882" s="76" t="str">
        <f t="shared" si="67"/>
        <v>-</v>
      </c>
      <c r="U882" s="76" t="str">
        <f t="shared" si="68"/>
        <v>-</v>
      </c>
      <c r="V882" s="76" t="str">
        <f t="shared" si="69"/>
        <v>-</v>
      </c>
      <c r="Z882" s="62"/>
    </row>
    <row r="883" spans="1:26" ht="40.15" customHeight="1" x14ac:dyDescent="0.25">
      <c r="A883" s="87">
        <v>31</v>
      </c>
      <c r="B883" s="89" t="s">
        <v>1550</v>
      </c>
      <c r="C883" s="89" t="s">
        <v>4250</v>
      </c>
      <c r="D883" s="89" t="s">
        <v>326</v>
      </c>
      <c r="E883" s="89" t="s">
        <v>1631</v>
      </c>
      <c r="F883" s="87" t="s">
        <v>1556</v>
      </c>
      <c r="G883" s="92" t="s">
        <v>1557</v>
      </c>
      <c r="H883" s="93" t="s">
        <v>4386</v>
      </c>
      <c r="I883" s="87" t="s">
        <v>1759</v>
      </c>
      <c r="J883" s="87" t="s">
        <v>1760</v>
      </c>
      <c r="K883" s="87" t="s">
        <v>1761</v>
      </c>
      <c r="L883" s="126" t="s">
        <v>19</v>
      </c>
      <c r="M883" s="94">
        <v>44426.041666666664</v>
      </c>
      <c r="N883" s="94">
        <v>44426.166666666664</v>
      </c>
      <c r="O883" s="95" t="str">
        <f>PROPER(TEXT(Table1[[#This Row],[Fecha Inicio]],"mmmm"))</f>
        <v>Agosto</v>
      </c>
      <c r="P883" s="96" t="s">
        <v>3766</v>
      </c>
      <c r="Q883" s="97" t="s">
        <v>4387</v>
      </c>
      <c r="R883" s="76">
        <f t="shared" si="65"/>
        <v>7</v>
      </c>
      <c r="S883" s="76">
        <f t="shared" si="66"/>
        <v>7</v>
      </c>
      <c r="T883" s="76" t="str">
        <f t="shared" si="67"/>
        <v>-</v>
      </c>
      <c r="U883" s="76" t="str">
        <f t="shared" si="68"/>
        <v>-</v>
      </c>
      <c r="V883" s="76" t="str">
        <f t="shared" si="69"/>
        <v>-</v>
      </c>
      <c r="Z883" s="62"/>
    </row>
    <row r="884" spans="1:26" ht="40.15" customHeight="1" x14ac:dyDescent="0.25">
      <c r="A884" s="105">
        <v>32</v>
      </c>
      <c r="B884" s="106" t="s">
        <v>1550</v>
      </c>
      <c r="C884" s="89" t="s">
        <v>4137</v>
      </c>
      <c r="D884" s="90" t="s">
        <v>326</v>
      </c>
      <c r="E884" s="90" t="s">
        <v>1631</v>
      </c>
      <c r="F884" s="91" t="s">
        <v>1556</v>
      </c>
      <c r="G884" s="92" t="s">
        <v>1557</v>
      </c>
      <c r="H884" s="93" t="s">
        <v>4388</v>
      </c>
      <c r="I884" s="87" t="s">
        <v>1813</v>
      </c>
      <c r="J884" s="91" t="s">
        <v>1814</v>
      </c>
      <c r="K884" s="87" t="s">
        <v>1761</v>
      </c>
      <c r="L884" s="126" t="s">
        <v>19</v>
      </c>
      <c r="M884" s="94">
        <v>44426.291666666664</v>
      </c>
      <c r="N884" s="94">
        <v>44426.333333333336</v>
      </c>
      <c r="O884" s="109" t="str">
        <f>PROPER(TEXT(Table1[[#This Row],[Fecha Inicio]],"mmmm"))</f>
        <v>Agosto</v>
      </c>
      <c r="P884" s="96" t="s">
        <v>109</v>
      </c>
      <c r="Q884" s="97" t="s">
        <v>4389</v>
      </c>
      <c r="R884" s="76">
        <f t="shared" si="65"/>
        <v>1</v>
      </c>
      <c r="S884" s="76">
        <f t="shared" si="66"/>
        <v>1</v>
      </c>
      <c r="T884" s="76" t="str">
        <f t="shared" si="67"/>
        <v>-</v>
      </c>
      <c r="U884" s="76" t="str">
        <f t="shared" si="68"/>
        <v>-</v>
      </c>
      <c r="V884" s="76" t="str">
        <f t="shared" si="69"/>
        <v>-</v>
      </c>
      <c r="Z884" s="62"/>
    </row>
    <row r="885" spans="1:26" ht="40.15" customHeight="1" x14ac:dyDescent="0.25">
      <c r="A885" s="105">
        <v>32</v>
      </c>
      <c r="B885" s="89" t="s">
        <v>1550</v>
      </c>
      <c r="C885" s="89" t="s">
        <v>4250</v>
      </c>
      <c r="D885" s="89" t="s">
        <v>344</v>
      </c>
      <c r="E885" s="89" t="s">
        <v>1799</v>
      </c>
      <c r="F885" s="87" t="s">
        <v>1556</v>
      </c>
      <c r="G885" s="92" t="s">
        <v>1557</v>
      </c>
      <c r="H885" s="93" t="s">
        <v>4390</v>
      </c>
      <c r="I885" s="87" t="s">
        <v>1829</v>
      </c>
      <c r="J885" s="87" t="s">
        <v>1560</v>
      </c>
      <c r="K885" s="87" t="s">
        <v>1561</v>
      </c>
      <c r="L885" s="126" t="s">
        <v>19</v>
      </c>
      <c r="M885" s="94">
        <v>44426.666666666664</v>
      </c>
      <c r="N885" s="94">
        <v>44426.833333333336</v>
      </c>
      <c r="O885" s="95" t="str">
        <f>PROPER(TEXT(Table1[[#This Row],[Fecha Inicio]],"mmmm"))</f>
        <v>Agosto</v>
      </c>
      <c r="P885" s="96" t="s">
        <v>2440</v>
      </c>
      <c r="Q885" s="97" t="s">
        <v>4391</v>
      </c>
      <c r="R885" s="76">
        <f t="shared" si="65"/>
        <v>1</v>
      </c>
      <c r="S885" s="76">
        <f t="shared" si="66"/>
        <v>1</v>
      </c>
      <c r="T885" s="76" t="str">
        <f t="shared" si="67"/>
        <v>-</v>
      </c>
      <c r="U885" s="76" t="str">
        <f t="shared" si="68"/>
        <v>-</v>
      </c>
      <c r="V885" s="76" t="str">
        <f t="shared" si="69"/>
        <v>-</v>
      </c>
      <c r="Z885" s="62"/>
    </row>
    <row r="886" spans="1:26" ht="40.15" customHeight="1" x14ac:dyDescent="0.25">
      <c r="A886" s="87">
        <v>32</v>
      </c>
      <c r="B886" s="89" t="s">
        <v>1550</v>
      </c>
      <c r="C886" s="89" t="s">
        <v>4250</v>
      </c>
      <c r="D886" s="90" t="s">
        <v>326</v>
      </c>
      <c r="E886" s="90" t="s">
        <v>1631</v>
      </c>
      <c r="F886" s="91" t="s">
        <v>1556</v>
      </c>
      <c r="G886" s="92" t="s">
        <v>1557</v>
      </c>
      <c r="H886" s="93" t="s">
        <v>4392</v>
      </c>
      <c r="I886" s="87" t="s">
        <v>3744</v>
      </c>
      <c r="J886" s="87" t="s">
        <v>2135</v>
      </c>
      <c r="K886" s="87" t="s">
        <v>2935</v>
      </c>
      <c r="L886" s="126" t="s">
        <v>19</v>
      </c>
      <c r="M886" s="94">
        <v>44426.708333333336</v>
      </c>
      <c r="N886" s="94">
        <v>44426.791666666664</v>
      </c>
      <c r="O886" s="95" t="str">
        <f>PROPER(TEXT(Table1[[#This Row],[Fecha Inicio]],"mmmm"))</f>
        <v>Agosto</v>
      </c>
      <c r="P886" s="96" t="s">
        <v>3445</v>
      </c>
      <c r="Q886" s="97" t="s">
        <v>4393</v>
      </c>
      <c r="R886" s="76">
        <f t="shared" si="65"/>
        <v>2</v>
      </c>
      <c r="S886" s="76">
        <f t="shared" si="66"/>
        <v>2</v>
      </c>
      <c r="T886" s="76" t="str">
        <f t="shared" si="67"/>
        <v>-</v>
      </c>
      <c r="U886" s="76" t="str">
        <f t="shared" si="68"/>
        <v>-</v>
      </c>
      <c r="V886" s="76" t="str">
        <f t="shared" si="69"/>
        <v>-</v>
      </c>
      <c r="Z886" s="62"/>
    </row>
    <row r="887" spans="1:26" ht="40.15" customHeight="1" x14ac:dyDescent="0.25">
      <c r="A887" s="105">
        <v>32</v>
      </c>
      <c r="B887" s="89" t="s">
        <v>1550</v>
      </c>
      <c r="C887" s="89" t="s">
        <v>4250</v>
      </c>
      <c r="D887" s="90" t="s">
        <v>326</v>
      </c>
      <c r="E887" s="90" t="s">
        <v>1631</v>
      </c>
      <c r="F887" s="91" t="s">
        <v>1556</v>
      </c>
      <c r="G887" s="92" t="s">
        <v>1557</v>
      </c>
      <c r="H887" s="93" t="s">
        <v>4394</v>
      </c>
      <c r="I887" s="91" t="s">
        <v>1780</v>
      </c>
      <c r="J887" s="87" t="s">
        <v>1781</v>
      </c>
      <c r="K887" s="91" t="s">
        <v>1575</v>
      </c>
      <c r="L887" s="126" t="s">
        <v>19</v>
      </c>
      <c r="M887" s="94">
        <v>44426.708333333336</v>
      </c>
      <c r="N887" s="94">
        <v>44426.791666666664</v>
      </c>
      <c r="O887" s="95" t="str">
        <f>PROPER(TEXT(Table1[[#This Row],[Fecha Inicio]],"mmmm"))</f>
        <v>Agosto</v>
      </c>
      <c r="P887" s="96" t="s">
        <v>1782</v>
      </c>
      <c r="Q887" s="97" t="s">
        <v>4395</v>
      </c>
      <c r="R887" s="76">
        <f t="shared" si="65"/>
        <v>7</v>
      </c>
      <c r="S887" s="76">
        <f t="shared" si="66"/>
        <v>7</v>
      </c>
      <c r="T887" s="76" t="str">
        <f t="shared" si="67"/>
        <v>-</v>
      </c>
      <c r="U887" s="76" t="str">
        <f t="shared" si="68"/>
        <v>-</v>
      </c>
      <c r="V887" s="76" t="str">
        <f t="shared" si="69"/>
        <v>-</v>
      </c>
      <c r="Z887" s="62"/>
    </row>
    <row r="888" spans="1:26" ht="40.15" customHeight="1" x14ac:dyDescent="0.25">
      <c r="A888" s="105">
        <v>32</v>
      </c>
      <c r="B888" s="89" t="s">
        <v>1550</v>
      </c>
      <c r="C888" s="89" t="s">
        <v>4250</v>
      </c>
      <c r="D888" s="90" t="s">
        <v>326</v>
      </c>
      <c r="E888" s="90" t="s">
        <v>1631</v>
      </c>
      <c r="F888" s="91" t="s">
        <v>1556</v>
      </c>
      <c r="G888" s="92" t="s">
        <v>1557</v>
      </c>
      <c r="H888" s="93" t="s">
        <v>4396</v>
      </c>
      <c r="I888" s="87" t="s">
        <v>1833</v>
      </c>
      <c r="J888" s="87" t="s">
        <v>1834</v>
      </c>
      <c r="K888" s="87" t="s">
        <v>1596</v>
      </c>
      <c r="L888" s="126" t="s">
        <v>19</v>
      </c>
      <c r="M888" s="94">
        <v>44426.916666666664</v>
      </c>
      <c r="N888" s="94">
        <v>44426.958333333336</v>
      </c>
      <c r="O888" s="95" t="str">
        <f>PROPER(TEXT(Table1[[#This Row],[Fecha Inicio]],"mmmm"))</f>
        <v>Agosto</v>
      </c>
      <c r="P888" s="96" t="s">
        <v>1835</v>
      </c>
      <c r="Q888" s="97" t="s">
        <v>4397</v>
      </c>
      <c r="R888" s="76">
        <f t="shared" si="65"/>
        <v>2</v>
      </c>
      <c r="S888" s="76">
        <f t="shared" si="66"/>
        <v>2</v>
      </c>
      <c r="T888" s="76" t="str">
        <f t="shared" si="67"/>
        <v>-</v>
      </c>
      <c r="U888" s="76" t="str">
        <f t="shared" si="68"/>
        <v>-</v>
      </c>
      <c r="V888" s="76" t="str">
        <f t="shared" si="69"/>
        <v>-</v>
      </c>
      <c r="Z888" s="62"/>
    </row>
    <row r="889" spans="1:26" ht="40.15" customHeight="1" x14ac:dyDescent="0.25">
      <c r="A889" s="105">
        <v>32</v>
      </c>
      <c r="B889" s="89" t="s">
        <v>4231</v>
      </c>
      <c r="C889" s="89" t="s">
        <v>6922</v>
      </c>
      <c r="D889" s="90" t="s">
        <v>326</v>
      </c>
      <c r="E889" s="90" t="s">
        <v>1631</v>
      </c>
      <c r="F889" s="91" t="s">
        <v>1556</v>
      </c>
      <c r="G889" s="92" t="s">
        <v>1557</v>
      </c>
      <c r="H889" s="93" t="s">
        <v>4398</v>
      </c>
      <c r="I889" s="87" t="s">
        <v>1846</v>
      </c>
      <c r="J889" s="87" t="s">
        <v>1560</v>
      </c>
      <c r="K889" s="87" t="s">
        <v>1561</v>
      </c>
      <c r="L889" s="126" t="s">
        <v>19</v>
      </c>
      <c r="M889" s="94">
        <v>44426.958333333336</v>
      </c>
      <c r="N889" s="94">
        <v>44427.291666666664</v>
      </c>
      <c r="O889" s="95" t="str">
        <f>PROPER(TEXT(Table1[[#This Row],[Fecha Inicio]],"mmmm"))</f>
        <v>Agosto</v>
      </c>
      <c r="P889" s="96" t="s">
        <v>1847</v>
      </c>
      <c r="Q889" s="97" t="s">
        <v>4399</v>
      </c>
      <c r="R889" s="76">
        <f t="shared" si="65"/>
        <v>14</v>
      </c>
      <c r="S889" s="76" t="str">
        <f t="shared" si="66"/>
        <v>-</v>
      </c>
      <c r="T889" s="76" t="str">
        <f t="shared" si="67"/>
        <v>-</v>
      </c>
      <c r="U889" s="76" t="str">
        <f t="shared" si="68"/>
        <v>-</v>
      </c>
      <c r="V889" s="76" t="str">
        <f t="shared" si="69"/>
        <v>-</v>
      </c>
      <c r="Z889" s="62"/>
    </row>
    <row r="890" spans="1:26" ht="40.15" customHeight="1" x14ac:dyDescent="0.25">
      <c r="A890" s="87">
        <v>32</v>
      </c>
      <c r="B890" s="89" t="s">
        <v>1550</v>
      </c>
      <c r="C890" s="89" t="s">
        <v>4400</v>
      </c>
      <c r="D890" s="90" t="s">
        <v>326</v>
      </c>
      <c r="E890" s="90" t="s">
        <v>1631</v>
      </c>
      <c r="F890" s="91" t="s">
        <v>1556</v>
      </c>
      <c r="G890" s="92" t="s">
        <v>1557</v>
      </c>
      <c r="H890" s="93" t="s">
        <v>4401</v>
      </c>
      <c r="I890" s="87" t="s">
        <v>1850</v>
      </c>
      <c r="J890" s="87" t="s">
        <v>1771</v>
      </c>
      <c r="K890" s="87" t="s">
        <v>1575</v>
      </c>
      <c r="L890" s="126" t="s">
        <v>19</v>
      </c>
      <c r="M890" s="94">
        <v>44427.291666666664</v>
      </c>
      <c r="N890" s="94">
        <v>44427.333333333336</v>
      </c>
      <c r="O890" s="95" t="str">
        <f>PROPER(TEXT(Table1[[#This Row],[Fecha Inicio]],"mmmm"))</f>
        <v>Agosto</v>
      </c>
      <c r="P890" s="96" t="s">
        <v>1772</v>
      </c>
      <c r="Q890" s="97" t="s">
        <v>4402</v>
      </c>
      <c r="R890" s="76">
        <f t="shared" si="65"/>
        <v>2</v>
      </c>
      <c r="S890" s="76">
        <f t="shared" si="66"/>
        <v>2</v>
      </c>
      <c r="T890" s="76" t="str">
        <f t="shared" si="67"/>
        <v>-</v>
      </c>
      <c r="U890" s="76" t="str">
        <f t="shared" si="68"/>
        <v>-</v>
      </c>
      <c r="V890" s="76" t="str">
        <f t="shared" si="69"/>
        <v>-</v>
      </c>
      <c r="Z890" s="62"/>
    </row>
    <row r="891" spans="1:26" ht="40.15" customHeight="1" x14ac:dyDescent="0.25">
      <c r="A891" s="105">
        <v>33</v>
      </c>
      <c r="B891" s="89" t="s">
        <v>1550</v>
      </c>
      <c r="C891" s="89" t="s">
        <v>4270</v>
      </c>
      <c r="D891" s="106" t="s">
        <v>326</v>
      </c>
      <c r="E891" s="106" t="s">
        <v>1631</v>
      </c>
      <c r="F891" s="105" t="s">
        <v>1556</v>
      </c>
      <c r="G891" s="92" t="s">
        <v>1557</v>
      </c>
      <c r="H891" s="93" t="s">
        <v>6882</v>
      </c>
      <c r="I891" s="87" t="s">
        <v>6875</v>
      </c>
      <c r="J891" s="105" t="s">
        <v>4108</v>
      </c>
      <c r="K891" s="105" t="s">
        <v>3703</v>
      </c>
      <c r="L891" s="126" t="s">
        <v>19</v>
      </c>
      <c r="M891" s="108">
        <v>44427.666666666664</v>
      </c>
      <c r="N891" s="108">
        <v>44428.041666666664</v>
      </c>
      <c r="O891" s="109" t="str">
        <f>PROPER(TEXT(Table1[[#This Row],[Fecha Inicio]],"mmmm"))</f>
        <v>Agosto</v>
      </c>
      <c r="P891" s="110" t="s">
        <v>6877</v>
      </c>
      <c r="Q891" s="111" t="s">
        <v>6881</v>
      </c>
      <c r="R891" s="76">
        <f t="shared" si="65"/>
        <v>1</v>
      </c>
      <c r="S891" s="76">
        <f t="shared" si="66"/>
        <v>1</v>
      </c>
      <c r="T891" s="76" t="str">
        <f t="shared" si="67"/>
        <v>-</v>
      </c>
      <c r="U891" s="76" t="str">
        <f t="shared" si="68"/>
        <v>-</v>
      </c>
      <c r="V891" s="76" t="str">
        <f t="shared" si="69"/>
        <v>-</v>
      </c>
      <c r="Z891" s="62"/>
    </row>
    <row r="892" spans="1:26" ht="40.15" customHeight="1" x14ac:dyDescent="0.25">
      <c r="A892" s="105">
        <v>32</v>
      </c>
      <c r="B892" s="89" t="s">
        <v>1550</v>
      </c>
      <c r="C892" s="89" t="s">
        <v>4250</v>
      </c>
      <c r="D892" s="89" t="s">
        <v>326</v>
      </c>
      <c r="E892" s="89" t="s">
        <v>1631</v>
      </c>
      <c r="F892" s="87" t="s">
        <v>1556</v>
      </c>
      <c r="G892" s="92" t="s">
        <v>1557</v>
      </c>
      <c r="H892" s="93" t="s">
        <v>4403</v>
      </c>
      <c r="I892" s="87" t="s">
        <v>1759</v>
      </c>
      <c r="J892" s="87" t="s">
        <v>1760</v>
      </c>
      <c r="K892" s="87" t="s">
        <v>1761</v>
      </c>
      <c r="L892" s="126" t="s">
        <v>19</v>
      </c>
      <c r="M892" s="94">
        <v>44427.75</v>
      </c>
      <c r="N892" s="94">
        <v>44427.875</v>
      </c>
      <c r="O892" s="109" t="str">
        <f>PROPER(TEXT(Table1[[#This Row],[Fecha Inicio]],"mmmm"))</f>
        <v>Agosto</v>
      </c>
      <c r="P892" s="110" t="s">
        <v>2793</v>
      </c>
      <c r="Q892" s="97" t="s">
        <v>4404</v>
      </c>
      <c r="R892" s="76">
        <f t="shared" si="65"/>
        <v>4</v>
      </c>
      <c r="S892" s="76">
        <f t="shared" si="66"/>
        <v>4</v>
      </c>
      <c r="T892" s="76" t="str">
        <f t="shared" si="67"/>
        <v>-</v>
      </c>
      <c r="U892" s="76" t="str">
        <f t="shared" si="68"/>
        <v>-</v>
      </c>
      <c r="V892" s="76" t="str">
        <f t="shared" si="69"/>
        <v>-</v>
      </c>
      <c r="Z892" s="62"/>
    </row>
    <row r="893" spans="1:26" ht="40.15" customHeight="1" x14ac:dyDescent="0.25">
      <c r="A893" s="105">
        <v>32</v>
      </c>
      <c r="B893" s="89" t="s">
        <v>1550</v>
      </c>
      <c r="C893" s="106" t="s">
        <v>4250</v>
      </c>
      <c r="D893" s="113" t="s">
        <v>326</v>
      </c>
      <c r="E893" s="113" t="s">
        <v>1631</v>
      </c>
      <c r="F893" s="105" t="s">
        <v>1556</v>
      </c>
      <c r="G893" s="92" t="s">
        <v>1557</v>
      </c>
      <c r="H893" s="107" t="s">
        <v>4405</v>
      </c>
      <c r="I893" s="105" t="s">
        <v>1880</v>
      </c>
      <c r="J893" s="105" t="s">
        <v>1881</v>
      </c>
      <c r="K893" s="105" t="s">
        <v>1575</v>
      </c>
      <c r="L893" s="126" t="s">
        <v>19</v>
      </c>
      <c r="M893" s="108">
        <v>44427.84375</v>
      </c>
      <c r="N893" s="108">
        <v>44427.927083333336</v>
      </c>
      <c r="O893" s="109" t="str">
        <f>PROPER(TEXT(Table1[[#This Row],[Fecha Inicio]],"mmmm"))</f>
        <v>Agosto</v>
      </c>
      <c r="P893" s="110" t="s">
        <v>1882</v>
      </c>
      <c r="Q893" s="111" t="s">
        <v>4406</v>
      </c>
      <c r="R893" s="76">
        <f t="shared" si="65"/>
        <v>6</v>
      </c>
      <c r="S893" s="76">
        <f t="shared" si="66"/>
        <v>6</v>
      </c>
      <c r="T893" s="76" t="str">
        <f t="shared" si="67"/>
        <v>-</v>
      </c>
      <c r="U893" s="76" t="str">
        <f t="shared" si="68"/>
        <v>-</v>
      </c>
      <c r="V893" s="76" t="str">
        <f t="shared" si="69"/>
        <v>-</v>
      </c>
      <c r="Z893" s="62"/>
    </row>
    <row r="894" spans="1:26" ht="40.15" customHeight="1" x14ac:dyDescent="0.25">
      <c r="A894" s="87">
        <v>32</v>
      </c>
      <c r="B894" s="89" t="s">
        <v>1550</v>
      </c>
      <c r="C894" s="89" t="s">
        <v>4250</v>
      </c>
      <c r="D894" s="90" t="s">
        <v>326</v>
      </c>
      <c r="E894" s="90" t="s">
        <v>1631</v>
      </c>
      <c r="F894" s="91" t="s">
        <v>1556</v>
      </c>
      <c r="G894" s="92" t="s">
        <v>1557</v>
      </c>
      <c r="H894" s="93" t="s">
        <v>4407</v>
      </c>
      <c r="I894" s="87" t="s">
        <v>1889</v>
      </c>
      <c r="J894" s="87" t="s">
        <v>1890</v>
      </c>
      <c r="K894" s="87" t="s">
        <v>1575</v>
      </c>
      <c r="L894" s="126" t="s">
        <v>19</v>
      </c>
      <c r="M894" s="94">
        <v>44427.916666666664</v>
      </c>
      <c r="N894" s="94">
        <v>44427.958333333336</v>
      </c>
      <c r="O894" s="95" t="str">
        <f>PROPER(TEXT(Table1[[#This Row],[Fecha Inicio]],"mmmm"))</f>
        <v>Agosto</v>
      </c>
      <c r="P894" s="96" t="s">
        <v>164</v>
      </c>
      <c r="Q894" s="97" t="s">
        <v>4408</v>
      </c>
      <c r="R894" s="76">
        <f t="shared" si="65"/>
        <v>1</v>
      </c>
      <c r="S894" s="76">
        <f t="shared" si="66"/>
        <v>1</v>
      </c>
      <c r="T894" s="76" t="str">
        <f t="shared" si="67"/>
        <v>-</v>
      </c>
      <c r="U894" s="76" t="str">
        <f t="shared" si="68"/>
        <v>-</v>
      </c>
      <c r="V894" s="76" t="str">
        <f t="shared" si="69"/>
        <v>-</v>
      </c>
      <c r="Z894" s="62"/>
    </row>
    <row r="895" spans="1:26" ht="40.15" customHeight="1" x14ac:dyDescent="0.25">
      <c r="A895" s="105">
        <v>32</v>
      </c>
      <c r="B895" s="89" t="s">
        <v>1550</v>
      </c>
      <c r="C895" s="89" t="s">
        <v>4250</v>
      </c>
      <c r="D895" s="90" t="s">
        <v>326</v>
      </c>
      <c r="E895" s="90" t="s">
        <v>1631</v>
      </c>
      <c r="F895" s="91" t="s">
        <v>1556</v>
      </c>
      <c r="G895" s="92" t="s">
        <v>1557</v>
      </c>
      <c r="H895" s="93" t="s">
        <v>4409</v>
      </c>
      <c r="I895" s="87" t="s">
        <v>3744</v>
      </c>
      <c r="J895" s="87" t="s">
        <v>2135</v>
      </c>
      <c r="K895" s="87" t="s">
        <v>2935</v>
      </c>
      <c r="L895" s="126" t="s">
        <v>19</v>
      </c>
      <c r="M895" s="94">
        <v>44427.958333333336</v>
      </c>
      <c r="N895" s="94">
        <v>44428.25</v>
      </c>
      <c r="O895" s="95" t="str">
        <f>PROPER(TEXT(Table1[[#This Row],[Fecha Inicio]],"mmmm"))</f>
        <v>Agosto</v>
      </c>
      <c r="P895" s="96" t="s">
        <v>3832</v>
      </c>
      <c r="Q895" s="97" t="s">
        <v>4410</v>
      </c>
      <c r="R895" s="76">
        <f t="shared" si="65"/>
        <v>13</v>
      </c>
      <c r="S895" s="76">
        <f t="shared" si="66"/>
        <v>13</v>
      </c>
      <c r="T895" s="76" t="str">
        <f t="shared" si="67"/>
        <v>-</v>
      </c>
      <c r="U895" s="76" t="str">
        <f t="shared" si="68"/>
        <v>-</v>
      </c>
      <c r="V895" s="76" t="str">
        <f t="shared" si="69"/>
        <v>-</v>
      </c>
      <c r="Z895" s="62"/>
    </row>
    <row r="896" spans="1:26" ht="40.15" customHeight="1" x14ac:dyDescent="0.25">
      <c r="A896" s="87">
        <v>32</v>
      </c>
      <c r="B896" s="89" t="s">
        <v>1550</v>
      </c>
      <c r="C896" s="89" t="s">
        <v>4250</v>
      </c>
      <c r="D896" s="90" t="s">
        <v>326</v>
      </c>
      <c r="E896" s="90" t="s">
        <v>1631</v>
      </c>
      <c r="F896" s="91" t="s">
        <v>1556</v>
      </c>
      <c r="G896" s="92" t="s">
        <v>1557</v>
      </c>
      <c r="H896" s="93" t="s">
        <v>4411</v>
      </c>
      <c r="I896" s="87" t="s">
        <v>1906</v>
      </c>
      <c r="J896" s="87" t="s">
        <v>1907</v>
      </c>
      <c r="K896" s="87" t="s">
        <v>1575</v>
      </c>
      <c r="L896" s="126" t="s">
        <v>19</v>
      </c>
      <c r="M896" s="94">
        <v>44428.791666666664</v>
      </c>
      <c r="N896" s="94">
        <v>44428.875</v>
      </c>
      <c r="O896" s="95" t="str">
        <f>PROPER(TEXT(Table1[[#This Row],[Fecha Inicio]],"mmmm"))</f>
        <v>Agosto</v>
      </c>
      <c r="P896" s="96" t="s">
        <v>171</v>
      </c>
      <c r="Q896" s="97" t="s">
        <v>4412</v>
      </c>
      <c r="R896" s="76">
        <f t="shared" si="65"/>
        <v>1</v>
      </c>
      <c r="S896" s="76">
        <f t="shared" si="66"/>
        <v>1</v>
      </c>
      <c r="T896" s="76" t="str">
        <f t="shared" si="67"/>
        <v>-</v>
      </c>
      <c r="U896" s="76" t="str">
        <f t="shared" si="68"/>
        <v>-</v>
      </c>
      <c r="V896" s="76" t="str">
        <f t="shared" si="69"/>
        <v>-</v>
      </c>
      <c r="Z896" s="62"/>
    </row>
    <row r="897" spans="1:26" ht="40.15" customHeight="1" x14ac:dyDescent="0.25">
      <c r="A897" s="87">
        <v>32</v>
      </c>
      <c r="B897" s="89" t="s">
        <v>1550</v>
      </c>
      <c r="C897" s="89" t="s">
        <v>4250</v>
      </c>
      <c r="D897" s="89" t="s">
        <v>326</v>
      </c>
      <c r="E897" s="89" t="s">
        <v>1631</v>
      </c>
      <c r="F897" s="87" t="s">
        <v>1556</v>
      </c>
      <c r="G897" s="92" t="s">
        <v>1557</v>
      </c>
      <c r="H897" s="93" t="s">
        <v>4413</v>
      </c>
      <c r="I897" s="87" t="s">
        <v>1901</v>
      </c>
      <c r="J897" s="87" t="s">
        <v>1902</v>
      </c>
      <c r="K897" s="87" t="s">
        <v>1575</v>
      </c>
      <c r="L897" s="126" t="s">
        <v>19</v>
      </c>
      <c r="M897" s="94">
        <v>44428.791666666664</v>
      </c>
      <c r="N897" s="94">
        <v>44428.875</v>
      </c>
      <c r="O897" s="95" t="str">
        <f>PROPER(TEXT(Table1[[#This Row],[Fecha Inicio]],"mmmm"))</f>
        <v>Agosto</v>
      </c>
      <c r="P897" s="96" t="s">
        <v>1903</v>
      </c>
      <c r="Q897" s="97" t="s">
        <v>4414</v>
      </c>
      <c r="R897" s="76">
        <f t="shared" si="65"/>
        <v>2</v>
      </c>
      <c r="S897" s="76">
        <f t="shared" si="66"/>
        <v>2</v>
      </c>
      <c r="T897" s="76" t="str">
        <f t="shared" si="67"/>
        <v>-</v>
      </c>
      <c r="U897" s="76" t="str">
        <f t="shared" si="68"/>
        <v>-</v>
      </c>
      <c r="V897" s="76" t="str">
        <f t="shared" si="69"/>
        <v>-</v>
      </c>
      <c r="Z897" s="62"/>
    </row>
    <row r="898" spans="1:26" ht="40.15" customHeight="1" x14ac:dyDescent="0.25">
      <c r="A898" s="105">
        <v>32</v>
      </c>
      <c r="B898" s="89" t="s">
        <v>1550</v>
      </c>
      <c r="C898" s="89" t="s">
        <v>4250</v>
      </c>
      <c r="D898" s="89" t="s">
        <v>326</v>
      </c>
      <c r="E898" s="89" t="s">
        <v>1631</v>
      </c>
      <c r="F898" s="87" t="s">
        <v>1556</v>
      </c>
      <c r="G898" s="92" t="s">
        <v>1557</v>
      </c>
      <c r="H898" s="93" t="s">
        <v>4415</v>
      </c>
      <c r="I898" s="87" t="s">
        <v>1759</v>
      </c>
      <c r="J898" s="87" t="s">
        <v>1760</v>
      </c>
      <c r="K898" s="87" t="s">
        <v>1761</v>
      </c>
      <c r="L898" s="126" t="s">
        <v>19</v>
      </c>
      <c r="M898" s="94">
        <v>44429.958333333336</v>
      </c>
      <c r="N898" s="94">
        <v>44430.125</v>
      </c>
      <c r="O898" s="95" t="str">
        <f>PROPER(TEXT(Table1[[#This Row],[Fecha Inicio]],"mmmm"))</f>
        <v>Agosto</v>
      </c>
      <c r="P898" s="96" t="s">
        <v>4241</v>
      </c>
      <c r="Q898" s="97" t="s">
        <v>4416</v>
      </c>
      <c r="R898" s="76">
        <f t="shared" ref="R898:R961" si="70">LEN(TRIM(P898))-LEN(SUBSTITUTE(TRIM(P898),",",""))+1</f>
        <v>5</v>
      </c>
      <c r="S898" s="76">
        <f t="shared" ref="S898:S961" si="71">IF(B898="CON ÉXITO",R898,"-")</f>
        <v>5</v>
      </c>
      <c r="T898" s="76" t="str">
        <f t="shared" ref="T898:T961" si="72">IF($B898="Éxito con problemas",S898,"-")</f>
        <v>-</v>
      </c>
      <c r="U898" s="76" t="str">
        <f t="shared" ref="U898:U961" si="73">IF($B898="CANCELADO",R898,"-")</f>
        <v>-</v>
      </c>
      <c r="V898" s="76" t="str">
        <f t="shared" ref="V898:V961" si="74">IF($B898="Aplicada marcha atrás",R898,"-")</f>
        <v>-</v>
      </c>
      <c r="Z898" s="62"/>
    </row>
    <row r="899" spans="1:26" ht="40.15" customHeight="1" x14ac:dyDescent="0.25">
      <c r="A899" s="105">
        <v>32</v>
      </c>
      <c r="B899" s="89" t="s">
        <v>1550</v>
      </c>
      <c r="C899" s="106" t="s">
        <v>6839</v>
      </c>
      <c r="D899" s="89" t="s">
        <v>326</v>
      </c>
      <c r="E899" s="89" t="s">
        <v>1631</v>
      </c>
      <c r="F899" s="87" t="s">
        <v>1556</v>
      </c>
      <c r="G899" s="92" t="s">
        <v>1557</v>
      </c>
      <c r="H899" s="87" t="s">
        <v>4417</v>
      </c>
      <c r="I899" s="87" t="s">
        <v>1919</v>
      </c>
      <c r="J899" s="91" t="s">
        <v>1920</v>
      </c>
      <c r="K899" s="87" t="s">
        <v>1921</v>
      </c>
      <c r="L899" s="126" t="s">
        <v>19</v>
      </c>
      <c r="M899" s="94">
        <v>44430</v>
      </c>
      <c r="N899" s="94">
        <v>44430.25</v>
      </c>
      <c r="O899" s="95" t="str">
        <f>PROPER(TEXT(Table1[[#This Row],[Fecha Inicio]],"mmmm"))</f>
        <v>Agosto</v>
      </c>
      <c r="P899" s="96" t="s">
        <v>4244</v>
      </c>
      <c r="Q899" s="97" t="s">
        <v>4418</v>
      </c>
      <c r="R899" s="76">
        <f t="shared" si="70"/>
        <v>5</v>
      </c>
      <c r="S899" s="76">
        <f t="shared" si="71"/>
        <v>5</v>
      </c>
      <c r="T899" s="76" t="str">
        <f t="shared" si="72"/>
        <v>-</v>
      </c>
      <c r="U899" s="76" t="str">
        <f t="shared" si="73"/>
        <v>-</v>
      </c>
      <c r="V899" s="76" t="str">
        <f t="shared" si="74"/>
        <v>-</v>
      </c>
      <c r="Z899" s="62"/>
    </row>
    <row r="900" spans="1:26" ht="40.15" customHeight="1" x14ac:dyDescent="0.25">
      <c r="A900" s="105">
        <v>32</v>
      </c>
      <c r="B900" s="89" t="s">
        <v>1550</v>
      </c>
      <c r="C900" s="106" t="s">
        <v>4137</v>
      </c>
      <c r="D900" s="106" t="s">
        <v>326</v>
      </c>
      <c r="E900" s="106" t="s">
        <v>1631</v>
      </c>
      <c r="F900" s="105" t="s">
        <v>1556</v>
      </c>
      <c r="G900" s="92" t="s">
        <v>1557</v>
      </c>
      <c r="H900" s="107" t="s">
        <v>6837</v>
      </c>
      <c r="I900" s="105" t="s">
        <v>3491</v>
      </c>
      <c r="J900" s="105" t="s">
        <v>2825</v>
      </c>
      <c r="K900" s="105" t="s">
        <v>3875</v>
      </c>
      <c r="L900" s="126" t="s">
        <v>19</v>
      </c>
      <c r="M900" s="108">
        <v>44431</v>
      </c>
      <c r="N900" s="108">
        <v>44431.166666666664</v>
      </c>
      <c r="O900" s="109" t="str">
        <f>PROPER(TEXT(Table1[[#This Row],[Fecha Inicio]],"mmmm"))</f>
        <v>Agosto</v>
      </c>
      <c r="P900" s="110" t="s">
        <v>3492</v>
      </c>
      <c r="Q900" s="111" t="s">
        <v>6838</v>
      </c>
      <c r="R900" s="76">
        <f t="shared" si="70"/>
        <v>2</v>
      </c>
      <c r="S900" s="76">
        <f t="shared" si="71"/>
        <v>2</v>
      </c>
      <c r="T900" s="76" t="str">
        <f t="shared" si="72"/>
        <v>-</v>
      </c>
      <c r="U900" s="76" t="str">
        <f t="shared" si="73"/>
        <v>-</v>
      </c>
      <c r="V900" s="76" t="str">
        <f t="shared" si="74"/>
        <v>-</v>
      </c>
      <c r="Z900" s="62"/>
    </row>
    <row r="901" spans="1:26" ht="40.15" customHeight="1" x14ac:dyDescent="0.25">
      <c r="A901" s="105">
        <v>32</v>
      </c>
      <c r="B901" s="89" t="s">
        <v>1550</v>
      </c>
      <c r="C901" s="89" t="s">
        <v>4250</v>
      </c>
      <c r="D901" s="89" t="s">
        <v>326</v>
      </c>
      <c r="E901" s="89" t="s">
        <v>1631</v>
      </c>
      <c r="F901" s="87" t="s">
        <v>1556</v>
      </c>
      <c r="G901" s="92" t="s">
        <v>1557</v>
      </c>
      <c r="H901" s="93" t="s">
        <v>6833</v>
      </c>
      <c r="I901" s="87" t="s">
        <v>3862</v>
      </c>
      <c r="J901" s="87" t="s">
        <v>1951</v>
      </c>
      <c r="K901" s="87" t="s">
        <v>1575</v>
      </c>
      <c r="L901" s="126" t="s">
        <v>19</v>
      </c>
      <c r="M901" s="94">
        <v>44431</v>
      </c>
      <c r="N901" s="94">
        <v>44431.208333333336</v>
      </c>
      <c r="O901" s="95" t="str">
        <f>PROPER(TEXT(Table1[[#This Row],[Fecha Inicio]],"mmmm"))</f>
        <v>Agosto</v>
      </c>
      <c r="P901" s="96" t="s">
        <v>1952</v>
      </c>
      <c r="Q901" s="97" t="s">
        <v>6834</v>
      </c>
      <c r="R901" s="76">
        <f t="shared" si="70"/>
        <v>7</v>
      </c>
      <c r="S901" s="76">
        <f t="shared" si="71"/>
        <v>7</v>
      </c>
      <c r="T901" s="76" t="str">
        <f t="shared" si="72"/>
        <v>-</v>
      </c>
      <c r="U901" s="76" t="str">
        <f t="shared" si="73"/>
        <v>-</v>
      </c>
      <c r="V901" s="76" t="str">
        <f t="shared" si="74"/>
        <v>-</v>
      </c>
      <c r="Z901" s="62"/>
    </row>
    <row r="902" spans="1:26" ht="40.15" customHeight="1" x14ac:dyDescent="0.25">
      <c r="A902" s="105">
        <v>33</v>
      </c>
      <c r="B902" s="89" t="s">
        <v>1550</v>
      </c>
      <c r="C902" s="89" t="s">
        <v>6906</v>
      </c>
      <c r="D902" s="89" t="s">
        <v>326</v>
      </c>
      <c r="E902" s="89" t="s">
        <v>1631</v>
      </c>
      <c r="F902" s="87" t="s">
        <v>1556</v>
      </c>
      <c r="G902" s="92" t="s">
        <v>1557</v>
      </c>
      <c r="H902" s="93" t="s">
        <v>6880</v>
      </c>
      <c r="I902" s="87" t="s">
        <v>6876</v>
      </c>
      <c r="J902" s="87" t="s">
        <v>1566</v>
      </c>
      <c r="K902" s="87" t="s">
        <v>1567</v>
      </c>
      <c r="L902" s="126" t="s">
        <v>19</v>
      </c>
      <c r="M902" s="94">
        <v>44431.333333333336</v>
      </c>
      <c r="N902" s="94">
        <v>44431.416666666664</v>
      </c>
      <c r="O902" s="95" t="str">
        <f>PROPER(TEXT(Table1[[#This Row],[Fecha Inicio]],"mmmm"))</f>
        <v>Agosto</v>
      </c>
      <c r="P902" s="96" t="s">
        <v>6878</v>
      </c>
      <c r="Q902" s="97" t="s">
        <v>6879</v>
      </c>
      <c r="R902" s="76">
        <f t="shared" si="70"/>
        <v>1</v>
      </c>
      <c r="S902" s="76">
        <f t="shared" si="71"/>
        <v>1</v>
      </c>
      <c r="T902" s="76" t="str">
        <f t="shared" si="72"/>
        <v>-</v>
      </c>
      <c r="U902" s="76" t="str">
        <f t="shared" si="73"/>
        <v>-</v>
      </c>
      <c r="V902" s="76" t="str">
        <f t="shared" si="74"/>
        <v>-</v>
      </c>
      <c r="Z902" s="62"/>
    </row>
    <row r="903" spans="1:26" ht="40.15" customHeight="1" x14ac:dyDescent="0.25">
      <c r="A903" s="115">
        <v>33</v>
      </c>
      <c r="B903" s="116" t="s">
        <v>1550</v>
      </c>
      <c r="C903" s="125" t="s">
        <v>6905</v>
      </c>
      <c r="D903" s="90" t="s">
        <v>326</v>
      </c>
      <c r="E903" s="90" t="s">
        <v>1742</v>
      </c>
      <c r="F903" s="87" t="s">
        <v>1556</v>
      </c>
      <c r="G903" s="92" t="s">
        <v>1557</v>
      </c>
      <c r="H903" s="93" t="s">
        <v>6898</v>
      </c>
      <c r="I903" s="87" t="s">
        <v>6892</v>
      </c>
      <c r="J903" s="87" t="s">
        <v>6893</v>
      </c>
      <c r="K903" s="87" t="s">
        <v>2055</v>
      </c>
      <c r="L903" s="87" t="s">
        <v>52</v>
      </c>
      <c r="M903" s="94">
        <v>44431.375</v>
      </c>
      <c r="N903" s="94">
        <v>44431.625</v>
      </c>
      <c r="O903" s="95" t="str">
        <f>PROPER(TEXT(Table1[[#This Row],[Fecha Inicio]],"mmmm"))</f>
        <v>Agosto</v>
      </c>
      <c r="P903" s="96" t="s">
        <v>6897</v>
      </c>
      <c r="Q903" s="97" t="s">
        <v>6899</v>
      </c>
      <c r="R903" s="76">
        <f t="shared" si="70"/>
        <v>1</v>
      </c>
      <c r="S903" s="76">
        <f t="shared" si="71"/>
        <v>1</v>
      </c>
      <c r="T903" s="76" t="str">
        <f t="shared" si="72"/>
        <v>-</v>
      </c>
      <c r="U903" s="76" t="str">
        <f t="shared" si="73"/>
        <v>-</v>
      </c>
      <c r="V903" s="76" t="str">
        <f t="shared" si="74"/>
        <v>-</v>
      </c>
      <c r="Z903" s="62"/>
    </row>
    <row r="904" spans="1:26" ht="40.15" customHeight="1" x14ac:dyDescent="0.25">
      <c r="A904" s="115">
        <v>33</v>
      </c>
      <c r="B904" s="116" t="s">
        <v>1550</v>
      </c>
      <c r="C904" s="125" t="s">
        <v>6905</v>
      </c>
      <c r="D904" s="90" t="s">
        <v>326</v>
      </c>
      <c r="E904" s="90" t="s">
        <v>1742</v>
      </c>
      <c r="F904" s="87" t="s">
        <v>1556</v>
      </c>
      <c r="G904" s="92" t="s">
        <v>1557</v>
      </c>
      <c r="H904" s="93" t="s">
        <v>6901</v>
      </c>
      <c r="I904" s="87" t="s">
        <v>6892</v>
      </c>
      <c r="J904" s="87" t="s">
        <v>6893</v>
      </c>
      <c r="K904" s="87" t="s">
        <v>2055</v>
      </c>
      <c r="L904" s="87" t="s">
        <v>52</v>
      </c>
      <c r="M904" s="94">
        <v>44431.375</v>
      </c>
      <c r="N904" s="94">
        <v>44431.625</v>
      </c>
      <c r="O904" s="95" t="str">
        <f>PROPER(TEXT(Table1[[#This Row],[Fecha Inicio]],"mmmm"))</f>
        <v>Agosto</v>
      </c>
      <c r="P904" s="96" t="s">
        <v>6900</v>
      </c>
      <c r="Q904" s="97" t="s">
        <v>6907</v>
      </c>
      <c r="R904" s="76">
        <f t="shared" si="70"/>
        <v>5</v>
      </c>
      <c r="S904" s="76">
        <f t="shared" si="71"/>
        <v>5</v>
      </c>
      <c r="T904" s="76" t="str">
        <f t="shared" si="72"/>
        <v>-</v>
      </c>
      <c r="U904" s="76" t="str">
        <f t="shared" si="73"/>
        <v>-</v>
      </c>
      <c r="V904" s="76" t="str">
        <f t="shared" si="74"/>
        <v>-</v>
      </c>
      <c r="Z904" s="62"/>
    </row>
    <row r="905" spans="1:26" ht="40.15" customHeight="1" x14ac:dyDescent="0.25">
      <c r="A905" s="115">
        <v>33</v>
      </c>
      <c r="B905" s="116" t="s">
        <v>1550</v>
      </c>
      <c r="C905" s="125" t="s">
        <v>6905</v>
      </c>
      <c r="D905" s="90" t="s">
        <v>1554</v>
      </c>
      <c r="E905" s="90" t="s">
        <v>1555</v>
      </c>
      <c r="F905" s="87" t="s">
        <v>1556</v>
      </c>
      <c r="G905" s="92" t="s">
        <v>1557</v>
      </c>
      <c r="H905" s="93" t="s">
        <v>6903</v>
      </c>
      <c r="I905" s="87" t="s">
        <v>6892</v>
      </c>
      <c r="J905" s="87" t="s">
        <v>6893</v>
      </c>
      <c r="K905" s="87" t="s">
        <v>2055</v>
      </c>
      <c r="L905" s="87" t="s">
        <v>52</v>
      </c>
      <c r="M905" s="94">
        <v>44431.375</v>
      </c>
      <c r="N905" s="94">
        <v>44431.625</v>
      </c>
      <c r="O905" s="95" t="str">
        <f>PROPER(TEXT(Table1[[#This Row],[Fecha Inicio]],"mmmm"))</f>
        <v>Agosto</v>
      </c>
      <c r="P905" s="96" t="s">
        <v>6902</v>
      </c>
      <c r="Q905" s="97" t="s">
        <v>6904</v>
      </c>
      <c r="R905" s="76">
        <f t="shared" si="70"/>
        <v>2</v>
      </c>
      <c r="S905" s="76">
        <f t="shared" si="71"/>
        <v>2</v>
      </c>
      <c r="T905" s="76" t="str">
        <f t="shared" si="72"/>
        <v>-</v>
      </c>
      <c r="U905" s="76" t="str">
        <f t="shared" si="73"/>
        <v>-</v>
      </c>
      <c r="V905" s="76" t="str">
        <f t="shared" si="74"/>
        <v>-</v>
      </c>
      <c r="Z905" s="62"/>
    </row>
    <row r="906" spans="1:26" ht="40.15" customHeight="1" x14ac:dyDescent="0.25">
      <c r="A906" s="115">
        <v>33</v>
      </c>
      <c r="B906" s="116" t="s">
        <v>1550</v>
      </c>
      <c r="C906" s="125" t="s">
        <v>6905</v>
      </c>
      <c r="D906" s="90" t="s">
        <v>326</v>
      </c>
      <c r="E906" s="90" t="s">
        <v>1742</v>
      </c>
      <c r="F906" s="87" t="s">
        <v>1556</v>
      </c>
      <c r="G906" s="92" t="s">
        <v>1557</v>
      </c>
      <c r="H906" s="93" t="s">
        <v>6895</v>
      </c>
      <c r="I906" s="87" t="s">
        <v>6892</v>
      </c>
      <c r="J906" s="87" t="s">
        <v>6893</v>
      </c>
      <c r="K906" s="87" t="s">
        <v>2055</v>
      </c>
      <c r="L906" s="87" t="s">
        <v>52</v>
      </c>
      <c r="M906" s="94">
        <v>44431.375</v>
      </c>
      <c r="N906" s="94">
        <v>44431.625</v>
      </c>
      <c r="O906" s="95" t="str">
        <f>PROPER(TEXT(Table1[[#This Row],[Fecha Inicio]],"mmmm"))</f>
        <v>Agosto</v>
      </c>
      <c r="P906" s="96" t="s">
        <v>6894</v>
      </c>
      <c r="Q906" s="97" t="s">
        <v>6896</v>
      </c>
      <c r="R906" s="76">
        <f t="shared" si="70"/>
        <v>18</v>
      </c>
      <c r="S906" s="76">
        <f t="shared" si="71"/>
        <v>18</v>
      </c>
      <c r="T906" s="76" t="str">
        <f t="shared" si="72"/>
        <v>-</v>
      </c>
      <c r="U906" s="76" t="str">
        <f t="shared" si="73"/>
        <v>-</v>
      </c>
      <c r="V906" s="76" t="str">
        <f t="shared" si="74"/>
        <v>-</v>
      </c>
      <c r="Z906" s="62"/>
    </row>
    <row r="907" spans="1:26" ht="40.15" customHeight="1" x14ac:dyDescent="0.25">
      <c r="A907" s="105">
        <v>32</v>
      </c>
      <c r="B907" s="89" t="s">
        <v>1550</v>
      </c>
      <c r="C907" s="89" t="s">
        <v>4250</v>
      </c>
      <c r="D907" s="89" t="s">
        <v>326</v>
      </c>
      <c r="E907" s="89" t="s">
        <v>1631</v>
      </c>
      <c r="F907" s="87" t="s">
        <v>1556</v>
      </c>
      <c r="G907" s="92" t="s">
        <v>1557</v>
      </c>
      <c r="H907" s="93" t="s">
        <v>6836</v>
      </c>
      <c r="I907" s="87" t="s">
        <v>1838</v>
      </c>
      <c r="J907" s="87" t="s">
        <v>1839</v>
      </c>
      <c r="K907" s="87" t="s">
        <v>1575</v>
      </c>
      <c r="L907" s="126" t="s">
        <v>19</v>
      </c>
      <c r="M907" s="94">
        <v>44431.916666666664</v>
      </c>
      <c r="N907" s="94">
        <v>44431.958333333336</v>
      </c>
      <c r="O907" s="95" t="str">
        <f>PROPER(TEXT(Table1[[#This Row],[Fecha Inicio]],"mmmm"))</f>
        <v>Agosto</v>
      </c>
      <c r="P907" s="96" t="s">
        <v>194</v>
      </c>
      <c r="Q907" s="97" t="s">
        <v>6835</v>
      </c>
      <c r="R907" s="76">
        <f t="shared" si="70"/>
        <v>1</v>
      </c>
      <c r="S907" s="76">
        <f t="shared" si="71"/>
        <v>1</v>
      </c>
      <c r="T907" s="76" t="str">
        <f t="shared" si="72"/>
        <v>-</v>
      </c>
      <c r="U907" s="76" t="str">
        <f t="shared" si="73"/>
        <v>-</v>
      </c>
      <c r="V907" s="76" t="str">
        <f t="shared" si="74"/>
        <v>-</v>
      </c>
      <c r="Z907" s="62"/>
    </row>
    <row r="908" spans="1:26" ht="40.15" customHeight="1" x14ac:dyDescent="0.25">
      <c r="A908" s="87">
        <v>33</v>
      </c>
      <c r="B908" s="89" t="s">
        <v>1550</v>
      </c>
      <c r="C908" s="89" t="s">
        <v>4250</v>
      </c>
      <c r="D908" s="89" t="s">
        <v>344</v>
      </c>
      <c r="E908" s="89" t="s">
        <v>1616</v>
      </c>
      <c r="F908" s="87" t="s">
        <v>1556</v>
      </c>
      <c r="G908" s="92" t="s">
        <v>1557</v>
      </c>
      <c r="H908" s="93" t="s">
        <v>6884</v>
      </c>
      <c r="I908" s="87" t="s">
        <v>2841</v>
      </c>
      <c r="J908" s="87" t="s">
        <v>1619</v>
      </c>
      <c r="K908" s="87" t="s">
        <v>2512</v>
      </c>
      <c r="L908" s="126" t="s">
        <v>19</v>
      </c>
      <c r="M908" s="94">
        <v>44431.958333333336</v>
      </c>
      <c r="N908" s="94">
        <v>44432.125</v>
      </c>
      <c r="O908" s="95" t="str">
        <f>PROPER(TEXT(Table1[[#This Row],[Fecha Inicio]],"mmmm"))</f>
        <v>Agosto</v>
      </c>
      <c r="P908" s="96" t="s">
        <v>6883</v>
      </c>
      <c r="Q908" s="97" t="s">
        <v>6885</v>
      </c>
      <c r="R908" s="76">
        <f t="shared" si="70"/>
        <v>3</v>
      </c>
      <c r="S908" s="76">
        <f t="shared" si="71"/>
        <v>3</v>
      </c>
      <c r="T908" s="76" t="str">
        <f t="shared" si="72"/>
        <v>-</v>
      </c>
      <c r="U908" s="76" t="str">
        <f t="shared" si="73"/>
        <v>-</v>
      </c>
      <c r="V908" s="76" t="str">
        <f t="shared" si="74"/>
        <v>-</v>
      </c>
      <c r="Z908" s="62"/>
    </row>
    <row r="909" spans="1:26" ht="40.15" customHeight="1" x14ac:dyDescent="0.25">
      <c r="A909" s="87">
        <v>32</v>
      </c>
      <c r="B909" s="89" t="s">
        <v>1550</v>
      </c>
      <c r="C909" s="89" t="s">
        <v>4250</v>
      </c>
      <c r="D909" s="89" t="s">
        <v>326</v>
      </c>
      <c r="E909" s="89" t="s">
        <v>1631</v>
      </c>
      <c r="F909" s="87" t="s">
        <v>1556</v>
      </c>
      <c r="G909" s="92" t="s">
        <v>1557</v>
      </c>
      <c r="H909" s="93" t="s">
        <v>6842</v>
      </c>
      <c r="I909" s="87" t="s">
        <v>3501</v>
      </c>
      <c r="J909" s="87" t="s">
        <v>3502</v>
      </c>
      <c r="K909" s="87" t="s">
        <v>1709</v>
      </c>
      <c r="L909" s="126" t="s">
        <v>19</v>
      </c>
      <c r="M909" s="94">
        <v>44432</v>
      </c>
      <c r="N909" s="94">
        <v>44432.208333333336</v>
      </c>
      <c r="O909" s="95" t="str">
        <f>PROPER(TEXT(Table1[[#This Row],[Fecha Inicio]],"mmmm"))</f>
        <v>Agosto</v>
      </c>
      <c r="P909" s="96" t="s">
        <v>3503</v>
      </c>
      <c r="Q909" s="97" t="s">
        <v>6845</v>
      </c>
      <c r="R909" s="76">
        <f t="shared" si="70"/>
        <v>10</v>
      </c>
      <c r="S909" s="76">
        <f t="shared" si="71"/>
        <v>10</v>
      </c>
      <c r="T909" s="76" t="str">
        <f t="shared" si="72"/>
        <v>-</v>
      </c>
      <c r="U909" s="76" t="str">
        <f t="shared" si="73"/>
        <v>-</v>
      </c>
      <c r="V909" s="76" t="str">
        <f t="shared" si="74"/>
        <v>-</v>
      </c>
      <c r="Z909" s="62"/>
    </row>
    <row r="910" spans="1:26" ht="40.15" customHeight="1" x14ac:dyDescent="0.25">
      <c r="A910" s="87">
        <v>32</v>
      </c>
      <c r="B910" s="89" t="s">
        <v>1550</v>
      </c>
      <c r="C910" s="89" t="s">
        <v>4250</v>
      </c>
      <c r="D910" s="90" t="s">
        <v>326</v>
      </c>
      <c r="E910" s="90" t="s">
        <v>1631</v>
      </c>
      <c r="F910" s="87" t="s">
        <v>1556</v>
      </c>
      <c r="G910" s="92" t="s">
        <v>1557</v>
      </c>
      <c r="H910" s="93" t="s">
        <v>6840</v>
      </c>
      <c r="I910" s="87" t="s">
        <v>1961</v>
      </c>
      <c r="J910" s="87" t="s">
        <v>1962</v>
      </c>
      <c r="K910" s="87" t="s">
        <v>1575</v>
      </c>
      <c r="L910" s="126" t="s">
        <v>19</v>
      </c>
      <c r="M910" s="94">
        <v>44432.833333333336</v>
      </c>
      <c r="N910" s="94">
        <v>44432.875</v>
      </c>
      <c r="O910" s="95" t="str">
        <f>PROPER(TEXT(Table1[[#This Row],[Fecha Inicio]],"mmmm"))</f>
        <v>Agosto</v>
      </c>
      <c r="P910" s="96" t="s">
        <v>207</v>
      </c>
      <c r="Q910" s="97" t="s">
        <v>6841</v>
      </c>
      <c r="R910" s="76">
        <f t="shared" si="70"/>
        <v>1</v>
      </c>
      <c r="S910" s="76">
        <f t="shared" si="71"/>
        <v>1</v>
      </c>
      <c r="T910" s="76" t="str">
        <f t="shared" si="72"/>
        <v>-</v>
      </c>
      <c r="U910" s="76" t="str">
        <f t="shared" si="73"/>
        <v>-</v>
      </c>
      <c r="V910" s="76" t="str">
        <f t="shared" si="74"/>
        <v>-</v>
      </c>
      <c r="Z910" s="62"/>
    </row>
    <row r="911" spans="1:26" ht="40.15" customHeight="1" x14ac:dyDescent="0.25">
      <c r="A911" s="87">
        <v>34</v>
      </c>
      <c r="B911" s="89" t="s">
        <v>1550</v>
      </c>
      <c r="C911" s="89" t="s">
        <v>4270</v>
      </c>
      <c r="D911" s="102" t="s">
        <v>1623</v>
      </c>
      <c r="E911" s="102" t="s">
        <v>1624</v>
      </c>
      <c r="F911" s="87" t="s">
        <v>1556</v>
      </c>
      <c r="G911" s="92" t="s">
        <v>1557</v>
      </c>
      <c r="H911" s="93" t="s">
        <v>6919</v>
      </c>
      <c r="I911" s="87" t="s">
        <v>6918</v>
      </c>
      <c r="J911" s="87" t="s">
        <v>6920</v>
      </c>
      <c r="K911" s="87" t="s">
        <v>1575</v>
      </c>
      <c r="L911" s="87" t="s">
        <v>6856</v>
      </c>
      <c r="M911" s="108">
        <v>44432.833333333336</v>
      </c>
      <c r="N911" s="108">
        <v>44432.916666666664</v>
      </c>
      <c r="O911" s="95" t="str">
        <f>PROPER(TEXT(Table1[[#This Row],[Fecha Inicio]],"mmmm"))</f>
        <v>Agosto</v>
      </c>
      <c r="P911" s="96" t="s">
        <v>6917</v>
      </c>
      <c r="Q911" s="97" t="s">
        <v>6921</v>
      </c>
      <c r="R911" s="76">
        <f t="shared" si="70"/>
        <v>9</v>
      </c>
      <c r="S911" s="76">
        <f t="shared" si="71"/>
        <v>9</v>
      </c>
      <c r="T911" s="76" t="str">
        <f t="shared" si="72"/>
        <v>-</v>
      </c>
      <c r="U911" s="76" t="str">
        <f t="shared" si="73"/>
        <v>-</v>
      </c>
      <c r="V911" s="76" t="str">
        <f t="shared" si="74"/>
        <v>-</v>
      </c>
      <c r="Z911" s="62"/>
    </row>
    <row r="912" spans="1:26" ht="40.15" customHeight="1" x14ac:dyDescent="0.25">
      <c r="A912" s="115">
        <v>33</v>
      </c>
      <c r="B912" s="116" t="s">
        <v>1550</v>
      </c>
      <c r="C912" s="106" t="s">
        <v>4250</v>
      </c>
      <c r="D912" s="89" t="s">
        <v>344</v>
      </c>
      <c r="E912" s="89" t="s">
        <v>1616</v>
      </c>
      <c r="F912" s="87" t="s">
        <v>1556</v>
      </c>
      <c r="G912" s="92" t="s">
        <v>1557</v>
      </c>
      <c r="H912" s="93" t="s">
        <v>6886</v>
      </c>
      <c r="I912" s="87" t="s">
        <v>2872</v>
      </c>
      <c r="J912" s="87" t="s">
        <v>1619</v>
      </c>
      <c r="K912" s="87" t="s">
        <v>2512</v>
      </c>
      <c r="L912" s="126" t="s">
        <v>19</v>
      </c>
      <c r="M912" s="94">
        <v>44432.958333333336</v>
      </c>
      <c r="N912" s="94">
        <v>44433.125</v>
      </c>
      <c r="O912" s="95" t="str">
        <f>PROPER(TEXT(Table1[[#This Row],[Fecha Inicio]],"mmmm"))</f>
        <v>Agosto</v>
      </c>
      <c r="P912" s="96" t="s">
        <v>2873</v>
      </c>
      <c r="Q912" s="97" t="s">
        <v>6887</v>
      </c>
      <c r="R912" s="76">
        <f t="shared" si="70"/>
        <v>3</v>
      </c>
      <c r="S912" s="76">
        <f t="shared" si="71"/>
        <v>3</v>
      </c>
      <c r="T912" s="76" t="str">
        <f t="shared" si="72"/>
        <v>-</v>
      </c>
      <c r="U912" s="76" t="str">
        <f t="shared" si="73"/>
        <v>-</v>
      </c>
      <c r="V912" s="76" t="str">
        <f t="shared" si="74"/>
        <v>-</v>
      </c>
      <c r="Z912" s="62"/>
    </row>
    <row r="913" spans="1:26" ht="40.15" customHeight="1" x14ac:dyDescent="0.25">
      <c r="A913" s="115">
        <v>32</v>
      </c>
      <c r="B913" s="89" t="s">
        <v>1550</v>
      </c>
      <c r="C913" s="106" t="s">
        <v>4250</v>
      </c>
      <c r="D913" s="116" t="s">
        <v>344</v>
      </c>
      <c r="E913" s="116" t="s">
        <v>1616</v>
      </c>
      <c r="F913" s="115" t="s">
        <v>1556</v>
      </c>
      <c r="G913" s="92" t="s">
        <v>1557</v>
      </c>
      <c r="H913" s="117" t="s">
        <v>6889</v>
      </c>
      <c r="I913" s="115" t="s">
        <v>1942</v>
      </c>
      <c r="J913" s="115" t="s">
        <v>1583</v>
      </c>
      <c r="K913" s="115" t="s">
        <v>1584</v>
      </c>
      <c r="L913" s="126" t="s">
        <v>19</v>
      </c>
      <c r="M913" s="118">
        <v>44433.416666666664</v>
      </c>
      <c r="N913" s="118">
        <v>44433.708333333336</v>
      </c>
      <c r="O913" s="119" t="str">
        <f>PROPER(TEXT(Table1[[#This Row],[Fecha Inicio]],"mmmm"))</f>
        <v>Agosto</v>
      </c>
      <c r="P913" s="120" t="s">
        <v>1943</v>
      </c>
      <c r="Q913" s="121" t="s">
        <v>6888</v>
      </c>
      <c r="R913" s="76">
        <f t="shared" si="70"/>
        <v>3</v>
      </c>
      <c r="S913" s="76">
        <f t="shared" si="71"/>
        <v>3</v>
      </c>
      <c r="T913" s="76" t="str">
        <f t="shared" si="72"/>
        <v>-</v>
      </c>
      <c r="U913" s="76" t="str">
        <f t="shared" si="73"/>
        <v>-</v>
      </c>
      <c r="V913" s="76" t="str">
        <f t="shared" si="74"/>
        <v>-</v>
      </c>
      <c r="Z913" s="62"/>
    </row>
    <row r="914" spans="1:26" ht="40.15" customHeight="1" x14ac:dyDescent="0.25">
      <c r="A914" s="115">
        <v>32</v>
      </c>
      <c r="B914" s="116" t="s">
        <v>1550</v>
      </c>
      <c r="C914" s="106" t="s">
        <v>4250</v>
      </c>
      <c r="D914" s="89" t="s">
        <v>344</v>
      </c>
      <c r="E914" s="89" t="s">
        <v>1616</v>
      </c>
      <c r="F914" s="87" t="s">
        <v>1556</v>
      </c>
      <c r="G914" s="92" t="s">
        <v>1557</v>
      </c>
      <c r="H914" s="93" t="s">
        <v>6891</v>
      </c>
      <c r="I914" s="87" t="s">
        <v>1942</v>
      </c>
      <c r="J914" s="87" t="s">
        <v>1583</v>
      </c>
      <c r="K914" s="87" t="s">
        <v>1584</v>
      </c>
      <c r="L914" s="126" t="s">
        <v>19</v>
      </c>
      <c r="M914" s="118">
        <v>44434.416666666664</v>
      </c>
      <c r="N914" s="118">
        <v>44434.708333333336</v>
      </c>
      <c r="O914" s="119" t="str">
        <f>PROPER(TEXT(Table1[[#This Row],[Fecha Inicio]],"mmmm"))</f>
        <v>Agosto</v>
      </c>
      <c r="P914" s="96" t="s">
        <v>1958</v>
      </c>
      <c r="Q914" s="97" t="s">
        <v>6890</v>
      </c>
      <c r="R914" s="76">
        <f t="shared" si="70"/>
        <v>2</v>
      </c>
      <c r="S914" s="76">
        <f t="shared" si="71"/>
        <v>2</v>
      </c>
      <c r="T914" s="76" t="str">
        <f t="shared" si="72"/>
        <v>-</v>
      </c>
      <c r="U914" s="76" t="str">
        <f t="shared" si="73"/>
        <v>-</v>
      </c>
      <c r="V914" s="76" t="str">
        <f t="shared" si="74"/>
        <v>-</v>
      </c>
      <c r="Z914" s="62"/>
    </row>
    <row r="915" spans="1:26" ht="40.15" customHeight="1" x14ac:dyDescent="0.25">
      <c r="A915" s="105">
        <v>32</v>
      </c>
      <c r="B915" s="89" t="s">
        <v>1550</v>
      </c>
      <c r="C915" s="89" t="s">
        <v>6942</v>
      </c>
      <c r="D915" s="89" t="s">
        <v>326</v>
      </c>
      <c r="E915" s="89" t="s">
        <v>1631</v>
      </c>
      <c r="F915" s="87" t="s">
        <v>1556</v>
      </c>
      <c r="G915" s="92" t="s">
        <v>1557</v>
      </c>
      <c r="H915" s="93" t="s">
        <v>6850</v>
      </c>
      <c r="I915" s="87" t="s">
        <v>3522</v>
      </c>
      <c r="J915" s="87" t="s">
        <v>2404</v>
      </c>
      <c r="K915" s="87" t="s">
        <v>1575</v>
      </c>
      <c r="L915" s="126" t="s">
        <v>19</v>
      </c>
      <c r="M915" s="94">
        <v>44435</v>
      </c>
      <c r="N915" s="94">
        <v>44435.166666666664</v>
      </c>
      <c r="O915" s="95" t="str">
        <f>PROPER(TEXT(Table1[[#This Row],[Fecha Inicio]],"mmmm"))</f>
        <v>Agosto</v>
      </c>
      <c r="P915" s="96" t="s">
        <v>3523</v>
      </c>
      <c r="Q915" s="97" t="s">
        <v>6851</v>
      </c>
      <c r="R915" s="76">
        <f t="shared" si="70"/>
        <v>1</v>
      </c>
      <c r="S915" s="76">
        <f t="shared" si="71"/>
        <v>1</v>
      </c>
      <c r="T915" s="76" t="str">
        <f t="shared" si="72"/>
        <v>-</v>
      </c>
      <c r="U915" s="76" t="str">
        <f t="shared" si="73"/>
        <v>-</v>
      </c>
      <c r="V915" s="76" t="str">
        <f t="shared" si="74"/>
        <v>-</v>
      </c>
      <c r="Z915" s="62"/>
    </row>
    <row r="916" spans="1:26" ht="40.15" customHeight="1" x14ac:dyDescent="0.25">
      <c r="A916" s="105">
        <v>32</v>
      </c>
      <c r="B916" s="89" t="s">
        <v>1550</v>
      </c>
      <c r="C916" s="89" t="s">
        <v>4250</v>
      </c>
      <c r="D916" s="89" t="s">
        <v>326</v>
      </c>
      <c r="E916" s="89" t="s">
        <v>1631</v>
      </c>
      <c r="F916" s="87" t="s">
        <v>1556</v>
      </c>
      <c r="G916" s="92" t="s">
        <v>1557</v>
      </c>
      <c r="H916" s="93" t="s">
        <v>6865</v>
      </c>
      <c r="I916" s="87" t="s">
        <v>3536</v>
      </c>
      <c r="J916" s="87" t="s">
        <v>3537</v>
      </c>
      <c r="K916" s="87" t="s">
        <v>1575</v>
      </c>
      <c r="L916" s="126" t="s">
        <v>19</v>
      </c>
      <c r="M916" s="94">
        <v>44435</v>
      </c>
      <c r="N916" s="94">
        <v>44435.166666666664</v>
      </c>
      <c r="O916" s="95" t="str">
        <f>PROPER(TEXT(Table1[[#This Row],[Fecha Inicio]],"mmmm"))</f>
        <v>Agosto</v>
      </c>
      <c r="P916" s="96" t="s">
        <v>3538</v>
      </c>
      <c r="Q916" s="97" t="s">
        <v>6866</v>
      </c>
      <c r="R916" s="76">
        <f t="shared" si="70"/>
        <v>4</v>
      </c>
      <c r="S916" s="76">
        <f t="shared" si="71"/>
        <v>4</v>
      </c>
      <c r="T916" s="76" t="str">
        <f t="shared" si="72"/>
        <v>-</v>
      </c>
      <c r="U916" s="76" t="str">
        <f t="shared" si="73"/>
        <v>-</v>
      </c>
      <c r="V916" s="76" t="str">
        <f t="shared" si="74"/>
        <v>-</v>
      </c>
      <c r="Z916" s="62"/>
    </row>
    <row r="917" spans="1:26" ht="40.15" customHeight="1" x14ac:dyDescent="0.25">
      <c r="A917" s="105">
        <v>32</v>
      </c>
      <c r="B917" s="89" t="s">
        <v>1550</v>
      </c>
      <c r="C917" s="89" t="s">
        <v>4250</v>
      </c>
      <c r="D917" s="89" t="s">
        <v>326</v>
      </c>
      <c r="E917" s="89" t="s">
        <v>1631</v>
      </c>
      <c r="F917" s="87" t="s">
        <v>1556</v>
      </c>
      <c r="G917" s="92" t="s">
        <v>1557</v>
      </c>
      <c r="H917" s="93" t="s">
        <v>6852</v>
      </c>
      <c r="I917" s="87" t="s">
        <v>3260</v>
      </c>
      <c r="J917" s="87" t="s">
        <v>2511</v>
      </c>
      <c r="K917" s="87" t="s">
        <v>2512</v>
      </c>
      <c r="L917" s="126" t="s">
        <v>19</v>
      </c>
      <c r="M917" s="94">
        <v>44435.041666666664</v>
      </c>
      <c r="N917" s="94">
        <v>44435.125</v>
      </c>
      <c r="O917" s="95" t="str">
        <f>PROPER(TEXT(Table1[[#This Row],[Fecha Inicio]],"mmmm"))</f>
        <v>Agosto</v>
      </c>
      <c r="P917" s="96" t="s">
        <v>3261</v>
      </c>
      <c r="Q917" s="97" t="s">
        <v>6853</v>
      </c>
      <c r="R917" s="76">
        <f t="shared" si="70"/>
        <v>6</v>
      </c>
      <c r="S917" s="76">
        <f t="shared" si="71"/>
        <v>6</v>
      </c>
      <c r="T917" s="76" t="str">
        <f t="shared" si="72"/>
        <v>-</v>
      </c>
      <c r="U917" s="76" t="str">
        <f t="shared" si="73"/>
        <v>-</v>
      </c>
      <c r="V917" s="76" t="str">
        <f t="shared" si="74"/>
        <v>-</v>
      </c>
      <c r="Z917" s="62"/>
    </row>
    <row r="918" spans="1:26" ht="40.15" customHeight="1" x14ac:dyDescent="0.25">
      <c r="A918" s="105">
        <v>32</v>
      </c>
      <c r="B918" s="89" t="s">
        <v>1550</v>
      </c>
      <c r="C918" s="89" t="s">
        <v>4250</v>
      </c>
      <c r="D918" s="89" t="s">
        <v>326</v>
      </c>
      <c r="E918" s="89" t="s">
        <v>1631</v>
      </c>
      <c r="F918" s="87" t="s">
        <v>1556</v>
      </c>
      <c r="G918" s="92" t="s">
        <v>1557</v>
      </c>
      <c r="H918" s="93" t="s">
        <v>6860</v>
      </c>
      <c r="I918" s="87" t="s">
        <v>2013</v>
      </c>
      <c r="J918" s="87" t="s">
        <v>2014</v>
      </c>
      <c r="K918" s="87" t="s">
        <v>1575</v>
      </c>
      <c r="L918" s="126" t="s">
        <v>19</v>
      </c>
      <c r="M918" s="94">
        <v>44435.791666666664</v>
      </c>
      <c r="N918" s="94">
        <v>44435.875</v>
      </c>
      <c r="O918" s="95" t="str">
        <f>PROPER(TEXT(Table1[[#This Row],[Fecha Inicio]],"mmmm"))</f>
        <v>Agosto</v>
      </c>
      <c r="P918" s="96" t="s">
        <v>2015</v>
      </c>
      <c r="Q918" s="97" t="s">
        <v>6859</v>
      </c>
      <c r="R918" s="76">
        <f t="shared" si="70"/>
        <v>9</v>
      </c>
      <c r="S918" s="76">
        <f t="shared" si="71"/>
        <v>9</v>
      </c>
      <c r="T918" s="76" t="str">
        <f t="shared" si="72"/>
        <v>-</v>
      </c>
      <c r="U918" s="76" t="str">
        <f t="shared" si="73"/>
        <v>-</v>
      </c>
      <c r="V918" s="76" t="str">
        <f t="shared" si="74"/>
        <v>-</v>
      </c>
      <c r="Z918" s="62"/>
    </row>
    <row r="919" spans="1:26" ht="40.15" customHeight="1" x14ac:dyDescent="0.25">
      <c r="A919" s="105">
        <v>32</v>
      </c>
      <c r="B919" s="89" t="s">
        <v>1550</v>
      </c>
      <c r="C919" s="89" t="s">
        <v>4250</v>
      </c>
      <c r="D919" s="89" t="s">
        <v>1554</v>
      </c>
      <c r="E919" s="89" t="s">
        <v>1555</v>
      </c>
      <c r="F919" s="87" t="s">
        <v>1556</v>
      </c>
      <c r="G919" s="92" t="s">
        <v>1557</v>
      </c>
      <c r="H919" s="93" t="s">
        <v>6867</v>
      </c>
      <c r="I919" s="87" t="s">
        <v>3957</v>
      </c>
      <c r="J919" s="87" t="s">
        <v>1931</v>
      </c>
      <c r="K919" s="87" t="s">
        <v>1921</v>
      </c>
      <c r="L919" s="126" t="s">
        <v>19</v>
      </c>
      <c r="M919" s="94">
        <v>44436</v>
      </c>
      <c r="N919" s="94">
        <v>44436.25</v>
      </c>
      <c r="O919" s="95" t="str">
        <f>PROPER(TEXT(Table1[[#This Row],[Fecha Inicio]],"mmmm"))</f>
        <v>Agosto</v>
      </c>
      <c r="P919" s="96" t="s">
        <v>3958</v>
      </c>
      <c r="Q919" s="97" t="s">
        <v>6868</v>
      </c>
      <c r="R919" s="76">
        <f t="shared" si="70"/>
        <v>6</v>
      </c>
      <c r="S919" s="76">
        <f t="shared" si="71"/>
        <v>6</v>
      </c>
      <c r="T919" s="76" t="str">
        <f t="shared" si="72"/>
        <v>-</v>
      </c>
      <c r="U919" s="76" t="str">
        <f t="shared" si="73"/>
        <v>-</v>
      </c>
      <c r="V919" s="76" t="str">
        <f t="shared" si="74"/>
        <v>-</v>
      </c>
      <c r="Z919" s="62"/>
    </row>
    <row r="920" spans="1:26" ht="40.15" customHeight="1" x14ac:dyDescent="0.25">
      <c r="A920" s="105">
        <v>32</v>
      </c>
      <c r="B920" s="89" t="s">
        <v>1550</v>
      </c>
      <c r="C920" s="89" t="s">
        <v>4250</v>
      </c>
      <c r="D920" s="89" t="s">
        <v>326</v>
      </c>
      <c r="E920" s="89" t="s">
        <v>1631</v>
      </c>
      <c r="F920" s="87" t="s">
        <v>1556</v>
      </c>
      <c r="G920" s="92" t="s">
        <v>1557</v>
      </c>
      <c r="H920" s="87" t="s">
        <v>6862</v>
      </c>
      <c r="I920" s="87" t="s">
        <v>1919</v>
      </c>
      <c r="J920" s="91" t="s">
        <v>1920</v>
      </c>
      <c r="K920" s="87" t="s">
        <v>1921</v>
      </c>
      <c r="L920" s="126" t="s">
        <v>19</v>
      </c>
      <c r="M920" s="94">
        <v>44437</v>
      </c>
      <c r="N920" s="94">
        <v>44437.25</v>
      </c>
      <c r="O920" s="95" t="str">
        <f>PROPER(TEXT(Table1[[#This Row],[Fecha Inicio]],"mmmm"))</f>
        <v>Agosto</v>
      </c>
      <c r="P920" s="96" t="s">
        <v>3549</v>
      </c>
      <c r="Q920" s="97" t="s">
        <v>6864</v>
      </c>
      <c r="R920" s="76">
        <f t="shared" si="70"/>
        <v>17</v>
      </c>
      <c r="S920" s="76">
        <f t="shared" si="71"/>
        <v>17</v>
      </c>
      <c r="T920" s="76" t="str">
        <f t="shared" si="72"/>
        <v>-</v>
      </c>
      <c r="U920" s="76" t="str">
        <f t="shared" si="73"/>
        <v>-</v>
      </c>
      <c r="V920" s="76" t="str">
        <f t="shared" si="74"/>
        <v>-</v>
      </c>
      <c r="Z920" s="62"/>
    </row>
    <row r="921" spans="1:26" ht="40.15" customHeight="1" x14ac:dyDescent="0.25">
      <c r="A921" s="105">
        <v>32</v>
      </c>
      <c r="B921" s="89" t="s">
        <v>1550</v>
      </c>
      <c r="C921" s="89" t="s">
        <v>4250</v>
      </c>
      <c r="D921" s="89" t="s">
        <v>326</v>
      </c>
      <c r="E921" s="89" t="s">
        <v>1631</v>
      </c>
      <c r="F921" s="87" t="s">
        <v>1556</v>
      </c>
      <c r="G921" s="92" t="s">
        <v>1557</v>
      </c>
      <c r="H921" s="87" t="s">
        <v>6872</v>
      </c>
      <c r="I921" s="87" t="s">
        <v>1919</v>
      </c>
      <c r="J921" s="91" t="s">
        <v>1920</v>
      </c>
      <c r="K921" s="87" t="s">
        <v>1921</v>
      </c>
      <c r="L921" s="126" t="s">
        <v>19</v>
      </c>
      <c r="M921" s="94">
        <v>44438</v>
      </c>
      <c r="N921" s="94">
        <v>44438.208333333336</v>
      </c>
      <c r="O921" s="95" t="str">
        <f>PROPER(TEXT(Table1[[#This Row],[Fecha Inicio]],"mmmm"))</f>
        <v>Agosto</v>
      </c>
      <c r="P921" s="96" t="s">
        <v>6871</v>
      </c>
      <c r="Q921" s="97" t="s">
        <v>6873</v>
      </c>
      <c r="R921" s="76">
        <f t="shared" si="70"/>
        <v>4</v>
      </c>
      <c r="S921" s="76">
        <f t="shared" si="71"/>
        <v>4</v>
      </c>
      <c r="T921" s="76" t="str">
        <f t="shared" si="72"/>
        <v>-</v>
      </c>
      <c r="U921" s="76" t="str">
        <f t="shared" si="73"/>
        <v>-</v>
      </c>
      <c r="V921" s="76" t="str">
        <f t="shared" si="74"/>
        <v>-</v>
      </c>
      <c r="Z921" s="62"/>
    </row>
    <row r="922" spans="1:26" ht="40.15" customHeight="1" x14ac:dyDescent="0.25">
      <c r="A922" s="105">
        <v>32</v>
      </c>
      <c r="B922" s="89" t="s">
        <v>1550</v>
      </c>
      <c r="C922" s="89" t="s">
        <v>4250</v>
      </c>
      <c r="D922" s="89" t="s">
        <v>326</v>
      </c>
      <c r="E922" s="89" t="s">
        <v>1631</v>
      </c>
      <c r="F922" s="87" t="s">
        <v>1556</v>
      </c>
      <c r="G922" s="92" t="s">
        <v>1557</v>
      </c>
      <c r="H922" s="93" t="s">
        <v>6869</v>
      </c>
      <c r="I922" s="87" t="s">
        <v>3970</v>
      </c>
      <c r="J922" s="87" t="s">
        <v>1911</v>
      </c>
      <c r="K922" s="87" t="s">
        <v>3971</v>
      </c>
      <c r="L922" s="126" t="s">
        <v>19</v>
      </c>
      <c r="M922" s="94">
        <v>44438.833333333336</v>
      </c>
      <c r="N922" s="94">
        <v>44438.875</v>
      </c>
      <c r="O922" s="95" t="str">
        <f>PROPER(TEXT(Table1[[#This Row],[Fecha Inicio]],"mmmm"))</f>
        <v>Agosto</v>
      </c>
      <c r="P922" s="96" t="s">
        <v>248</v>
      </c>
      <c r="Q922" s="97" t="s">
        <v>6870</v>
      </c>
      <c r="R922" s="76">
        <f t="shared" si="70"/>
        <v>1</v>
      </c>
      <c r="S922" s="76">
        <f t="shared" si="71"/>
        <v>1</v>
      </c>
      <c r="T922" s="76" t="str">
        <f t="shared" si="72"/>
        <v>-</v>
      </c>
      <c r="U922" s="76" t="str">
        <f t="shared" si="73"/>
        <v>-</v>
      </c>
      <c r="V922" s="76" t="str">
        <f t="shared" si="74"/>
        <v>-</v>
      </c>
      <c r="Z922" s="62"/>
    </row>
    <row r="923" spans="1:26" ht="40.15" customHeight="1" x14ac:dyDescent="0.25">
      <c r="A923" s="105">
        <v>32</v>
      </c>
      <c r="B923" s="89" t="s">
        <v>1550</v>
      </c>
      <c r="C923" s="89" t="s">
        <v>4250</v>
      </c>
      <c r="D923" s="90" t="s">
        <v>326</v>
      </c>
      <c r="E923" s="90" t="s">
        <v>1631</v>
      </c>
      <c r="F923" s="91" t="s">
        <v>1556</v>
      </c>
      <c r="G923" s="92" t="s">
        <v>1557</v>
      </c>
      <c r="H923" s="93" t="s">
        <v>6844</v>
      </c>
      <c r="I923" s="87" t="s">
        <v>1987</v>
      </c>
      <c r="J923" s="87" t="s">
        <v>1988</v>
      </c>
      <c r="K923" s="91" t="s">
        <v>1575</v>
      </c>
      <c r="L923" s="126" t="s">
        <v>19</v>
      </c>
      <c r="M923" s="94">
        <v>44440.604166666664</v>
      </c>
      <c r="N923" s="94">
        <v>44440.729166666664</v>
      </c>
      <c r="O923" s="95" t="str">
        <f>PROPER(TEXT(Table1[[#This Row],[Fecha Inicio]],"mmmm"))</f>
        <v>Septiembre</v>
      </c>
      <c r="P923" s="96" t="s">
        <v>1989</v>
      </c>
      <c r="Q923" s="97" t="s">
        <v>6843</v>
      </c>
      <c r="R923" s="76">
        <f t="shared" si="70"/>
        <v>4</v>
      </c>
      <c r="S923" s="76">
        <f t="shared" si="71"/>
        <v>4</v>
      </c>
      <c r="T923" s="76" t="str">
        <f t="shared" si="72"/>
        <v>-</v>
      </c>
      <c r="U923" s="76" t="str">
        <f t="shared" si="73"/>
        <v>-</v>
      </c>
      <c r="V923" s="76" t="str">
        <f t="shared" si="74"/>
        <v>-</v>
      </c>
      <c r="Z923" s="62"/>
    </row>
    <row r="924" spans="1:26" ht="40.15" customHeight="1" x14ac:dyDescent="0.25">
      <c r="A924" s="115">
        <v>34</v>
      </c>
      <c r="B924" s="89" t="s">
        <v>1550</v>
      </c>
      <c r="C924" s="89" t="s">
        <v>6943</v>
      </c>
      <c r="D924" s="89" t="s">
        <v>1570</v>
      </c>
      <c r="E924" s="89" t="s">
        <v>1571</v>
      </c>
      <c r="F924" s="87" t="s">
        <v>1556</v>
      </c>
      <c r="G924" s="92" t="s">
        <v>1557</v>
      </c>
      <c r="H924" s="93" t="s">
        <v>6931</v>
      </c>
      <c r="I924" s="87" t="s">
        <v>4060</v>
      </c>
      <c r="J924" s="87" t="s">
        <v>1654</v>
      </c>
      <c r="K924" s="87" t="s">
        <v>1575</v>
      </c>
      <c r="L924" s="126" t="s">
        <v>19</v>
      </c>
      <c r="M924" s="94">
        <v>44440.625</v>
      </c>
      <c r="N924" s="94">
        <v>44442.416666666664</v>
      </c>
      <c r="O924" s="95" t="str">
        <f>PROPER(TEXT(Table1[[#This Row],[Fecha Inicio]],"mmmm"))</f>
        <v>Septiembre</v>
      </c>
      <c r="P924" s="96" t="s">
        <v>2095</v>
      </c>
      <c r="Q924" s="97" t="s">
        <v>6930</v>
      </c>
      <c r="R924" s="76">
        <f t="shared" si="70"/>
        <v>8</v>
      </c>
      <c r="S924" s="76">
        <f t="shared" si="71"/>
        <v>8</v>
      </c>
      <c r="T924" s="76" t="str">
        <f t="shared" si="72"/>
        <v>-</v>
      </c>
      <c r="U924" s="76" t="str">
        <f t="shared" si="73"/>
        <v>-</v>
      </c>
      <c r="V924" s="76" t="str">
        <f t="shared" si="74"/>
        <v>-</v>
      </c>
      <c r="Z924" s="62"/>
    </row>
    <row r="925" spans="1:26" ht="40.15" customHeight="1" x14ac:dyDescent="0.25">
      <c r="A925" s="87">
        <v>34</v>
      </c>
      <c r="B925" s="89" t="s">
        <v>1552</v>
      </c>
      <c r="C925" s="89" t="s">
        <v>6929</v>
      </c>
      <c r="D925" s="89" t="s">
        <v>1570</v>
      </c>
      <c r="E925" s="89" t="s">
        <v>1571</v>
      </c>
      <c r="F925" s="87" t="s">
        <v>1556</v>
      </c>
      <c r="G925" s="92" t="s">
        <v>1965</v>
      </c>
      <c r="H925" s="93" t="s">
        <v>6923</v>
      </c>
      <c r="I925" s="87" t="s">
        <v>4060</v>
      </c>
      <c r="J925" s="87" t="s">
        <v>1654</v>
      </c>
      <c r="K925" s="87" t="s">
        <v>1575</v>
      </c>
      <c r="L925" s="126" t="s">
        <v>19</v>
      </c>
      <c r="M925" s="94">
        <v>44440.958333333336</v>
      </c>
      <c r="N925" s="94">
        <v>44441.083333333336</v>
      </c>
      <c r="O925" s="95" t="str">
        <f>PROPER(TEXT(Table1[[#This Row],[Fecha Inicio]],"mmmm"))</f>
        <v>Septiembre</v>
      </c>
      <c r="P925" s="96" t="s">
        <v>2095</v>
      </c>
      <c r="Q925" s="97" t="s">
        <v>6928</v>
      </c>
      <c r="R925" s="76">
        <f t="shared" si="70"/>
        <v>8</v>
      </c>
      <c r="S925" s="76" t="str">
        <f t="shared" si="71"/>
        <v>-</v>
      </c>
      <c r="T925" s="76" t="str">
        <f t="shared" si="72"/>
        <v>-</v>
      </c>
      <c r="U925" s="76">
        <f t="shared" si="73"/>
        <v>8</v>
      </c>
      <c r="V925" s="76" t="str">
        <f t="shared" si="74"/>
        <v>-</v>
      </c>
      <c r="Z925" s="62"/>
    </row>
    <row r="926" spans="1:26" ht="40.15" customHeight="1" x14ac:dyDescent="0.25">
      <c r="A926" s="115">
        <v>34</v>
      </c>
      <c r="B926" s="116" t="s">
        <v>1550</v>
      </c>
      <c r="C926" s="89" t="s">
        <v>4250</v>
      </c>
      <c r="D926" s="89" t="s">
        <v>1570</v>
      </c>
      <c r="E926" s="89" t="s">
        <v>1571</v>
      </c>
      <c r="F926" s="87" t="s">
        <v>1556</v>
      </c>
      <c r="G926" s="92" t="s">
        <v>1557</v>
      </c>
      <c r="H926" s="93" t="s">
        <v>6924</v>
      </c>
      <c r="I926" s="87" t="s">
        <v>4036</v>
      </c>
      <c r="J926" s="87" t="s">
        <v>1595</v>
      </c>
      <c r="K926" s="87" t="s">
        <v>1596</v>
      </c>
      <c r="L926" s="126" t="s">
        <v>19</v>
      </c>
      <c r="M926" s="94">
        <v>44441.958333333336</v>
      </c>
      <c r="N926" s="94">
        <v>44442.041666666664</v>
      </c>
      <c r="O926" s="95" t="str">
        <f>PROPER(TEXT(Table1[[#This Row],[Fecha Inicio]],"mmmm"))</f>
        <v>Septiembre</v>
      </c>
      <c r="P926" s="96" t="s">
        <v>1597</v>
      </c>
      <c r="Q926" s="97" t="s">
        <v>6925</v>
      </c>
      <c r="R926" s="76">
        <f t="shared" si="70"/>
        <v>2</v>
      </c>
      <c r="S926" s="76">
        <f t="shared" si="71"/>
        <v>2</v>
      </c>
      <c r="T926" s="76" t="str">
        <f t="shared" si="72"/>
        <v>-</v>
      </c>
      <c r="U926" s="76" t="str">
        <f t="shared" si="73"/>
        <v>-</v>
      </c>
      <c r="V926" s="76" t="str">
        <f t="shared" si="74"/>
        <v>-</v>
      </c>
      <c r="Z926" s="62"/>
    </row>
    <row r="927" spans="1:26" ht="40.15" customHeight="1" x14ac:dyDescent="0.25">
      <c r="A927" s="115">
        <v>35</v>
      </c>
      <c r="B927" s="89" t="s">
        <v>1550</v>
      </c>
      <c r="C927" s="116" t="s">
        <v>6950</v>
      </c>
      <c r="D927" s="89" t="s">
        <v>1623</v>
      </c>
      <c r="E927" s="89" t="s">
        <v>1624</v>
      </c>
      <c r="F927" s="87" t="s">
        <v>1556</v>
      </c>
      <c r="G927" s="92" t="s">
        <v>1557</v>
      </c>
      <c r="H927" s="93" t="s">
        <v>6948</v>
      </c>
      <c r="I927" s="87" t="s">
        <v>1685</v>
      </c>
      <c r="J927" s="87" t="s">
        <v>1627</v>
      </c>
      <c r="K927" s="87" t="s">
        <v>1575</v>
      </c>
      <c r="L927" s="126" t="s">
        <v>19</v>
      </c>
      <c r="M927" s="118">
        <v>44442.5</v>
      </c>
      <c r="N927" s="118">
        <v>44442.625</v>
      </c>
      <c r="O927" s="119" t="str">
        <f>PROPER(TEXT(Table1[[#This Row],[Fecha Inicio]],"mmmm"))</f>
        <v>Septiembre</v>
      </c>
      <c r="P927" s="120" t="s">
        <v>2764</v>
      </c>
      <c r="Q927" s="97" t="s">
        <v>6949</v>
      </c>
      <c r="R927" s="76">
        <f t="shared" si="70"/>
        <v>2</v>
      </c>
      <c r="S927" s="76">
        <f t="shared" si="71"/>
        <v>2</v>
      </c>
      <c r="T927" s="76" t="str">
        <f t="shared" si="72"/>
        <v>-</v>
      </c>
      <c r="U927" s="76" t="str">
        <f t="shared" si="73"/>
        <v>-</v>
      </c>
      <c r="V927" s="76" t="str">
        <f t="shared" si="74"/>
        <v>-</v>
      </c>
      <c r="Z927" s="62"/>
    </row>
    <row r="928" spans="1:26" ht="40.15" customHeight="1" x14ac:dyDescent="0.25">
      <c r="A928" s="115">
        <v>34</v>
      </c>
      <c r="B928" s="89" t="s">
        <v>1550</v>
      </c>
      <c r="C928" s="116" t="s">
        <v>4250</v>
      </c>
      <c r="D928" s="89" t="s">
        <v>1570</v>
      </c>
      <c r="E928" s="89" t="s">
        <v>1571</v>
      </c>
      <c r="F928" s="87" t="s">
        <v>1556</v>
      </c>
      <c r="G928" s="92" t="s">
        <v>1557</v>
      </c>
      <c r="H928" s="93" t="s">
        <v>6927</v>
      </c>
      <c r="I928" s="87" t="s">
        <v>3281</v>
      </c>
      <c r="J928" s="87" t="s">
        <v>1694</v>
      </c>
      <c r="K928" s="87" t="s">
        <v>2240</v>
      </c>
      <c r="L928" s="126" t="s">
        <v>19</v>
      </c>
      <c r="M928" s="94">
        <v>44442.958333333336</v>
      </c>
      <c r="N928" s="94">
        <v>44443.083333333336</v>
      </c>
      <c r="O928" s="95" t="str">
        <f>PROPER(TEXT(Table1[[#This Row],[Fecha Inicio]],"mmmm"))</f>
        <v>Septiembre</v>
      </c>
      <c r="P928" s="96" t="s">
        <v>4080</v>
      </c>
      <c r="Q928" s="97" t="s">
        <v>6926</v>
      </c>
      <c r="R928" s="76">
        <f t="shared" si="70"/>
        <v>1</v>
      </c>
      <c r="S928" s="76">
        <f t="shared" si="71"/>
        <v>1</v>
      </c>
      <c r="T928" s="76" t="str">
        <f t="shared" si="72"/>
        <v>-</v>
      </c>
      <c r="U928" s="76" t="str">
        <f t="shared" si="73"/>
        <v>-</v>
      </c>
      <c r="V928" s="76" t="str">
        <f t="shared" si="74"/>
        <v>-</v>
      </c>
      <c r="Z928" s="62"/>
    </row>
    <row r="929" spans="1:26" ht="40.15" customHeight="1" x14ac:dyDescent="0.25">
      <c r="A929" s="87">
        <v>34</v>
      </c>
      <c r="B929" s="89" t="s">
        <v>1550</v>
      </c>
      <c r="C929" s="116" t="s">
        <v>4250</v>
      </c>
      <c r="D929" s="89" t="s">
        <v>1570</v>
      </c>
      <c r="E929" s="89" t="s">
        <v>1571</v>
      </c>
      <c r="F929" s="87" t="s">
        <v>1556</v>
      </c>
      <c r="G929" s="92" t="s">
        <v>1557</v>
      </c>
      <c r="H929" s="93" t="s">
        <v>6933</v>
      </c>
      <c r="I929" s="87" t="s">
        <v>4054</v>
      </c>
      <c r="J929" s="87" t="s">
        <v>1755</v>
      </c>
      <c r="K929" s="87" t="s">
        <v>4055</v>
      </c>
      <c r="L929" s="126" t="s">
        <v>19</v>
      </c>
      <c r="M929" s="94">
        <v>44443.958333333336</v>
      </c>
      <c r="N929" s="94">
        <v>44444.041666666664</v>
      </c>
      <c r="O929" s="95" t="str">
        <f>PROPER(TEXT(Table1[[#This Row],[Fecha Inicio]],"mmmm"))</f>
        <v>Septiembre</v>
      </c>
      <c r="P929" s="96" t="s">
        <v>1756</v>
      </c>
      <c r="Q929" s="97" t="s">
        <v>6932</v>
      </c>
      <c r="R929" s="76">
        <f t="shared" si="70"/>
        <v>1</v>
      </c>
      <c r="S929" s="76">
        <f t="shared" si="71"/>
        <v>1</v>
      </c>
      <c r="T929" s="76" t="str">
        <f t="shared" si="72"/>
        <v>-</v>
      </c>
      <c r="U929" s="76" t="str">
        <f t="shared" si="73"/>
        <v>-</v>
      </c>
      <c r="V929" s="76" t="str">
        <f t="shared" si="74"/>
        <v>-</v>
      </c>
      <c r="Z929" s="62"/>
    </row>
    <row r="930" spans="1:26" ht="40.15" customHeight="1" x14ac:dyDescent="0.25">
      <c r="A930" s="87">
        <v>34</v>
      </c>
      <c r="B930" s="89" t="s">
        <v>1550</v>
      </c>
      <c r="C930" s="116" t="s">
        <v>4250</v>
      </c>
      <c r="D930" s="89" t="s">
        <v>1570</v>
      </c>
      <c r="E930" s="89" t="s">
        <v>1571</v>
      </c>
      <c r="F930" s="87" t="s">
        <v>1556</v>
      </c>
      <c r="G930" s="92" t="s">
        <v>1557</v>
      </c>
      <c r="H930" s="93" t="s">
        <v>6935</v>
      </c>
      <c r="I930" s="87" t="s">
        <v>4086</v>
      </c>
      <c r="J930" s="87" t="s">
        <v>1724</v>
      </c>
      <c r="K930" s="87" t="s">
        <v>1575</v>
      </c>
      <c r="L930" s="126" t="s">
        <v>19</v>
      </c>
      <c r="M930" s="94">
        <v>44444.958333333336</v>
      </c>
      <c r="N930" s="94">
        <v>44445.083333333336</v>
      </c>
      <c r="O930" s="95" t="str">
        <f>PROPER(TEXT(Table1[[#This Row],[Fecha Inicio]],"mmmm"))</f>
        <v>Septiembre</v>
      </c>
      <c r="P930" s="96" t="s">
        <v>1725</v>
      </c>
      <c r="Q930" s="97" t="s">
        <v>6934</v>
      </c>
      <c r="R930" s="76">
        <f t="shared" si="70"/>
        <v>13</v>
      </c>
      <c r="S930" s="76">
        <f t="shared" si="71"/>
        <v>13</v>
      </c>
      <c r="T930" s="76" t="str">
        <f t="shared" si="72"/>
        <v>-</v>
      </c>
      <c r="U930" s="76" t="str">
        <f t="shared" si="73"/>
        <v>-</v>
      </c>
      <c r="V930" s="76" t="str">
        <f t="shared" si="74"/>
        <v>-</v>
      </c>
      <c r="Z930" s="62"/>
    </row>
    <row r="931" spans="1:26" ht="40.15" customHeight="1" x14ac:dyDescent="0.25">
      <c r="A931" s="115">
        <v>35</v>
      </c>
      <c r="B931" s="90" t="s">
        <v>1550</v>
      </c>
      <c r="C931" s="116" t="s">
        <v>6968</v>
      </c>
      <c r="D931" s="90" t="s">
        <v>1623</v>
      </c>
      <c r="E931" s="90" t="s">
        <v>1624</v>
      </c>
      <c r="F931" s="123" t="s">
        <v>1556</v>
      </c>
      <c r="G931" s="92" t="s">
        <v>1557</v>
      </c>
      <c r="H931" s="93" t="s">
        <v>6953</v>
      </c>
      <c r="I931" s="87" t="s">
        <v>6951</v>
      </c>
      <c r="J931" s="87" t="s">
        <v>2085</v>
      </c>
      <c r="K931" s="115" t="s">
        <v>1575</v>
      </c>
      <c r="L931" s="116" t="s">
        <v>3890</v>
      </c>
      <c r="M931" s="118">
        <v>44445.375</v>
      </c>
      <c r="N931" s="118">
        <v>44445.583333333336</v>
      </c>
      <c r="O931" s="119" t="str">
        <f>PROPER(TEXT(Table1[[#This Row],[Fecha Inicio]],"mmmm"))</f>
        <v>Septiembre</v>
      </c>
      <c r="P931" s="120" t="s">
        <v>6952</v>
      </c>
      <c r="Q931" s="121" t="s">
        <v>6954</v>
      </c>
      <c r="R931" s="76">
        <f t="shared" si="70"/>
        <v>1</v>
      </c>
      <c r="S931" s="76">
        <f t="shared" si="71"/>
        <v>1</v>
      </c>
      <c r="T931" s="76" t="str">
        <f t="shared" si="72"/>
        <v>-</v>
      </c>
      <c r="U931" s="76" t="str">
        <f t="shared" si="73"/>
        <v>-</v>
      </c>
      <c r="V931" s="76" t="str">
        <f t="shared" si="74"/>
        <v>-</v>
      </c>
      <c r="Z931" s="62"/>
    </row>
    <row r="932" spans="1:26" ht="40.15" customHeight="1" x14ac:dyDescent="0.25">
      <c r="A932" s="87">
        <v>35</v>
      </c>
      <c r="B932" s="89" t="s">
        <v>1550</v>
      </c>
      <c r="C932" s="89"/>
      <c r="D932" s="89" t="s">
        <v>1623</v>
      </c>
      <c r="E932" s="89" t="s">
        <v>4038</v>
      </c>
      <c r="F932" s="87" t="s">
        <v>1556</v>
      </c>
      <c r="G932" s="92" t="s">
        <v>1557</v>
      </c>
      <c r="H932" s="93" t="s">
        <v>6971</v>
      </c>
      <c r="I932" s="87" t="s">
        <v>1626</v>
      </c>
      <c r="J932" s="87" t="s">
        <v>1627</v>
      </c>
      <c r="K932" s="87" t="s">
        <v>1575</v>
      </c>
      <c r="L932" s="126" t="s">
        <v>19</v>
      </c>
      <c r="M932" s="94">
        <v>44445.5</v>
      </c>
      <c r="N932" s="94">
        <v>44445.625</v>
      </c>
      <c r="O932" s="95" t="str">
        <f>PROPER(TEXT(Table1[[#This Row],[Fecha Inicio]],"mmmm"))</f>
        <v>Septiembre</v>
      </c>
      <c r="P932" s="96" t="s">
        <v>1628</v>
      </c>
      <c r="Q932" s="97" t="s">
        <v>6972</v>
      </c>
      <c r="R932" s="76">
        <f t="shared" si="70"/>
        <v>2</v>
      </c>
      <c r="S932" s="76">
        <f t="shared" si="71"/>
        <v>2</v>
      </c>
      <c r="T932" s="76" t="str">
        <f t="shared" si="72"/>
        <v>-</v>
      </c>
      <c r="U932" s="76" t="str">
        <f t="shared" si="73"/>
        <v>-</v>
      </c>
      <c r="V932" s="76" t="str">
        <f t="shared" si="74"/>
        <v>-</v>
      </c>
      <c r="Z932" s="62"/>
    </row>
    <row r="933" spans="1:26" ht="40.15" customHeight="1" x14ac:dyDescent="0.25">
      <c r="A933" s="87">
        <v>35</v>
      </c>
      <c r="B933" s="89" t="s">
        <v>1550</v>
      </c>
      <c r="C933" s="89" t="s">
        <v>6969</v>
      </c>
      <c r="D933" s="89" t="s">
        <v>6963</v>
      </c>
      <c r="E933" s="89" t="s">
        <v>1571</v>
      </c>
      <c r="F933" s="87" t="s">
        <v>1556</v>
      </c>
      <c r="G933" s="92" t="s">
        <v>1557</v>
      </c>
      <c r="H933" s="93" t="s">
        <v>6961</v>
      </c>
      <c r="I933" s="87" t="s">
        <v>6959</v>
      </c>
      <c r="J933" s="87" t="s">
        <v>1583</v>
      </c>
      <c r="K933" s="87" t="s">
        <v>1584</v>
      </c>
      <c r="L933" s="115" t="s">
        <v>3890</v>
      </c>
      <c r="M933" s="118">
        <v>44445.958333333336</v>
      </c>
      <c r="N933" s="118">
        <v>44446.083333333336</v>
      </c>
      <c r="O933" s="95" t="str">
        <f>PROPER(TEXT(Table1[[#This Row],[Fecha Inicio]],"mmmm"))</f>
        <v>Septiembre</v>
      </c>
      <c r="P933" s="96" t="s">
        <v>6960</v>
      </c>
      <c r="Q933" s="97" t="s">
        <v>6962</v>
      </c>
      <c r="R933" s="76">
        <f t="shared" si="70"/>
        <v>18</v>
      </c>
      <c r="S933" s="76">
        <f t="shared" si="71"/>
        <v>18</v>
      </c>
      <c r="T933" s="76" t="str">
        <f t="shared" si="72"/>
        <v>-</v>
      </c>
      <c r="U933" s="76" t="str">
        <f t="shared" si="73"/>
        <v>-</v>
      </c>
      <c r="V933" s="76" t="str">
        <f t="shared" si="74"/>
        <v>-</v>
      </c>
      <c r="Z933" s="62"/>
    </row>
    <row r="934" spans="1:26" ht="40.15" customHeight="1" x14ac:dyDescent="0.25">
      <c r="A934" s="87">
        <v>34</v>
      </c>
      <c r="B934" s="89" t="s">
        <v>1550</v>
      </c>
      <c r="C934" s="116" t="s">
        <v>4250</v>
      </c>
      <c r="D934" s="89" t="s">
        <v>1570</v>
      </c>
      <c r="E934" s="89" t="s">
        <v>1571</v>
      </c>
      <c r="F934" s="87" t="s">
        <v>1556</v>
      </c>
      <c r="G934" s="92" t="s">
        <v>1557</v>
      </c>
      <c r="H934" s="93" t="s">
        <v>6937</v>
      </c>
      <c r="I934" s="87" t="s">
        <v>4083</v>
      </c>
      <c r="J934" s="87" t="s">
        <v>1708</v>
      </c>
      <c r="K934" s="87" t="s">
        <v>1709</v>
      </c>
      <c r="L934" s="126" t="s">
        <v>19</v>
      </c>
      <c r="M934" s="94">
        <v>44445.958333333336</v>
      </c>
      <c r="N934" s="94">
        <v>44446.083333333336</v>
      </c>
      <c r="O934" s="95" t="str">
        <f>PROPER(TEXT(Table1[[#This Row],[Fecha Inicio]],"mmmm"))</f>
        <v>Septiembre</v>
      </c>
      <c r="P934" s="96" t="s">
        <v>1710</v>
      </c>
      <c r="Q934" s="97" t="s">
        <v>6936</v>
      </c>
      <c r="R934" s="76">
        <f t="shared" si="70"/>
        <v>15</v>
      </c>
      <c r="S934" s="76">
        <f t="shared" si="71"/>
        <v>15</v>
      </c>
      <c r="T934" s="76" t="str">
        <f t="shared" si="72"/>
        <v>-</v>
      </c>
      <c r="U934" s="76" t="str">
        <f t="shared" si="73"/>
        <v>-</v>
      </c>
      <c r="V934" s="76" t="str">
        <f t="shared" si="74"/>
        <v>-</v>
      </c>
      <c r="Z934" s="62"/>
    </row>
    <row r="935" spans="1:26" ht="40.15" customHeight="1" x14ac:dyDescent="0.25">
      <c r="A935" s="87">
        <v>34</v>
      </c>
      <c r="B935" s="89" t="s">
        <v>1550</v>
      </c>
      <c r="C935" s="116" t="s">
        <v>4250</v>
      </c>
      <c r="D935" s="89" t="s">
        <v>1570</v>
      </c>
      <c r="E935" s="89" t="s">
        <v>1571</v>
      </c>
      <c r="F935" s="87" t="s">
        <v>1556</v>
      </c>
      <c r="G935" s="92" t="s">
        <v>1557</v>
      </c>
      <c r="H935" s="93" t="s">
        <v>6939</v>
      </c>
      <c r="I935" s="87" t="s">
        <v>4069</v>
      </c>
      <c r="J935" s="91" t="s">
        <v>1574</v>
      </c>
      <c r="K935" s="87" t="s">
        <v>1575</v>
      </c>
      <c r="L935" s="126" t="s">
        <v>19</v>
      </c>
      <c r="M935" s="94">
        <v>44446.958333333336</v>
      </c>
      <c r="N935" s="94">
        <v>44447.041666666664</v>
      </c>
      <c r="O935" s="95" t="str">
        <f>PROPER(TEXT(Table1[[#This Row],[Fecha Inicio]],"mmmm"))</f>
        <v>Septiembre</v>
      </c>
      <c r="P935" s="96" t="s">
        <v>1576</v>
      </c>
      <c r="Q935" s="97" t="s">
        <v>6938</v>
      </c>
      <c r="R935" s="76">
        <f t="shared" si="70"/>
        <v>5</v>
      </c>
      <c r="S935" s="76">
        <f t="shared" si="71"/>
        <v>5</v>
      </c>
      <c r="T935" s="76" t="str">
        <f t="shared" si="72"/>
        <v>-</v>
      </c>
      <c r="U935" s="76" t="str">
        <f t="shared" si="73"/>
        <v>-</v>
      </c>
      <c r="V935" s="76" t="str">
        <f t="shared" si="74"/>
        <v>-</v>
      </c>
      <c r="Z935" s="62"/>
    </row>
    <row r="936" spans="1:26" ht="40.15" customHeight="1" x14ac:dyDescent="0.25">
      <c r="A936" s="87">
        <v>36</v>
      </c>
      <c r="B936" s="89" t="s">
        <v>1550</v>
      </c>
      <c r="C936" s="116" t="s">
        <v>6968</v>
      </c>
      <c r="D936" s="90" t="s">
        <v>1623</v>
      </c>
      <c r="E936" s="90" t="s">
        <v>1624</v>
      </c>
      <c r="F936" s="123" t="s">
        <v>1556</v>
      </c>
      <c r="G936" s="92" t="s">
        <v>1557</v>
      </c>
      <c r="H936" s="93" t="s">
        <v>6987</v>
      </c>
      <c r="I936" s="87" t="s">
        <v>6986</v>
      </c>
      <c r="J936" s="87" t="s">
        <v>2085</v>
      </c>
      <c r="K936" s="115" t="s">
        <v>1575</v>
      </c>
      <c r="L936" s="116" t="s">
        <v>3890</v>
      </c>
      <c r="M936" s="118">
        <v>44447.375</v>
      </c>
      <c r="N936" s="118">
        <v>44447.583333333336</v>
      </c>
      <c r="O936" s="95" t="str">
        <f>PROPER(TEXT(Table1[[#This Row],[Fecha Inicio]],"mmmm"))</f>
        <v>Septiembre</v>
      </c>
      <c r="P936" s="96" t="s">
        <v>6985</v>
      </c>
      <c r="Q936" s="97" t="s">
        <v>6988</v>
      </c>
      <c r="R936" s="76">
        <f t="shared" si="70"/>
        <v>1</v>
      </c>
      <c r="S936" s="76">
        <f t="shared" si="71"/>
        <v>1</v>
      </c>
      <c r="T936" s="76" t="str">
        <f t="shared" si="72"/>
        <v>-</v>
      </c>
      <c r="U936" s="76" t="str">
        <f t="shared" si="73"/>
        <v>-</v>
      </c>
      <c r="V936" s="76" t="str">
        <f t="shared" si="74"/>
        <v>-</v>
      </c>
      <c r="Z936" s="62"/>
    </row>
    <row r="937" spans="1:26" ht="40.15" customHeight="1" x14ac:dyDescent="0.25">
      <c r="A937" s="87">
        <v>36</v>
      </c>
      <c r="B937" s="89" t="s">
        <v>4231</v>
      </c>
      <c r="C937" s="89" t="s">
        <v>6996</v>
      </c>
      <c r="D937" s="89" t="s">
        <v>326</v>
      </c>
      <c r="E937" s="89" t="s">
        <v>1555</v>
      </c>
      <c r="F937" s="87" t="s">
        <v>1556</v>
      </c>
      <c r="G937" s="92" t="s">
        <v>1557</v>
      </c>
      <c r="H937" s="93" t="s">
        <v>6983</v>
      </c>
      <c r="I937" s="87" t="s">
        <v>6982</v>
      </c>
      <c r="J937" s="87" t="s">
        <v>1595</v>
      </c>
      <c r="K937" s="87" t="s">
        <v>1596</v>
      </c>
      <c r="L937" s="87" t="s">
        <v>52</v>
      </c>
      <c r="M937" s="94">
        <v>44447.375</v>
      </c>
      <c r="N937" s="94">
        <v>44447.625</v>
      </c>
      <c r="O937" s="95" t="str">
        <f>PROPER(TEXT(Table1[[#This Row],[Fecha Inicio]],"mmmm"))</f>
        <v>Septiembre</v>
      </c>
      <c r="P937" s="96" t="s">
        <v>6981</v>
      </c>
      <c r="Q937" s="97" t="s">
        <v>6984</v>
      </c>
      <c r="R937" s="76">
        <f t="shared" si="70"/>
        <v>1</v>
      </c>
      <c r="S937" s="76" t="str">
        <f t="shared" si="71"/>
        <v>-</v>
      </c>
      <c r="T937" s="76" t="str">
        <f t="shared" si="72"/>
        <v>-</v>
      </c>
      <c r="U937" s="76" t="str">
        <f t="shared" si="73"/>
        <v>-</v>
      </c>
      <c r="V937" s="76" t="str">
        <f t="shared" si="74"/>
        <v>-</v>
      </c>
      <c r="Z937" s="62"/>
    </row>
    <row r="938" spans="1:26" ht="40.15" customHeight="1" x14ac:dyDescent="0.25">
      <c r="A938" s="115">
        <v>35</v>
      </c>
      <c r="B938" s="89" t="s">
        <v>1550</v>
      </c>
      <c r="C938" s="89" t="s">
        <v>4400</v>
      </c>
      <c r="D938" s="89" t="s">
        <v>344</v>
      </c>
      <c r="E938" s="89" t="s">
        <v>1616</v>
      </c>
      <c r="F938" s="87" t="s">
        <v>1556</v>
      </c>
      <c r="G938" s="92" t="s">
        <v>1557</v>
      </c>
      <c r="H938" s="93" t="s">
        <v>6946</v>
      </c>
      <c r="I938" s="87" t="s">
        <v>1823</v>
      </c>
      <c r="J938" s="87" t="s">
        <v>1824</v>
      </c>
      <c r="K938" s="87" t="s">
        <v>1825</v>
      </c>
      <c r="L938" s="126" t="s">
        <v>19</v>
      </c>
      <c r="M938" s="94">
        <v>44447.416666666664</v>
      </c>
      <c r="N938" s="94">
        <v>44447.666666666664</v>
      </c>
      <c r="O938" s="119" t="str">
        <f>PROPER(TEXT(Table1[[#This Row],[Fecha Inicio]],"mmmm"))</f>
        <v>Septiembre</v>
      </c>
      <c r="P938" s="96" t="s">
        <v>2553</v>
      </c>
      <c r="Q938" s="97" t="s">
        <v>6947</v>
      </c>
      <c r="R938" s="76">
        <f t="shared" si="70"/>
        <v>3</v>
      </c>
      <c r="S938" s="76">
        <f t="shared" si="71"/>
        <v>3</v>
      </c>
      <c r="T938" s="76" t="str">
        <f t="shared" si="72"/>
        <v>-</v>
      </c>
      <c r="U938" s="76" t="str">
        <f t="shared" si="73"/>
        <v>-</v>
      </c>
      <c r="V938" s="76" t="str">
        <f t="shared" si="74"/>
        <v>-</v>
      </c>
      <c r="Z938" s="62"/>
    </row>
    <row r="939" spans="1:26" ht="40.15" customHeight="1" x14ac:dyDescent="0.25">
      <c r="A939" s="87">
        <v>35</v>
      </c>
      <c r="B939" s="89" t="s">
        <v>1550</v>
      </c>
      <c r="C939" s="89" t="s">
        <v>6969</v>
      </c>
      <c r="D939" s="89" t="s">
        <v>6963</v>
      </c>
      <c r="E939" s="89" t="s">
        <v>1571</v>
      </c>
      <c r="F939" s="87" t="s">
        <v>1556</v>
      </c>
      <c r="G939" s="92" t="s">
        <v>1557</v>
      </c>
      <c r="H939" s="93" t="s">
        <v>6966</v>
      </c>
      <c r="I939" s="87" t="s">
        <v>6964</v>
      </c>
      <c r="J939" s="87" t="s">
        <v>1583</v>
      </c>
      <c r="K939" s="87" t="s">
        <v>1584</v>
      </c>
      <c r="L939" s="115" t="s">
        <v>3890</v>
      </c>
      <c r="M939" s="118">
        <v>44447.958333333336</v>
      </c>
      <c r="N939" s="118">
        <v>44448.125</v>
      </c>
      <c r="O939" s="95" t="str">
        <f>PROPER(TEXT(Table1[[#This Row],[Fecha Inicio]],"mmmm"))</f>
        <v>Septiembre</v>
      </c>
      <c r="P939" s="96" t="s">
        <v>6965</v>
      </c>
      <c r="Q939" s="97" t="s">
        <v>6967</v>
      </c>
      <c r="R939" s="76">
        <f t="shared" si="70"/>
        <v>40</v>
      </c>
      <c r="S939" s="76">
        <f t="shared" si="71"/>
        <v>40</v>
      </c>
      <c r="T939" s="76" t="str">
        <f t="shared" si="72"/>
        <v>-</v>
      </c>
      <c r="U939" s="76" t="str">
        <f t="shared" si="73"/>
        <v>-</v>
      </c>
      <c r="V939" s="76" t="str">
        <f t="shared" si="74"/>
        <v>-</v>
      </c>
      <c r="Z939" s="62"/>
    </row>
    <row r="940" spans="1:26" ht="40.15" customHeight="1" x14ac:dyDescent="0.25">
      <c r="A940" s="87">
        <v>34</v>
      </c>
      <c r="B940" s="89" t="s">
        <v>1550</v>
      </c>
      <c r="C940" s="89" t="s">
        <v>6970</v>
      </c>
      <c r="D940" s="89" t="s">
        <v>1570</v>
      </c>
      <c r="E940" s="89" t="s">
        <v>1571</v>
      </c>
      <c r="F940" s="87" t="s">
        <v>1556</v>
      </c>
      <c r="G940" s="92" t="s">
        <v>1557</v>
      </c>
      <c r="H940" s="93" t="s">
        <v>6941</v>
      </c>
      <c r="I940" s="87" t="s">
        <v>3232</v>
      </c>
      <c r="J940" s="87" t="s">
        <v>1790</v>
      </c>
      <c r="K940" s="87" t="s">
        <v>1791</v>
      </c>
      <c r="L940" s="126" t="s">
        <v>19</v>
      </c>
      <c r="M940" s="94">
        <v>44447.958333333336</v>
      </c>
      <c r="N940" s="94">
        <v>44448.125</v>
      </c>
      <c r="O940" s="95" t="str">
        <f>PROPER(TEXT(Table1[[#This Row],[Fecha Inicio]],"mmmm"))</f>
        <v>Septiembre</v>
      </c>
      <c r="P940" s="96" t="s">
        <v>1792</v>
      </c>
      <c r="Q940" s="97" t="s">
        <v>6940</v>
      </c>
      <c r="R940" s="76">
        <f t="shared" si="70"/>
        <v>113</v>
      </c>
      <c r="S940" s="76">
        <f t="shared" si="71"/>
        <v>113</v>
      </c>
      <c r="T940" s="76" t="str">
        <f t="shared" si="72"/>
        <v>-</v>
      </c>
      <c r="U940" s="76" t="str">
        <f t="shared" si="73"/>
        <v>-</v>
      </c>
      <c r="V940" s="76" t="str">
        <f t="shared" si="74"/>
        <v>-</v>
      </c>
      <c r="Z940" s="62"/>
    </row>
    <row r="941" spans="1:26" ht="40.15" customHeight="1" x14ac:dyDescent="0.25">
      <c r="A941" s="115">
        <v>35</v>
      </c>
      <c r="B941" s="89" t="s">
        <v>1550</v>
      </c>
      <c r="C941" s="89" t="s">
        <v>4400</v>
      </c>
      <c r="D941" s="89" t="s">
        <v>344</v>
      </c>
      <c r="E941" s="89" t="s">
        <v>1616</v>
      </c>
      <c r="F941" s="87" t="s">
        <v>1556</v>
      </c>
      <c r="G941" s="92" t="s">
        <v>1557</v>
      </c>
      <c r="H941" s="93" t="s">
        <v>6944</v>
      </c>
      <c r="I941" s="87" t="s">
        <v>1871</v>
      </c>
      <c r="J941" s="87" t="s">
        <v>1824</v>
      </c>
      <c r="K941" s="87" t="s">
        <v>1825</v>
      </c>
      <c r="L941" s="126" t="s">
        <v>19</v>
      </c>
      <c r="M941" s="94">
        <v>44448.416666666664</v>
      </c>
      <c r="N941" s="94">
        <v>44448.666666666664</v>
      </c>
      <c r="O941" s="119" t="str">
        <f>PROPER(TEXT(Table1[[#This Row],[Fecha Inicio]],"mmmm"))</f>
        <v>Septiembre</v>
      </c>
      <c r="P941" s="96" t="s">
        <v>2568</v>
      </c>
      <c r="Q941" s="97" t="s">
        <v>6945</v>
      </c>
      <c r="R941" s="76">
        <f t="shared" si="70"/>
        <v>3</v>
      </c>
      <c r="S941" s="76">
        <f t="shared" si="71"/>
        <v>3</v>
      </c>
      <c r="T941" s="76" t="str">
        <f t="shared" si="72"/>
        <v>-</v>
      </c>
      <c r="U941" s="76" t="str">
        <f t="shared" si="73"/>
        <v>-</v>
      </c>
      <c r="V941" s="76" t="str">
        <f t="shared" si="74"/>
        <v>-</v>
      </c>
      <c r="Z941" s="62"/>
    </row>
    <row r="942" spans="1:26" ht="40.15" customHeight="1" x14ac:dyDescent="0.25">
      <c r="A942" s="87">
        <v>36</v>
      </c>
      <c r="B942" s="89" t="s">
        <v>1550</v>
      </c>
      <c r="C942" s="116" t="s">
        <v>6950</v>
      </c>
      <c r="D942" s="89" t="s">
        <v>1623</v>
      </c>
      <c r="E942" s="89" t="s">
        <v>1624</v>
      </c>
      <c r="F942" s="87" t="s">
        <v>1556</v>
      </c>
      <c r="G942" s="92" t="s">
        <v>1557</v>
      </c>
      <c r="H942" s="93" t="s">
        <v>6993</v>
      </c>
      <c r="I942" s="87" t="s">
        <v>1685</v>
      </c>
      <c r="J942" s="87" t="s">
        <v>1627</v>
      </c>
      <c r="K942" s="87" t="s">
        <v>1575</v>
      </c>
      <c r="L942" s="126" t="s">
        <v>19</v>
      </c>
      <c r="M942" s="118">
        <v>44448.5</v>
      </c>
      <c r="N942" s="118">
        <v>44448.625</v>
      </c>
      <c r="O942" s="95" t="str">
        <f>PROPER(TEXT(Table1[[#This Row],[Fecha Inicio]],"mmmm"))</f>
        <v>Septiembre</v>
      </c>
      <c r="P942" s="96" t="s">
        <v>2764</v>
      </c>
      <c r="Q942" s="97" t="s">
        <v>6994</v>
      </c>
      <c r="R942" s="76">
        <f t="shared" si="70"/>
        <v>2</v>
      </c>
      <c r="S942" s="76">
        <f t="shared" si="71"/>
        <v>2</v>
      </c>
      <c r="T942" s="76" t="str">
        <f t="shared" si="72"/>
        <v>-</v>
      </c>
      <c r="U942" s="76" t="str">
        <f t="shared" si="73"/>
        <v>-</v>
      </c>
      <c r="V942" s="76" t="str">
        <f t="shared" si="74"/>
        <v>-</v>
      </c>
      <c r="Z942" s="62"/>
    </row>
    <row r="943" spans="1:26" ht="40.15" customHeight="1" x14ac:dyDescent="0.25">
      <c r="A943" s="115">
        <v>35</v>
      </c>
      <c r="B943" s="89" t="s">
        <v>1550</v>
      </c>
      <c r="C943" s="116" t="s">
        <v>6969</v>
      </c>
      <c r="D943" s="89" t="s">
        <v>6963</v>
      </c>
      <c r="E943" s="89" t="s">
        <v>1571</v>
      </c>
      <c r="F943" s="87" t="s">
        <v>1556</v>
      </c>
      <c r="G943" s="92" t="s">
        <v>1557</v>
      </c>
      <c r="H943" s="93" t="s">
        <v>6956</v>
      </c>
      <c r="I943" s="87" t="s">
        <v>6955</v>
      </c>
      <c r="J943" s="87" t="s">
        <v>1583</v>
      </c>
      <c r="K943" s="87" t="s">
        <v>1584</v>
      </c>
      <c r="L943" s="115" t="s">
        <v>3890</v>
      </c>
      <c r="M943" s="118">
        <v>44448.958333333336</v>
      </c>
      <c r="N943" s="118">
        <v>44449.125</v>
      </c>
      <c r="O943" s="119" t="str">
        <f>PROPER(TEXT(Table1[[#This Row],[Fecha Inicio]],"mmmm"))</f>
        <v>Septiembre</v>
      </c>
      <c r="P943" s="96" t="s">
        <v>6957</v>
      </c>
      <c r="Q943" s="97" t="s">
        <v>6958</v>
      </c>
      <c r="R943" s="76">
        <f t="shared" si="70"/>
        <v>44</v>
      </c>
      <c r="S943" s="76">
        <f t="shared" si="71"/>
        <v>44</v>
      </c>
      <c r="T943" s="76" t="str">
        <f t="shared" si="72"/>
        <v>-</v>
      </c>
      <c r="U943" s="76" t="str">
        <f t="shared" si="73"/>
        <v>-</v>
      </c>
      <c r="V943" s="76" t="str">
        <f t="shared" si="74"/>
        <v>-</v>
      </c>
      <c r="Z943" s="62"/>
    </row>
    <row r="944" spans="1:26" ht="40.15" customHeight="1" x14ac:dyDescent="0.25">
      <c r="A944" s="87">
        <v>36</v>
      </c>
      <c r="B944" s="89" t="s">
        <v>1550</v>
      </c>
      <c r="C944" s="89"/>
      <c r="D944" s="89" t="s">
        <v>1570</v>
      </c>
      <c r="E944" s="89" t="s">
        <v>1571</v>
      </c>
      <c r="F944" s="87" t="s">
        <v>1600</v>
      </c>
      <c r="G944" s="92" t="s">
        <v>1557</v>
      </c>
      <c r="H944" s="93" t="s">
        <v>7001</v>
      </c>
      <c r="I944" s="87" t="s">
        <v>4018</v>
      </c>
      <c r="J944" s="87" t="s">
        <v>2025</v>
      </c>
      <c r="K944" s="87" t="s">
        <v>6997</v>
      </c>
      <c r="L944" s="126" t="s">
        <v>19</v>
      </c>
      <c r="M944" s="94">
        <v>44451.958333333336</v>
      </c>
      <c r="N944" s="94">
        <v>44452.375</v>
      </c>
      <c r="O944" s="95" t="str">
        <f>PROPER(TEXT(Table1[[#This Row],[Fecha Inicio]],"mmmm"))</f>
        <v>Septiembre</v>
      </c>
      <c r="P944" s="96" t="s">
        <v>2026</v>
      </c>
      <c r="Q944" s="97" t="s">
        <v>7000</v>
      </c>
      <c r="R944" s="76">
        <f t="shared" si="70"/>
        <v>2</v>
      </c>
      <c r="S944" s="76">
        <f t="shared" si="71"/>
        <v>2</v>
      </c>
      <c r="T944" s="76" t="str">
        <f t="shared" si="72"/>
        <v>-</v>
      </c>
      <c r="U944" s="76" t="str">
        <f t="shared" si="73"/>
        <v>-</v>
      </c>
      <c r="V944" s="76" t="str">
        <f t="shared" si="74"/>
        <v>-</v>
      </c>
      <c r="Z944" s="62"/>
    </row>
    <row r="945" spans="1:26" ht="40.15" customHeight="1" x14ac:dyDescent="0.25">
      <c r="A945" s="87">
        <v>37</v>
      </c>
      <c r="B945" s="89" t="s">
        <v>1550</v>
      </c>
      <c r="C945" s="99" t="s">
        <v>6978</v>
      </c>
      <c r="D945" s="89" t="s">
        <v>344</v>
      </c>
      <c r="E945" s="89" t="s">
        <v>1616</v>
      </c>
      <c r="F945" s="87" t="s">
        <v>1556</v>
      </c>
      <c r="G945" s="92" t="s">
        <v>1557</v>
      </c>
      <c r="H945" s="93" t="s">
        <v>6991</v>
      </c>
      <c r="I945" s="87" t="s">
        <v>1765</v>
      </c>
      <c r="J945" s="87" t="s">
        <v>1766</v>
      </c>
      <c r="K945" s="87" t="s">
        <v>1575</v>
      </c>
      <c r="L945" s="126" t="s">
        <v>19</v>
      </c>
      <c r="M945" s="94">
        <v>44452.958333333336</v>
      </c>
      <c r="N945" s="94">
        <v>44453.125</v>
      </c>
      <c r="O945" s="95" t="str">
        <f>PROPER(TEXT(Table1[[#This Row],[Fecha Inicio]],"mmmm"))</f>
        <v>Septiembre</v>
      </c>
      <c r="P945" s="96" t="s">
        <v>3794</v>
      </c>
      <c r="Q945" s="97" t="s">
        <v>6992</v>
      </c>
      <c r="R945" s="76">
        <f t="shared" si="70"/>
        <v>3</v>
      </c>
      <c r="S945" s="76">
        <f t="shared" si="71"/>
        <v>3</v>
      </c>
      <c r="T945" s="76" t="str">
        <f t="shared" si="72"/>
        <v>-</v>
      </c>
      <c r="U945" s="76" t="str">
        <f t="shared" si="73"/>
        <v>-</v>
      </c>
      <c r="V945" s="76" t="str">
        <f t="shared" si="74"/>
        <v>-</v>
      </c>
      <c r="Z945" s="62"/>
    </row>
    <row r="946" spans="1:26" ht="40.15" customHeight="1" x14ac:dyDescent="0.25">
      <c r="A946" s="87">
        <v>37</v>
      </c>
      <c r="B946" s="89" t="s">
        <v>1550</v>
      </c>
      <c r="C946" s="89"/>
      <c r="D946" s="89" t="s">
        <v>1623</v>
      </c>
      <c r="E946" s="89" t="s">
        <v>4038</v>
      </c>
      <c r="F946" s="87" t="s">
        <v>1556</v>
      </c>
      <c r="G946" s="92" t="s">
        <v>1557</v>
      </c>
      <c r="H946" s="93" t="s">
        <v>7016</v>
      </c>
      <c r="I946" s="87" t="s">
        <v>2040</v>
      </c>
      <c r="J946" s="87" t="s">
        <v>1771</v>
      </c>
      <c r="K946" s="87" t="s">
        <v>1575</v>
      </c>
      <c r="L946" s="126" t="s">
        <v>19</v>
      </c>
      <c r="M946" s="94">
        <v>44453.291666666664</v>
      </c>
      <c r="N946" s="94">
        <v>44453.5</v>
      </c>
      <c r="O946" s="95" t="str">
        <f>PROPER(TEXT(Table1[[#This Row],[Fecha Inicio]],"mmmm"))</f>
        <v>Septiembre</v>
      </c>
      <c r="P946" s="96" t="s">
        <v>1772</v>
      </c>
      <c r="Q946" s="97" t="s">
        <v>7017</v>
      </c>
      <c r="R946" s="76">
        <f t="shared" si="70"/>
        <v>2</v>
      </c>
      <c r="S946" s="76">
        <f t="shared" si="71"/>
        <v>2</v>
      </c>
      <c r="T946" s="76" t="str">
        <f t="shared" si="72"/>
        <v>-</v>
      </c>
      <c r="U946" s="76" t="str">
        <f t="shared" si="73"/>
        <v>-</v>
      </c>
      <c r="V946" s="76" t="str">
        <f t="shared" si="74"/>
        <v>-</v>
      </c>
      <c r="Z946" s="62"/>
    </row>
    <row r="947" spans="1:26" ht="40.15" customHeight="1" x14ac:dyDescent="0.25">
      <c r="A947" s="87">
        <v>36</v>
      </c>
      <c r="B947" s="89" t="s">
        <v>1550</v>
      </c>
      <c r="C947" s="99"/>
      <c r="D947" s="89" t="s">
        <v>1554</v>
      </c>
      <c r="E947" s="89" t="s">
        <v>1555</v>
      </c>
      <c r="F947" s="87" t="s">
        <v>1556</v>
      </c>
      <c r="G947" s="92" t="s">
        <v>1557</v>
      </c>
      <c r="H947" s="93" t="s">
        <v>6998</v>
      </c>
      <c r="I947" s="87" t="s">
        <v>3587</v>
      </c>
      <c r="J947" s="87" t="s">
        <v>1719</v>
      </c>
      <c r="K947" s="87" t="s">
        <v>1575</v>
      </c>
      <c r="L947" s="87" t="s">
        <v>52</v>
      </c>
      <c r="M947" s="94">
        <v>44453.375</v>
      </c>
      <c r="N947" s="94">
        <v>44453.625</v>
      </c>
      <c r="O947" s="95" t="str">
        <f>PROPER(TEXT(Table1[[#This Row],[Fecha Inicio]],"mmmm"))</f>
        <v>Septiembre</v>
      </c>
      <c r="P947" s="96" t="s">
        <v>269</v>
      </c>
      <c r="Q947" s="97" t="s">
        <v>6999</v>
      </c>
      <c r="R947" s="76">
        <f t="shared" si="70"/>
        <v>1</v>
      </c>
      <c r="S947" s="76">
        <f t="shared" si="71"/>
        <v>1</v>
      </c>
      <c r="T947" s="76" t="str">
        <f t="shared" si="72"/>
        <v>-</v>
      </c>
      <c r="U947" s="76" t="str">
        <f t="shared" si="73"/>
        <v>-</v>
      </c>
      <c r="V947" s="76" t="str">
        <f t="shared" si="74"/>
        <v>-</v>
      </c>
      <c r="Z947" s="62"/>
    </row>
    <row r="948" spans="1:26" ht="40.15" customHeight="1" x14ac:dyDescent="0.25">
      <c r="A948" s="87">
        <v>36</v>
      </c>
      <c r="B948" s="89" t="s">
        <v>1550</v>
      </c>
      <c r="C948" s="99" t="s">
        <v>6995</v>
      </c>
      <c r="D948" s="89" t="s">
        <v>326</v>
      </c>
      <c r="E948" s="89" t="s">
        <v>1631</v>
      </c>
      <c r="F948" s="87" t="s">
        <v>1556</v>
      </c>
      <c r="G948" s="92" t="s">
        <v>1557</v>
      </c>
      <c r="H948" s="93" t="s">
        <v>6973</v>
      </c>
      <c r="I948" s="87" t="s">
        <v>1633</v>
      </c>
      <c r="J948" s="87" t="s">
        <v>1634</v>
      </c>
      <c r="K948" s="87" t="s">
        <v>1635</v>
      </c>
      <c r="L948" s="126" t="s">
        <v>19</v>
      </c>
      <c r="M948" s="94">
        <v>44453.895833333336</v>
      </c>
      <c r="N948" s="94">
        <v>44453.979166666664</v>
      </c>
      <c r="O948" s="95" t="str">
        <f>PROPER(TEXT(Table1[[#This Row],[Fecha Inicio]],"mmmm"))</f>
        <v>Septiembre</v>
      </c>
      <c r="P948" s="96" t="s">
        <v>1636</v>
      </c>
      <c r="Q948" s="97" t="s">
        <v>6974</v>
      </c>
      <c r="R948" s="76">
        <f t="shared" si="70"/>
        <v>6</v>
      </c>
      <c r="S948" s="76">
        <f t="shared" si="71"/>
        <v>6</v>
      </c>
      <c r="T948" s="76" t="str">
        <f t="shared" si="72"/>
        <v>-</v>
      </c>
      <c r="U948" s="76" t="str">
        <f t="shared" si="73"/>
        <v>-</v>
      </c>
      <c r="V948" s="76" t="str">
        <f t="shared" si="74"/>
        <v>-</v>
      </c>
      <c r="Z948" s="62"/>
    </row>
    <row r="949" spans="1:26" ht="40.15" customHeight="1" x14ac:dyDescent="0.25">
      <c r="A949" s="87">
        <v>36</v>
      </c>
      <c r="B949" s="89" t="s">
        <v>1550</v>
      </c>
      <c r="C949" s="89" t="s">
        <v>6978</v>
      </c>
      <c r="D949" s="90" t="s">
        <v>326</v>
      </c>
      <c r="E949" s="90" t="s">
        <v>1631</v>
      </c>
      <c r="F949" s="91" t="s">
        <v>1556</v>
      </c>
      <c r="G949" s="92" t="s">
        <v>1557</v>
      </c>
      <c r="H949" s="93" t="s">
        <v>6979</v>
      </c>
      <c r="I949" s="87" t="s">
        <v>3347</v>
      </c>
      <c r="J949" s="87" t="s">
        <v>3348</v>
      </c>
      <c r="K949" s="91" t="s">
        <v>1613</v>
      </c>
      <c r="L949" s="126" t="s">
        <v>19</v>
      </c>
      <c r="M949" s="94">
        <v>44453.916666666664</v>
      </c>
      <c r="N949" s="94">
        <v>44454.041666666664</v>
      </c>
      <c r="O949" s="95" t="str">
        <f>PROPER(TEXT(Table1[[#This Row],[Fecha Inicio]],"mmmm"))</f>
        <v>Septiembre</v>
      </c>
      <c r="P949" s="96" t="s">
        <v>3349</v>
      </c>
      <c r="Q949" s="97" t="s">
        <v>6980</v>
      </c>
      <c r="R949" s="76">
        <f t="shared" si="70"/>
        <v>5</v>
      </c>
      <c r="S949" s="76">
        <f t="shared" si="71"/>
        <v>5</v>
      </c>
      <c r="T949" s="76" t="str">
        <f t="shared" si="72"/>
        <v>-</v>
      </c>
      <c r="U949" s="76" t="str">
        <f t="shared" si="73"/>
        <v>-</v>
      </c>
      <c r="V949" s="76" t="str">
        <f t="shared" si="74"/>
        <v>-</v>
      </c>
      <c r="Z949" s="62"/>
    </row>
    <row r="950" spans="1:26" ht="40.15" customHeight="1" x14ac:dyDescent="0.25">
      <c r="A950" s="87">
        <v>36</v>
      </c>
      <c r="B950" s="89" t="s">
        <v>1550</v>
      </c>
      <c r="C950" s="89" t="s">
        <v>6978</v>
      </c>
      <c r="D950" s="89" t="s">
        <v>344</v>
      </c>
      <c r="E950" s="89" t="s">
        <v>1616</v>
      </c>
      <c r="F950" s="87" t="s">
        <v>1556</v>
      </c>
      <c r="G950" s="92" t="s">
        <v>1557</v>
      </c>
      <c r="H950" s="93" t="s">
        <v>6989</v>
      </c>
      <c r="I950" s="87" t="s">
        <v>1806</v>
      </c>
      <c r="J950" s="87" t="s">
        <v>1766</v>
      </c>
      <c r="K950" s="87" t="s">
        <v>1575</v>
      </c>
      <c r="L950" s="126" t="s">
        <v>19</v>
      </c>
      <c r="M950" s="94">
        <v>44453.958333333336</v>
      </c>
      <c r="N950" s="94">
        <v>44454.125</v>
      </c>
      <c r="O950" s="95" t="str">
        <f>PROPER(TEXT(Table1[[#This Row],[Fecha Inicio]],"mmmm"))</f>
        <v>Septiembre</v>
      </c>
      <c r="P950" s="96" t="s">
        <v>3835</v>
      </c>
      <c r="Q950" s="97" t="s">
        <v>6990</v>
      </c>
      <c r="R950" s="76">
        <f t="shared" si="70"/>
        <v>3</v>
      </c>
      <c r="S950" s="76">
        <f t="shared" si="71"/>
        <v>3</v>
      </c>
      <c r="T950" s="76" t="str">
        <f t="shared" si="72"/>
        <v>-</v>
      </c>
      <c r="U950" s="76" t="str">
        <f t="shared" si="73"/>
        <v>-</v>
      </c>
      <c r="V950" s="76" t="str">
        <f t="shared" si="74"/>
        <v>-</v>
      </c>
      <c r="Z950" s="62"/>
    </row>
    <row r="951" spans="1:26" ht="40.15" customHeight="1" x14ac:dyDescent="0.25">
      <c r="A951" s="87">
        <v>37</v>
      </c>
      <c r="B951" s="89" t="s">
        <v>1550</v>
      </c>
      <c r="C951" s="89"/>
      <c r="D951" s="89" t="s">
        <v>326</v>
      </c>
      <c r="E951" s="89" t="s">
        <v>1742</v>
      </c>
      <c r="F951" s="87" t="s">
        <v>1556</v>
      </c>
      <c r="G951" s="92" t="s">
        <v>1557</v>
      </c>
      <c r="H951" s="93" t="s">
        <v>7004</v>
      </c>
      <c r="I951" s="87" t="s">
        <v>7003</v>
      </c>
      <c r="J951" s="87" t="s">
        <v>1931</v>
      </c>
      <c r="K951" s="87" t="s">
        <v>1575</v>
      </c>
      <c r="L951" s="87" t="s">
        <v>52</v>
      </c>
      <c r="M951" s="94">
        <v>44454.375</v>
      </c>
      <c r="N951" s="94">
        <v>44454.625</v>
      </c>
      <c r="O951" s="95" t="str">
        <f>PROPER(TEXT(Table1[[#This Row],[Fecha Inicio]],"mmmm"))</f>
        <v>Septiembre</v>
      </c>
      <c r="P951" s="96" t="s">
        <v>7002</v>
      </c>
      <c r="Q951" s="97" t="s">
        <v>7005</v>
      </c>
      <c r="R951" s="76">
        <f t="shared" si="70"/>
        <v>3</v>
      </c>
      <c r="S951" s="76">
        <f t="shared" si="71"/>
        <v>3</v>
      </c>
      <c r="T951" s="76" t="str">
        <f t="shared" si="72"/>
        <v>-</v>
      </c>
      <c r="U951" s="76" t="str">
        <f t="shared" si="73"/>
        <v>-</v>
      </c>
      <c r="V951" s="76" t="str">
        <f t="shared" si="74"/>
        <v>-</v>
      </c>
      <c r="Z951" s="62"/>
    </row>
    <row r="952" spans="1:26" ht="40.15" customHeight="1" x14ac:dyDescent="0.25">
      <c r="A952" s="87">
        <v>36</v>
      </c>
      <c r="B952" s="89" t="s">
        <v>1550</v>
      </c>
      <c r="C952" s="99" t="s">
        <v>6975</v>
      </c>
      <c r="D952" s="89" t="s">
        <v>326</v>
      </c>
      <c r="E952" s="89" t="s">
        <v>1631</v>
      </c>
      <c r="F952" s="87" t="s">
        <v>1556</v>
      </c>
      <c r="G952" s="92" t="s">
        <v>1557</v>
      </c>
      <c r="H952" s="93" t="s">
        <v>6976</v>
      </c>
      <c r="I952" s="87" t="s">
        <v>1689</v>
      </c>
      <c r="J952" s="87" t="s">
        <v>1634</v>
      </c>
      <c r="K952" s="87" t="s">
        <v>1635</v>
      </c>
      <c r="L952" s="126" t="s">
        <v>19</v>
      </c>
      <c r="M952" s="94">
        <v>44455.916666666664</v>
      </c>
      <c r="N952" s="94">
        <v>44456.166666666664</v>
      </c>
      <c r="O952" s="95" t="str">
        <f>PROPER(TEXT(Table1[[#This Row],[Fecha Inicio]],"mmmm"))</f>
        <v>Septiembre</v>
      </c>
      <c r="P952" s="96" t="s">
        <v>3378</v>
      </c>
      <c r="Q952" s="97" t="s">
        <v>6977</v>
      </c>
      <c r="R952" s="76">
        <f t="shared" si="70"/>
        <v>20</v>
      </c>
      <c r="S952" s="76">
        <f t="shared" si="71"/>
        <v>20</v>
      </c>
      <c r="T952" s="76" t="str">
        <f t="shared" si="72"/>
        <v>-</v>
      </c>
      <c r="U952" s="76" t="str">
        <f t="shared" si="73"/>
        <v>-</v>
      </c>
      <c r="V952" s="76" t="str">
        <f t="shared" si="74"/>
        <v>-</v>
      </c>
      <c r="Z952" s="62"/>
    </row>
    <row r="953" spans="1:26" ht="40.15" customHeight="1" x14ac:dyDescent="0.25">
      <c r="A953" s="87">
        <v>38</v>
      </c>
      <c r="B953" s="89" t="s">
        <v>1550</v>
      </c>
      <c r="C953" s="89" t="s">
        <v>7137</v>
      </c>
      <c r="D953" s="89" t="s">
        <v>1665</v>
      </c>
      <c r="E953" s="89" t="s">
        <v>7115</v>
      </c>
      <c r="F953" s="105" t="s">
        <v>1556</v>
      </c>
      <c r="G953" s="92" t="s">
        <v>1557</v>
      </c>
      <c r="H953" s="93" t="s">
        <v>7117</v>
      </c>
      <c r="I953" s="87" t="s">
        <v>7116</v>
      </c>
      <c r="J953" s="87" t="s">
        <v>4173</v>
      </c>
      <c r="K953" s="87" t="s">
        <v>1575</v>
      </c>
      <c r="L953" s="126" t="s">
        <v>19</v>
      </c>
      <c r="M953" s="108">
        <v>44456.354166666664</v>
      </c>
      <c r="N953" s="108">
        <v>44456.4375</v>
      </c>
      <c r="O953" s="95" t="str">
        <f>PROPER(TEXT(Table1[[#This Row],[Fecha Inicio]],"mmmm"))</f>
        <v>Septiembre</v>
      </c>
      <c r="P953" s="96" t="s">
        <v>7119</v>
      </c>
      <c r="Q953" s="97" t="s">
        <v>7118</v>
      </c>
      <c r="R953" s="76">
        <f t="shared" si="70"/>
        <v>1</v>
      </c>
      <c r="S953" s="76">
        <f t="shared" si="71"/>
        <v>1</v>
      </c>
      <c r="T953" s="76" t="str">
        <f t="shared" si="72"/>
        <v>-</v>
      </c>
      <c r="U953" s="76" t="str">
        <f t="shared" si="73"/>
        <v>-</v>
      </c>
      <c r="V953" s="76" t="str">
        <f t="shared" si="74"/>
        <v>-</v>
      </c>
      <c r="Z953" s="62"/>
    </row>
    <row r="954" spans="1:26" ht="40.15" customHeight="1" x14ac:dyDescent="0.25">
      <c r="A954" s="87">
        <v>38</v>
      </c>
      <c r="B954" s="89" t="s">
        <v>1550</v>
      </c>
      <c r="C954" s="89"/>
      <c r="D954" s="89" t="s">
        <v>326</v>
      </c>
      <c r="E954" s="89" t="s">
        <v>1742</v>
      </c>
      <c r="F954" s="87" t="s">
        <v>1556</v>
      </c>
      <c r="G954" s="92" t="s">
        <v>1557</v>
      </c>
      <c r="H954" s="93" t="s">
        <v>7038</v>
      </c>
      <c r="I954" s="87" t="s">
        <v>7035</v>
      </c>
      <c r="J954" s="87" t="s">
        <v>7036</v>
      </c>
      <c r="K954" s="87" t="s">
        <v>1575</v>
      </c>
      <c r="L954" s="87" t="s">
        <v>52</v>
      </c>
      <c r="M954" s="94">
        <v>44456.375</v>
      </c>
      <c r="N954" s="94">
        <v>44456.625</v>
      </c>
      <c r="O954" s="95" t="str">
        <f>PROPER(TEXT(Table1[[#This Row],[Fecha Inicio]],"mmmm"))</f>
        <v>Septiembre</v>
      </c>
      <c r="P954" s="96" t="s">
        <v>7037</v>
      </c>
      <c r="Q954" s="97" t="s">
        <v>7039</v>
      </c>
      <c r="R954" s="76">
        <f t="shared" si="70"/>
        <v>2</v>
      </c>
      <c r="S954" s="76">
        <f t="shared" si="71"/>
        <v>2</v>
      </c>
      <c r="T954" s="76" t="str">
        <f t="shared" si="72"/>
        <v>-</v>
      </c>
      <c r="U954" s="76" t="str">
        <f t="shared" si="73"/>
        <v>-</v>
      </c>
      <c r="V954" s="76" t="str">
        <f t="shared" si="74"/>
        <v>-</v>
      </c>
      <c r="Z954" s="62"/>
    </row>
    <row r="955" spans="1:26" ht="40.15" customHeight="1" x14ac:dyDescent="0.25">
      <c r="A955" s="87">
        <v>37</v>
      </c>
      <c r="B955" s="89" t="s">
        <v>1550</v>
      </c>
      <c r="C955" s="89" t="s">
        <v>6978</v>
      </c>
      <c r="D955" s="89" t="s">
        <v>326</v>
      </c>
      <c r="E955" s="89" t="s">
        <v>1631</v>
      </c>
      <c r="F955" s="87" t="s">
        <v>1556</v>
      </c>
      <c r="G955" s="92" t="s">
        <v>1557</v>
      </c>
      <c r="H955" s="93" t="s">
        <v>7008</v>
      </c>
      <c r="I955" s="87" t="s">
        <v>1718</v>
      </c>
      <c r="J955" s="87" t="s">
        <v>1719</v>
      </c>
      <c r="K955" s="87" t="s">
        <v>1575</v>
      </c>
      <c r="L955" s="126" t="s">
        <v>19</v>
      </c>
      <c r="M955" s="94">
        <v>44458</v>
      </c>
      <c r="N955" s="94">
        <v>44458.25</v>
      </c>
      <c r="O955" s="95" t="str">
        <f>PROPER(TEXT(Table1[[#This Row],[Fecha Inicio]],"mmmm"))</f>
        <v>Septiembre</v>
      </c>
      <c r="P955" s="96" t="s">
        <v>4139</v>
      </c>
      <c r="Q955" s="97" t="s">
        <v>7009</v>
      </c>
      <c r="R955" s="76">
        <f t="shared" si="70"/>
        <v>17</v>
      </c>
      <c r="S955" s="76">
        <f t="shared" si="71"/>
        <v>17</v>
      </c>
      <c r="T955" s="76" t="str">
        <f t="shared" si="72"/>
        <v>-</v>
      </c>
      <c r="U955" s="76" t="str">
        <f t="shared" si="73"/>
        <v>-</v>
      </c>
      <c r="V955" s="76" t="str">
        <f t="shared" si="74"/>
        <v>-</v>
      </c>
      <c r="Z955" s="62"/>
    </row>
    <row r="956" spans="1:26" ht="40.15" customHeight="1" x14ac:dyDescent="0.25">
      <c r="A956" s="87">
        <v>38</v>
      </c>
      <c r="B956" s="89" t="s">
        <v>1550</v>
      </c>
      <c r="C956" s="89"/>
      <c r="D956" s="89" t="s">
        <v>1570</v>
      </c>
      <c r="E956" s="89" t="s">
        <v>1571</v>
      </c>
      <c r="F956" s="87" t="s">
        <v>1600</v>
      </c>
      <c r="G956" s="92" t="s">
        <v>1557</v>
      </c>
      <c r="H956" s="93" t="s">
        <v>7031</v>
      </c>
      <c r="I956" s="87" t="s">
        <v>4091</v>
      </c>
      <c r="J956" s="87" t="s">
        <v>2025</v>
      </c>
      <c r="K956" s="87" t="s">
        <v>6997</v>
      </c>
      <c r="L956" s="126" t="s">
        <v>19</v>
      </c>
      <c r="M956" s="94">
        <v>44458.958333333336</v>
      </c>
      <c r="N956" s="94">
        <v>44459.375</v>
      </c>
      <c r="O956" s="95" t="str">
        <f>PROPER(TEXT(Table1[[#This Row],[Fecha Inicio]],"mmmm"))</f>
        <v>Septiembre</v>
      </c>
      <c r="P956" s="96" t="s">
        <v>2026</v>
      </c>
      <c r="Q956" s="97" t="s">
        <v>7032</v>
      </c>
      <c r="R956" s="76">
        <f t="shared" si="70"/>
        <v>2</v>
      </c>
      <c r="S956" s="76">
        <f t="shared" si="71"/>
        <v>2</v>
      </c>
      <c r="T956" s="76" t="str">
        <f t="shared" si="72"/>
        <v>-</v>
      </c>
      <c r="U956" s="76" t="str">
        <f t="shared" si="73"/>
        <v>-</v>
      </c>
      <c r="V956" s="76" t="str">
        <f t="shared" si="74"/>
        <v>-</v>
      </c>
      <c r="Z956" s="62"/>
    </row>
    <row r="957" spans="1:26" ht="40.15" customHeight="1" x14ac:dyDescent="0.25">
      <c r="A957" s="87">
        <v>37</v>
      </c>
      <c r="B957" s="89" t="s">
        <v>1550</v>
      </c>
      <c r="C957" s="89" t="s">
        <v>6978</v>
      </c>
      <c r="D957" s="89" t="s">
        <v>326</v>
      </c>
      <c r="E957" s="89" t="s">
        <v>1631</v>
      </c>
      <c r="F957" s="87" t="s">
        <v>1556</v>
      </c>
      <c r="G957" s="92" t="s">
        <v>1557</v>
      </c>
      <c r="H957" s="93" t="s">
        <v>7006</v>
      </c>
      <c r="I957" s="87" t="s">
        <v>3388</v>
      </c>
      <c r="J957" s="87" t="s">
        <v>2152</v>
      </c>
      <c r="K957" s="87" t="s">
        <v>1575</v>
      </c>
      <c r="L957" s="126" t="s">
        <v>19</v>
      </c>
      <c r="M957" s="94">
        <v>44459.041666666664</v>
      </c>
      <c r="N957" s="94">
        <v>44459.125</v>
      </c>
      <c r="O957" s="95" t="str">
        <f>PROPER(TEXT(Table1[[#This Row],[Fecha Inicio]],"mmmm"))</f>
        <v>Septiembre</v>
      </c>
      <c r="P957" s="96" t="s">
        <v>3389</v>
      </c>
      <c r="Q957" s="97" t="s">
        <v>7007</v>
      </c>
      <c r="R957" s="76">
        <f t="shared" si="70"/>
        <v>1</v>
      </c>
      <c r="S957" s="76">
        <f t="shared" si="71"/>
        <v>1</v>
      </c>
      <c r="T957" s="76" t="str">
        <f t="shared" si="72"/>
        <v>-</v>
      </c>
      <c r="U957" s="76" t="str">
        <f t="shared" si="73"/>
        <v>-</v>
      </c>
      <c r="V957" s="76" t="str">
        <f t="shared" si="74"/>
        <v>-</v>
      </c>
      <c r="Z957" s="62"/>
    </row>
    <row r="958" spans="1:26" ht="40.15" customHeight="1" x14ac:dyDescent="0.25">
      <c r="A958" s="87">
        <v>38</v>
      </c>
      <c r="B958" s="89" t="s">
        <v>1550</v>
      </c>
      <c r="C958" s="89"/>
      <c r="D958" s="89" t="s">
        <v>326</v>
      </c>
      <c r="E958" s="89" t="s">
        <v>1742</v>
      </c>
      <c r="F958" s="87" t="s">
        <v>1556</v>
      </c>
      <c r="G958" s="92" t="s">
        <v>1557</v>
      </c>
      <c r="H958" s="93" t="s">
        <v>7084</v>
      </c>
      <c r="I958" s="87" t="s">
        <v>7081</v>
      </c>
      <c r="J958" s="87" t="s">
        <v>7082</v>
      </c>
      <c r="K958" s="87" t="s">
        <v>1575</v>
      </c>
      <c r="L958" s="87" t="s">
        <v>52</v>
      </c>
      <c r="M958" s="94">
        <v>44459.375</v>
      </c>
      <c r="N958" s="94">
        <v>44459.625</v>
      </c>
      <c r="O958" s="95" t="str">
        <f>PROPER(TEXT(Table1[[#This Row],[Fecha Inicio]],"mmmm"))</f>
        <v>Septiembre</v>
      </c>
      <c r="P958" s="96" t="s">
        <v>7083</v>
      </c>
      <c r="Q958" s="97" t="s">
        <v>7085</v>
      </c>
      <c r="R958" s="76">
        <f t="shared" si="70"/>
        <v>24</v>
      </c>
      <c r="S958" s="76">
        <f t="shared" si="71"/>
        <v>24</v>
      </c>
      <c r="T958" s="76" t="str">
        <f t="shared" si="72"/>
        <v>-</v>
      </c>
      <c r="U958" s="76" t="str">
        <f t="shared" si="73"/>
        <v>-</v>
      </c>
      <c r="V958" s="76" t="str">
        <f t="shared" si="74"/>
        <v>-</v>
      </c>
      <c r="Z958" s="62"/>
    </row>
    <row r="959" spans="1:26" ht="40.15" customHeight="1" x14ac:dyDescent="0.25">
      <c r="A959" s="115">
        <v>38</v>
      </c>
      <c r="B959" s="89" t="s">
        <v>1550</v>
      </c>
      <c r="C959" s="116"/>
      <c r="D959" s="89" t="s">
        <v>326</v>
      </c>
      <c r="E959" s="89" t="s">
        <v>1555</v>
      </c>
      <c r="F959" s="87" t="s">
        <v>1556</v>
      </c>
      <c r="G959" s="92" t="s">
        <v>1557</v>
      </c>
      <c r="H959" s="93" t="s">
        <v>7079</v>
      </c>
      <c r="I959" s="87" t="s">
        <v>7078</v>
      </c>
      <c r="J959" s="87" t="s">
        <v>1595</v>
      </c>
      <c r="K959" s="87" t="s">
        <v>1575</v>
      </c>
      <c r="L959" s="116" t="s">
        <v>52</v>
      </c>
      <c r="M959" s="94">
        <v>44459.375</v>
      </c>
      <c r="N959" s="94">
        <v>44459.625</v>
      </c>
      <c r="O959" s="119" t="str">
        <f>PROPER(TEXT(Table1[[#This Row],[Fecha Inicio]],"mmmm"))</f>
        <v>Septiembre</v>
      </c>
      <c r="P959" s="96" t="s">
        <v>6981</v>
      </c>
      <c r="Q959" s="97" t="s">
        <v>7080</v>
      </c>
      <c r="R959" s="76">
        <f t="shared" si="70"/>
        <v>1</v>
      </c>
      <c r="S959" s="76">
        <f t="shared" si="71"/>
        <v>1</v>
      </c>
      <c r="T959" s="76" t="str">
        <f t="shared" si="72"/>
        <v>-</v>
      </c>
      <c r="U959" s="76" t="str">
        <f t="shared" si="73"/>
        <v>-</v>
      </c>
      <c r="V959" s="76" t="str">
        <f t="shared" si="74"/>
        <v>-</v>
      </c>
      <c r="Z959" s="62"/>
    </row>
    <row r="960" spans="1:26" ht="40.15" customHeight="1" x14ac:dyDescent="0.25">
      <c r="A960" s="87">
        <v>38</v>
      </c>
      <c r="B960" s="89" t="s">
        <v>1550</v>
      </c>
      <c r="C960" s="89"/>
      <c r="D960" s="89" t="s">
        <v>326</v>
      </c>
      <c r="E960" s="89" t="s">
        <v>1742</v>
      </c>
      <c r="F960" s="87" t="s">
        <v>1556</v>
      </c>
      <c r="G960" s="92" t="s">
        <v>1557</v>
      </c>
      <c r="H960" s="93" t="s">
        <v>7132</v>
      </c>
      <c r="I960" s="87" t="s">
        <v>4032</v>
      </c>
      <c r="J960" s="87" t="s">
        <v>1839</v>
      </c>
      <c r="K960" s="87" t="s">
        <v>1575</v>
      </c>
      <c r="L960" s="126" t="s">
        <v>19</v>
      </c>
      <c r="M960" s="94">
        <v>44459.416666666664</v>
      </c>
      <c r="N960" s="94">
        <v>44459.666666666664</v>
      </c>
      <c r="O960" s="95" t="str">
        <f>PROPER(TEXT(Table1[[#This Row],[Fecha Inicio]],"mmmm"))</f>
        <v>Septiembre</v>
      </c>
      <c r="P960" s="96" t="s">
        <v>7131</v>
      </c>
      <c r="Q960" s="97" t="s">
        <v>7133</v>
      </c>
      <c r="R960" s="76">
        <f t="shared" si="70"/>
        <v>3</v>
      </c>
      <c r="S960" s="76">
        <f t="shared" si="71"/>
        <v>3</v>
      </c>
      <c r="T960" s="76" t="str">
        <f t="shared" si="72"/>
        <v>-</v>
      </c>
      <c r="U960" s="76" t="str">
        <f t="shared" si="73"/>
        <v>-</v>
      </c>
      <c r="V960" s="76" t="str">
        <f t="shared" si="74"/>
        <v>-</v>
      </c>
      <c r="Z960" s="62"/>
    </row>
    <row r="961" spans="1:26" ht="40.15" customHeight="1" x14ac:dyDescent="0.25">
      <c r="A961" s="87">
        <v>38</v>
      </c>
      <c r="B961" s="89" t="s">
        <v>1550</v>
      </c>
      <c r="C961" s="116" t="s">
        <v>6950</v>
      </c>
      <c r="D961" s="89" t="s">
        <v>1623</v>
      </c>
      <c r="E961" s="89" t="s">
        <v>1624</v>
      </c>
      <c r="F961" s="87" t="s">
        <v>1556</v>
      </c>
      <c r="G961" s="92" t="s">
        <v>1557</v>
      </c>
      <c r="H961" s="93" t="s">
        <v>7129</v>
      </c>
      <c r="I961" s="87" t="s">
        <v>1685</v>
      </c>
      <c r="J961" s="87" t="s">
        <v>1627</v>
      </c>
      <c r="K961" s="87" t="s">
        <v>1575</v>
      </c>
      <c r="L961" s="126" t="s">
        <v>19</v>
      </c>
      <c r="M961" s="118">
        <v>44459.5</v>
      </c>
      <c r="N961" s="118">
        <v>44459.625</v>
      </c>
      <c r="O961" s="95" t="str">
        <f>PROPER(TEXT(Table1[[#This Row],[Fecha Inicio]],"mmmm"))</f>
        <v>Septiembre</v>
      </c>
      <c r="P961" s="96" t="s">
        <v>2764</v>
      </c>
      <c r="Q961" s="97" t="s">
        <v>7130</v>
      </c>
      <c r="R961" s="76">
        <f t="shared" si="70"/>
        <v>2</v>
      </c>
      <c r="S961" s="76">
        <f t="shared" si="71"/>
        <v>2</v>
      </c>
      <c r="T961" s="76" t="str">
        <f t="shared" si="72"/>
        <v>-</v>
      </c>
      <c r="U961" s="76" t="str">
        <f t="shared" si="73"/>
        <v>-</v>
      </c>
      <c r="V961" s="76" t="str">
        <f t="shared" si="74"/>
        <v>-</v>
      </c>
      <c r="Z961" s="62"/>
    </row>
    <row r="962" spans="1:26" ht="40.15" customHeight="1" x14ac:dyDescent="0.25">
      <c r="A962" s="87">
        <v>37</v>
      </c>
      <c r="B962" s="89" t="s">
        <v>1550</v>
      </c>
      <c r="C962" s="89" t="s">
        <v>6978</v>
      </c>
      <c r="D962" s="90" t="s">
        <v>326</v>
      </c>
      <c r="E962" s="90" t="s">
        <v>1631</v>
      </c>
      <c r="F962" s="91" t="s">
        <v>1556</v>
      </c>
      <c r="G962" s="92" t="s">
        <v>1557</v>
      </c>
      <c r="H962" s="93" t="s">
        <v>7010</v>
      </c>
      <c r="I962" s="87" t="s">
        <v>1750</v>
      </c>
      <c r="J962" s="87" t="s">
        <v>1560</v>
      </c>
      <c r="K962" s="87" t="s">
        <v>1561</v>
      </c>
      <c r="L962" s="126" t="s">
        <v>19</v>
      </c>
      <c r="M962" s="94">
        <v>44459.791666666664</v>
      </c>
      <c r="N962" s="94">
        <v>44460.083333333336</v>
      </c>
      <c r="O962" s="95" t="str">
        <f>PROPER(TEXT(Table1[[#This Row],[Fecha Inicio]],"mmmm"))</f>
        <v>Septiembre</v>
      </c>
      <c r="P962" s="96" t="s">
        <v>4155</v>
      </c>
      <c r="Q962" s="97" t="s">
        <v>7011</v>
      </c>
      <c r="R962" s="76">
        <f t="shared" ref="R962:R1025" si="75">LEN(TRIM(P962))-LEN(SUBSTITUTE(TRIM(P962),",",""))+1</f>
        <v>4</v>
      </c>
      <c r="S962" s="76">
        <f t="shared" ref="S962:S1025" si="76">IF(B962="CON ÉXITO",R962,"-")</f>
        <v>4</v>
      </c>
      <c r="T962" s="76" t="str">
        <f t="shared" ref="T962:T1025" si="77">IF($B962="Éxito con problemas",S962,"-")</f>
        <v>-</v>
      </c>
      <c r="U962" s="76" t="str">
        <f t="shared" ref="U962:U1025" si="78">IF($B962="CANCELADO",R962,"-")</f>
        <v>-</v>
      </c>
      <c r="V962" s="76" t="str">
        <f t="shared" ref="V962:V1025" si="79">IF($B962="Aplicada marcha atrás",R962,"-")</f>
        <v>-</v>
      </c>
      <c r="Z962" s="62"/>
    </row>
    <row r="963" spans="1:26" ht="40.15" customHeight="1" x14ac:dyDescent="0.25">
      <c r="A963" s="87">
        <v>38</v>
      </c>
      <c r="B963" s="89" t="s">
        <v>1550</v>
      </c>
      <c r="C963" s="89" t="s">
        <v>6978</v>
      </c>
      <c r="D963" s="89" t="s">
        <v>326</v>
      </c>
      <c r="E963" s="89" t="s">
        <v>1631</v>
      </c>
      <c r="F963" s="87" t="s">
        <v>1556</v>
      </c>
      <c r="G963" s="92" t="s">
        <v>1557</v>
      </c>
      <c r="H963" s="93" t="s">
        <v>7018</v>
      </c>
      <c r="I963" s="87" t="s">
        <v>1759</v>
      </c>
      <c r="J963" s="87" t="s">
        <v>1760</v>
      </c>
      <c r="K963" s="87" t="s">
        <v>1761</v>
      </c>
      <c r="L963" s="126" t="s">
        <v>19</v>
      </c>
      <c r="M963" s="94">
        <v>44459.916666666664</v>
      </c>
      <c r="N963" s="94">
        <v>44460.041666666664</v>
      </c>
      <c r="O963" s="95" t="str">
        <f>PROPER(TEXT(Table1[[#This Row],[Fecha Inicio]],"mmmm"))</f>
        <v>Septiembre</v>
      </c>
      <c r="P963" s="96" t="s">
        <v>1762</v>
      </c>
      <c r="Q963" s="97" t="s">
        <v>7019</v>
      </c>
      <c r="R963" s="76">
        <f t="shared" si="75"/>
        <v>9</v>
      </c>
      <c r="S963" s="76">
        <f t="shared" si="76"/>
        <v>9</v>
      </c>
      <c r="T963" s="76" t="str">
        <f t="shared" si="77"/>
        <v>-</v>
      </c>
      <c r="U963" s="76" t="str">
        <f t="shared" si="78"/>
        <v>-</v>
      </c>
      <c r="V963" s="76" t="str">
        <f t="shared" si="79"/>
        <v>-</v>
      </c>
      <c r="Z963" s="62"/>
    </row>
    <row r="964" spans="1:26" ht="40.15" customHeight="1" x14ac:dyDescent="0.25">
      <c r="A964" s="87">
        <v>38</v>
      </c>
      <c r="B964" s="89" t="s">
        <v>1550</v>
      </c>
      <c r="C964" s="89" t="s">
        <v>6978</v>
      </c>
      <c r="D964" s="89" t="s">
        <v>344</v>
      </c>
      <c r="E964" s="89" t="s">
        <v>1616</v>
      </c>
      <c r="F964" s="87" t="s">
        <v>1556</v>
      </c>
      <c r="G964" s="92" t="s">
        <v>1557</v>
      </c>
      <c r="H964" s="93" t="s">
        <v>7044</v>
      </c>
      <c r="I964" s="89" t="s">
        <v>6846</v>
      </c>
      <c r="J964" s="87" t="s">
        <v>2157</v>
      </c>
      <c r="K964" s="87" t="s">
        <v>2158</v>
      </c>
      <c r="L964" s="126" t="s">
        <v>19</v>
      </c>
      <c r="M964" s="94">
        <v>44459.958333333336</v>
      </c>
      <c r="N964" s="94">
        <v>44460.125</v>
      </c>
      <c r="O964" s="95" t="str">
        <f>PROPER(TEXT(Table1[[#This Row],[Fecha Inicio]],"mmmm"))</f>
        <v>Septiembre</v>
      </c>
      <c r="P964" s="96" t="s">
        <v>7043</v>
      </c>
      <c r="Q964" s="97" t="s">
        <v>7045</v>
      </c>
      <c r="R964" s="76">
        <f t="shared" si="75"/>
        <v>6</v>
      </c>
      <c r="S964" s="76">
        <f t="shared" si="76"/>
        <v>6</v>
      </c>
      <c r="T964" s="76" t="str">
        <f t="shared" si="77"/>
        <v>-</v>
      </c>
      <c r="U964" s="76" t="str">
        <f t="shared" si="78"/>
        <v>-</v>
      </c>
      <c r="V964" s="76" t="str">
        <f t="shared" si="79"/>
        <v>-</v>
      </c>
      <c r="Z964" s="62"/>
    </row>
    <row r="965" spans="1:26" ht="40.15" customHeight="1" x14ac:dyDescent="0.25">
      <c r="A965" s="87">
        <v>38</v>
      </c>
      <c r="B965" s="89" t="s">
        <v>1550</v>
      </c>
      <c r="C965" s="89" t="s">
        <v>6978</v>
      </c>
      <c r="D965" s="90" t="s">
        <v>326</v>
      </c>
      <c r="E965" s="90" t="s">
        <v>1631</v>
      </c>
      <c r="F965" s="91" t="s">
        <v>1556</v>
      </c>
      <c r="G965" s="92" t="s">
        <v>1557</v>
      </c>
      <c r="H965" s="93" t="s">
        <v>7020</v>
      </c>
      <c r="I965" s="87" t="s">
        <v>1728</v>
      </c>
      <c r="J965" s="87" t="s">
        <v>1729</v>
      </c>
      <c r="K965" s="87" t="s">
        <v>1575</v>
      </c>
      <c r="L965" s="126" t="s">
        <v>19</v>
      </c>
      <c r="M965" s="94">
        <v>44460.208333333336</v>
      </c>
      <c r="N965" s="94">
        <v>44460.333333333336</v>
      </c>
      <c r="O965" s="95" t="str">
        <f>PROPER(TEXT(Table1[[#This Row],[Fecha Inicio]],"mmmm"))</f>
        <v>Septiembre</v>
      </c>
      <c r="P965" s="96" t="s">
        <v>1730</v>
      </c>
      <c r="Q965" s="97" t="s">
        <v>7021</v>
      </c>
      <c r="R965" s="76">
        <f t="shared" si="75"/>
        <v>5</v>
      </c>
      <c r="S965" s="76">
        <f t="shared" si="76"/>
        <v>5</v>
      </c>
      <c r="T965" s="76" t="str">
        <f t="shared" si="77"/>
        <v>-</v>
      </c>
      <c r="U965" s="76" t="str">
        <f t="shared" si="78"/>
        <v>-</v>
      </c>
      <c r="V965" s="76" t="str">
        <f t="shared" si="79"/>
        <v>-</v>
      </c>
      <c r="Z965" s="62"/>
    </row>
    <row r="966" spans="1:26" ht="40.15" customHeight="1" x14ac:dyDescent="0.25">
      <c r="A966" s="87">
        <v>38</v>
      </c>
      <c r="B966" s="89" t="s">
        <v>1550</v>
      </c>
      <c r="C966" s="89" t="s">
        <v>6978</v>
      </c>
      <c r="D966" s="90" t="s">
        <v>326</v>
      </c>
      <c r="E966" s="90" t="s">
        <v>1631</v>
      </c>
      <c r="F966" s="91" t="s">
        <v>1556</v>
      </c>
      <c r="G966" s="92" t="s">
        <v>1557</v>
      </c>
      <c r="H966" s="93" t="s">
        <v>7022</v>
      </c>
      <c r="I966" s="87" t="s">
        <v>3744</v>
      </c>
      <c r="J966" s="87" t="s">
        <v>2135</v>
      </c>
      <c r="K966" s="87" t="s">
        <v>2935</v>
      </c>
      <c r="L966" s="126" t="s">
        <v>19</v>
      </c>
      <c r="M966" s="94">
        <v>44460.291666666664</v>
      </c>
      <c r="N966" s="94">
        <v>44460.354166666664</v>
      </c>
      <c r="O966" s="95" t="str">
        <f>PROPER(TEXT(Table1[[#This Row],[Fecha Inicio]],"mmmm"))</f>
        <v>Septiembre</v>
      </c>
      <c r="P966" s="96" t="s">
        <v>3413</v>
      </c>
      <c r="Q966" s="97" t="s">
        <v>7023</v>
      </c>
      <c r="R966" s="76">
        <f t="shared" si="75"/>
        <v>2</v>
      </c>
      <c r="S966" s="76">
        <f t="shared" si="76"/>
        <v>2</v>
      </c>
      <c r="T966" s="76" t="str">
        <f t="shared" si="77"/>
        <v>-</v>
      </c>
      <c r="U966" s="76" t="str">
        <f t="shared" si="78"/>
        <v>-</v>
      </c>
      <c r="V966" s="76" t="str">
        <f t="shared" si="79"/>
        <v>-</v>
      </c>
      <c r="Z966" s="62"/>
    </row>
    <row r="967" spans="1:26" ht="40.15" customHeight="1" x14ac:dyDescent="0.25">
      <c r="A967" s="87">
        <v>38</v>
      </c>
      <c r="B967" s="89" t="s">
        <v>1550</v>
      </c>
      <c r="C967" s="89" t="s">
        <v>6978</v>
      </c>
      <c r="D967" s="90" t="s">
        <v>326</v>
      </c>
      <c r="E967" s="90" t="s">
        <v>1631</v>
      </c>
      <c r="F967" s="91" t="s">
        <v>1556</v>
      </c>
      <c r="G967" s="92" t="s">
        <v>1557</v>
      </c>
      <c r="H967" s="93" t="s">
        <v>7027</v>
      </c>
      <c r="I967" s="87" t="s">
        <v>1775</v>
      </c>
      <c r="J967" s="87" t="s">
        <v>1776</v>
      </c>
      <c r="K967" s="87" t="s">
        <v>1575</v>
      </c>
      <c r="L967" s="126" t="s">
        <v>19</v>
      </c>
      <c r="M967" s="94">
        <v>44460.666666666664</v>
      </c>
      <c r="N967" s="94">
        <v>44460.75</v>
      </c>
      <c r="O967" s="95" t="str">
        <f>PROPER(TEXT(Table1[[#This Row],[Fecha Inicio]],"mmmm"))</f>
        <v>Septiembre</v>
      </c>
      <c r="P967" s="110" t="s">
        <v>1777</v>
      </c>
      <c r="Q967" s="97" t="s">
        <v>7028</v>
      </c>
      <c r="R967" s="76">
        <f t="shared" si="75"/>
        <v>2</v>
      </c>
      <c r="S967" s="76">
        <f t="shared" si="76"/>
        <v>2</v>
      </c>
      <c r="T967" s="76" t="str">
        <f t="shared" si="77"/>
        <v>-</v>
      </c>
      <c r="U967" s="76" t="str">
        <f t="shared" si="78"/>
        <v>-</v>
      </c>
      <c r="V967" s="76" t="str">
        <f t="shared" si="79"/>
        <v>-</v>
      </c>
      <c r="Z967" s="62"/>
    </row>
    <row r="968" spans="1:26" ht="40.15" customHeight="1" x14ac:dyDescent="0.25">
      <c r="A968" s="87">
        <v>38</v>
      </c>
      <c r="B968" s="89" t="s">
        <v>1550</v>
      </c>
      <c r="C968" s="89" t="s">
        <v>4270</v>
      </c>
      <c r="D968" s="90" t="s">
        <v>1554</v>
      </c>
      <c r="E968" s="90" t="s">
        <v>1555</v>
      </c>
      <c r="F968" s="87" t="s">
        <v>1556</v>
      </c>
      <c r="G968" s="92" t="s">
        <v>1557</v>
      </c>
      <c r="H968" s="91" t="s">
        <v>7147</v>
      </c>
      <c r="I968" s="87" t="s">
        <v>2520</v>
      </c>
      <c r="J968" s="87" t="s">
        <v>2521</v>
      </c>
      <c r="K968" s="87" t="s">
        <v>2522</v>
      </c>
      <c r="L968" s="89" t="s">
        <v>6856</v>
      </c>
      <c r="M968" s="94">
        <v>44460.791666666664</v>
      </c>
      <c r="N968" s="94">
        <v>44460.999305555553</v>
      </c>
      <c r="O968" s="95" t="str">
        <f>PROPER(TEXT(Table1[[#This Row],[Fecha Inicio]],"mmmm"))</f>
        <v>Septiembre</v>
      </c>
      <c r="P968" s="96" t="s">
        <v>2523</v>
      </c>
      <c r="Q968" s="97" t="s">
        <v>7148</v>
      </c>
      <c r="R968" s="76">
        <f t="shared" si="75"/>
        <v>2</v>
      </c>
      <c r="S968" s="76">
        <f t="shared" si="76"/>
        <v>2</v>
      </c>
      <c r="T968" s="76" t="str">
        <f t="shared" si="77"/>
        <v>-</v>
      </c>
      <c r="U968" s="76" t="str">
        <f t="shared" si="78"/>
        <v>-</v>
      </c>
      <c r="V968" s="76" t="str">
        <f t="shared" si="79"/>
        <v>-</v>
      </c>
      <c r="Z968" s="62"/>
    </row>
    <row r="969" spans="1:26" ht="40.15" customHeight="1" x14ac:dyDescent="0.25">
      <c r="A969" s="87">
        <v>38</v>
      </c>
      <c r="B969" s="89" t="s">
        <v>1550</v>
      </c>
      <c r="C969" s="89" t="s">
        <v>6978</v>
      </c>
      <c r="D969" s="90" t="s">
        <v>326</v>
      </c>
      <c r="E969" s="90" t="s">
        <v>1631</v>
      </c>
      <c r="F969" s="91" t="s">
        <v>1556</v>
      </c>
      <c r="G969" s="92" t="s">
        <v>1557</v>
      </c>
      <c r="H969" s="93" t="s">
        <v>7029</v>
      </c>
      <c r="I969" s="87" t="s">
        <v>2306</v>
      </c>
      <c r="J969" s="87" t="s">
        <v>1786</v>
      </c>
      <c r="K969" s="87" t="s">
        <v>2307</v>
      </c>
      <c r="L969" s="126" t="s">
        <v>19</v>
      </c>
      <c r="M969" s="94">
        <v>44460.833333333336</v>
      </c>
      <c r="N969" s="94">
        <v>44460.875</v>
      </c>
      <c r="O969" s="95" t="str">
        <f>PROPER(TEXT(Table1[[#This Row],[Fecha Inicio]],"mmmm"))</f>
        <v>Septiembre</v>
      </c>
      <c r="P969" s="96" t="s">
        <v>250</v>
      </c>
      <c r="Q969" s="97" t="s">
        <v>7030</v>
      </c>
      <c r="R969" s="76">
        <f t="shared" si="75"/>
        <v>1</v>
      </c>
      <c r="S969" s="76">
        <f t="shared" si="76"/>
        <v>1</v>
      </c>
      <c r="T969" s="76" t="str">
        <f t="shared" si="77"/>
        <v>-</v>
      </c>
      <c r="U969" s="76" t="str">
        <f t="shared" si="78"/>
        <v>-</v>
      </c>
      <c r="V969" s="76" t="str">
        <f t="shared" si="79"/>
        <v>-</v>
      </c>
      <c r="Z969" s="62"/>
    </row>
    <row r="970" spans="1:26" ht="40.15" customHeight="1" x14ac:dyDescent="0.25">
      <c r="A970" s="87">
        <v>38</v>
      </c>
      <c r="B970" s="89" t="s">
        <v>1550</v>
      </c>
      <c r="C970" s="89" t="s">
        <v>6978</v>
      </c>
      <c r="D970" s="89" t="s">
        <v>344</v>
      </c>
      <c r="E970" s="89" t="s">
        <v>1616</v>
      </c>
      <c r="F970" s="87" t="s">
        <v>1556</v>
      </c>
      <c r="G970" s="92" t="s">
        <v>1557</v>
      </c>
      <c r="H970" s="93" t="s">
        <v>7041</v>
      </c>
      <c r="I970" s="89" t="s">
        <v>6847</v>
      </c>
      <c r="J970" s="87" t="s">
        <v>2157</v>
      </c>
      <c r="K970" s="87" t="s">
        <v>2158</v>
      </c>
      <c r="L970" s="126" t="s">
        <v>19</v>
      </c>
      <c r="M970" s="94">
        <v>44460.958333333336</v>
      </c>
      <c r="N970" s="94">
        <v>44461.125</v>
      </c>
      <c r="O970" s="95" t="str">
        <f>PROPER(TEXT(Table1[[#This Row],[Fecha Inicio]],"mmmm"))</f>
        <v>Septiembre</v>
      </c>
      <c r="P970" s="96" t="s">
        <v>7040</v>
      </c>
      <c r="Q970" s="97" t="s">
        <v>7042</v>
      </c>
      <c r="R970" s="76">
        <f t="shared" si="75"/>
        <v>6</v>
      </c>
      <c r="S970" s="76">
        <f t="shared" si="76"/>
        <v>6</v>
      </c>
      <c r="T970" s="76" t="str">
        <f t="shared" si="77"/>
        <v>-</v>
      </c>
      <c r="U970" s="76" t="str">
        <f t="shared" si="78"/>
        <v>-</v>
      </c>
      <c r="V970" s="76" t="str">
        <f t="shared" si="79"/>
        <v>-</v>
      </c>
      <c r="Z970" s="62"/>
    </row>
    <row r="971" spans="1:26" ht="40.15" customHeight="1" x14ac:dyDescent="0.25">
      <c r="A971" s="87">
        <v>38</v>
      </c>
      <c r="B971" s="89" t="s">
        <v>1550</v>
      </c>
      <c r="C971" s="89" t="s">
        <v>6978</v>
      </c>
      <c r="D971" s="90" t="s">
        <v>326</v>
      </c>
      <c r="E971" s="90" t="s">
        <v>1631</v>
      </c>
      <c r="F971" s="91" t="s">
        <v>1556</v>
      </c>
      <c r="G971" s="92" t="s">
        <v>1557</v>
      </c>
      <c r="H971" s="93" t="s">
        <v>7025</v>
      </c>
      <c r="I971" s="87" t="s">
        <v>3744</v>
      </c>
      <c r="J971" s="87" t="s">
        <v>2135</v>
      </c>
      <c r="K971" s="87" t="s">
        <v>2935</v>
      </c>
      <c r="L971" s="126" t="s">
        <v>19</v>
      </c>
      <c r="M971" s="94">
        <v>44460.958333333336</v>
      </c>
      <c r="N971" s="94">
        <v>44461.25</v>
      </c>
      <c r="O971" s="95" t="str">
        <f>PROPER(TEXT(Table1[[#This Row],[Fecha Inicio]],"mmmm"))</f>
        <v>Septiembre</v>
      </c>
      <c r="P971" s="96" t="s">
        <v>7024</v>
      </c>
      <c r="Q971" s="97" t="s">
        <v>7026</v>
      </c>
      <c r="R971" s="76">
        <f t="shared" si="75"/>
        <v>10</v>
      </c>
      <c r="S971" s="76">
        <f t="shared" si="76"/>
        <v>10</v>
      </c>
      <c r="T971" s="76" t="str">
        <f t="shared" si="77"/>
        <v>-</v>
      </c>
      <c r="U971" s="76" t="str">
        <f t="shared" si="78"/>
        <v>-</v>
      </c>
      <c r="V971" s="76" t="str">
        <f t="shared" si="79"/>
        <v>-</v>
      </c>
      <c r="Z971" s="62"/>
    </row>
    <row r="972" spans="1:26" ht="40.15" customHeight="1" x14ac:dyDescent="0.25">
      <c r="A972" s="87">
        <v>38</v>
      </c>
      <c r="B972" s="89" t="s">
        <v>1550</v>
      </c>
      <c r="C972" s="89" t="s">
        <v>6978</v>
      </c>
      <c r="D972" s="89" t="s">
        <v>326</v>
      </c>
      <c r="E972" s="89" t="s">
        <v>1631</v>
      </c>
      <c r="F972" s="87" t="s">
        <v>1556</v>
      </c>
      <c r="G972" s="92" t="s">
        <v>1557</v>
      </c>
      <c r="H972" s="93" t="s">
        <v>7033</v>
      </c>
      <c r="I972" s="87" t="s">
        <v>1759</v>
      </c>
      <c r="J972" s="87" t="s">
        <v>1760</v>
      </c>
      <c r="K972" s="87" t="s">
        <v>1761</v>
      </c>
      <c r="L972" s="126" t="s">
        <v>19</v>
      </c>
      <c r="M972" s="94">
        <v>44461.041666666664</v>
      </c>
      <c r="N972" s="94">
        <v>44461.166666666664</v>
      </c>
      <c r="O972" s="95" t="str">
        <f>PROPER(TEXT(Table1[[#This Row],[Fecha Inicio]],"mmmm"))</f>
        <v>Septiembre</v>
      </c>
      <c r="P972" s="96" t="s">
        <v>3766</v>
      </c>
      <c r="Q972" s="97" t="s">
        <v>7034</v>
      </c>
      <c r="R972" s="76">
        <f t="shared" si="75"/>
        <v>7</v>
      </c>
      <c r="S972" s="76">
        <f t="shared" si="76"/>
        <v>7</v>
      </c>
      <c r="T972" s="76" t="str">
        <f t="shared" si="77"/>
        <v>-</v>
      </c>
      <c r="U972" s="76" t="str">
        <f t="shared" si="78"/>
        <v>-</v>
      </c>
      <c r="V972" s="76" t="str">
        <f t="shared" si="79"/>
        <v>-</v>
      </c>
      <c r="Z972" s="62"/>
    </row>
    <row r="973" spans="1:26" ht="40.15" customHeight="1" x14ac:dyDescent="0.25">
      <c r="A973" s="87">
        <v>38</v>
      </c>
      <c r="B973" s="89" t="s">
        <v>1550</v>
      </c>
      <c r="C973" s="89" t="s">
        <v>6978</v>
      </c>
      <c r="D973" s="90" t="s">
        <v>326</v>
      </c>
      <c r="E973" s="90" t="s">
        <v>1631</v>
      </c>
      <c r="F973" s="91" t="s">
        <v>1556</v>
      </c>
      <c r="G973" s="92" t="s">
        <v>1557</v>
      </c>
      <c r="H973" s="93" t="s">
        <v>7050</v>
      </c>
      <c r="I973" s="87" t="s">
        <v>1813</v>
      </c>
      <c r="J973" s="91" t="s">
        <v>1814</v>
      </c>
      <c r="K973" s="87" t="s">
        <v>1761</v>
      </c>
      <c r="L973" s="126" t="s">
        <v>19</v>
      </c>
      <c r="M973" s="94">
        <v>44461.291666666664</v>
      </c>
      <c r="N973" s="94">
        <v>44461.333333333336</v>
      </c>
      <c r="O973" s="95" t="str">
        <f>PROPER(TEXT(Table1[[#This Row],[Fecha Inicio]],"mmmm"))</f>
        <v>Septiembre</v>
      </c>
      <c r="P973" s="96" t="s">
        <v>109</v>
      </c>
      <c r="Q973" s="97" t="s">
        <v>7051</v>
      </c>
      <c r="R973" s="76">
        <f t="shared" si="75"/>
        <v>1</v>
      </c>
      <c r="S973" s="76">
        <f t="shared" si="76"/>
        <v>1</v>
      </c>
      <c r="T973" s="76" t="str">
        <f t="shared" si="77"/>
        <v>-</v>
      </c>
      <c r="U973" s="76" t="str">
        <f t="shared" si="78"/>
        <v>-</v>
      </c>
      <c r="V973" s="76" t="str">
        <f t="shared" si="79"/>
        <v>-</v>
      </c>
      <c r="Z973" s="62"/>
    </row>
    <row r="974" spans="1:26" ht="40.15" customHeight="1" x14ac:dyDescent="0.25">
      <c r="A974" s="87">
        <v>38</v>
      </c>
      <c r="B974" s="89" t="s">
        <v>1550</v>
      </c>
      <c r="C974" s="89" t="s">
        <v>6978</v>
      </c>
      <c r="D974" s="89" t="s">
        <v>344</v>
      </c>
      <c r="E974" s="89" t="s">
        <v>1616</v>
      </c>
      <c r="F974" s="87" t="s">
        <v>1556</v>
      </c>
      <c r="G974" s="92" t="s">
        <v>1557</v>
      </c>
      <c r="H974" s="93" t="s">
        <v>7048</v>
      </c>
      <c r="I974" s="87" t="s">
        <v>1649</v>
      </c>
      <c r="J974" s="87" t="s">
        <v>1560</v>
      </c>
      <c r="K974" s="105" t="s">
        <v>1561</v>
      </c>
      <c r="L974" s="126" t="s">
        <v>19</v>
      </c>
      <c r="M974" s="94">
        <v>44461.416666666664</v>
      </c>
      <c r="N974" s="94">
        <v>44461.708333333336</v>
      </c>
      <c r="O974" s="95" t="str">
        <f>PROPER(TEXT(Table1[[#This Row],[Fecha Inicio]],"mmmm"))</f>
        <v>Septiembre</v>
      </c>
      <c r="P974" s="110" t="s">
        <v>1650</v>
      </c>
      <c r="Q974" s="97" t="s">
        <v>7049</v>
      </c>
      <c r="R974" s="76">
        <f t="shared" si="75"/>
        <v>1</v>
      </c>
      <c r="S974" s="76">
        <f t="shared" si="76"/>
        <v>1</v>
      </c>
      <c r="T974" s="76" t="str">
        <f t="shared" si="77"/>
        <v>-</v>
      </c>
      <c r="U974" s="76" t="str">
        <f t="shared" si="78"/>
        <v>-</v>
      </c>
      <c r="V974" s="76" t="str">
        <f t="shared" si="79"/>
        <v>-</v>
      </c>
      <c r="Z974" s="62"/>
    </row>
    <row r="975" spans="1:26" ht="40.15" customHeight="1" x14ac:dyDescent="0.25">
      <c r="A975" s="87">
        <v>37</v>
      </c>
      <c r="B975" s="89" t="s">
        <v>1550</v>
      </c>
      <c r="C975" s="89" t="s">
        <v>6978</v>
      </c>
      <c r="D975" s="89" t="s">
        <v>344</v>
      </c>
      <c r="E975" s="89" t="s">
        <v>1799</v>
      </c>
      <c r="F975" s="87" t="s">
        <v>1556</v>
      </c>
      <c r="G975" s="92" t="s">
        <v>1557</v>
      </c>
      <c r="H975" s="93" t="s">
        <v>7012</v>
      </c>
      <c r="I975" s="87" t="s">
        <v>1829</v>
      </c>
      <c r="J975" s="87" t="s">
        <v>1560</v>
      </c>
      <c r="K975" s="87" t="s">
        <v>1561</v>
      </c>
      <c r="L975" s="126" t="s">
        <v>19</v>
      </c>
      <c r="M975" s="94">
        <v>44461.666666666664</v>
      </c>
      <c r="N975" s="94">
        <v>44461.833333333336</v>
      </c>
      <c r="O975" s="95" t="str">
        <f>PROPER(TEXT(Table1[[#This Row],[Fecha Inicio]],"mmmm"))</f>
        <v>Septiembre</v>
      </c>
      <c r="P975" s="96" t="s">
        <v>1830</v>
      </c>
      <c r="Q975" s="97" t="s">
        <v>7013</v>
      </c>
      <c r="R975" s="76">
        <f t="shared" si="75"/>
        <v>1</v>
      </c>
      <c r="S975" s="76">
        <f t="shared" si="76"/>
        <v>1</v>
      </c>
      <c r="T975" s="76" t="str">
        <f t="shared" si="77"/>
        <v>-</v>
      </c>
      <c r="U975" s="76" t="str">
        <f t="shared" si="78"/>
        <v>-</v>
      </c>
      <c r="V975" s="76" t="str">
        <f t="shared" si="79"/>
        <v>-</v>
      </c>
      <c r="Z975" s="62"/>
    </row>
    <row r="976" spans="1:26" ht="40.15" customHeight="1" x14ac:dyDescent="0.25">
      <c r="A976" s="87">
        <v>38</v>
      </c>
      <c r="B976" s="89" t="s">
        <v>1550</v>
      </c>
      <c r="C976" s="89"/>
      <c r="D976" s="102" t="s">
        <v>1623</v>
      </c>
      <c r="E976" s="102" t="s">
        <v>1624</v>
      </c>
      <c r="F976" s="87" t="s">
        <v>1556</v>
      </c>
      <c r="G976" s="92" t="s">
        <v>1557</v>
      </c>
      <c r="H976" s="93" t="s">
        <v>7142</v>
      </c>
      <c r="I976" s="87" t="s">
        <v>7140</v>
      </c>
      <c r="J976" s="87" t="s">
        <v>6920</v>
      </c>
      <c r="K976" s="87" t="s">
        <v>1575</v>
      </c>
      <c r="L976" s="126" t="s">
        <v>19</v>
      </c>
      <c r="M976" s="94">
        <v>44461.708333333336</v>
      </c>
      <c r="N976" s="94">
        <v>44461.75</v>
      </c>
      <c r="O976" s="95" t="str">
        <f>PROPER(TEXT(Table1[[#This Row],[Fecha Inicio]],"mmmm"))</f>
        <v>Septiembre</v>
      </c>
      <c r="P976" s="96" t="s">
        <v>7141</v>
      </c>
      <c r="Q976" s="97" t="s">
        <v>7143</v>
      </c>
      <c r="R976" s="76">
        <f t="shared" si="75"/>
        <v>1</v>
      </c>
      <c r="S976" s="76">
        <f t="shared" si="76"/>
        <v>1</v>
      </c>
      <c r="T976" s="76" t="str">
        <f t="shared" si="77"/>
        <v>-</v>
      </c>
      <c r="U976" s="76" t="str">
        <f t="shared" si="78"/>
        <v>-</v>
      </c>
      <c r="V976" s="76" t="str">
        <f t="shared" si="79"/>
        <v>-</v>
      </c>
      <c r="Z976" s="62"/>
    </row>
    <row r="977" spans="1:26" ht="40.15" customHeight="1" x14ac:dyDescent="0.25">
      <c r="A977" s="87">
        <v>38</v>
      </c>
      <c r="B977" s="89" t="s">
        <v>1550</v>
      </c>
      <c r="C977" s="89" t="s">
        <v>6978</v>
      </c>
      <c r="D977" s="90" t="s">
        <v>326</v>
      </c>
      <c r="E977" s="90" t="s">
        <v>1631</v>
      </c>
      <c r="F977" s="87" t="s">
        <v>1556</v>
      </c>
      <c r="G977" s="92" t="s">
        <v>1557</v>
      </c>
      <c r="H977" s="93" t="s">
        <v>7053</v>
      </c>
      <c r="I977" s="87" t="s">
        <v>7052</v>
      </c>
      <c r="J977" s="87" t="s">
        <v>2135</v>
      </c>
      <c r="K977" s="87" t="s">
        <v>2935</v>
      </c>
      <c r="L977" s="126" t="s">
        <v>19</v>
      </c>
      <c r="M977" s="94">
        <v>44461.708333333336</v>
      </c>
      <c r="N977" s="94">
        <v>44461.791666666664</v>
      </c>
      <c r="O977" s="95" t="str">
        <f>PROPER(TEXT(Table1[[#This Row],[Fecha Inicio]],"mmmm"))</f>
        <v>Septiembre</v>
      </c>
      <c r="P977" s="96" t="s">
        <v>3445</v>
      </c>
      <c r="Q977" s="97" t="s">
        <v>7054</v>
      </c>
      <c r="R977" s="76">
        <f t="shared" si="75"/>
        <v>2</v>
      </c>
      <c r="S977" s="76">
        <f t="shared" si="76"/>
        <v>2</v>
      </c>
      <c r="T977" s="76" t="str">
        <f t="shared" si="77"/>
        <v>-</v>
      </c>
      <c r="U977" s="76" t="str">
        <f t="shared" si="78"/>
        <v>-</v>
      </c>
      <c r="V977" s="76" t="str">
        <f t="shared" si="79"/>
        <v>-</v>
      </c>
      <c r="Z977" s="62"/>
    </row>
    <row r="978" spans="1:26" ht="40.15" customHeight="1" x14ac:dyDescent="0.25">
      <c r="A978" s="87">
        <v>38</v>
      </c>
      <c r="B978" s="89" t="s">
        <v>1550</v>
      </c>
      <c r="C978" s="89" t="s">
        <v>6978</v>
      </c>
      <c r="D978" s="90" t="s">
        <v>326</v>
      </c>
      <c r="E978" s="90" t="s">
        <v>1631</v>
      </c>
      <c r="F978" s="91" t="s">
        <v>1556</v>
      </c>
      <c r="G978" s="92" t="s">
        <v>1557</v>
      </c>
      <c r="H978" s="93" t="s">
        <v>7055</v>
      </c>
      <c r="I978" s="91" t="s">
        <v>1780</v>
      </c>
      <c r="J978" s="87" t="s">
        <v>1781</v>
      </c>
      <c r="K978" s="91" t="s">
        <v>1575</v>
      </c>
      <c r="L978" s="126" t="s">
        <v>19</v>
      </c>
      <c r="M978" s="94">
        <v>44461.708333333336</v>
      </c>
      <c r="N978" s="94">
        <v>44461.791666666664</v>
      </c>
      <c r="O978" s="95" t="str">
        <f>PROPER(TEXT(Table1[[#This Row],[Fecha Inicio]],"mmmm"))</f>
        <v>Septiembre</v>
      </c>
      <c r="P978" s="96" t="s">
        <v>1782</v>
      </c>
      <c r="Q978" s="97" t="s">
        <v>7056</v>
      </c>
      <c r="R978" s="76">
        <f t="shared" si="75"/>
        <v>7</v>
      </c>
      <c r="S978" s="76">
        <f t="shared" si="76"/>
        <v>7</v>
      </c>
      <c r="T978" s="76" t="str">
        <f t="shared" si="77"/>
        <v>-</v>
      </c>
      <c r="U978" s="76" t="str">
        <f t="shared" si="78"/>
        <v>-</v>
      </c>
      <c r="V978" s="76" t="str">
        <f t="shared" si="79"/>
        <v>-</v>
      </c>
      <c r="Z978" s="62"/>
    </row>
    <row r="979" spans="1:26" ht="40.15" customHeight="1" x14ac:dyDescent="0.25">
      <c r="A979" s="115">
        <v>38</v>
      </c>
      <c r="B979" s="116" t="s">
        <v>1550</v>
      </c>
      <c r="C979" s="116"/>
      <c r="D979" s="116" t="s">
        <v>1623</v>
      </c>
      <c r="E979" s="116" t="s">
        <v>1624</v>
      </c>
      <c r="F979" s="115" t="s">
        <v>1556</v>
      </c>
      <c r="G979" s="92" t="s">
        <v>1557</v>
      </c>
      <c r="H979" s="93" t="s">
        <v>7146</v>
      </c>
      <c r="I979" s="115" t="s">
        <v>7144</v>
      </c>
      <c r="J979" s="87" t="s">
        <v>2152</v>
      </c>
      <c r="K979" s="87" t="s">
        <v>1575</v>
      </c>
      <c r="L979" s="126" t="s">
        <v>19</v>
      </c>
      <c r="M979" s="94">
        <v>44461.833333333336</v>
      </c>
      <c r="N979" s="94">
        <v>44461.875</v>
      </c>
      <c r="O979" s="119" t="str">
        <f>PROPER(TEXT(Table1[[#This Row],[Fecha Inicio]],"mmmm"))</f>
        <v>Septiembre</v>
      </c>
      <c r="P979" s="96" t="s">
        <v>3389</v>
      </c>
      <c r="Q979" s="97" t="s">
        <v>7145</v>
      </c>
      <c r="R979" s="76">
        <f t="shared" si="75"/>
        <v>1</v>
      </c>
      <c r="S979" s="76">
        <f t="shared" si="76"/>
        <v>1</v>
      </c>
      <c r="T979" s="76" t="str">
        <f t="shared" si="77"/>
        <v>-</v>
      </c>
      <c r="U979" s="76" t="str">
        <f t="shared" si="78"/>
        <v>-</v>
      </c>
      <c r="V979" s="76" t="str">
        <f t="shared" si="79"/>
        <v>-</v>
      </c>
      <c r="Z979" s="62"/>
    </row>
    <row r="980" spans="1:26" ht="40.15" customHeight="1" x14ac:dyDescent="0.25">
      <c r="A980" s="87">
        <v>38</v>
      </c>
      <c r="B980" s="89" t="s">
        <v>1550</v>
      </c>
      <c r="C980" s="89" t="s">
        <v>6978</v>
      </c>
      <c r="D980" s="90" t="s">
        <v>326</v>
      </c>
      <c r="E980" s="90" t="s">
        <v>1631</v>
      </c>
      <c r="F980" s="91" t="s">
        <v>1556</v>
      </c>
      <c r="G980" s="92" t="s">
        <v>1557</v>
      </c>
      <c r="H980" s="93" t="s">
        <v>7057</v>
      </c>
      <c r="I980" s="87" t="s">
        <v>1833</v>
      </c>
      <c r="J980" s="87" t="s">
        <v>1834</v>
      </c>
      <c r="K980" s="87" t="s">
        <v>1596</v>
      </c>
      <c r="L980" s="126" t="s">
        <v>19</v>
      </c>
      <c r="M980" s="94">
        <v>44461.916666666664</v>
      </c>
      <c r="N980" s="94">
        <v>44461.958333333336</v>
      </c>
      <c r="O980" s="95" t="str">
        <f>PROPER(TEXT(Table1[[#This Row],[Fecha Inicio]],"mmmm"))</f>
        <v>Septiembre</v>
      </c>
      <c r="P980" s="96" t="s">
        <v>1835</v>
      </c>
      <c r="Q980" s="97" t="s">
        <v>7058</v>
      </c>
      <c r="R980" s="76">
        <f t="shared" si="75"/>
        <v>2</v>
      </c>
      <c r="S980" s="76">
        <f t="shared" si="76"/>
        <v>2</v>
      </c>
      <c r="T980" s="76" t="str">
        <f t="shared" si="77"/>
        <v>-</v>
      </c>
      <c r="U980" s="76" t="str">
        <f t="shared" si="78"/>
        <v>-</v>
      </c>
      <c r="V980" s="76" t="str">
        <f t="shared" si="79"/>
        <v>-</v>
      </c>
      <c r="Z980" s="62"/>
    </row>
    <row r="981" spans="1:26" ht="40.15" customHeight="1" x14ac:dyDescent="0.25">
      <c r="A981" s="87">
        <v>38</v>
      </c>
      <c r="B981" s="89" t="s">
        <v>1550</v>
      </c>
      <c r="C981" s="89" t="s">
        <v>6978</v>
      </c>
      <c r="D981" s="90" t="s">
        <v>326</v>
      </c>
      <c r="E981" s="90" t="s">
        <v>1631</v>
      </c>
      <c r="F981" s="91" t="s">
        <v>1556</v>
      </c>
      <c r="G981" s="92" t="s">
        <v>1557</v>
      </c>
      <c r="H981" s="93" t="s">
        <v>7059</v>
      </c>
      <c r="I981" s="87" t="s">
        <v>1842</v>
      </c>
      <c r="J981" s="87" t="s">
        <v>1612</v>
      </c>
      <c r="K981" s="87" t="s">
        <v>1613</v>
      </c>
      <c r="L981" s="126" t="s">
        <v>19</v>
      </c>
      <c r="M981" s="94">
        <v>44461.958333333336</v>
      </c>
      <c r="N981" s="94">
        <v>44462.208333333336</v>
      </c>
      <c r="O981" s="95" t="str">
        <f>PROPER(TEXT(Table1[[#This Row],[Fecha Inicio]],"mmmm"))</f>
        <v>Septiembre</v>
      </c>
      <c r="P981" s="96" t="s">
        <v>1843</v>
      </c>
      <c r="Q981" s="97" t="s">
        <v>7060</v>
      </c>
      <c r="R981" s="76">
        <f t="shared" si="75"/>
        <v>19</v>
      </c>
      <c r="S981" s="76">
        <f t="shared" si="76"/>
        <v>19</v>
      </c>
      <c r="T981" s="76" t="str">
        <f t="shared" si="77"/>
        <v>-</v>
      </c>
      <c r="U981" s="76" t="str">
        <f t="shared" si="78"/>
        <v>-</v>
      </c>
      <c r="V981" s="76" t="str">
        <f t="shared" si="79"/>
        <v>-</v>
      </c>
      <c r="Z981" s="62"/>
    </row>
    <row r="982" spans="1:26" ht="40.15" customHeight="1" x14ac:dyDescent="0.25">
      <c r="A982" s="87">
        <v>37</v>
      </c>
      <c r="B982" s="89" t="s">
        <v>4231</v>
      </c>
      <c r="C982" s="89" t="s">
        <v>7162</v>
      </c>
      <c r="D982" s="90" t="s">
        <v>326</v>
      </c>
      <c r="E982" s="90" t="s">
        <v>1631</v>
      </c>
      <c r="F982" s="91" t="s">
        <v>1556</v>
      </c>
      <c r="G982" s="92" t="s">
        <v>1557</v>
      </c>
      <c r="H982" s="93" t="s">
        <v>7014</v>
      </c>
      <c r="I982" s="87" t="s">
        <v>1846</v>
      </c>
      <c r="J982" s="87" t="s">
        <v>1560</v>
      </c>
      <c r="K982" s="87" t="s">
        <v>1561</v>
      </c>
      <c r="L982" s="126" t="s">
        <v>19</v>
      </c>
      <c r="M982" s="94">
        <v>44461.958333333336</v>
      </c>
      <c r="N982" s="94">
        <v>44462.291666666664</v>
      </c>
      <c r="O982" s="95" t="str">
        <f>PROPER(TEXT(Table1[[#This Row],[Fecha Inicio]],"mmmm"))</f>
        <v>Septiembre</v>
      </c>
      <c r="P982" s="96" t="s">
        <v>1847</v>
      </c>
      <c r="Q982" s="97" t="s">
        <v>7015</v>
      </c>
      <c r="R982" s="76">
        <f t="shared" si="75"/>
        <v>14</v>
      </c>
      <c r="S982" s="76" t="str">
        <f t="shared" si="76"/>
        <v>-</v>
      </c>
      <c r="T982" s="76" t="str">
        <f t="shared" si="77"/>
        <v>-</v>
      </c>
      <c r="U982" s="76" t="str">
        <f t="shared" si="78"/>
        <v>-</v>
      </c>
      <c r="V982" s="76" t="str">
        <f t="shared" si="79"/>
        <v>-</v>
      </c>
      <c r="Z982" s="62"/>
    </row>
    <row r="983" spans="1:26" ht="40.15" customHeight="1" x14ac:dyDescent="0.25">
      <c r="A983" s="87">
        <v>38</v>
      </c>
      <c r="B983" s="89" t="s">
        <v>1550</v>
      </c>
      <c r="C983" s="89" t="s">
        <v>7061</v>
      </c>
      <c r="D983" s="90" t="s">
        <v>326</v>
      </c>
      <c r="E983" s="90" t="s">
        <v>1631</v>
      </c>
      <c r="F983" s="91" t="s">
        <v>1556</v>
      </c>
      <c r="G983" s="92" t="s">
        <v>1557</v>
      </c>
      <c r="H983" s="93" t="s">
        <v>7062</v>
      </c>
      <c r="I983" s="87" t="s">
        <v>1850</v>
      </c>
      <c r="J983" s="87" t="s">
        <v>1771</v>
      </c>
      <c r="K983" s="87" t="s">
        <v>1575</v>
      </c>
      <c r="L983" s="126" t="s">
        <v>19</v>
      </c>
      <c r="M983" s="94">
        <v>44462.291666666664</v>
      </c>
      <c r="N983" s="94">
        <v>44462.333333333336</v>
      </c>
      <c r="O983" s="95" t="str">
        <f>PROPER(TEXT(Table1[[#This Row],[Fecha Inicio]],"mmmm"))</f>
        <v>Septiembre</v>
      </c>
      <c r="P983" s="96" t="s">
        <v>1772</v>
      </c>
      <c r="Q983" s="97" t="s">
        <v>7063</v>
      </c>
      <c r="R983" s="76">
        <f t="shared" si="75"/>
        <v>2</v>
      </c>
      <c r="S983" s="76">
        <f t="shared" si="76"/>
        <v>2</v>
      </c>
      <c r="T983" s="76" t="str">
        <f t="shared" si="77"/>
        <v>-</v>
      </c>
      <c r="U983" s="76" t="str">
        <f t="shared" si="78"/>
        <v>-</v>
      </c>
      <c r="V983" s="76" t="str">
        <f t="shared" si="79"/>
        <v>-</v>
      </c>
      <c r="Z983" s="62"/>
    </row>
    <row r="984" spans="1:26" ht="52.5" customHeight="1" x14ac:dyDescent="0.25">
      <c r="A984" s="87">
        <v>38</v>
      </c>
      <c r="B984" s="89" t="s">
        <v>1550</v>
      </c>
      <c r="C984" s="89" t="s">
        <v>6978</v>
      </c>
      <c r="D984" s="89" t="s">
        <v>344</v>
      </c>
      <c r="E984" s="89" t="s">
        <v>1616</v>
      </c>
      <c r="F984" s="87" t="s">
        <v>1556</v>
      </c>
      <c r="G984" s="92" t="s">
        <v>1557</v>
      </c>
      <c r="H984" s="93" t="s">
        <v>7046</v>
      </c>
      <c r="I984" s="87" t="s">
        <v>1681</v>
      </c>
      <c r="J984" s="87" t="s">
        <v>1560</v>
      </c>
      <c r="K984" s="87" t="s">
        <v>1561</v>
      </c>
      <c r="L984" s="126" t="s">
        <v>19</v>
      </c>
      <c r="M984" s="94">
        <v>44462.416666666664</v>
      </c>
      <c r="N984" s="94">
        <v>44462.708333333336</v>
      </c>
      <c r="O984" s="95" t="str">
        <f>PROPER(TEXT(Table1[[#This Row],[Fecha Inicio]],"mmmm"))</f>
        <v>Septiembre</v>
      </c>
      <c r="P984" s="96" t="s">
        <v>1682</v>
      </c>
      <c r="Q984" s="97" t="s">
        <v>7047</v>
      </c>
      <c r="R984" s="76">
        <f t="shared" si="75"/>
        <v>1</v>
      </c>
      <c r="S984" s="76">
        <f t="shared" si="76"/>
        <v>1</v>
      </c>
      <c r="T984" s="76" t="str">
        <f t="shared" si="77"/>
        <v>-</v>
      </c>
      <c r="U984" s="76" t="str">
        <f t="shared" si="78"/>
        <v>-</v>
      </c>
      <c r="V984" s="76" t="str">
        <f t="shared" si="79"/>
        <v>-</v>
      </c>
      <c r="Z984" s="62"/>
    </row>
    <row r="985" spans="1:26" ht="40.15" customHeight="1" x14ac:dyDescent="0.25">
      <c r="A985" s="87">
        <v>38</v>
      </c>
      <c r="B985" s="89" t="s">
        <v>1550</v>
      </c>
      <c r="C985" s="89" t="s">
        <v>6978</v>
      </c>
      <c r="D985" s="89" t="s">
        <v>326</v>
      </c>
      <c r="E985" s="89" t="s">
        <v>1631</v>
      </c>
      <c r="F985" s="87" t="s">
        <v>1556</v>
      </c>
      <c r="G985" s="92" t="s">
        <v>1557</v>
      </c>
      <c r="H985" s="93" t="s">
        <v>7064</v>
      </c>
      <c r="I985" s="87" t="s">
        <v>1759</v>
      </c>
      <c r="J985" s="87" t="s">
        <v>1760</v>
      </c>
      <c r="K985" s="87" t="s">
        <v>1761</v>
      </c>
      <c r="L985" s="126" t="s">
        <v>19</v>
      </c>
      <c r="M985" s="94">
        <v>44462.75</v>
      </c>
      <c r="N985" s="94">
        <v>44462.875</v>
      </c>
      <c r="O985" s="95" t="str">
        <f>PROPER(TEXT(Table1[[#This Row],[Fecha Inicio]],"mmmm"))</f>
        <v>Septiembre</v>
      </c>
      <c r="P985" s="96" t="s">
        <v>2793</v>
      </c>
      <c r="Q985" s="97" t="s">
        <v>7065</v>
      </c>
      <c r="R985" s="76">
        <f t="shared" si="75"/>
        <v>4</v>
      </c>
      <c r="S985" s="76">
        <f t="shared" si="76"/>
        <v>4</v>
      </c>
      <c r="T985" s="76" t="str">
        <f t="shared" si="77"/>
        <v>-</v>
      </c>
      <c r="U985" s="76" t="str">
        <f t="shared" si="78"/>
        <v>-</v>
      </c>
      <c r="V985" s="76" t="str">
        <f t="shared" si="79"/>
        <v>-</v>
      </c>
      <c r="Z985" s="62"/>
    </row>
    <row r="986" spans="1:26" ht="40.15" customHeight="1" x14ac:dyDescent="0.25">
      <c r="A986" s="87">
        <v>38</v>
      </c>
      <c r="B986" s="89" t="s">
        <v>1550</v>
      </c>
      <c r="C986" s="106" t="s">
        <v>4250</v>
      </c>
      <c r="D986" s="113" t="s">
        <v>326</v>
      </c>
      <c r="E986" s="113" t="s">
        <v>1631</v>
      </c>
      <c r="F986" s="105" t="s">
        <v>1556</v>
      </c>
      <c r="G986" s="92" t="s">
        <v>1557</v>
      </c>
      <c r="H986" s="93" t="s">
        <v>7066</v>
      </c>
      <c r="I986" s="87" t="s">
        <v>1880</v>
      </c>
      <c r="J986" s="87" t="s">
        <v>1881</v>
      </c>
      <c r="K986" s="105" t="s">
        <v>1575</v>
      </c>
      <c r="L986" s="126" t="s">
        <v>19</v>
      </c>
      <c r="M986" s="108">
        <v>44462.84375</v>
      </c>
      <c r="N986" s="108">
        <v>44462.927083333336</v>
      </c>
      <c r="O986" s="95" t="str">
        <f>PROPER(TEXT(Table1[[#This Row],[Fecha Inicio]],"mmmm"))</f>
        <v>Septiembre</v>
      </c>
      <c r="P986" s="110" t="s">
        <v>1882</v>
      </c>
      <c r="Q986" s="97" t="s">
        <v>7067</v>
      </c>
      <c r="R986" s="76">
        <f t="shared" si="75"/>
        <v>6</v>
      </c>
      <c r="S986" s="76">
        <f t="shared" si="76"/>
        <v>6</v>
      </c>
      <c r="T986" s="76" t="str">
        <f t="shared" si="77"/>
        <v>-</v>
      </c>
      <c r="U986" s="76" t="str">
        <f t="shared" si="78"/>
        <v>-</v>
      </c>
      <c r="V986" s="76" t="str">
        <f t="shared" si="79"/>
        <v>-</v>
      </c>
      <c r="Z986" s="62"/>
    </row>
    <row r="987" spans="1:26" ht="40.15" customHeight="1" x14ac:dyDescent="0.25">
      <c r="A987" s="115">
        <v>38</v>
      </c>
      <c r="B987" s="116" t="s">
        <v>1550</v>
      </c>
      <c r="C987" s="89" t="s">
        <v>6978</v>
      </c>
      <c r="D987" s="90" t="s">
        <v>326</v>
      </c>
      <c r="E987" s="90" t="s">
        <v>1631</v>
      </c>
      <c r="F987" s="91" t="s">
        <v>1556</v>
      </c>
      <c r="G987" s="92" t="s">
        <v>1557</v>
      </c>
      <c r="H987" s="117" t="s">
        <v>7068</v>
      </c>
      <c r="I987" s="87" t="s">
        <v>1889</v>
      </c>
      <c r="J987" s="87" t="s">
        <v>1890</v>
      </c>
      <c r="K987" s="87" t="s">
        <v>1575</v>
      </c>
      <c r="L987" s="126" t="s">
        <v>19</v>
      </c>
      <c r="M987" s="94">
        <v>44462.916666666664</v>
      </c>
      <c r="N987" s="94">
        <v>44462.958333333336</v>
      </c>
      <c r="O987" s="119" t="str">
        <f>PROPER(TEXT(Table1[[#This Row],[Fecha Inicio]],"mmmm"))</f>
        <v>Septiembre</v>
      </c>
      <c r="P987" s="96" t="s">
        <v>164</v>
      </c>
      <c r="Q987" s="97" t="s">
        <v>7069</v>
      </c>
      <c r="R987" s="76">
        <f t="shared" si="75"/>
        <v>1</v>
      </c>
      <c r="S987" s="76">
        <f t="shared" si="76"/>
        <v>1</v>
      </c>
      <c r="T987" s="76" t="str">
        <f t="shared" si="77"/>
        <v>-</v>
      </c>
      <c r="U987" s="76" t="str">
        <f t="shared" si="78"/>
        <v>-</v>
      </c>
      <c r="V987" s="76" t="str">
        <f t="shared" si="79"/>
        <v>-</v>
      </c>
      <c r="Z987" s="62"/>
    </row>
    <row r="988" spans="1:26" ht="40.15" customHeight="1" x14ac:dyDescent="0.25">
      <c r="A988" s="115">
        <v>38</v>
      </c>
      <c r="B988" s="116" t="s">
        <v>1550</v>
      </c>
      <c r="C988" s="89" t="s">
        <v>6978</v>
      </c>
      <c r="D988" s="90" t="s">
        <v>326</v>
      </c>
      <c r="E988" s="90" t="s">
        <v>1631</v>
      </c>
      <c r="F988" s="87" t="s">
        <v>1556</v>
      </c>
      <c r="G988" s="92" t="s">
        <v>1557</v>
      </c>
      <c r="H988" s="117" t="s">
        <v>7070</v>
      </c>
      <c r="I988" s="87" t="s">
        <v>7052</v>
      </c>
      <c r="J988" s="87" t="s">
        <v>2135</v>
      </c>
      <c r="K988" s="87" t="s">
        <v>2935</v>
      </c>
      <c r="L988" s="126" t="s">
        <v>19</v>
      </c>
      <c r="M988" s="94">
        <v>44462.958333333336</v>
      </c>
      <c r="N988" s="94">
        <v>44463.25</v>
      </c>
      <c r="O988" s="119" t="str">
        <f>PROPER(TEXT(Table1[[#This Row],[Fecha Inicio]],"mmmm"))</f>
        <v>Septiembre</v>
      </c>
      <c r="P988" s="120" t="s">
        <v>3832</v>
      </c>
      <c r="Q988" s="97" t="s">
        <v>7071</v>
      </c>
      <c r="R988" s="76">
        <f t="shared" si="75"/>
        <v>13</v>
      </c>
      <c r="S988" s="76">
        <f t="shared" si="76"/>
        <v>13</v>
      </c>
      <c r="T988" s="76" t="str">
        <f t="shared" si="77"/>
        <v>-</v>
      </c>
      <c r="U988" s="76" t="str">
        <f t="shared" si="78"/>
        <v>-</v>
      </c>
      <c r="V988" s="76" t="str">
        <f t="shared" si="79"/>
        <v>-</v>
      </c>
      <c r="Z988" s="62"/>
    </row>
    <row r="989" spans="1:26" ht="40.15" customHeight="1" x14ac:dyDescent="0.25">
      <c r="A989" s="87">
        <v>38</v>
      </c>
      <c r="B989" s="89" t="s">
        <v>1550</v>
      </c>
      <c r="C989" s="89"/>
      <c r="D989" s="90" t="s">
        <v>1554</v>
      </c>
      <c r="E989" s="90" t="s">
        <v>1555</v>
      </c>
      <c r="F989" s="87" t="s">
        <v>1556</v>
      </c>
      <c r="G989" s="92" t="s">
        <v>1557</v>
      </c>
      <c r="H989" s="93" t="s">
        <v>7158</v>
      </c>
      <c r="I989" s="87" t="s">
        <v>7156</v>
      </c>
      <c r="J989" s="91" t="s">
        <v>7155</v>
      </c>
      <c r="K989" s="87" t="s">
        <v>1575</v>
      </c>
      <c r="L989" s="87" t="s">
        <v>52</v>
      </c>
      <c r="M989" s="94">
        <v>44463.375</v>
      </c>
      <c r="N989" s="94">
        <v>44463.625</v>
      </c>
      <c r="O989" s="95" t="str">
        <f>PROPER(TEXT(Table1[[#This Row],[Fecha Inicio]],"mmmm"))</f>
        <v>Septiembre</v>
      </c>
      <c r="P989" s="96" t="s">
        <v>7157</v>
      </c>
      <c r="Q989" s="97" t="s">
        <v>7159</v>
      </c>
      <c r="R989" s="76">
        <f t="shared" si="75"/>
        <v>33</v>
      </c>
      <c r="S989" s="76">
        <f t="shared" si="76"/>
        <v>33</v>
      </c>
      <c r="T989" s="76" t="str">
        <f t="shared" si="77"/>
        <v>-</v>
      </c>
      <c r="U989" s="76" t="str">
        <f t="shared" si="78"/>
        <v>-</v>
      </c>
      <c r="V989" s="76" t="str">
        <f t="shared" si="79"/>
        <v>-</v>
      </c>
      <c r="Z989" s="62"/>
    </row>
    <row r="990" spans="1:26" ht="40.15" customHeight="1" x14ac:dyDescent="0.25">
      <c r="A990" s="115">
        <v>38</v>
      </c>
      <c r="B990" s="116" t="s">
        <v>1550</v>
      </c>
      <c r="C990" s="89" t="s">
        <v>4250</v>
      </c>
      <c r="D990" s="90" t="s">
        <v>326</v>
      </c>
      <c r="E990" s="90" t="s">
        <v>1631</v>
      </c>
      <c r="F990" s="91" t="s">
        <v>1556</v>
      </c>
      <c r="G990" s="92" t="s">
        <v>1557</v>
      </c>
      <c r="H990" s="117" t="s">
        <v>7074</v>
      </c>
      <c r="I990" s="87" t="s">
        <v>1906</v>
      </c>
      <c r="J990" s="87" t="s">
        <v>1907</v>
      </c>
      <c r="K990" s="87" t="s">
        <v>1575</v>
      </c>
      <c r="L990" s="126" t="s">
        <v>19</v>
      </c>
      <c r="M990" s="94">
        <v>44463.791666666664</v>
      </c>
      <c r="N990" s="94">
        <v>44463.875</v>
      </c>
      <c r="O990" s="119" t="str">
        <f>PROPER(TEXT(Table1[[#This Row],[Fecha Inicio]],"mmmm"))</f>
        <v>Septiembre</v>
      </c>
      <c r="P990" s="96" t="s">
        <v>171</v>
      </c>
      <c r="Q990" s="97" t="s">
        <v>7075</v>
      </c>
      <c r="R990" s="76">
        <f t="shared" si="75"/>
        <v>1</v>
      </c>
      <c r="S990" s="76">
        <f t="shared" si="76"/>
        <v>1</v>
      </c>
      <c r="T990" s="76" t="str">
        <f t="shared" si="77"/>
        <v>-</v>
      </c>
      <c r="U990" s="76" t="str">
        <f t="shared" si="78"/>
        <v>-</v>
      </c>
      <c r="V990" s="76" t="str">
        <f t="shared" si="79"/>
        <v>-</v>
      </c>
      <c r="Z990" s="62"/>
    </row>
    <row r="991" spans="1:26" ht="40.15" customHeight="1" x14ac:dyDescent="0.25">
      <c r="A991" s="115">
        <v>38</v>
      </c>
      <c r="B991" s="116" t="s">
        <v>1550</v>
      </c>
      <c r="C991" s="89" t="s">
        <v>6978</v>
      </c>
      <c r="D991" s="89" t="s">
        <v>326</v>
      </c>
      <c r="E991" s="89" t="s">
        <v>1631</v>
      </c>
      <c r="F991" s="87" t="s">
        <v>1556</v>
      </c>
      <c r="G991" s="92" t="s">
        <v>1557</v>
      </c>
      <c r="H991" s="117" t="s">
        <v>7072</v>
      </c>
      <c r="I991" s="87" t="s">
        <v>1901</v>
      </c>
      <c r="J991" s="87" t="s">
        <v>1902</v>
      </c>
      <c r="K991" s="87" t="s">
        <v>1575</v>
      </c>
      <c r="L991" s="126" t="s">
        <v>19</v>
      </c>
      <c r="M991" s="94">
        <v>44463.791666666664</v>
      </c>
      <c r="N991" s="94">
        <v>44463.875</v>
      </c>
      <c r="O991" s="119" t="str">
        <f>PROPER(TEXT(Table1[[#This Row],[Fecha Inicio]],"mmmm"))</f>
        <v>Septiembre</v>
      </c>
      <c r="P991" s="96" t="s">
        <v>1903</v>
      </c>
      <c r="Q991" s="97" t="s">
        <v>7073</v>
      </c>
      <c r="R991" s="76">
        <f t="shared" si="75"/>
        <v>2</v>
      </c>
      <c r="S991" s="76">
        <f t="shared" si="76"/>
        <v>2</v>
      </c>
      <c r="T991" s="76" t="str">
        <f t="shared" si="77"/>
        <v>-</v>
      </c>
      <c r="U991" s="76" t="str">
        <f t="shared" si="78"/>
        <v>-</v>
      </c>
      <c r="V991" s="76" t="str">
        <f t="shared" si="79"/>
        <v>-</v>
      </c>
      <c r="Z991" s="62"/>
    </row>
    <row r="992" spans="1:26" ht="40.15" customHeight="1" x14ac:dyDescent="0.25">
      <c r="A992" s="115">
        <v>38</v>
      </c>
      <c r="B992" s="89" t="s">
        <v>1552</v>
      </c>
      <c r="C992" s="89" t="s">
        <v>7176</v>
      </c>
      <c r="D992" s="90" t="s">
        <v>1554</v>
      </c>
      <c r="E992" s="90" t="s">
        <v>1555</v>
      </c>
      <c r="F992" s="115" t="s">
        <v>1556</v>
      </c>
      <c r="G992" s="92" t="s">
        <v>7175</v>
      </c>
      <c r="H992" s="117" t="s">
        <v>7168</v>
      </c>
      <c r="I992" s="115" t="s">
        <v>7165</v>
      </c>
      <c r="J992" s="87" t="s">
        <v>7166</v>
      </c>
      <c r="K992" s="115" t="s">
        <v>1575</v>
      </c>
      <c r="L992" s="87" t="s">
        <v>52</v>
      </c>
      <c r="M992" s="118">
        <v>44464.375</v>
      </c>
      <c r="N992" s="118">
        <v>44464.625</v>
      </c>
      <c r="O992" s="119" t="str">
        <f>PROPER(TEXT(Table1[[#This Row],[Fecha Inicio]],"mmmm"))</f>
        <v>Septiembre</v>
      </c>
      <c r="P992" s="96" t="s">
        <v>7167</v>
      </c>
      <c r="Q992" s="97" t="s">
        <v>7169</v>
      </c>
      <c r="R992" s="76">
        <f t="shared" si="75"/>
        <v>1</v>
      </c>
      <c r="S992" s="76" t="str">
        <f t="shared" si="76"/>
        <v>-</v>
      </c>
      <c r="T992" s="76" t="str">
        <f t="shared" si="77"/>
        <v>-</v>
      </c>
      <c r="U992" s="76">
        <f t="shared" si="78"/>
        <v>1</v>
      </c>
      <c r="V992" s="76" t="str">
        <f t="shared" si="79"/>
        <v>-</v>
      </c>
      <c r="Z992" s="62"/>
    </row>
    <row r="993" spans="1:26" ht="40.15" customHeight="1" x14ac:dyDescent="0.25">
      <c r="A993" s="115">
        <v>38</v>
      </c>
      <c r="B993" s="116" t="s">
        <v>1550</v>
      </c>
      <c r="C993" s="89" t="s">
        <v>6978</v>
      </c>
      <c r="D993" s="89" t="s">
        <v>326</v>
      </c>
      <c r="E993" s="89" t="s">
        <v>1631</v>
      </c>
      <c r="F993" s="87" t="s">
        <v>1556</v>
      </c>
      <c r="G993" s="92" t="s">
        <v>1557</v>
      </c>
      <c r="H993" s="117" t="s">
        <v>7076</v>
      </c>
      <c r="I993" s="87" t="s">
        <v>1759</v>
      </c>
      <c r="J993" s="87" t="s">
        <v>1760</v>
      </c>
      <c r="K993" s="87" t="s">
        <v>1761</v>
      </c>
      <c r="L993" s="126" t="s">
        <v>19</v>
      </c>
      <c r="M993" s="94">
        <v>44464.958333333336</v>
      </c>
      <c r="N993" s="94">
        <v>44465.125</v>
      </c>
      <c r="O993" s="119" t="str">
        <f>PROPER(TEXT(Table1[[#This Row],[Fecha Inicio]],"mmmm"))</f>
        <v>Septiembre</v>
      </c>
      <c r="P993" s="96" t="s">
        <v>3203</v>
      </c>
      <c r="Q993" s="97" t="s">
        <v>7077</v>
      </c>
      <c r="R993" s="76">
        <f t="shared" si="75"/>
        <v>5</v>
      </c>
      <c r="S993" s="76">
        <f t="shared" si="76"/>
        <v>5</v>
      </c>
      <c r="T993" s="76" t="str">
        <f t="shared" si="77"/>
        <v>-</v>
      </c>
      <c r="U993" s="76" t="str">
        <f t="shared" si="78"/>
        <v>-</v>
      </c>
      <c r="V993" s="76" t="str">
        <f t="shared" si="79"/>
        <v>-</v>
      </c>
      <c r="Z993" s="62"/>
    </row>
    <row r="994" spans="1:26" ht="40.15" customHeight="1" x14ac:dyDescent="0.25">
      <c r="A994" s="87">
        <v>38</v>
      </c>
      <c r="B994" s="89" t="s">
        <v>1550</v>
      </c>
      <c r="C994" s="89" t="s">
        <v>6978</v>
      </c>
      <c r="D994" s="89" t="s">
        <v>326</v>
      </c>
      <c r="E994" s="89" t="s">
        <v>1631</v>
      </c>
      <c r="F994" s="87" t="s">
        <v>1556</v>
      </c>
      <c r="G994" s="92" t="s">
        <v>1557</v>
      </c>
      <c r="H994" s="93" t="s">
        <v>7087</v>
      </c>
      <c r="I994" s="87" t="s">
        <v>1919</v>
      </c>
      <c r="J994" s="91" t="s">
        <v>1920</v>
      </c>
      <c r="K994" s="87" t="s">
        <v>1921</v>
      </c>
      <c r="L994" s="126" t="s">
        <v>19</v>
      </c>
      <c r="M994" s="94">
        <v>44465</v>
      </c>
      <c r="N994" s="94">
        <v>44465.25</v>
      </c>
      <c r="O994" s="95" t="str">
        <f>PROPER(TEXT(Table1[[#This Row],[Fecha Inicio]],"mmmm"))</f>
        <v>Septiembre</v>
      </c>
      <c r="P994" s="96" t="s">
        <v>7086</v>
      </c>
      <c r="Q994" s="97" t="s">
        <v>7177</v>
      </c>
      <c r="R994" s="76">
        <f t="shared" si="75"/>
        <v>9</v>
      </c>
      <c r="S994" s="76">
        <f t="shared" si="76"/>
        <v>9</v>
      </c>
      <c r="T994" s="76" t="str">
        <f t="shared" si="77"/>
        <v>-</v>
      </c>
      <c r="U994" s="76" t="str">
        <f t="shared" si="78"/>
        <v>-</v>
      </c>
      <c r="V994" s="76" t="str">
        <f t="shared" si="79"/>
        <v>-</v>
      </c>
      <c r="Z994" s="62"/>
    </row>
    <row r="995" spans="1:26" ht="40.15" customHeight="1" x14ac:dyDescent="0.25">
      <c r="A995" s="87">
        <v>38</v>
      </c>
      <c r="B995" s="89" t="s">
        <v>1550</v>
      </c>
      <c r="C995" s="89" t="s">
        <v>6978</v>
      </c>
      <c r="D995" s="106" t="s">
        <v>326</v>
      </c>
      <c r="E995" s="106" t="s">
        <v>1631</v>
      </c>
      <c r="F995" s="105" t="s">
        <v>1556</v>
      </c>
      <c r="G995" s="92" t="s">
        <v>1557</v>
      </c>
      <c r="H995" s="93" t="s">
        <v>7091</v>
      </c>
      <c r="I995" s="105" t="s">
        <v>3491</v>
      </c>
      <c r="J995" s="87" t="s">
        <v>2825</v>
      </c>
      <c r="K995" s="87" t="s">
        <v>3875</v>
      </c>
      <c r="L995" s="126" t="s">
        <v>19</v>
      </c>
      <c r="M995" s="108">
        <v>44466</v>
      </c>
      <c r="N995" s="108">
        <v>44466.166666666664</v>
      </c>
      <c r="O995" s="95" t="str">
        <f>PROPER(TEXT(Table1[[#This Row],[Fecha Inicio]],"mmmm"))</f>
        <v>Septiembre</v>
      </c>
      <c r="P995" s="110" t="s">
        <v>3492</v>
      </c>
      <c r="Q995" s="97" t="s">
        <v>7092</v>
      </c>
      <c r="R995" s="76">
        <f t="shared" si="75"/>
        <v>2</v>
      </c>
      <c r="S995" s="76">
        <f t="shared" si="76"/>
        <v>2</v>
      </c>
      <c r="T995" s="76" t="str">
        <f t="shared" si="77"/>
        <v>-</v>
      </c>
      <c r="U995" s="76" t="str">
        <f t="shared" si="78"/>
        <v>-</v>
      </c>
      <c r="V995" s="76" t="str">
        <f t="shared" si="79"/>
        <v>-</v>
      </c>
      <c r="Z995" s="62"/>
    </row>
    <row r="996" spans="1:26" ht="40.15" customHeight="1" x14ac:dyDescent="0.25">
      <c r="A996" s="87">
        <v>38</v>
      </c>
      <c r="B996" s="89" t="s">
        <v>1550</v>
      </c>
      <c r="C996" s="89" t="s">
        <v>6978</v>
      </c>
      <c r="D996" s="89" t="s">
        <v>326</v>
      </c>
      <c r="E996" s="89" t="s">
        <v>1631</v>
      </c>
      <c r="F996" s="87" t="s">
        <v>1556</v>
      </c>
      <c r="G996" s="92" t="s">
        <v>1557</v>
      </c>
      <c r="H996" s="93" t="s">
        <v>7089</v>
      </c>
      <c r="I996" s="87" t="s">
        <v>3862</v>
      </c>
      <c r="J996" s="87" t="s">
        <v>1951</v>
      </c>
      <c r="K996" s="87" t="s">
        <v>1575</v>
      </c>
      <c r="L996" s="126" t="s">
        <v>19</v>
      </c>
      <c r="M996" s="94">
        <v>44466</v>
      </c>
      <c r="N996" s="94">
        <v>44466.208333333336</v>
      </c>
      <c r="O996" s="95" t="str">
        <f>PROPER(TEXT(Table1[[#This Row],[Fecha Inicio]],"mmmm"))</f>
        <v>Septiembre</v>
      </c>
      <c r="P996" s="96" t="s">
        <v>7088</v>
      </c>
      <c r="Q996" s="97" t="s">
        <v>7090</v>
      </c>
      <c r="R996" s="76">
        <f t="shared" si="75"/>
        <v>8</v>
      </c>
      <c r="S996" s="76">
        <f t="shared" si="76"/>
        <v>8</v>
      </c>
      <c r="T996" s="76" t="str">
        <f t="shared" si="77"/>
        <v>-</v>
      </c>
      <c r="U996" s="76" t="str">
        <f t="shared" si="78"/>
        <v>-</v>
      </c>
      <c r="V996" s="76" t="str">
        <f t="shared" si="79"/>
        <v>-</v>
      </c>
      <c r="Z996" s="62"/>
    </row>
    <row r="997" spans="1:26" ht="40.15" customHeight="1" x14ac:dyDescent="0.25">
      <c r="A997" s="87">
        <v>39</v>
      </c>
      <c r="B997" s="89" t="s">
        <v>1550</v>
      </c>
      <c r="C997" s="89" t="s">
        <v>7172</v>
      </c>
      <c r="D997" s="90" t="s">
        <v>1554</v>
      </c>
      <c r="E997" s="90" t="s">
        <v>1555</v>
      </c>
      <c r="F997" s="115" t="s">
        <v>1556</v>
      </c>
      <c r="G997" s="92" t="s">
        <v>1557</v>
      </c>
      <c r="H997" s="117" t="s">
        <v>7173</v>
      </c>
      <c r="I997" s="115" t="s">
        <v>7165</v>
      </c>
      <c r="J997" s="87" t="s">
        <v>7166</v>
      </c>
      <c r="K997" s="115" t="s">
        <v>1575</v>
      </c>
      <c r="L997" s="87" t="s">
        <v>52</v>
      </c>
      <c r="M997" s="118">
        <v>44466.375</v>
      </c>
      <c r="N997" s="118">
        <v>44466.625</v>
      </c>
      <c r="O997" s="95" t="str">
        <f>PROPER(TEXT(Table1[[#This Row],[Fecha Inicio]],"mmmm"))</f>
        <v>Septiembre</v>
      </c>
      <c r="P997" s="96" t="s">
        <v>7167</v>
      </c>
      <c r="Q997" s="97" t="s">
        <v>7174</v>
      </c>
      <c r="R997" s="76">
        <f t="shared" si="75"/>
        <v>1</v>
      </c>
      <c r="S997" s="76">
        <f t="shared" si="76"/>
        <v>1</v>
      </c>
      <c r="T997" s="76" t="str">
        <f t="shared" si="77"/>
        <v>-</v>
      </c>
      <c r="U997" s="76" t="str">
        <f t="shared" si="78"/>
        <v>-</v>
      </c>
      <c r="V997" s="76" t="str">
        <f t="shared" si="79"/>
        <v>-</v>
      </c>
      <c r="Z997" s="62"/>
    </row>
    <row r="998" spans="1:26" ht="40.15" customHeight="1" x14ac:dyDescent="0.25">
      <c r="A998" s="87">
        <v>39</v>
      </c>
      <c r="B998" s="89" t="s">
        <v>1550</v>
      </c>
      <c r="C998" s="89" t="s">
        <v>7196</v>
      </c>
      <c r="D998" s="89" t="s">
        <v>326</v>
      </c>
      <c r="E998" s="89" t="s">
        <v>1631</v>
      </c>
      <c r="F998" s="87" t="s">
        <v>1556</v>
      </c>
      <c r="G998" s="92" t="s">
        <v>1557</v>
      </c>
      <c r="H998" s="93" t="s">
        <v>7183</v>
      </c>
      <c r="I998" s="87" t="s">
        <v>7181</v>
      </c>
      <c r="J998" s="87" t="s">
        <v>1566</v>
      </c>
      <c r="K998" s="87" t="s">
        <v>1567</v>
      </c>
      <c r="L998" s="91" t="s">
        <v>52</v>
      </c>
      <c r="M998" s="94">
        <v>44466.729166666664</v>
      </c>
      <c r="N998" s="94">
        <v>44466.739583333336</v>
      </c>
      <c r="O998" s="95" t="str">
        <f>PROPER(TEXT(Table1[[#This Row],[Fecha Inicio]],"mmmm"))</f>
        <v>Septiembre</v>
      </c>
      <c r="P998" s="96" t="s">
        <v>7182</v>
      </c>
      <c r="Q998" s="97" t="s">
        <v>7184</v>
      </c>
      <c r="R998" s="76">
        <f t="shared" si="75"/>
        <v>2</v>
      </c>
      <c r="S998" s="76">
        <f t="shared" si="76"/>
        <v>2</v>
      </c>
      <c r="T998" s="76" t="str">
        <f t="shared" si="77"/>
        <v>-</v>
      </c>
      <c r="U998" s="76" t="str">
        <f t="shared" si="78"/>
        <v>-</v>
      </c>
      <c r="V998" s="76" t="str">
        <f t="shared" si="79"/>
        <v>-</v>
      </c>
      <c r="Z998" s="62"/>
    </row>
    <row r="999" spans="1:26" ht="40.15" customHeight="1" x14ac:dyDescent="0.25">
      <c r="A999" s="87">
        <v>38</v>
      </c>
      <c r="B999" s="89" t="s">
        <v>1550</v>
      </c>
      <c r="C999" s="89" t="s">
        <v>6978</v>
      </c>
      <c r="D999" s="89" t="s">
        <v>326</v>
      </c>
      <c r="E999" s="89" t="s">
        <v>1631</v>
      </c>
      <c r="F999" s="87" t="s">
        <v>1556</v>
      </c>
      <c r="G999" s="92" t="s">
        <v>1557</v>
      </c>
      <c r="H999" s="93" t="s">
        <v>7093</v>
      </c>
      <c r="I999" s="87" t="s">
        <v>1838</v>
      </c>
      <c r="J999" s="87" t="s">
        <v>1839</v>
      </c>
      <c r="K999" s="87" t="s">
        <v>1575</v>
      </c>
      <c r="L999" s="126" t="s">
        <v>19</v>
      </c>
      <c r="M999" s="94">
        <v>44466.916666666664</v>
      </c>
      <c r="N999" s="94">
        <v>44466.958333333336</v>
      </c>
      <c r="O999" s="95" t="str">
        <f>PROPER(TEXT(Table1[[#This Row],[Fecha Inicio]],"mmmm"))</f>
        <v>Septiembre</v>
      </c>
      <c r="P999" s="96" t="s">
        <v>194</v>
      </c>
      <c r="Q999" s="97" t="s">
        <v>7094</v>
      </c>
      <c r="R999" s="76">
        <f t="shared" si="75"/>
        <v>1</v>
      </c>
      <c r="S999" s="76">
        <f t="shared" si="76"/>
        <v>1</v>
      </c>
      <c r="T999" s="76" t="str">
        <f t="shared" si="77"/>
        <v>-</v>
      </c>
      <c r="U999" s="76" t="str">
        <f t="shared" si="78"/>
        <v>-</v>
      </c>
      <c r="V999" s="76" t="str">
        <f t="shared" si="79"/>
        <v>-</v>
      </c>
      <c r="Z999" s="62"/>
    </row>
    <row r="1000" spans="1:26" ht="40.15" customHeight="1" x14ac:dyDescent="0.25">
      <c r="A1000" s="87">
        <v>38</v>
      </c>
      <c r="B1000" s="89" t="s">
        <v>1550</v>
      </c>
      <c r="C1000" s="89" t="s">
        <v>6978</v>
      </c>
      <c r="D1000" s="89" t="s">
        <v>344</v>
      </c>
      <c r="E1000" s="89" t="s">
        <v>1616</v>
      </c>
      <c r="F1000" s="87" t="s">
        <v>1556</v>
      </c>
      <c r="G1000" s="92" t="s">
        <v>1557</v>
      </c>
      <c r="H1000" s="93" t="s">
        <v>7152</v>
      </c>
      <c r="I1000" s="87" t="s">
        <v>2841</v>
      </c>
      <c r="J1000" s="87" t="s">
        <v>1619</v>
      </c>
      <c r="K1000" s="87" t="s">
        <v>2512</v>
      </c>
      <c r="L1000" s="126" t="s">
        <v>19</v>
      </c>
      <c r="M1000" s="94">
        <v>44466.958333333336</v>
      </c>
      <c r="N1000" s="94">
        <v>44467.125</v>
      </c>
      <c r="O1000" s="95" t="str">
        <f>PROPER(TEXT(Table1[[#This Row],[Fecha Inicio]],"mmmm"))</f>
        <v>Septiembre</v>
      </c>
      <c r="P1000" s="96" t="s">
        <v>2842</v>
      </c>
      <c r="Q1000" s="97" t="s">
        <v>7151</v>
      </c>
      <c r="R1000" s="76">
        <f t="shared" si="75"/>
        <v>3</v>
      </c>
      <c r="S1000" s="76">
        <f t="shared" si="76"/>
        <v>3</v>
      </c>
      <c r="T1000" s="76" t="str">
        <f t="shared" si="77"/>
        <v>-</v>
      </c>
      <c r="U1000" s="76" t="str">
        <f t="shared" si="78"/>
        <v>-</v>
      </c>
      <c r="V1000" s="76" t="str">
        <f t="shared" si="79"/>
        <v>-</v>
      </c>
      <c r="Z1000" s="62"/>
    </row>
    <row r="1001" spans="1:26" ht="40.15" customHeight="1" x14ac:dyDescent="0.25">
      <c r="A1001" s="87">
        <v>38</v>
      </c>
      <c r="B1001" s="89" t="s">
        <v>1550</v>
      </c>
      <c r="C1001" s="89" t="s">
        <v>7098</v>
      </c>
      <c r="D1001" s="106" t="s">
        <v>326</v>
      </c>
      <c r="E1001" s="106" t="s">
        <v>1631</v>
      </c>
      <c r="F1001" s="105" t="s">
        <v>1556</v>
      </c>
      <c r="G1001" s="92" t="s">
        <v>1557</v>
      </c>
      <c r="H1001" s="93" t="s">
        <v>7099</v>
      </c>
      <c r="I1001" s="105" t="s">
        <v>3501</v>
      </c>
      <c r="J1001" s="87" t="s">
        <v>3502</v>
      </c>
      <c r="K1001" s="105" t="s">
        <v>1709</v>
      </c>
      <c r="L1001" s="126" t="s">
        <v>19</v>
      </c>
      <c r="M1001" s="108">
        <v>44467</v>
      </c>
      <c r="N1001" s="108">
        <v>44467.208333333336</v>
      </c>
      <c r="O1001" s="95" t="str">
        <f>PROPER(TEXT(Table1[[#This Row],[Fecha Inicio]],"mmmm"))</f>
        <v>Septiembre</v>
      </c>
      <c r="P1001" s="110" t="s">
        <v>3503</v>
      </c>
      <c r="Q1001" s="97" t="s">
        <v>7100</v>
      </c>
      <c r="R1001" s="76">
        <f t="shared" si="75"/>
        <v>10</v>
      </c>
      <c r="S1001" s="76">
        <f t="shared" si="76"/>
        <v>10</v>
      </c>
      <c r="T1001" s="76" t="str">
        <f t="shared" si="77"/>
        <v>-</v>
      </c>
      <c r="U1001" s="76" t="str">
        <f t="shared" si="78"/>
        <v>-</v>
      </c>
      <c r="V1001" s="76" t="str">
        <f t="shared" si="79"/>
        <v>-</v>
      </c>
      <c r="Z1001" s="62"/>
    </row>
    <row r="1002" spans="1:26" ht="40.15" customHeight="1" x14ac:dyDescent="0.25">
      <c r="A1002" s="87">
        <v>38</v>
      </c>
      <c r="B1002" s="89" t="s">
        <v>1550</v>
      </c>
      <c r="C1002" s="89" t="s">
        <v>6978</v>
      </c>
      <c r="D1002" s="113" t="s">
        <v>326</v>
      </c>
      <c r="E1002" s="113" t="s">
        <v>1631</v>
      </c>
      <c r="F1002" s="105" t="s">
        <v>1556</v>
      </c>
      <c r="G1002" s="92" t="s">
        <v>1557</v>
      </c>
      <c r="H1002" s="93" t="s">
        <v>7101</v>
      </c>
      <c r="I1002" s="105" t="s">
        <v>1961</v>
      </c>
      <c r="J1002" s="87" t="s">
        <v>1962</v>
      </c>
      <c r="K1002" s="105" t="s">
        <v>1575</v>
      </c>
      <c r="L1002" s="126" t="s">
        <v>19</v>
      </c>
      <c r="M1002" s="108">
        <v>44467.833333333336</v>
      </c>
      <c r="N1002" s="108">
        <v>44467.875</v>
      </c>
      <c r="O1002" s="95" t="str">
        <f>PROPER(TEXT(Table1[[#This Row],[Fecha Inicio]],"mmmm"))</f>
        <v>Septiembre</v>
      </c>
      <c r="P1002" s="110" t="s">
        <v>207</v>
      </c>
      <c r="Q1002" s="97" t="s">
        <v>7102</v>
      </c>
      <c r="R1002" s="76">
        <f t="shared" si="75"/>
        <v>1</v>
      </c>
      <c r="S1002" s="76">
        <f t="shared" si="76"/>
        <v>1</v>
      </c>
      <c r="T1002" s="76" t="str">
        <f t="shared" si="77"/>
        <v>-</v>
      </c>
      <c r="U1002" s="76" t="str">
        <f t="shared" si="78"/>
        <v>-</v>
      </c>
      <c r="V1002" s="76" t="str">
        <f t="shared" si="79"/>
        <v>-</v>
      </c>
      <c r="Z1002" s="62"/>
    </row>
    <row r="1003" spans="1:26" ht="40.15" customHeight="1" x14ac:dyDescent="0.25">
      <c r="A1003" s="87">
        <v>38</v>
      </c>
      <c r="B1003" s="89" t="s">
        <v>1550</v>
      </c>
      <c r="C1003" s="89"/>
      <c r="D1003" s="89" t="s">
        <v>344</v>
      </c>
      <c r="E1003" s="89" t="s">
        <v>1631</v>
      </c>
      <c r="F1003" s="87" t="s">
        <v>1556</v>
      </c>
      <c r="G1003" s="92" t="s">
        <v>1557</v>
      </c>
      <c r="H1003" s="93" t="s">
        <v>7096</v>
      </c>
      <c r="I1003" s="87" t="s">
        <v>7103</v>
      </c>
      <c r="J1003" s="87" t="s">
        <v>1802</v>
      </c>
      <c r="K1003" s="87" t="s">
        <v>1596</v>
      </c>
      <c r="L1003" s="126" t="s">
        <v>19</v>
      </c>
      <c r="M1003" s="94">
        <v>44467.875</v>
      </c>
      <c r="N1003" s="94">
        <v>44467.958333333336</v>
      </c>
      <c r="O1003" s="95" t="str">
        <f>PROPER(TEXT(Table1[[#This Row],[Fecha Inicio]],"mmmm"))</f>
        <v>Septiembre</v>
      </c>
      <c r="P1003" s="96" t="s">
        <v>7095</v>
      </c>
      <c r="Q1003" s="97" t="s">
        <v>7097</v>
      </c>
      <c r="R1003" s="76">
        <f t="shared" si="75"/>
        <v>1</v>
      </c>
      <c r="S1003" s="76">
        <f t="shared" si="76"/>
        <v>1</v>
      </c>
      <c r="T1003" s="76" t="str">
        <f t="shared" si="77"/>
        <v>-</v>
      </c>
      <c r="U1003" s="76" t="str">
        <f t="shared" si="78"/>
        <v>-</v>
      </c>
      <c r="V1003" s="76" t="str">
        <f t="shared" si="79"/>
        <v>-</v>
      </c>
      <c r="Z1003" s="62"/>
    </row>
    <row r="1004" spans="1:26" ht="40.15" customHeight="1" x14ac:dyDescent="0.25">
      <c r="A1004" s="87">
        <v>38</v>
      </c>
      <c r="B1004" s="89" t="s">
        <v>1550</v>
      </c>
      <c r="C1004" s="89" t="s">
        <v>6978</v>
      </c>
      <c r="D1004" s="89" t="s">
        <v>344</v>
      </c>
      <c r="E1004" s="89" t="s">
        <v>1616</v>
      </c>
      <c r="F1004" s="87" t="s">
        <v>1556</v>
      </c>
      <c r="G1004" s="92" t="s">
        <v>1557</v>
      </c>
      <c r="H1004" s="93" t="s">
        <v>7154</v>
      </c>
      <c r="I1004" s="87" t="s">
        <v>2872</v>
      </c>
      <c r="J1004" s="87" t="s">
        <v>1619</v>
      </c>
      <c r="K1004" s="87" t="s">
        <v>2512</v>
      </c>
      <c r="L1004" s="126" t="s">
        <v>19</v>
      </c>
      <c r="M1004" s="94">
        <v>44467.958333333336</v>
      </c>
      <c r="N1004" s="94">
        <v>44468.125</v>
      </c>
      <c r="O1004" s="95" t="str">
        <f>PROPER(TEXT(Table1[[#This Row],[Fecha Inicio]],"mmmm"))</f>
        <v>Septiembre</v>
      </c>
      <c r="P1004" s="96" t="s">
        <v>2873</v>
      </c>
      <c r="Q1004" s="97" t="s">
        <v>7153</v>
      </c>
      <c r="R1004" s="76">
        <f t="shared" si="75"/>
        <v>3</v>
      </c>
      <c r="S1004" s="76">
        <f t="shared" si="76"/>
        <v>3</v>
      </c>
      <c r="T1004" s="76" t="str">
        <f t="shared" si="77"/>
        <v>-</v>
      </c>
      <c r="U1004" s="76" t="str">
        <f t="shared" si="78"/>
        <v>-</v>
      </c>
      <c r="V1004" s="76" t="str">
        <f t="shared" si="79"/>
        <v>-</v>
      </c>
      <c r="Z1004" s="62"/>
    </row>
    <row r="1005" spans="1:26" ht="40.15" customHeight="1" x14ac:dyDescent="0.25">
      <c r="A1005" s="115">
        <v>39</v>
      </c>
      <c r="B1005" s="89" t="s">
        <v>1550</v>
      </c>
      <c r="C1005" s="89" t="s">
        <v>7178</v>
      </c>
      <c r="D1005" s="90" t="s">
        <v>326</v>
      </c>
      <c r="E1005" s="90" t="s">
        <v>1631</v>
      </c>
      <c r="F1005" s="91" t="s">
        <v>1556</v>
      </c>
      <c r="G1005" s="92" t="s">
        <v>1557</v>
      </c>
      <c r="H1005" s="117" t="s">
        <v>7179</v>
      </c>
      <c r="I1005" s="87" t="s">
        <v>1728</v>
      </c>
      <c r="J1005" s="87" t="s">
        <v>1729</v>
      </c>
      <c r="K1005" s="87" t="s">
        <v>1575</v>
      </c>
      <c r="L1005" s="126" t="s">
        <v>19</v>
      </c>
      <c r="M1005" s="94">
        <v>44468.208333333336</v>
      </c>
      <c r="N1005" s="94">
        <v>44468.291666666664</v>
      </c>
      <c r="O1005" s="119" t="str">
        <f>PROPER(TEXT(Table1[[#This Row],[Fecha Inicio]],"mmmm"))</f>
        <v>Septiembre</v>
      </c>
      <c r="P1005" s="120" t="s">
        <v>276</v>
      </c>
      <c r="Q1005" s="97" t="s">
        <v>7180</v>
      </c>
      <c r="R1005" s="76">
        <f t="shared" si="75"/>
        <v>1</v>
      </c>
      <c r="S1005" s="76">
        <f t="shared" si="76"/>
        <v>1</v>
      </c>
      <c r="T1005" s="76" t="str">
        <f t="shared" si="77"/>
        <v>-</v>
      </c>
      <c r="U1005" s="76" t="str">
        <f t="shared" si="78"/>
        <v>-</v>
      </c>
      <c r="V1005" s="76" t="str">
        <f t="shared" si="79"/>
        <v>-</v>
      </c>
      <c r="Z1005" s="62"/>
    </row>
    <row r="1006" spans="1:26" ht="40.15" customHeight="1" x14ac:dyDescent="0.25">
      <c r="A1006" s="87">
        <v>38</v>
      </c>
      <c r="B1006" s="89" t="s">
        <v>1550</v>
      </c>
      <c r="C1006" s="89" t="s">
        <v>6978</v>
      </c>
      <c r="D1006" s="116" t="s">
        <v>344</v>
      </c>
      <c r="E1006" s="116" t="s">
        <v>1616</v>
      </c>
      <c r="F1006" s="115" t="s">
        <v>1556</v>
      </c>
      <c r="G1006" s="92" t="s">
        <v>1557</v>
      </c>
      <c r="H1006" s="93" t="s">
        <v>7160</v>
      </c>
      <c r="I1006" s="115" t="s">
        <v>1942</v>
      </c>
      <c r="J1006" s="115" t="s">
        <v>1583</v>
      </c>
      <c r="K1006" s="115" t="s">
        <v>1584</v>
      </c>
      <c r="L1006" s="126" t="s">
        <v>19</v>
      </c>
      <c r="M1006" s="118">
        <v>44468.416666666664</v>
      </c>
      <c r="N1006" s="118">
        <v>44468.708333333336</v>
      </c>
      <c r="O1006" s="95" t="str">
        <f>PROPER(TEXT(Table1[[#This Row],[Fecha Inicio]],"mmmm"))</f>
        <v>Septiembre</v>
      </c>
      <c r="P1006" s="120" t="s">
        <v>1943</v>
      </c>
      <c r="Q1006" s="121" t="s">
        <v>7163</v>
      </c>
      <c r="R1006" s="76">
        <f t="shared" si="75"/>
        <v>3</v>
      </c>
      <c r="S1006" s="76">
        <f t="shared" si="76"/>
        <v>3</v>
      </c>
      <c r="T1006" s="76" t="str">
        <f t="shared" si="77"/>
        <v>-</v>
      </c>
      <c r="U1006" s="76" t="str">
        <f t="shared" si="78"/>
        <v>-</v>
      </c>
      <c r="V1006" s="76" t="str">
        <f t="shared" si="79"/>
        <v>-</v>
      </c>
      <c r="Z1006" s="62"/>
    </row>
    <row r="1007" spans="1:26" ht="40.15" customHeight="1" x14ac:dyDescent="0.25">
      <c r="A1007" s="87">
        <v>38</v>
      </c>
      <c r="B1007" s="89" t="s">
        <v>1550</v>
      </c>
      <c r="C1007" s="89" t="s">
        <v>6978</v>
      </c>
      <c r="D1007" s="90" t="s">
        <v>326</v>
      </c>
      <c r="E1007" s="90" t="s">
        <v>1631</v>
      </c>
      <c r="F1007" s="91" t="s">
        <v>1556</v>
      </c>
      <c r="G1007" s="92" t="s">
        <v>1557</v>
      </c>
      <c r="H1007" s="93" t="s">
        <v>7104</v>
      </c>
      <c r="I1007" s="87" t="s">
        <v>1987</v>
      </c>
      <c r="J1007" s="87" t="s">
        <v>1988</v>
      </c>
      <c r="K1007" s="91" t="s">
        <v>1575</v>
      </c>
      <c r="L1007" s="126" t="s">
        <v>19</v>
      </c>
      <c r="M1007" s="94">
        <v>44468.604166666664</v>
      </c>
      <c r="N1007" s="94">
        <v>44468.729166666664</v>
      </c>
      <c r="O1007" s="95" t="str">
        <f>PROPER(TEXT(Table1[[#This Row],[Fecha Inicio]],"mmmm"))</f>
        <v>Septiembre</v>
      </c>
      <c r="P1007" s="96" t="s">
        <v>1989</v>
      </c>
      <c r="Q1007" s="97" t="s">
        <v>7105</v>
      </c>
      <c r="R1007" s="76">
        <f t="shared" si="75"/>
        <v>4</v>
      </c>
      <c r="S1007" s="76">
        <f t="shared" si="76"/>
        <v>4</v>
      </c>
      <c r="T1007" s="76" t="str">
        <f t="shared" si="77"/>
        <v>-</v>
      </c>
      <c r="U1007" s="76" t="str">
        <f t="shared" si="78"/>
        <v>-</v>
      </c>
      <c r="V1007" s="76" t="str">
        <f t="shared" si="79"/>
        <v>-</v>
      </c>
      <c r="Z1007" s="62"/>
    </row>
    <row r="1008" spans="1:26" ht="40.15" customHeight="1" x14ac:dyDescent="0.25">
      <c r="A1008" s="87">
        <v>38</v>
      </c>
      <c r="B1008" s="89" t="s">
        <v>1550</v>
      </c>
      <c r="C1008" s="89" t="s">
        <v>7106</v>
      </c>
      <c r="D1008" s="89" t="s">
        <v>326</v>
      </c>
      <c r="E1008" s="89" t="s">
        <v>1631</v>
      </c>
      <c r="F1008" s="87" t="s">
        <v>1556</v>
      </c>
      <c r="G1008" s="92" t="s">
        <v>1557</v>
      </c>
      <c r="H1008" s="93" t="s">
        <v>7107</v>
      </c>
      <c r="I1008" s="87" t="s">
        <v>3522</v>
      </c>
      <c r="J1008" s="87" t="s">
        <v>2404</v>
      </c>
      <c r="K1008" s="87" t="s">
        <v>1575</v>
      </c>
      <c r="L1008" s="126" t="s">
        <v>19</v>
      </c>
      <c r="M1008" s="94">
        <v>44469</v>
      </c>
      <c r="N1008" s="94">
        <v>44469.166666666664</v>
      </c>
      <c r="O1008" s="95" t="str">
        <f>PROPER(TEXT(Table1[[#This Row],[Fecha Inicio]],"mmmm"))</f>
        <v>Septiembre</v>
      </c>
      <c r="P1008" s="96" t="s">
        <v>3523</v>
      </c>
      <c r="Q1008" s="97" t="s">
        <v>7108</v>
      </c>
      <c r="R1008" s="76">
        <f t="shared" si="75"/>
        <v>1</v>
      </c>
      <c r="S1008" s="76">
        <f t="shared" si="76"/>
        <v>1</v>
      </c>
      <c r="T1008" s="76" t="str">
        <f t="shared" si="77"/>
        <v>-</v>
      </c>
      <c r="U1008" s="76" t="str">
        <f t="shared" si="78"/>
        <v>-</v>
      </c>
      <c r="V1008" s="76" t="str">
        <f t="shared" si="79"/>
        <v>-</v>
      </c>
      <c r="Z1008" s="62"/>
    </row>
    <row r="1009" spans="1:26" ht="40.15" customHeight="1" x14ac:dyDescent="0.25">
      <c r="A1009" s="87">
        <v>38</v>
      </c>
      <c r="B1009" s="89" t="s">
        <v>1550</v>
      </c>
      <c r="C1009" s="89" t="s">
        <v>6978</v>
      </c>
      <c r="D1009" s="89" t="s">
        <v>344</v>
      </c>
      <c r="E1009" s="89" t="s">
        <v>1616</v>
      </c>
      <c r="F1009" s="87" t="s">
        <v>1556</v>
      </c>
      <c r="G1009" s="92" t="s">
        <v>1557</v>
      </c>
      <c r="H1009" s="93" t="s">
        <v>7161</v>
      </c>
      <c r="I1009" s="87" t="s">
        <v>1942</v>
      </c>
      <c r="J1009" s="87" t="s">
        <v>1583</v>
      </c>
      <c r="K1009" s="87" t="s">
        <v>1584</v>
      </c>
      <c r="L1009" s="126" t="s">
        <v>19</v>
      </c>
      <c r="M1009" s="118">
        <v>44469.416666666664</v>
      </c>
      <c r="N1009" s="118">
        <v>44469.708333333336</v>
      </c>
      <c r="O1009" s="95" t="str">
        <f>PROPER(TEXT(Table1[[#This Row],[Fecha Inicio]],"mmmm"))</f>
        <v>Septiembre</v>
      </c>
      <c r="P1009" s="96" t="s">
        <v>1958</v>
      </c>
      <c r="Q1009" s="121" t="s">
        <v>7164</v>
      </c>
      <c r="R1009" s="76">
        <f t="shared" si="75"/>
        <v>2</v>
      </c>
      <c r="S1009" s="76">
        <f t="shared" si="76"/>
        <v>2</v>
      </c>
      <c r="T1009" s="76" t="str">
        <f t="shared" si="77"/>
        <v>-</v>
      </c>
      <c r="U1009" s="76" t="str">
        <f t="shared" si="78"/>
        <v>-</v>
      </c>
      <c r="V1009" s="76" t="str">
        <f t="shared" si="79"/>
        <v>-</v>
      </c>
      <c r="Z1009" s="62"/>
    </row>
    <row r="1010" spans="1:26" ht="40.15" customHeight="1" x14ac:dyDescent="0.25">
      <c r="A1010" s="87">
        <v>39</v>
      </c>
      <c r="B1010" s="89" t="s">
        <v>1550</v>
      </c>
      <c r="C1010" s="116" t="s">
        <v>6950</v>
      </c>
      <c r="D1010" s="89" t="s">
        <v>1623</v>
      </c>
      <c r="E1010" s="89" t="s">
        <v>1624</v>
      </c>
      <c r="F1010" s="87" t="s">
        <v>1556</v>
      </c>
      <c r="G1010" s="92" t="s">
        <v>1557</v>
      </c>
      <c r="H1010" s="93" t="s">
        <v>7199</v>
      </c>
      <c r="I1010" s="87" t="s">
        <v>1685</v>
      </c>
      <c r="J1010" s="87" t="s">
        <v>1627</v>
      </c>
      <c r="K1010" s="87" t="s">
        <v>1575</v>
      </c>
      <c r="L1010" s="126" t="s">
        <v>19</v>
      </c>
      <c r="M1010" s="118">
        <v>44469.5</v>
      </c>
      <c r="N1010" s="118">
        <v>44469.625</v>
      </c>
      <c r="O1010" s="95" t="str">
        <f>PROPER(TEXT(Table1[[#This Row],[Fecha Inicio]],"mmmm"))</f>
        <v>Septiembre</v>
      </c>
      <c r="P1010" s="96" t="s">
        <v>2764</v>
      </c>
      <c r="Q1010" s="97" t="s">
        <v>7198</v>
      </c>
      <c r="R1010" s="76">
        <f t="shared" si="75"/>
        <v>2</v>
      </c>
      <c r="S1010" s="76">
        <f t="shared" si="76"/>
        <v>2</v>
      </c>
      <c r="T1010" s="76" t="str">
        <f t="shared" si="77"/>
        <v>-</v>
      </c>
      <c r="U1010" s="76" t="str">
        <f t="shared" si="78"/>
        <v>-</v>
      </c>
      <c r="V1010" s="76" t="str">
        <f t="shared" si="79"/>
        <v>-</v>
      </c>
      <c r="Z1010" s="62"/>
    </row>
    <row r="1011" spans="1:26" ht="40.15" customHeight="1" x14ac:dyDescent="0.25">
      <c r="A1011" s="115">
        <v>39</v>
      </c>
      <c r="B1011" s="89" t="s">
        <v>3527</v>
      </c>
      <c r="C1011" s="89" t="s">
        <v>7219</v>
      </c>
      <c r="D1011" s="116" t="s">
        <v>1665</v>
      </c>
      <c r="E1011" s="116" t="s">
        <v>2228</v>
      </c>
      <c r="F1011" s="87" t="s">
        <v>1556</v>
      </c>
      <c r="G1011" s="92" t="s">
        <v>1557</v>
      </c>
      <c r="H1011" s="93" t="s">
        <v>7211</v>
      </c>
      <c r="I1011" s="87" t="s">
        <v>7209</v>
      </c>
      <c r="J1011" s="87" t="s">
        <v>6920</v>
      </c>
      <c r="K1011" s="87" t="s">
        <v>1575</v>
      </c>
      <c r="L1011" s="87" t="s">
        <v>6856</v>
      </c>
      <c r="M1011" s="118">
        <v>44469.75</v>
      </c>
      <c r="N1011" s="118">
        <v>44470.291666666664</v>
      </c>
      <c r="O1011" s="119" t="str">
        <f>PROPER(TEXT(Table1[[#This Row],[Fecha Inicio]],"mmmm"))</f>
        <v>Septiembre</v>
      </c>
      <c r="P1011" s="120" t="s">
        <v>7210</v>
      </c>
      <c r="Q1011" s="97" t="s">
        <v>7212</v>
      </c>
      <c r="R1011" s="76">
        <f t="shared" si="75"/>
        <v>11</v>
      </c>
      <c r="S1011" s="76" t="str">
        <f t="shared" si="76"/>
        <v>-</v>
      </c>
      <c r="T1011" s="76" t="str">
        <f t="shared" si="77"/>
        <v>-</v>
      </c>
      <c r="U1011" s="76" t="str">
        <f t="shared" si="78"/>
        <v>-</v>
      </c>
      <c r="V1011" s="76" t="str">
        <f t="shared" si="79"/>
        <v>-</v>
      </c>
      <c r="Z1011" s="62"/>
    </row>
    <row r="1012" spans="1:26" ht="40.15" customHeight="1" x14ac:dyDescent="0.25">
      <c r="A1012" s="87">
        <v>38</v>
      </c>
      <c r="B1012" s="89" t="s">
        <v>1550</v>
      </c>
      <c r="C1012" s="89" t="s">
        <v>6978</v>
      </c>
      <c r="D1012" s="89" t="s">
        <v>326</v>
      </c>
      <c r="E1012" s="89" t="s">
        <v>1631</v>
      </c>
      <c r="F1012" s="87" t="s">
        <v>1556</v>
      </c>
      <c r="G1012" s="92" t="s">
        <v>1557</v>
      </c>
      <c r="H1012" s="93" t="s">
        <v>7109</v>
      </c>
      <c r="I1012" s="87" t="s">
        <v>3536</v>
      </c>
      <c r="J1012" s="87" t="s">
        <v>3537</v>
      </c>
      <c r="K1012" s="87" t="s">
        <v>1575</v>
      </c>
      <c r="L1012" s="126" t="s">
        <v>19</v>
      </c>
      <c r="M1012" s="94">
        <v>44470</v>
      </c>
      <c r="N1012" s="94">
        <v>44470.166666666664</v>
      </c>
      <c r="O1012" s="95" t="str">
        <f>PROPER(TEXT(Table1[[#This Row],[Fecha Inicio]],"mmmm"))</f>
        <v>Octubre</v>
      </c>
      <c r="P1012" s="96" t="s">
        <v>3538</v>
      </c>
      <c r="Q1012" s="97" t="s">
        <v>7110</v>
      </c>
      <c r="R1012" s="76">
        <f t="shared" si="75"/>
        <v>4</v>
      </c>
      <c r="S1012" s="76">
        <f t="shared" si="76"/>
        <v>4</v>
      </c>
      <c r="T1012" s="76" t="str">
        <f t="shared" si="77"/>
        <v>-</v>
      </c>
      <c r="U1012" s="76" t="str">
        <f t="shared" si="78"/>
        <v>-</v>
      </c>
      <c r="V1012" s="76" t="str">
        <f t="shared" si="79"/>
        <v>-</v>
      </c>
      <c r="Z1012" s="62"/>
    </row>
    <row r="1013" spans="1:26" ht="40.15" customHeight="1" x14ac:dyDescent="0.25">
      <c r="A1013" s="87">
        <v>38</v>
      </c>
      <c r="B1013" s="89" t="s">
        <v>1550</v>
      </c>
      <c r="C1013" s="89" t="s">
        <v>6978</v>
      </c>
      <c r="D1013" s="89" t="s">
        <v>326</v>
      </c>
      <c r="E1013" s="89" t="s">
        <v>1631</v>
      </c>
      <c r="F1013" s="87" t="s">
        <v>1556</v>
      </c>
      <c r="G1013" s="92" t="s">
        <v>1557</v>
      </c>
      <c r="H1013" s="93" t="s">
        <v>7111</v>
      </c>
      <c r="I1013" s="87" t="s">
        <v>3260</v>
      </c>
      <c r="J1013" s="87" t="s">
        <v>2511</v>
      </c>
      <c r="K1013" s="87" t="s">
        <v>2512</v>
      </c>
      <c r="L1013" s="126" t="s">
        <v>19</v>
      </c>
      <c r="M1013" s="94">
        <v>44470.041666666664</v>
      </c>
      <c r="N1013" s="94">
        <v>44470.125</v>
      </c>
      <c r="O1013" s="95" t="str">
        <f>PROPER(TEXT(Table1[[#This Row],[Fecha Inicio]],"mmmm"))</f>
        <v>Octubre</v>
      </c>
      <c r="P1013" s="96" t="s">
        <v>3261</v>
      </c>
      <c r="Q1013" s="97" t="s">
        <v>7112</v>
      </c>
      <c r="R1013" s="76">
        <f t="shared" si="75"/>
        <v>6</v>
      </c>
      <c r="S1013" s="76">
        <f t="shared" si="76"/>
        <v>6</v>
      </c>
      <c r="T1013" s="76" t="str">
        <f t="shared" si="77"/>
        <v>-</v>
      </c>
      <c r="U1013" s="76" t="str">
        <f t="shared" si="78"/>
        <v>-</v>
      </c>
      <c r="V1013" s="76" t="str">
        <f t="shared" si="79"/>
        <v>-</v>
      </c>
      <c r="Z1013" s="62"/>
    </row>
    <row r="1014" spans="1:26" ht="40.15" customHeight="1" x14ac:dyDescent="0.25">
      <c r="A1014" s="87">
        <v>38</v>
      </c>
      <c r="B1014" s="89" t="s">
        <v>1550</v>
      </c>
      <c r="C1014" s="89" t="s">
        <v>6978</v>
      </c>
      <c r="D1014" s="89" t="s">
        <v>326</v>
      </c>
      <c r="E1014" s="89" t="s">
        <v>1631</v>
      </c>
      <c r="F1014" s="87" t="s">
        <v>1556</v>
      </c>
      <c r="G1014" s="92" t="s">
        <v>1557</v>
      </c>
      <c r="H1014" s="93" t="s">
        <v>7113</v>
      </c>
      <c r="I1014" s="87" t="s">
        <v>2013</v>
      </c>
      <c r="J1014" s="87" t="s">
        <v>2014</v>
      </c>
      <c r="K1014" s="87" t="s">
        <v>1575</v>
      </c>
      <c r="L1014" s="126" t="s">
        <v>19</v>
      </c>
      <c r="M1014" s="94">
        <v>44470.791666666664</v>
      </c>
      <c r="N1014" s="94">
        <v>44470.916666666664</v>
      </c>
      <c r="O1014" s="95" t="str">
        <f>PROPER(TEXT(Table1[[#This Row],[Fecha Inicio]],"mmmm"))</f>
        <v>Octubre</v>
      </c>
      <c r="P1014" s="96" t="s">
        <v>2015</v>
      </c>
      <c r="Q1014" s="97" t="s">
        <v>7114</v>
      </c>
      <c r="R1014" s="76">
        <f t="shared" si="75"/>
        <v>9</v>
      </c>
      <c r="S1014" s="76">
        <f t="shared" si="76"/>
        <v>9</v>
      </c>
      <c r="T1014" s="76" t="str">
        <f t="shared" si="77"/>
        <v>-</v>
      </c>
      <c r="U1014" s="76" t="str">
        <f t="shared" si="78"/>
        <v>-</v>
      </c>
      <c r="V1014" s="76" t="str">
        <f t="shared" si="79"/>
        <v>-</v>
      </c>
      <c r="Z1014" s="62"/>
    </row>
    <row r="1015" spans="1:26" ht="40.15" customHeight="1" x14ac:dyDescent="0.25">
      <c r="A1015" s="87">
        <v>38</v>
      </c>
      <c r="B1015" s="89" t="s">
        <v>1550</v>
      </c>
      <c r="C1015" s="89"/>
      <c r="D1015" s="89" t="s">
        <v>326</v>
      </c>
      <c r="E1015" s="89" t="s">
        <v>1631</v>
      </c>
      <c r="F1015" s="87" t="s">
        <v>1556</v>
      </c>
      <c r="G1015" s="92" t="s">
        <v>1557</v>
      </c>
      <c r="H1015" s="93" t="s">
        <v>7122</v>
      </c>
      <c r="I1015" s="87" t="s">
        <v>7120</v>
      </c>
      <c r="J1015" s="87" t="s">
        <v>1931</v>
      </c>
      <c r="K1015" s="87" t="s">
        <v>1921</v>
      </c>
      <c r="L1015" s="126" t="s">
        <v>19</v>
      </c>
      <c r="M1015" s="94">
        <v>44471</v>
      </c>
      <c r="N1015" s="94">
        <v>44471.25</v>
      </c>
      <c r="O1015" s="95" t="str">
        <f>PROPER(TEXT(Table1[[#This Row],[Fecha Inicio]],"mmmm"))</f>
        <v>Octubre</v>
      </c>
      <c r="P1015" s="96" t="s">
        <v>7121</v>
      </c>
      <c r="Q1015" s="97" t="s">
        <v>7123</v>
      </c>
      <c r="R1015" s="76">
        <f t="shared" si="75"/>
        <v>5</v>
      </c>
      <c r="S1015" s="76">
        <f t="shared" si="76"/>
        <v>5</v>
      </c>
      <c r="T1015" s="76" t="str">
        <f t="shared" si="77"/>
        <v>-</v>
      </c>
      <c r="U1015" s="76" t="str">
        <f t="shared" si="78"/>
        <v>-</v>
      </c>
      <c r="V1015" s="76" t="str">
        <f t="shared" si="79"/>
        <v>-</v>
      </c>
      <c r="Z1015" s="62"/>
    </row>
    <row r="1016" spans="1:26" ht="40.15" customHeight="1" x14ac:dyDescent="0.25">
      <c r="A1016" s="87">
        <v>38</v>
      </c>
      <c r="B1016" s="89" t="s">
        <v>1550</v>
      </c>
      <c r="C1016" s="89" t="s">
        <v>6978</v>
      </c>
      <c r="D1016" s="89" t="s">
        <v>326</v>
      </c>
      <c r="E1016" s="89" t="s">
        <v>1631</v>
      </c>
      <c r="F1016" s="87" t="s">
        <v>1556</v>
      </c>
      <c r="G1016" s="92" t="s">
        <v>1557</v>
      </c>
      <c r="H1016" s="93" t="s">
        <v>7125</v>
      </c>
      <c r="I1016" s="87" t="s">
        <v>1919</v>
      </c>
      <c r="J1016" s="91" t="s">
        <v>1920</v>
      </c>
      <c r="K1016" s="87" t="s">
        <v>1921</v>
      </c>
      <c r="L1016" s="126" t="s">
        <v>19</v>
      </c>
      <c r="M1016" s="94">
        <v>44472</v>
      </c>
      <c r="N1016" s="94">
        <v>44472.25</v>
      </c>
      <c r="O1016" s="95" t="str">
        <f>PROPER(TEXT(Table1[[#This Row],[Fecha Inicio]],"mmmm"))</f>
        <v>Octubre</v>
      </c>
      <c r="P1016" s="96" t="s">
        <v>7124</v>
      </c>
      <c r="Q1016" s="97" t="s">
        <v>7126</v>
      </c>
      <c r="R1016" s="76">
        <f t="shared" si="75"/>
        <v>19</v>
      </c>
      <c r="S1016" s="76">
        <f t="shared" si="76"/>
        <v>19</v>
      </c>
      <c r="T1016" s="76" t="str">
        <f t="shared" si="77"/>
        <v>-</v>
      </c>
      <c r="U1016" s="76" t="str">
        <f t="shared" si="78"/>
        <v>-</v>
      </c>
      <c r="V1016" s="76" t="str">
        <f t="shared" si="79"/>
        <v>-</v>
      </c>
    </row>
    <row r="1017" spans="1:26" ht="40.15" customHeight="1" x14ac:dyDescent="0.25">
      <c r="A1017" s="115">
        <v>39</v>
      </c>
      <c r="B1017" s="89" t="s">
        <v>1550</v>
      </c>
      <c r="C1017" s="116" t="s">
        <v>6978</v>
      </c>
      <c r="D1017" s="89" t="s">
        <v>1570</v>
      </c>
      <c r="E1017" s="89" t="s">
        <v>1571</v>
      </c>
      <c r="F1017" s="87" t="s">
        <v>1556</v>
      </c>
      <c r="G1017" s="92" t="s">
        <v>1557</v>
      </c>
      <c r="H1017" s="93" t="s">
        <v>7197</v>
      </c>
      <c r="I1017" s="115" t="s">
        <v>7187</v>
      </c>
      <c r="J1017" s="115" t="s">
        <v>7188</v>
      </c>
      <c r="K1017" s="115" t="s">
        <v>4492</v>
      </c>
      <c r="L1017" s="126" t="s">
        <v>19</v>
      </c>
      <c r="M1017" s="118">
        <v>44472.958333333336</v>
      </c>
      <c r="N1017" s="118">
        <v>44473.083333333336</v>
      </c>
      <c r="O1017" s="119" t="str">
        <f>PROPER(TEXT(Table1[[#This Row],[Fecha Inicio]],"mmmm"))</f>
        <v>Octubre</v>
      </c>
      <c r="P1017" s="96" t="s">
        <v>1725</v>
      </c>
      <c r="Q1017" s="97" t="s">
        <v>7203</v>
      </c>
      <c r="R1017" s="76">
        <f t="shared" si="75"/>
        <v>13</v>
      </c>
      <c r="S1017" s="76">
        <f t="shared" si="76"/>
        <v>13</v>
      </c>
      <c r="T1017" s="76" t="str">
        <f t="shared" si="77"/>
        <v>-</v>
      </c>
      <c r="U1017" s="76" t="str">
        <f t="shared" si="78"/>
        <v>-</v>
      </c>
      <c r="V1017" s="76" t="str">
        <f t="shared" si="79"/>
        <v>-</v>
      </c>
    </row>
    <row r="1018" spans="1:26" ht="40.15" customHeight="1" x14ac:dyDescent="0.25">
      <c r="A1018" s="87">
        <v>39</v>
      </c>
      <c r="B1018" s="89" t="s">
        <v>1550</v>
      </c>
      <c r="C1018" s="89" t="s">
        <v>7061</v>
      </c>
      <c r="D1018" s="89" t="s">
        <v>344</v>
      </c>
      <c r="E1018" s="89" t="s">
        <v>1616</v>
      </c>
      <c r="F1018" s="87" t="s">
        <v>1556</v>
      </c>
      <c r="G1018" s="92" t="s">
        <v>1557</v>
      </c>
      <c r="H1018" s="93" t="s">
        <v>7217</v>
      </c>
      <c r="I1018" s="65" t="s">
        <v>7216</v>
      </c>
      <c r="J1018" s="65" t="s">
        <v>1824</v>
      </c>
      <c r="K1018" s="65" t="s">
        <v>1825</v>
      </c>
      <c r="L1018" s="126" t="s">
        <v>19</v>
      </c>
      <c r="M1018" s="63">
        <v>44473.416666666664</v>
      </c>
      <c r="N1018" s="63">
        <v>44473.666666666664</v>
      </c>
      <c r="O1018" s="95" t="str">
        <f>PROPER(TEXT(Table1[[#This Row],[Fecha Inicio]],"mmmm"))</f>
        <v>Octubre</v>
      </c>
      <c r="P1018" s="5" t="s">
        <v>2553</v>
      </c>
      <c r="Q1018" s="97" t="s">
        <v>7218</v>
      </c>
      <c r="R1018" s="76">
        <f t="shared" si="75"/>
        <v>3</v>
      </c>
      <c r="S1018" s="76">
        <f t="shared" si="76"/>
        <v>3</v>
      </c>
      <c r="T1018" s="76" t="str">
        <f t="shared" si="77"/>
        <v>-</v>
      </c>
      <c r="U1018" s="76" t="str">
        <f t="shared" si="78"/>
        <v>-</v>
      </c>
      <c r="V1018" s="76" t="str">
        <f t="shared" si="79"/>
        <v>-</v>
      </c>
    </row>
    <row r="1019" spans="1:26" ht="40.15" customHeight="1" x14ac:dyDescent="0.25">
      <c r="A1019" s="87">
        <v>40</v>
      </c>
      <c r="B1019" s="89" t="s">
        <v>1552</v>
      </c>
      <c r="C1019" s="89" t="s">
        <v>7250</v>
      </c>
      <c r="D1019" s="89" t="s">
        <v>1623</v>
      </c>
      <c r="E1019" s="89" t="s">
        <v>1624</v>
      </c>
      <c r="F1019" s="87" t="s">
        <v>1556</v>
      </c>
      <c r="G1019" s="92" t="s">
        <v>7175</v>
      </c>
      <c r="H1019" s="93" t="s">
        <v>7245</v>
      </c>
      <c r="I1019" s="80" t="s">
        <v>7243</v>
      </c>
      <c r="J1019" s="80" t="s">
        <v>3635</v>
      </c>
      <c r="K1019" s="80" t="s">
        <v>1575</v>
      </c>
      <c r="L1019" s="80" t="s">
        <v>3890</v>
      </c>
      <c r="M1019" s="127">
        <v>44473.541666666664</v>
      </c>
      <c r="N1019" s="127">
        <v>44473.625</v>
      </c>
      <c r="O1019" s="95" t="str">
        <f>PROPER(TEXT(Table1[[#This Row],[Fecha Inicio]],"mmmm"))</f>
        <v>Octubre</v>
      </c>
      <c r="P1019" s="5" t="s">
        <v>3636</v>
      </c>
      <c r="Q1019" s="97" t="s">
        <v>7244</v>
      </c>
      <c r="R1019" s="76">
        <f t="shared" si="75"/>
        <v>2</v>
      </c>
      <c r="S1019" s="76" t="str">
        <f t="shared" si="76"/>
        <v>-</v>
      </c>
      <c r="T1019" s="76" t="str">
        <f t="shared" si="77"/>
        <v>-</v>
      </c>
      <c r="U1019" s="76">
        <f t="shared" si="78"/>
        <v>2</v>
      </c>
      <c r="V1019" s="76" t="str">
        <f t="shared" si="79"/>
        <v>-</v>
      </c>
    </row>
    <row r="1020" spans="1:26" ht="40.15" customHeight="1" x14ac:dyDescent="0.25">
      <c r="A1020" s="87">
        <v>38</v>
      </c>
      <c r="B1020" s="89" t="s">
        <v>1550</v>
      </c>
      <c r="C1020" s="89" t="s">
        <v>6978</v>
      </c>
      <c r="D1020" s="89" t="s">
        <v>326</v>
      </c>
      <c r="E1020" s="89" t="s">
        <v>1631</v>
      </c>
      <c r="F1020" s="87" t="s">
        <v>1556</v>
      </c>
      <c r="G1020" s="92" t="s">
        <v>1557</v>
      </c>
      <c r="H1020" s="93" t="s">
        <v>7127</v>
      </c>
      <c r="I1020" s="87" t="s">
        <v>3970</v>
      </c>
      <c r="J1020" s="87" t="s">
        <v>1911</v>
      </c>
      <c r="K1020" s="87" t="s">
        <v>3971</v>
      </c>
      <c r="L1020" s="126" t="s">
        <v>19</v>
      </c>
      <c r="M1020" s="94">
        <v>44473.833333333336</v>
      </c>
      <c r="N1020" s="94">
        <v>44473.875</v>
      </c>
      <c r="O1020" s="95" t="str">
        <f>PROPER(TEXT(Table1[[#This Row],[Fecha Inicio]],"mmmm"))</f>
        <v>Octubre</v>
      </c>
      <c r="P1020" s="96" t="s">
        <v>248</v>
      </c>
      <c r="Q1020" s="97" t="s">
        <v>7128</v>
      </c>
      <c r="R1020" s="76">
        <f t="shared" si="75"/>
        <v>1</v>
      </c>
      <c r="S1020" s="76">
        <f t="shared" si="76"/>
        <v>1</v>
      </c>
      <c r="T1020" s="76" t="str">
        <f t="shared" si="77"/>
        <v>-</v>
      </c>
      <c r="U1020" s="76" t="str">
        <f t="shared" si="78"/>
        <v>-</v>
      </c>
      <c r="V1020" s="76" t="str">
        <f t="shared" si="79"/>
        <v>-</v>
      </c>
    </row>
    <row r="1021" spans="1:26" ht="40.15" customHeight="1" x14ac:dyDescent="0.25">
      <c r="A1021" s="87">
        <v>39</v>
      </c>
      <c r="B1021" s="89" t="s">
        <v>1550</v>
      </c>
      <c r="C1021" s="89"/>
      <c r="D1021" s="89" t="s">
        <v>1570</v>
      </c>
      <c r="E1021" s="89" t="s">
        <v>1571</v>
      </c>
      <c r="F1021" s="91" t="s">
        <v>1556</v>
      </c>
      <c r="G1021" s="92" t="s">
        <v>1557</v>
      </c>
      <c r="H1021" s="93" t="s">
        <v>7206</v>
      </c>
      <c r="I1021" s="87" t="s">
        <v>7205</v>
      </c>
      <c r="J1021" s="91" t="s">
        <v>1790</v>
      </c>
      <c r="K1021" s="91" t="s">
        <v>1791</v>
      </c>
      <c r="L1021" s="126" t="s">
        <v>19</v>
      </c>
      <c r="M1021" s="94">
        <v>44473.875</v>
      </c>
      <c r="N1021" s="94">
        <v>44474.041666666664</v>
      </c>
      <c r="O1021" s="95" t="str">
        <f>PROPER(TEXT(Table1[[#This Row],[Fecha Inicio]],"mmmm"))</f>
        <v>Octubre</v>
      </c>
      <c r="P1021" s="96" t="s">
        <v>1792</v>
      </c>
      <c r="Q1021" s="97" t="s">
        <v>7207</v>
      </c>
      <c r="R1021" s="76">
        <f t="shared" si="75"/>
        <v>113</v>
      </c>
      <c r="S1021" s="76">
        <f t="shared" si="76"/>
        <v>113</v>
      </c>
      <c r="T1021" s="76" t="str">
        <f t="shared" si="77"/>
        <v>-</v>
      </c>
      <c r="U1021" s="76" t="str">
        <f t="shared" si="78"/>
        <v>-</v>
      </c>
      <c r="V1021" s="76" t="str">
        <f t="shared" si="79"/>
        <v>-</v>
      </c>
    </row>
    <row r="1022" spans="1:26" ht="40.15" customHeight="1" x14ac:dyDescent="0.25">
      <c r="A1022" s="87">
        <v>39</v>
      </c>
      <c r="B1022" s="89" t="s">
        <v>1550</v>
      </c>
      <c r="C1022" s="89" t="s">
        <v>6978</v>
      </c>
      <c r="D1022" s="89" t="s">
        <v>1570</v>
      </c>
      <c r="E1022" s="89" t="s">
        <v>1571</v>
      </c>
      <c r="F1022" s="87" t="s">
        <v>1556</v>
      </c>
      <c r="G1022" s="92" t="s">
        <v>1557</v>
      </c>
      <c r="H1022" s="93" t="s">
        <v>7201</v>
      </c>
      <c r="I1022" s="80" t="s">
        <v>7185</v>
      </c>
      <c r="J1022" s="80" t="s">
        <v>1694</v>
      </c>
      <c r="K1022" s="80" t="s">
        <v>2240</v>
      </c>
      <c r="L1022" s="126" t="s">
        <v>19</v>
      </c>
      <c r="M1022" s="127">
        <v>44473.958333333336</v>
      </c>
      <c r="N1022" s="127">
        <v>44474.083333333336</v>
      </c>
      <c r="O1022" s="95" t="str">
        <f>PROPER(TEXT(Table1[[#This Row],[Fecha Inicio]],"mmmm"))</f>
        <v>Octubre</v>
      </c>
      <c r="P1022" s="5" t="s">
        <v>1696</v>
      </c>
      <c r="Q1022" s="97" t="s">
        <v>7204</v>
      </c>
      <c r="R1022" s="76">
        <f t="shared" si="75"/>
        <v>1</v>
      </c>
      <c r="S1022" s="76">
        <f t="shared" si="76"/>
        <v>1</v>
      </c>
      <c r="T1022" s="76" t="str">
        <f t="shared" si="77"/>
        <v>-</v>
      </c>
      <c r="U1022" s="76" t="str">
        <f t="shared" si="78"/>
        <v>-</v>
      </c>
      <c r="V1022" s="76" t="str">
        <f t="shared" si="79"/>
        <v>-</v>
      </c>
    </row>
    <row r="1023" spans="1:26" ht="40.15" customHeight="1" x14ac:dyDescent="0.25">
      <c r="A1023" s="87">
        <v>39</v>
      </c>
      <c r="B1023" s="89" t="s">
        <v>1550</v>
      </c>
      <c r="C1023" s="89"/>
      <c r="D1023" s="89" t="s">
        <v>1623</v>
      </c>
      <c r="E1023" s="89" t="s">
        <v>4038</v>
      </c>
      <c r="F1023" s="87" t="s">
        <v>1556</v>
      </c>
      <c r="G1023" s="92" t="s">
        <v>1557</v>
      </c>
      <c r="H1023" s="93" t="s">
        <v>7239</v>
      </c>
      <c r="I1023" s="65" t="s">
        <v>2040</v>
      </c>
      <c r="J1023" s="65" t="s">
        <v>1771</v>
      </c>
      <c r="K1023" s="65" t="s">
        <v>1575</v>
      </c>
      <c r="L1023" s="126" t="s">
        <v>19</v>
      </c>
      <c r="M1023" s="63">
        <v>44474.291666666664</v>
      </c>
      <c r="N1023" s="63">
        <v>44474.5</v>
      </c>
      <c r="O1023" s="95" t="str">
        <f>PROPER(TEXT(Table1[[#This Row],[Fecha Inicio]],"mmmm"))</f>
        <v>Octubre</v>
      </c>
      <c r="P1023" s="5" t="s">
        <v>1772</v>
      </c>
      <c r="Q1023" s="97" t="s">
        <v>7238</v>
      </c>
      <c r="R1023" s="76">
        <f t="shared" si="75"/>
        <v>2</v>
      </c>
      <c r="S1023" s="76">
        <f t="shared" si="76"/>
        <v>2</v>
      </c>
      <c r="T1023" s="76" t="str">
        <f t="shared" si="77"/>
        <v>-</v>
      </c>
      <c r="U1023" s="76" t="str">
        <f t="shared" si="78"/>
        <v>-</v>
      </c>
      <c r="V1023" s="76" t="str">
        <f t="shared" si="79"/>
        <v>-</v>
      </c>
    </row>
    <row r="1024" spans="1:26" ht="40.15" customHeight="1" x14ac:dyDescent="0.25">
      <c r="A1024" s="87">
        <v>39</v>
      </c>
      <c r="B1024" s="89" t="s">
        <v>1550</v>
      </c>
      <c r="C1024" s="89" t="s">
        <v>7061</v>
      </c>
      <c r="D1024" s="89" t="s">
        <v>344</v>
      </c>
      <c r="E1024" s="89" t="s">
        <v>1616</v>
      </c>
      <c r="F1024" s="87" t="s">
        <v>1556</v>
      </c>
      <c r="G1024" s="92" t="s">
        <v>1557</v>
      </c>
      <c r="H1024" s="93" t="s">
        <v>7220</v>
      </c>
      <c r="I1024" s="80" t="s">
        <v>7215</v>
      </c>
      <c r="J1024" s="80" t="s">
        <v>1824</v>
      </c>
      <c r="K1024" s="80" t="s">
        <v>1825</v>
      </c>
      <c r="L1024" s="126" t="s">
        <v>19</v>
      </c>
      <c r="M1024" s="127">
        <v>44474.416666666664</v>
      </c>
      <c r="N1024" s="127">
        <v>44474.666666666664</v>
      </c>
      <c r="O1024" s="95" t="str">
        <f>PROPER(TEXT(Table1[[#This Row],[Fecha Inicio]],"mmmm"))</f>
        <v>Octubre</v>
      </c>
      <c r="P1024" s="5" t="s">
        <v>2568</v>
      </c>
      <c r="Q1024" s="97" t="s">
        <v>7221</v>
      </c>
      <c r="R1024" s="76">
        <f t="shared" si="75"/>
        <v>3</v>
      </c>
      <c r="S1024" s="76">
        <f t="shared" si="76"/>
        <v>3</v>
      </c>
      <c r="T1024" s="76" t="str">
        <f t="shared" si="77"/>
        <v>-</v>
      </c>
      <c r="U1024" s="76" t="str">
        <f t="shared" si="78"/>
        <v>-</v>
      </c>
      <c r="V1024" s="76" t="str">
        <f t="shared" si="79"/>
        <v>-</v>
      </c>
    </row>
    <row r="1025" spans="1:26" ht="40.15" customHeight="1" x14ac:dyDescent="0.25">
      <c r="A1025" s="87">
        <v>40</v>
      </c>
      <c r="B1025" s="89" t="s">
        <v>1550</v>
      </c>
      <c r="C1025" s="89" t="s">
        <v>4270</v>
      </c>
      <c r="D1025" s="89" t="s">
        <v>326</v>
      </c>
      <c r="E1025" s="89" t="s">
        <v>1742</v>
      </c>
      <c r="F1025" s="87" t="s">
        <v>1556</v>
      </c>
      <c r="G1025" s="92" t="s">
        <v>1557</v>
      </c>
      <c r="H1025" s="93" t="s">
        <v>7259</v>
      </c>
      <c r="I1025" s="80" t="s">
        <v>7258</v>
      </c>
      <c r="J1025" s="80" t="s">
        <v>3310</v>
      </c>
      <c r="K1025" s="80" t="s">
        <v>6459</v>
      </c>
      <c r="L1025" s="126" t="s">
        <v>19</v>
      </c>
      <c r="M1025" s="127">
        <v>44474.625</v>
      </c>
      <c r="N1025" s="127">
        <v>44474.708333333336</v>
      </c>
      <c r="O1025" s="95" t="str">
        <f>PROPER(TEXT(Table1[[#This Row],[Fecha Inicio]],"mmmm"))</f>
        <v>Octubre</v>
      </c>
      <c r="P1025" s="5" t="s">
        <v>7256</v>
      </c>
      <c r="Q1025" s="97" t="s">
        <v>7260</v>
      </c>
      <c r="R1025" s="62">
        <f t="shared" si="75"/>
        <v>1</v>
      </c>
      <c r="S1025" s="76">
        <f t="shared" si="76"/>
        <v>1</v>
      </c>
      <c r="T1025" s="76" t="str">
        <f t="shared" si="77"/>
        <v>-</v>
      </c>
      <c r="U1025" s="76" t="str">
        <f t="shared" si="78"/>
        <v>-</v>
      </c>
      <c r="V1025" s="76" t="str">
        <f t="shared" si="79"/>
        <v>-</v>
      </c>
    </row>
    <row r="1026" spans="1:26" ht="40.15" customHeight="1" x14ac:dyDescent="0.25">
      <c r="A1026" s="87">
        <v>40</v>
      </c>
      <c r="B1026" s="89" t="s">
        <v>1550</v>
      </c>
      <c r="C1026" s="89" t="s">
        <v>4270</v>
      </c>
      <c r="D1026" s="89" t="s">
        <v>326</v>
      </c>
      <c r="E1026" s="89" t="s">
        <v>1631</v>
      </c>
      <c r="F1026" s="87" t="s">
        <v>1556</v>
      </c>
      <c r="G1026" s="92" t="s">
        <v>1557</v>
      </c>
      <c r="H1026" s="93" t="s">
        <v>7261</v>
      </c>
      <c r="I1026" s="80" t="s">
        <v>7181</v>
      </c>
      <c r="J1026" s="80" t="s">
        <v>1566</v>
      </c>
      <c r="K1026" s="80" t="s">
        <v>1567</v>
      </c>
      <c r="L1026" s="126" t="s">
        <v>52</v>
      </c>
      <c r="M1026" s="127">
        <v>44474.708333333336</v>
      </c>
      <c r="N1026" s="127">
        <v>44474.729166666664</v>
      </c>
      <c r="O1026" s="95" t="str">
        <f>PROPER(TEXT(Table1[[#This Row],[Fecha Inicio]],"mmmm"))</f>
        <v>Octubre</v>
      </c>
      <c r="P1026" s="5" t="s">
        <v>7182</v>
      </c>
      <c r="Q1026" s="97" t="s">
        <v>7262</v>
      </c>
      <c r="R1026" s="76">
        <f t="shared" ref="R1026:R1088" si="80">LEN(TRIM(P1026))-LEN(SUBSTITUTE(TRIM(P1026),",",""))+1</f>
        <v>2</v>
      </c>
      <c r="S1026" s="76">
        <f t="shared" ref="S1026:S1089" si="81">IF(B1026="CON ÉXITO",R1026,"-")</f>
        <v>2</v>
      </c>
      <c r="T1026" s="76" t="str">
        <f t="shared" ref="T1026:T1089" si="82">IF($B1026="Éxito con problemas",S1026,"-")</f>
        <v>-</v>
      </c>
      <c r="U1026" s="76" t="str">
        <f t="shared" ref="U1026:U1088" si="83">IF($B1026="CANCELADO",R1026,"-")</f>
        <v>-</v>
      </c>
      <c r="V1026" s="76" t="str">
        <f t="shared" ref="V1026:V1088" si="84">IF($B1026="Aplicada marcha atrás",R1026,"-")</f>
        <v>-</v>
      </c>
    </row>
    <row r="1027" spans="1:26" ht="40.15" customHeight="1" x14ac:dyDescent="0.25">
      <c r="A1027" s="87">
        <v>39</v>
      </c>
      <c r="B1027" s="89" t="s">
        <v>1550</v>
      </c>
      <c r="C1027" s="89" t="s">
        <v>6978</v>
      </c>
      <c r="D1027" s="89" t="s">
        <v>1570</v>
      </c>
      <c r="E1027" s="89" t="s">
        <v>1571</v>
      </c>
      <c r="F1027" s="87" t="s">
        <v>1556</v>
      </c>
      <c r="G1027" s="92" t="s">
        <v>1557</v>
      </c>
      <c r="H1027" s="93" t="s">
        <v>7200</v>
      </c>
      <c r="I1027" s="80" t="s">
        <v>7186</v>
      </c>
      <c r="J1027" s="80" t="s">
        <v>1755</v>
      </c>
      <c r="K1027" s="80" t="s">
        <v>2935</v>
      </c>
      <c r="L1027" s="126" t="s">
        <v>19</v>
      </c>
      <c r="M1027" s="127">
        <v>44474.958333333336</v>
      </c>
      <c r="N1027" s="127">
        <v>44475.041666666664</v>
      </c>
      <c r="O1027" s="95" t="str">
        <f>PROPER(TEXT(Table1[[#This Row],[Fecha Inicio]],"mmmm"))</f>
        <v>Octubre</v>
      </c>
      <c r="P1027" s="5" t="s">
        <v>1756</v>
      </c>
      <c r="Q1027" s="97" t="s">
        <v>7202</v>
      </c>
      <c r="R1027" s="76">
        <f t="shared" si="80"/>
        <v>1</v>
      </c>
      <c r="S1027" s="76">
        <f t="shared" si="81"/>
        <v>1</v>
      </c>
      <c r="T1027" s="76" t="str">
        <f t="shared" si="82"/>
        <v>-</v>
      </c>
      <c r="U1027" s="76" t="str">
        <f t="shared" si="83"/>
        <v>-</v>
      </c>
      <c r="V1027" s="76" t="str">
        <f t="shared" si="84"/>
        <v>-</v>
      </c>
    </row>
    <row r="1028" spans="1:26" ht="40.15" customHeight="1" x14ac:dyDescent="0.25">
      <c r="A1028" s="87">
        <v>40</v>
      </c>
      <c r="B1028" s="89" t="s">
        <v>1550</v>
      </c>
      <c r="C1028" s="89" t="s">
        <v>7255</v>
      </c>
      <c r="D1028" s="89" t="s">
        <v>326</v>
      </c>
      <c r="E1028" s="89" t="s">
        <v>1742</v>
      </c>
      <c r="F1028" s="87" t="s">
        <v>1556</v>
      </c>
      <c r="G1028" s="92" t="s">
        <v>1557</v>
      </c>
      <c r="H1028" s="93" t="s">
        <v>7248</v>
      </c>
      <c r="I1028" s="80" t="s">
        <v>7247</v>
      </c>
      <c r="J1028" s="80" t="s">
        <v>2404</v>
      </c>
      <c r="K1028" s="80" t="s">
        <v>1575</v>
      </c>
      <c r="L1028" s="126" t="s">
        <v>19</v>
      </c>
      <c r="M1028" s="127">
        <v>44475.416666666664</v>
      </c>
      <c r="N1028" s="127">
        <v>44475.541666666664</v>
      </c>
      <c r="O1028" s="95" t="str">
        <f>PROPER(TEXT(Table1[[#This Row],[Fecha Inicio]],"mmmm"))</f>
        <v>Octubre</v>
      </c>
      <c r="P1028" s="5" t="s">
        <v>7246</v>
      </c>
      <c r="Q1028" s="97" t="s">
        <v>7249</v>
      </c>
      <c r="R1028" s="76">
        <f t="shared" si="80"/>
        <v>8</v>
      </c>
      <c r="S1028" s="76">
        <f t="shared" si="81"/>
        <v>8</v>
      </c>
      <c r="T1028" s="76" t="str">
        <f t="shared" si="82"/>
        <v>-</v>
      </c>
      <c r="U1028" s="76" t="str">
        <f t="shared" si="83"/>
        <v>-</v>
      </c>
      <c r="V1028" s="76" t="str">
        <f t="shared" si="84"/>
        <v>-</v>
      </c>
    </row>
    <row r="1029" spans="1:26" ht="40.15" customHeight="1" x14ac:dyDescent="0.25">
      <c r="A1029" s="87">
        <v>40</v>
      </c>
      <c r="B1029" s="89" t="s">
        <v>1550</v>
      </c>
      <c r="C1029" s="89" t="s">
        <v>7255</v>
      </c>
      <c r="D1029" s="89" t="s">
        <v>1623</v>
      </c>
      <c r="E1029" s="89" t="s">
        <v>1624</v>
      </c>
      <c r="F1029" s="87" t="s">
        <v>1556</v>
      </c>
      <c r="G1029" s="92" t="s">
        <v>1557</v>
      </c>
      <c r="H1029" s="93" t="s">
        <v>7254</v>
      </c>
      <c r="I1029" s="87" t="s">
        <v>7251</v>
      </c>
      <c r="J1029" s="87" t="s">
        <v>6920</v>
      </c>
      <c r="K1029" s="87" t="s">
        <v>1575</v>
      </c>
      <c r="L1029" s="126" t="s">
        <v>19</v>
      </c>
      <c r="M1029" s="94">
        <v>44475.416666666664</v>
      </c>
      <c r="N1029" s="94">
        <v>44475.5</v>
      </c>
      <c r="O1029" s="95" t="str">
        <f>PROPER(TEXT(Table1[[#This Row],[Fecha Inicio]],"mmmm"))</f>
        <v>Octubre</v>
      </c>
      <c r="P1029" s="96" t="s">
        <v>7252</v>
      </c>
      <c r="Q1029" s="97" t="s">
        <v>7253</v>
      </c>
      <c r="R1029" s="76">
        <f t="shared" si="80"/>
        <v>1</v>
      </c>
      <c r="S1029" s="76">
        <f t="shared" si="81"/>
        <v>1</v>
      </c>
      <c r="T1029" s="76" t="str">
        <f t="shared" si="82"/>
        <v>-</v>
      </c>
      <c r="U1029" s="76" t="str">
        <f t="shared" si="83"/>
        <v>-</v>
      </c>
      <c r="V1029" s="76" t="str">
        <f t="shared" si="84"/>
        <v>-</v>
      </c>
    </row>
    <row r="1030" spans="1:26" ht="40.15" customHeight="1" x14ac:dyDescent="0.25">
      <c r="A1030" s="87">
        <v>39</v>
      </c>
      <c r="B1030" s="89" t="s">
        <v>1550</v>
      </c>
      <c r="C1030" s="89" t="s">
        <v>6978</v>
      </c>
      <c r="D1030" s="89" t="s">
        <v>1570</v>
      </c>
      <c r="E1030" s="89" t="s">
        <v>1571</v>
      </c>
      <c r="F1030" s="87" t="s">
        <v>1556</v>
      </c>
      <c r="G1030" s="92" t="s">
        <v>1557</v>
      </c>
      <c r="H1030" s="93" t="s">
        <v>7213</v>
      </c>
      <c r="I1030" s="80" t="s">
        <v>7193</v>
      </c>
      <c r="J1030" s="80" t="s">
        <v>7194</v>
      </c>
      <c r="K1030" s="80" t="s">
        <v>4492</v>
      </c>
      <c r="L1030" s="126" t="s">
        <v>19</v>
      </c>
      <c r="M1030" s="127">
        <v>44475.625</v>
      </c>
      <c r="N1030" s="127">
        <v>44477.416666666664</v>
      </c>
      <c r="O1030" s="95" t="str">
        <f>PROPER(TEXT(Table1[[#This Row],[Fecha Inicio]],"mmmm"))</f>
        <v>Octubre</v>
      </c>
      <c r="P1030" s="5" t="s">
        <v>7195</v>
      </c>
      <c r="Q1030" s="97" t="s">
        <v>7214</v>
      </c>
      <c r="R1030" s="76">
        <f t="shared" si="80"/>
        <v>8</v>
      </c>
      <c r="S1030" s="76">
        <f t="shared" si="81"/>
        <v>8</v>
      </c>
      <c r="T1030" s="76" t="str">
        <f t="shared" si="82"/>
        <v>-</v>
      </c>
      <c r="U1030" s="76" t="str">
        <f t="shared" si="83"/>
        <v>-</v>
      </c>
      <c r="V1030" s="76" t="str">
        <f t="shared" si="84"/>
        <v>-</v>
      </c>
    </row>
    <row r="1031" spans="1:26" ht="40.15" customHeight="1" x14ac:dyDescent="0.25">
      <c r="A1031" s="87">
        <v>40</v>
      </c>
      <c r="B1031" s="89" t="s">
        <v>1550</v>
      </c>
      <c r="C1031" s="89"/>
      <c r="D1031" s="89" t="s">
        <v>1554</v>
      </c>
      <c r="E1031" s="89" t="s">
        <v>1555</v>
      </c>
      <c r="F1031" s="87" t="s">
        <v>1556</v>
      </c>
      <c r="G1031" s="92" t="s">
        <v>1557</v>
      </c>
      <c r="H1031" s="93" t="s">
        <v>7267</v>
      </c>
      <c r="I1031" s="80" t="s">
        <v>7263</v>
      </c>
      <c r="J1031" s="80" t="s">
        <v>2825</v>
      </c>
      <c r="K1031" s="80" t="s">
        <v>2826</v>
      </c>
      <c r="L1031" s="126" t="s">
        <v>52</v>
      </c>
      <c r="M1031" s="127">
        <v>44476.375</v>
      </c>
      <c r="N1031" s="127">
        <v>44476.625</v>
      </c>
      <c r="O1031" s="95" t="str">
        <f>PROPER(TEXT(Table1[[#This Row],[Fecha Inicio]],"mmmm"))</f>
        <v>Octubre</v>
      </c>
      <c r="P1031" s="5" t="s">
        <v>7264</v>
      </c>
      <c r="Q1031" s="97" t="s">
        <v>7268</v>
      </c>
      <c r="R1031" s="76">
        <f t="shared" si="80"/>
        <v>7</v>
      </c>
      <c r="S1031" s="76">
        <f t="shared" si="81"/>
        <v>7</v>
      </c>
      <c r="T1031" s="76" t="str">
        <f t="shared" si="82"/>
        <v>-</v>
      </c>
      <c r="U1031" s="76" t="str">
        <f t="shared" si="83"/>
        <v>-</v>
      </c>
      <c r="V1031" s="76" t="str">
        <f t="shared" si="84"/>
        <v>-</v>
      </c>
    </row>
    <row r="1032" spans="1:26" ht="40.15" customHeight="1" x14ac:dyDescent="0.25">
      <c r="A1032" s="87">
        <v>40</v>
      </c>
      <c r="B1032" s="89" t="s">
        <v>1550</v>
      </c>
      <c r="C1032" s="89" t="s">
        <v>7255</v>
      </c>
      <c r="D1032" s="89" t="s">
        <v>1665</v>
      </c>
      <c r="E1032" s="116" t="s">
        <v>2228</v>
      </c>
      <c r="F1032" s="87" t="s">
        <v>1556</v>
      </c>
      <c r="G1032" s="92" t="s">
        <v>1557</v>
      </c>
      <c r="H1032" s="93" t="s">
        <v>7277</v>
      </c>
      <c r="I1032" s="80" t="s">
        <v>7273</v>
      </c>
      <c r="J1032" s="80" t="s">
        <v>6920</v>
      </c>
      <c r="K1032" s="80" t="s">
        <v>4492</v>
      </c>
      <c r="L1032" s="126" t="s">
        <v>7274</v>
      </c>
      <c r="M1032" s="127">
        <v>44476.75</v>
      </c>
      <c r="N1032" s="127">
        <v>44476.999305555553</v>
      </c>
      <c r="O1032" s="95" t="str">
        <f>PROPER(TEXT(Table1[[#This Row],[Fecha Inicio]],"mmmm"))</f>
        <v>Octubre</v>
      </c>
      <c r="P1032" s="5" t="s">
        <v>7275</v>
      </c>
      <c r="Q1032" s="97" t="s">
        <v>7276</v>
      </c>
      <c r="R1032" s="76">
        <f t="shared" si="80"/>
        <v>3</v>
      </c>
      <c r="S1032" s="76">
        <f t="shared" si="81"/>
        <v>3</v>
      </c>
      <c r="T1032" s="76" t="str">
        <f t="shared" si="82"/>
        <v>-</v>
      </c>
      <c r="U1032" s="76" t="str">
        <f t="shared" si="83"/>
        <v>-</v>
      </c>
      <c r="V1032" s="76" t="str">
        <f t="shared" si="84"/>
        <v>-</v>
      </c>
    </row>
    <row r="1033" spans="1:26" ht="40.15" customHeight="1" x14ac:dyDescent="0.25">
      <c r="A1033" s="115">
        <v>39</v>
      </c>
      <c r="B1033" s="89" t="s">
        <v>1550</v>
      </c>
      <c r="C1033" s="89" t="s">
        <v>6978</v>
      </c>
      <c r="D1033" s="89" t="s">
        <v>1570</v>
      </c>
      <c r="E1033" s="89" t="s">
        <v>1571</v>
      </c>
      <c r="F1033" s="87" t="s">
        <v>1556</v>
      </c>
      <c r="G1033" s="92" t="s">
        <v>1557</v>
      </c>
      <c r="H1033" s="117" t="s">
        <v>7223</v>
      </c>
      <c r="I1033" s="128" t="s">
        <v>7192</v>
      </c>
      <c r="J1033" s="128" t="s">
        <v>1708</v>
      </c>
      <c r="K1033" s="128" t="s">
        <v>1709</v>
      </c>
      <c r="L1033" s="126" t="s">
        <v>19</v>
      </c>
      <c r="M1033" s="129">
        <v>44476.958333333336</v>
      </c>
      <c r="N1033" s="129">
        <v>44477.083333333336</v>
      </c>
      <c r="O1033" s="119" t="str">
        <f>PROPER(TEXT(Table1[[#This Row],[Fecha Inicio]],"mmmm"))</f>
        <v>Octubre</v>
      </c>
      <c r="P1033" s="5" t="s">
        <v>1710</v>
      </c>
      <c r="Q1033" s="97" t="s">
        <v>7222</v>
      </c>
      <c r="R1033" s="76">
        <f t="shared" si="80"/>
        <v>15</v>
      </c>
      <c r="S1033" s="76">
        <f t="shared" si="81"/>
        <v>15</v>
      </c>
      <c r="T1033" s="76" t="str">
        <f t="shared" si="82"/>
        <v>-</v>
      </c>
      <c r="U1033" s="76" t="str">
        <f t="shared" si="83"/>
        <v>-</v>
      </c>
      <c r="V1033" s="76" t="str">
        <f t="shared" si="84"/>
        <v>-</v>
      </c>
    </row>
    <row r="1034" spans="1:26" ht="40.15" customHeight="1" x14ac:dyDescent="0.25">
      <c r="A1034" s="87">
        <v>40</v>
      </c>
      <c r="B1034" s="89" t="s">
        <v>1550</v>
      </c>
      <c r="C1034" s="89"/>
      <c r="D1034" s="89" t="s">
        <v>344</v>
      </c>
      <c r="E1034" s="89" t="s">
        <v>1616</v>
      </c>
      <c r="F1034" s="87" t="s">
        <v>1556</v>
      </c>
      <c r="G1034" s="92" t="s">
        <v>1557</v>
      </c>
      <c r="H1034" s="93" t="s">
        <v>7270</v>
      </c>
      <c r="I1034" s="87" t="s">
        <v>7265</v>
      </c>
      <c r="J1034" s="87" t="s">
        <v>7266</v>
      </c>
      <c r="K1034" s="87" t="s">
        <v>4492</v>
      </c>
      <c r="L1034" s="126" t="s">
        <v>19</v>
      </c>
      <c r="M1034" s="94">
        <v>44476.958333333336</v>
      </c>
      <c r="N1034" s="94">
        <v>44477</v>
      </c>
      <c r="O1034" s="95" t="str">
        <f>PROPER(TEXT(Table1[[#This Row],[Fecha Inicio]],"mmmm"))</f>
        <v>Octubre</v>
      </c>
      <c r="P1034" s="96" t="s">
        <v>2672</v>
      </c>
      <c r="Q1034" s="97" t="s">
        <v>7271</v>
      </c>
      <c r="R1034" s="76">
        <f t="shared" si="80"/>
        <v>3</v>
      </c>
      <c r="S1034" s="76">
        <f t="shared" si="81"/>
        <v>3</v>
      </c>
      <c r="T1034" s="76" t="str">
        <f t="shared" si="82"/>
        <v>-</v>
      </c>
      <c r="U1034" s="76" t="str">
        <f t="shared" si="83"/>
        <v>-</v>
      </c>
      <c r="V1034" s="76" t="str">
        <f t="shared" si="84"/>
        <v>-</v>
      </c>
    </row>
    <row r="1035" spans="1:26" ht="40.15" customHeight="1" x14ac:dyDescent="0.25">
      <c r="A1035" s="87">
        <v>40</v>
      </c>
      <c r="B1035" s="89" t="s">
        <v>1550</v>
      </c>
      <c r="C1035" s="89" t="s">
        <v>7356</v>
      </c>
      <c r="D1035" s="89" t="s">
        <v>326</v>
      </c>
      <c r="E1035" s="116" t="s">
        <v>1742</v>
      </c>
      <c r="F1035" s="87" t="s">
        <v>1556</v>
      </c>
      <c r="G1035" s="92" t="s">
        <v>1557</v>
      </c>
      <c r="H1035" s="93" t="s">
        <v>7287</v>
      </c>
      <c r="I1035" s="87" t="s">
        <v>7284</v>
      </c>
      <c r="J1035" s="87" t="s">
        <v>1839</v>
      </c>
      <c r="K1035" s="87" t="s">
        <v>4492</v>
      </c>
      <c r="L1035" s="91" t="s">
        <v>19</v>
      </c>
      <c r="M1035" s="94">
        <v>44477.395833333336</v>
      </c>
      <c r="N1035" s="94">
        <v>44477.5</v>
      </c>
      <c r="O1035" s="95" t="str">
        <f>PROPER(TEXT(Table1[[#This Row],[Fecha Inicio]],"mmmm"))</f>
        <v>Octubre</v>
      </c>
      <c r="P1035" s="96" t="s">
        <v>7285</v>
      </c>
      <c r="Q1035" s="97" t="s">
        <v>7286</v>
      </c>
      <c r="R1035" s="76">
        <f t="shared" si="80"/>
        <v>2</v>
      </c>
      <c r="S1035" s="76">
        <f t="shared" si="81"/>
        <v>2</v>
      </c>
      <c r="T1035" s="76" t="str">
        <f t="shared" si="82"/>
        <v>-</v>
      </c>
      <c r="U1035" s="76" t="str">
        <f t="shared" si="83"/>
        <v>-</v>
      </c>
      <c r="V1035" s="76" t="str">
        <f t="shared" si="84"/>
        <v>-</v>
      </c>
      <c r="Z1035" s="62"/>
    </row>
    <row r="1036" spans="1:26" ht="40.15" customHeight="1" x14ac:dyDescent="0.25">
      <c r="A1036" s="115">
        <v>39</v>
      </c>
      <c r="B1036" s="89" t="s">
        <v>1550</v>
      </c>
      <c r="C1036" s="89" t="s">
        <v>6978</v>
      </c>
      <c r="D1036" s="89" t="s">
        <v>1570</v>
      </c>
      <c r="E1036" s="89" t="s">
        <v>1571</v>
      </c>
      <c r="F1036" s="87" t="s">
        <v>1556</v>
      </c>
      <c r="G1036" s="92" t="s">
        <v>1557</v>
      </c>
      <c r="H1036" s="117" t="s">
        <v>7225</v>
      </c>
      <c r="I1036" s="115" t="s">
        <v>3232</v>
      </c>
      <c r="J1036" s="115" t="s">
        <v>1790</v>
      </c>
      <c r="K1036" s="115" t="s">
        <v>1791</v>
      </c>
      <c r="L1036" s="91" t="s">
        <v>19</v>
      </c>
      <c r="M1036" s="118">
        <v>44477.958333333336</v>
      </c>
      <c r="N1036" s="118">
        <v>44478.125</v>
      </c>
      <c r="O1036" s="119" t="str">
        <f>PROPER(TEXT(Table1[[#This Row],[Fecha Inicio]],"mmmm"))</f>
        <v>Octubre</v>
      </c>
      <c r="P1036" s="96" t="s">
        <v>7189</v>
      </c>
      <c r="Q1036" s="97" t="s">
        <v>7226</v>
      </c>
      <c r="R1036" s="76">
        <f t="shared" si="80"/>
        <v>113</v>
      </c>
      <c r="S1036" s="76">
        <f t="shared" si="81"/>
        <v>113</v>
      </c>
      <c r="T1036" s="76" t="str">
        <f t="shared" si="82"/>
        <v>-</v>
      </c>
      <c r="U1036" s="76" t="str">
        <f t="shared" si="83"/>
        <v>-</v>
      </c>
      <c r="V1036" s="76" t="str">
        <f t="shared" si="84"/>
        <v>-</v>
      </c>
    </row>
    <row r="1037" spans="1:26" ht="40.15" customHeight="1" x14ac:dyDescent="0.25">
      <c r="A1037" s="87">
        <v>39</v>
      </c>
      <c r="B1037" s="89" t="s">
        <v>1550</v>
      </c>
      <c r="C1037" s="89" t="s">
        <v>6978</v>
      </c>
      <c r="D1037" s="89" t="s">
        <v>1570</v>
      </c>
      <c r="E1037" s="89" t="s">
        <v>1571</v>
      </c>
      <c r="F1037" s="87" t="s">
        <v>1556</v>
      </c>
      <c r="G1037" s="92" t="s">
        <v>1557</v>
      </c>
      <c r="H1037" s="93" t="s">
        <v>7227</v>
      </c>
      <c r="I1037" s="87" t="s">
        <v>7191</v>
      </c>
      <c r="J1037" s="87" t="s">
        <v>1574</v>
      </c>
      <c r="K1037" s="87" t="s">
        <v>4492</v>
      </c>
      <c r="L1037" s="91" t="s">
        <v>19</v>
      </c>
      <c r="M1037" s="94">
        <v>44478.958333333336</v>
      </c>
      <c r="N1037" s="94">
        <v>44479.083333333336</v>
      </c>
      <c r="O1037" s="95" t="str">
        <f>PROPER(TEXT(Table1[[#This Row],[Fecha Inicio]],"mmmm"))</f>
        <v>Octubre</v>
      </c>
      <c r="P1037" s="96" t="s">
        <v>1576</v>
      </c>
      <c r="Q1037" s="97" t="s">
        <v>7228</v>
      </c>
      <c r="R1037" s="76">
        <f t="shared" si="80"/>
        <v>5</v>
      </c>
      <c r="S1037" s="76">
        <f t="shared" si="81"/>
        <v>5</v>
      </c>
      <c r="T1037" s="76" t="str">
        <f t="shared" si="82"/>
        <v>-</v>
      </c>
      <c r="U1037" s="76" t="str">
        <f t="shared" si="83"/>
        <v>-</v>
      </c>
      <c r="V1037" s="76" t="str">
        <f t="shared" si="84"/>
        <v>-</v>
      </c>
    </row>
    <row r="1038" spans="1:26" ht="40.15" customHeight="1" x14ac:dyDescent="0.25">
      <c r="A1038" s="87">
        <v>39</v>
      </c>
      <c r="B1038" s="89" t="s">
        <v>1550</v>
      </c>
      <c r="C1038" s="89" t="s">
        <v>6978</v>
      </c>
      <c r="D1038" s="89" t="s">
        <v>1570</v>
      </c>
      <c r="E1038" s="89" t="s">
        <v>1571</v>
      </c>
      <c r="F1038" s="87" t="s">
        <v>1556</v>
      </c>
      <c r="G1038" s="92" t="s">
        <v>1557</v>
      </c>
      <c r="H1038" s="93" t="s">
        <v>7229</v>
      </c>
      <c r="I1038" s="87" t="s">
        <v>7190</v>
      </c>
      <c r="J1038" s="87" t="s">
        <v>1595</v>
      </c>
      <c r="K1038" s="87" t="s">
        <v>1596</v>
      </c>
      <c r="L1038" s="91" t="s">
        <v>19</v>
      </c>
      <c r="M1038" s="94">
        <v>44479.958333333336</v>
      </c>
      <c r="N1038" s="94">
        <v>44480.041666666664</v>
      </c>
      <c r="O1038" s="95" t="str">
        <f>PROPER(TEXT(Table1[[#This Row],[Fecha Inicio]],"mmmm"))</f>
        <v>Octubre</v>
      </c>
      <c r="P1038" s="96" t="s">
        <v>1597</v>
      </c>
      <c r="Q1038" s="97" t="s">
        <v>7230</v>
      </c>
      <c r="R1038" s="76">
        <f t="shared" si="80"/>
        <v>2</v>
      </c>
      <c r="S1038" s="76">
        <f t="shared" si="81"/>
        <v>2</v>
      </c>
      <c r="T1038" s="76" t="str">
        <f t="shared" si="82"/>
        <v>-</v>
      </c>
      <c r="U1038" s="76" t="str">
        <f t="shared" si="83"/>
        <v>-</v>
      </c>
      <c r="V1038" s="76" t="str">
        <f t="shared" si="84"/>
        <v>-</v>
      </c>
    </row>
    <row r="1039" spans="1:26" ht="40.15" customHeight="1" x14ac:dyDescent="0.25">
      <c r="A1039" s="87">
        <v>41</v>
      </c>
      <c r="B1039" s="89" t="s">
        <v>1550</v>
      </c>
      <c r="C1039" s="89" t="s">
        <v>7255</v>
      </c>
      <c r="D1039" s="89" t="s">
        <v>1623</v>
      </c>
      <c r="E1039" s="89" t="s">
        <v>1624</v>
      </c>
      <c r="F1039" s="87" t="s">
        <v>1556</v>
      </c>
      <c r="G1039" s="92" t="s">
        <v>1557</v>
      </c>
      <c r="H1039" s="93" t="s">
        <v>7323</v>
      </c>
      <c r="I1039" s="87" t="s">
        <v>7243</v>
      </c>
      <c r="J1039" s="87" t="s">
        <v>3635</v>
      </c>
      <c r="K1039" s="87" t="s">
        <v>1575</v>
      </c>
      <c r="L1039" s="87" t="s">
        <v>3890</v>
      </c>
      <c r="M1039" s="94">
        <v>44480.541666666664</v>
      </c>
      <c r="N1039" s="94">
        <v>44480.625</v>
      </c>
      <c r="O1039" s="95" t="str">
        <f>PROPER(TEXT(Table1[[#This Row],[Fecha Inicio]],"mmmm"))</f>
        <v>Octubre</v>
      </c>
      <c r="P1039" s="96" t="s">
        <v>3636</v>
      </c>
      <c r="Q1039" s="97" t="s">
        <v>7324</v>
      </c>
      <c r="R1039" s="76">
        <f t="shared" si="80"/>
        <v>2</v>
      </c>
      <c r="S1039" s="76">
        <f t="shared" si="81"/>
        <v>2</v>
      </c>
      <c r="T1039" s="76" t="str">
        <f t="shared" si="82"/>
        <v>-</v>
      </c>
      <c r="U1039" s="76" t="str">
        <f t="shared" si="83"/>
        <v>-</v>
      </c>
      <c r="V1039" s="76" t="str">
        <f t="shared" si="84"/>
        <v>-</v>
      </c>
    </row>
    <row r="1040" spans="1:26" ht="40.15" customHeight="1" x14ac:dyDescent="0.25">
      <c r="A1040" s="87">
        <v>39</v>
      </c>
      <c r="B1040" s="89" t="s">
        <v>1550</v>
      </c>
      <c r="C1040" s="89" t="s">
        <v>6978</v>
      </c>
      <c r="D1040" s="89" t="s">
        <v>1570</v>
      </c>
      <c r="E1040" s="89" t="s">
        <v>1571</v>
      </c>
      <c r="F1040" s="87" t="s">
        <v>1556</v>
      </c>
      <c r="G1040" s="92" t="s">
        <v>1557</v>
      </c>
      <c r="H1040" s="93" t="s">
        <v>7241</v>
      </c>
      <c r="I1040" s="87" t="s">
        <v>7240</v>
      </c>
      <c r="J1040" s="87" t="s">
        <v>1612</v>
      </c>
      <c r="K1040" s="87" t="s">
        <v>1613</v>
      </c>
      <c r="L1040" s="91" t="s">
        <v>19</v>
      </c>
      <c r="M1040" s="94">
        <v>44480.958333333336</v>
      </c>
      <c r="N1040" s="94">
        <v>44481.041666666664</v>
      </c>
      <c r="O1040" s="95" t="str">
        <f>PROPER(TEXT(Table1[[#This Row],[Fecha Inicio]],"mmmm"))</f>
        <v>Octubre</v>
      </c>
      <c r="P1040" s="96" t="s">
        <v>3058</v>
      </c>
      <c r="Q1040" s="97" t="s">
        <v>7242</v>
      </c>
      <c r="R1040" s="76">
        <f t="shared" si="80"/>
        <v>19</v>
      </c>
      <c r="S1040" s="76">
        <f t="shared" si="81"/>
        <v>19</v>
      </c>
      <c r="T1040" s="76" t="str">
        <f t="shared" si="82"/>
        <v>-</v>
      </c>
      <c r="U1040" s="76" t="str">
        <f t="shared" si="83"/>
        <v>-</v>
      </c>
      <c r="V1040" s="76" t="str">
        <f t="shared" si="84"/>
        <v>-</v>
      </c>
    </row>
    <row r="1041" spans="1:22" ht="40.15" customHeight="1" x14ac:dyDescent="0.25">
      <c r="A1041" s="87">
        <v>40</v>
      </c>
      <c r="B1041" s="89" t="s">
        <v>1550</v>
      </c>
      <c r="C1041" s="89" t="s">
        <v>7322</v>
      </c>
      <c r="D1041" s="89" t="s">
        <v>326</v>
      </c>
      <c r="E1041" s="116" t="s">
        <v>1631</v>
      </c>
      <c r="F1041" s="87" t="s">
        <v>1556</v>
      </c>
      <c r="G1041" s="92" t="s">
        <v>1557</v>
      </c>
      <c r="H1041" s="93" t="s">
        <v>7288</v>
      </c>
      <c r="I1041" s="87" t="s">
        <v>7289</v>
      </c>
      <c r="J1041" s="87" t="s">
        <v>1634</v>
      </c>
      <c r="K1041" s="87" t="s">
        <v>1635</v>
      </c>
      <c r="L1041" s="91" t="s">
        <v>19</v>
      </c>
      <c r="M1041" s="94">
        <v>44482.895833333336</v>
      </c>
      <c r="N1041" s="94">
        <v>44482.979166666664</v>
      </c>
      <c r="O1041" s="95" t="str">
        <f>PROPER(TEXT(Table1[[#This Row],[Fecha Inicio]],"mmmm"))</f>
        <v>Octubre</v>
      </c>
      <c r="P1041" s="96" t="s">
        <v>1636</v>
      </c>
      <c r="Q1041" s="97" t="s">
        <v>7290</v>
      </c>
      <c r="R1041" s="76">
        <f t="shared" si="80"/>
        <v>6</v>
      </c>
      <c r="S1041" s="76">
        <f t="shared" si="81"/>
        <v>6</v>
      </c>
      <c r="T1041" s="76" t="str">
        <f t="shared" si="82"/>
        <v>-</v>
      </c>
      <c r="U1041" s="76" t="str">
        <f t="shared" si="83"/>
        <v>-</v>
      </c>
      <c r="V1041" s="76" t="str">
        <f t="shared" si="84"/>
        <v>-</v>
      </c>
    </row>
    <row r="1042" spans="1:22" ht="40.15" customHeight="1" x14ac:dyDescent="0.25">
      <c r="A1042" s="87">
        <v>40</v>
      </c>
      <c r="B1042" s="89" t="s">
        <v>1550</v>
      </c>
      <c r="C1042" s="89"/>
      <c r="D1042" s="89" t="s">
        <v>344</v>
      </c>
      <c r="E1042" s="116" t="s">
        <v>1616</v>
      </c>
      <c r="F1042" s="87" t="s">
        <v>1556</v>
      </c>
      <c r="G1042" s="92" t="s">
        <v>1557</v>
      </c>
      <c r="H1042" s="93" t="s">
        <v>7280</v>
      </c>
      <c r="I1042" s="87" t="s">
        <v>7278</v>
      </c>
      <c r="J1042" s="87" t="s">
        <v>7266</v>
      </c>
      <c r="K1042" s="87" t="s">
        <v>4492</v>
      </c>
      <c r="L1042" s="91" t="s">
        <v>19</v>
      </c>
      <c r="M1042" s="94">
        <v>44482.958333333336</v>
      </c>
      <c r="N1042" s="94">
        <v>44483.125</v>
      </c>
      <c r="O1042" s="95" t="str">
        <f>PROPER(TEXT(Table1[[#This Row],[Fecha Inicio]],"mmmm"))</f>
        <v>Octubre</v>
      </c>
      <c r="P1042" s="96" t="s">
        <v>3794</v>
      </c>
      <c r="Q1042" s="97" t="s">
        <v>7282</v>
      </c>
      <c r="R1042" s="76">
        <f t="shared" si="80"/>
        <v>3</v>
      </c>
      <c r="S1042" s="76">
        <f t="shared" si="81"/>
        <v>3</v>
      </c>
      <c r="T1042" s="76" t="str">
        <f t="shared" si="82"/>
        <v>-</v>
      </c>
      <c r="U1042" s="76" t="str">
        <f t="shared" si="83"/>
        <v>-</v>
      </c>
      <c r="V1042" s="76" t="str">
        <f t="shared" si="84"/>
        <v>-</v>
      </c>
    </row>
    <row r="1043" spans="1:22" ht="40.15" customHeight="1" x14ac:dyDescent="0.25">
      <c r="A1043" s="87">
        <v>40</v>
      </c>
      <c r="B1043" s="89" t="s">
        <v>1552</v>
      </c>
      <c r="C1043" s="89" t="s">
        <v>7384</v>
      </c>
      <c r="D1043" s="89" t="s">
        <v>326</v>
      </c>
      <c r="E1043" s="116" t="s">
        <v>1631</v>
      </c>
      <c r="F1043" s="87" t="s">
        <v>1556</v>
      </c>
      <c r="G1043" s="92" t="s">
        <v>7175</v>
      </c>
      <c r="H1043" s="93" t="s">
        <v>7291</v>
      </c>
      <c r="I1043" s="87" t="s">
        <v>7292</v>
      </c>
      <c r="J1043" s="87" t="s">
        <v>1634</v>
      </c>
      <c r="K1043" s="87" t="s">
        <v>1635</v>
      </c>
      <c r="L1043" s="91" t="s">
        <v>19</v>
      </c>
      <c r="M1043" s="94">
        <v>44483.916666666664</v>
      </c>
      <c r="N1043" s="94">
        <v>44484.083333333336</v>
      </c>
      <c r="O1043" s="95" t="str">
        <f>PROPER(TEXT(Table1[[#This Row],[Fecha Inicio]],"mmmm"))</f>
        <v>Octubre</v>
      </c>
      <c r="P1043" s="96" t="s">
        <v>3378</v>
      </c>
      <c r="Q1043" s="97" t="s">
        <v>7293</v>
      </c>
      <c r="R1043" s="76">
        <f t="shared" si="80"/>
        <v>20</v>
      </c>
      <c r="S1043" s="76" t="str">
        <f t="shared" si="81"/>
        <v>-</v>
      </c>
      <c r="T1043" s="76" t="str">
        <f t="shared" si="82"/>
        <v>-</v>
      </c>
      <c r="U1043" s="76">
        <f t="shared" si="83"/>
        <v>20</v>
      </c>
      <c r="V1043" s="76" t="str">
        <f t="shared" si="84"/>
        <v>-</v>
      </c>
    </row>
    <row r="1044" spans="1:22" ht="40.15" customHeight="1" x14ac:dyDescent="0.25">
      <c r="A1044" s="87">
        <v>41</v>
      </c>
      <c r="B1044" s="89" t="s">
        <v>1550</v>
      </c>
      <c r="C1044" s="89" t="s">
        <v>7383</v>
      </c>
      <c r="D1044" s="89" t="s">
        <v>326</v>
      </c>
      <c r="E1044" s="116" t="s">
        <v>1631</v>
      </c>
      <c r="F1044" s="87" t="s">
        <v>1556</v>
      </c>
      <c r="G1044" s="92" t="s">
        <v>1557</v>
      </c>
      <c r="H1044" s="93" t="s">
        <v>7382</v>
      </c>
      <c r="I1044" s="87" t="s">
        <v>7292</v>
      </c>
      <c r="J1044" s="87" t="s">
        <v>1634</v>
      </c>
      <c r="K1044" s="87" t="s">
        <v>1635</v>
      </c>
      <c r="L1044" s="91" t="s">
        <v>19</v>
      </c>
      <c r="M1044" s="94">
        <v>44483.916666666664</v>
      </c>
      <c r="N1044" s="94">
        <v>44484.083333333336</v>
      </c>
      <c r="O1044" s="95" t="str">
        <f>PROPER(TEXT(Table1[[#This Row],[Fecha Inicio]],"mmmm"))</f>
        <v>Octubre</v>
      </c>
      <c r="P1044" s="96" t="s">
        <v>3378</v>
      </c>
      <c r="Q1044" s="97" t="s">
        <v>7381</v>
      </c>
      <c r="R1044" s="76">
        <f t="shared" si="80"/>
        <v>20</v>
      </c>
      <c r="S1044" s="76">
        <f t="shared" si="81"/>
        <v>20</v>
      </c>
      <c r="T1044" s="76" t="str">
        <f t="shared" si="82"/>
        <v>-</v>
      </c>
      <c r="U1044" s="76" t="str">
        <f t="shared" si="83"/>
        <v>-</v>
      </c>
      <c r="V1044" s="76" t="str">
        <f t="shared" si="84"/>
        <v>-</v>
      </c>
    </row>
    <row r="1045" spans="1:22" ht="40.15" customHeight="1" x14ac:dyDescent="0.25">
      <c r="A1045" s="87">
        <v>40</v>
      </c>
      <c r="B1045" s="89" t="s">
        <v>1550</v>
      </c>
      <c r="C1045" s="89"/>
      <c r="D1045" s="89" t="s">
        <v>344</v>
      </c>
      <c r="E1045" s="116" t="s">
        <v>1616</v>
      </c>
      <c r="F1045" s="87" t="s">
        <v>1556</v>
      </c>
      <c r="G1045" s="92" t="s">
        <v>1557</v>
      </c>
      <c r="H1045" s="93" t="s">
        <v>7281</v>
      </c>
      <c r="I1045" s="87" t="s">
        <v>7279</v>
      </c>
      <c r="J1045" s="87" t="s">
        <v>7266</v>
      </c>
      <c r="K1045" s="87" t="s">
        <v>4492</v>
      </c>
      <c r="L1045" s="91" t="s">
        <v>19</v>
      </c>
      <c r="M1045" s="94">
        <v>44483.958333333336</v>
      </c>
      <c r="N1045" s="94">
        <v>44484.125</v>
      </c>
      <c r="O1045" s="95" t="str">
        <f>PROPER(TEXT(Table1[[#This Row],[Fecha Inicio]],"mmmm"))</f>
        <v>Octubre</v>
      </c>
      <c r="P1045" s="96" t="s">
        <v>3835</v>
      </c>
      <c r="Q1045" s="97" t="s">
        <v>7283</v>
      </c>
      <c r="R1045" s="76">
        <f t="shared" si="80"/>
        <v>3</v>
      </c>
      <c r="S1045" s="76">
        <f t="shared" si="81"/>
        <v>3</v>
      </c>
      <c r="T1045" s="76" t="str">
        <f t="shared" si="82"/>
        <v>-</v>
      </c>
      <c r="U1045" s="76" t="str">
        <f t="shared" si="83"/>
        <v>-</v>
      </c>
      <c r="V1045" s="76" t="str">
        <f t="shared" si="84"/>
        <v>-</v>
      </c>
    </row>
    <row r="1046" spans="1:22" ht="40.15" customHeight="1" x14ac:dyDescent="0.25">
      <c r="A1046" s="87">
        <v>41</v>
      </c>
      <c r="B1046" s="89" t="s">
        <v>1550</v>
      </c>
      <c r="C1046" s="89"/>
      <c r="D1046" s="89" t="s">
        <v>326</v>
      </c>
      <c r="E1046" s="116" t="s">
        <v>1742</v>
      </c>
      <c r="F1046" s="87" t="s">
        <v>1556</v>
      </c>
      <c r="G1046" s="92" t="s">
        <v>1557</v>
      </c>
      <c r="H1046" s="93" t="s">
        <v>7362</v>
      </c>
      <c r="I1046" s="87" t="s">
        <v>7363</v>
      </c>
      <c r="J1046" s="87" t="s">
        <v>2521</v>
      </c>
      <c r="K1046" s="87" t="s">
        <v>2522</v>
      </c>
      <c r="L1046" s="91" t="s">
        <v>52</v>
      </c>
      <c r="M1046" s="94">
        <v>44484.375</v>
      </c>
      <c r="N1046" s="94">
        <v>44484.625</v>
      </c>
      <c r="O1046" s="95" t="str">
        <f>PROPER(TEXT(Table1[[#This Row],[Fecha Inicio]],"mmmm"))</f>
        <v>Octubre</v>
      </c>
      <c r="P1046" s="96" t="s">
        <v>7364</v>
      </c>
      <c r="Q1046" s="97" t="s">
        <v>7365</v>
      </c>
      <c r="R1046" s="76">
        <f t="shared" si="80"/>
        <v>1</v>
      </c>
      <c r="S1046" s="76">
        <f t="shared" si="81"/>
        <v>1</v>
      </c>
      <c r="T1046" s="76" t="str">
        <f t="shared" si="82"/>
        <v>-</v>
      </c>
      <c r="U1046" s="76" t="str">
        <f t="shared" si="83"/>
        <v>-</v>
      </c>
      <c r="V1046" s="76" t="str">
        <f t="shared" si="84"/>
        <v>-</v>
      </c>
    </row>
    <row r="1047" spans="1:22" ht="40.15" customHeight="1" x14ac:dyDescent="0.25">
      <c r="A1047" s="87">
        <v>41</v>
      </c>
      <c r="B1047" s="89" t="s">
        <v>1550</v>
      </c>
      <c r="C1047" s="89"/>
      <c r="D1047" s="89" t="s">
        <v>326</v>
      </c>
      <c r="E1047" s="116" t="s">
        <v>1742</v>
      </c>
      <c r="F1047" s="87" t="s">
        <v>1556</v>
      </c>
      <c r="G1047" s="92" t="s">
        <v>1557</v>
      </c>
      <c r="H1047" s="93" t="s">
        <v>7380</v>
      </c>
      <c r="I1047" s="87" t="s">
        <v>7378</v>
      </c>
      <c r="J1047" s="87" t="s">
        <v>1627</v>
      </c>
      <c r="K1047" s="87" t="s">
        <v>4492</v>
      </c>
      <c r="L1047" s="91" t="s">
        <v>19</v>
      </c>
      <c r="M1047" s="94">
        <v>44484.5</v>
      </c>
      <c r="N1047" s="94">
        <v>44484.625</v>
      </c>
      <c r="O1047" s="95" t="str">
        <f>PROPER(TEXT(Table1[[#This Row],[Fecha Inicio]],"mmmm"))</f>
        <v>Octubre</v>
      </c>
      <c r="P1047" s="96" t="s">
        <v>2764</v>
      </c>
      <c r="Q1047" s="97" t="s">
        <v>7379</v>
      </c>
      <c r="R1047" s="76">
        <f t="shared" si="80"/>
        <v>2</v>
      </c>
      <c r="S1047" s="76">
        <f t="shared" si="81"/>
        <v>2</v>
      </c>
      <c r="T1047" s="76" t="str">
        <f t="shared" si="82"/>
        <v>-</v>
      </c>
      <c r="U1047" s="76" t="str">
        <f t="shared" si="83"/>
        <v>-</v>
      </c>
      <c r="V1047" s="76" t="str">
        <f t="shared" si="84"/>
        <v>-</v>
      </c>
    </row>
    <row r="1048" spans="1:22" ht="40.15" customHeight="1" x14ac:dyDescent="0.25">
      <c r="A1048" s="87">
        <v>40</v>
      </c>
      <c r="B1048" s="89" t="s">
        <v>3527</v>
      </c>
      <c r="C1048" s="89" t="s">
        <v>7432</v>
      </c>
      <c r="D1048" s="89" t="s">
        <v>326</v>
      </c>
      <c r="E1048" s="116" t="s">
        <v>1631</v>
      </c>
      <c r="F1048" s="87" t="s">
        <v>1556</v>
      </c>
      <c r="G1048" s="92" t="s">
        <v>1557</v>
      </c>
      <c r="H1048" s="93" t="s">
        <v>7298</v>
      </c>
      <c r="I1048" s="87" t="s">
        <v>7294</v>
      </c>
      <c r="J1048" s="87" t="s">
        <v>1719</v>
      </c>
      <c r="K1048" s="87" t="s">
        <v>4492</v>
      </c>
      <c r="L1048" s="91" t="s">
        <v>19</v>
      </c>
      <c r="M1048" s="94">
        <v>44486</v>
      </c>
      <c r="N1048" s="94">
        <v>44486.25</v>
      </c>
      <c r="O1048" s="95" t="str">
        <f>PROPER(TEXT(Table1[[#This Row],[Fecha Inicio]],"mmmm"))</f>
        <v>Octubre</v>
      </c>
      <c r="P1048" s="96" t="s">
        <v>4139</v>
      </c>
      <c r="Q1048" s="97" t="s">
        <v>7299</v>
      </c>
      <c r="R1048" s="76">
        <f t="shared" si="80"/>
        <v>17</v>
      </c>
      <c r="S1048" s="76" t="str">
        <f t="shared" si="81"/>
        <v>-</v>
      </c>
      <c r="T1048" s="76" t="str">
        <f t="shared" si="82"/>
        <v>-</v>
      </c>
      <c r="U1048" s="76" t="str">
        <f t="shared" si="83"/>
        <v>-</v>
      </c>
      <c r="V1048" s="76" t="str">
        <f t="shared" si="84"/>
        <v>-</v>
      </c>
    </row>
    <row r="1049" spans="1:22" ht="40.15" customHeight="1" x14ac:dyDescent="0.25">
      <c r="A1049" s="87">
        <v>40</v>
      </c>
      <c r="B1049" s="89" t="s">
        <v>1550</v>
      </c>
      <c r="C1049" s="89" t="s">
        <v>7322</v>
      </c>
      <c r="D1049" s="89" t="s">
        <v>326</v>
      </c>
      <c r="E1049" s="116" t="s">
        <v>1631</v>
      </c>
      <c r="F1049" s="87" t="s">
        <v>1556</v>
      </c>
      <c r="G1049" s="92" t="s">
        <v>1557</v>
      </c>
      <c r="H1049" s="93" t="s">
        <v>7300</v>
      </c>
      <c r="I1049" s="87" t="s">
        <v>7295</v>
      </c>
      <c r="J1049" s="87" t="s">
        <v>2152</v>
      </c>
      <c r="K1049" s="87" t="s">
        <v>4492</v>
      </c>
      <c r="L1049" s="91" t="s">
        <v>19</v>
      </c>
      <c r="M1049" s="94">
        <v>44487.041666666664</v>
      </c>
      <c r="N1049" s="94">
        <v>44487.125</v>
      </c>
      <c r="O1049" s="95" t="str">
        <f>PROPER(TEXT(Table1[[#This Row],[Fecha Inicio]],"mmmm"))</f>
        <v>Octubre</v>
      </c>
      <c r="P1049" s="96" t="s">
        <v>3389</v>
      </c>
      <c r="Q1049" s="97" t="s">
        <v>7301</v>
      </c>
      <c r="R1049" s="76">
        <f t="shared" si="80"/>
        <v>1</v>
      </c>
      <c r="S1049" s="76">
        <f t="shared" si="81"/>
        <v>1</v>
      </c>
      <c r="T1049" s="76" t="str">
        <f t="shared" si="82"/>
        <v>-</v>
      </c>
      <c r="U1049" s="76" t="str">
        <f t="shared" si="83"/>
        <v>-</v>
      </c>
      <c r="V1049" s="76" t="str">
        <f t="shared" si="84"/>
        <v>-</v>
      </c>
    </row>
    <row r="1050" spans="1:22" ht="40.15" customHeight="1" x14ac:dyDescent="0.25">
      <c r="A1050" s="87">
        <v>40</v>
      </c>
      <c r="B1050" s="89"/>
      <c r="C1050" s="89" t="s">
        <v>7322</v>
      </c>
      <c r="D1050" s="89" t="s">
        <v>326</v>
      </c>
      <c r="E1050" s="116" t="s">
        <v>1631</v>
      </c>
      <c r="F1050" s="87" t="s">
        <v>1556</v>
      </c>
      <c r="G1050" s="92" t="s">
        <v>4356</v>
      </c>
      <c r="H1050" s="93" t="s">
        <v>7302</v>
      </c>
      <c r="I1050" s="87" t="s">
        <v>7296</v>
      </c>
      <c r="J1050" s="87" t="s">
        <v>1560</v>
      </c>
      <c r="K1050" s="87" t="s">
        <v>1561</v>
      </c>
      <c r="L1050" s="91" t="s">
        <v>19</v>
      </c>
      <c r="M1050" s="94">
        <v>44487.791666666664</v>
      </c>
      <c r="N1050" s="94">
        <v>44488.083333333336</v>
      </c>
      <c r="O1050" s="95" t="str">
        <f>PROPER(TEXT(Table1[[#This Row],[Fecha Inicio]],"mmmm"))</f>
        <v>Octubre</v>
      </c>
      <c r="P1050" s="96" t="s">
        <v>1751</v>
      </c>
      <c r="Q1050" s="97" t="s">
        <v>7303</v>
      </c>
      <c r="R1050" s="76">
        <f t="shared" si="80"/>
        <v>4</v>
      </c>
      <c r="S1050" s="76" t="str">
        <f t="shared" si="81"/>
        <v>-</v>
      </c>
      <c r="T1050" s="76" t="str">
        <f t="shared" si="82"/>
        <v>-</v>
      </c>
      <c r="U1050" s="76" t="str">
        <f t="shared" si="83"/>
        <v>-</v>
      </c>
      <c r="V1050" s="76" t="str">
        <f t="shared" si="84"/>
        <v>-</v>
      </c>
    </row>
    <row r="1051" spans="1:22" ht="40.15" customHeight="1" x14ac:dyDescent="0.25">
      <c r="A1051" s="87">
        <v>40</v>
      </c>
      <c r="B1051" s="89"/>
      <c r="C1051" s="89" t="s">
        <v>7322</v>
      </c>
      <c r="D1051" s="89" t="s">
        <v>326</v>
      </c>
      <c r="E1051" s="116" t="s">
        <v>1631</v>
      </c>
      <c r="F1051" s="87" t="s">
        <v>1556</v>
      </c>
      <c r="G1051" s="92" t="s">
        <v>4356</v>
      </c>
      <c r="H1051" s="93" t="s">
        <v>7304</v>
      </c>
      <c r="I1051" s="87" t="s">
        <v>7297</v>
      </c>
      <c r="J1051" s="87" t="s">
        <v>1760</v>
      </c>
      <c r="K1051" s="87" t="s">
        <v>1761</v>
      </c>
      <c r="L1051" s="91" t="s">
        <v>19</v>
      </c>
      <c r="M1051" s="94">
        <v>44487.916666666664</v>
      </c>
      <c r="N1051" s="94">
        <v>44488.041666666664</v>
      </c>
      <c r="O1051" s="95" t="str">
        <f>PROPER(TEXT(Table1[[#This Row],[Fecha Inicio]],"mmmm"))</f>
        <v>Octubre</v>
      </c>
      <c r="P1051" s="96" t="s">
        <v>1762</v>
      </c>
      <c r="Q1051" s="97" t="s">
        <v>7305</v>
      </c>
      <c r="R1051" s="76">
        <f t="shared" si="80"/>
        <v>9</v>
      </c>
      <c r="S1051" s="76" t="str">
        <f t="shared" si="81"/>
        <v>-</v>
      </c>
      <c r="T1051" s="76" t="str">
        <f t="shared" si="82"/>
        <v>-</v>
      </c>
      <c r="U1051" s="76" t="str">
        <f t="shared" si="83"/>
        <v>-</v>
      </c>
      <c r="V1051" s="76" t="str">
        <f t="shared" si="84"/>
        <v>-</v>
      </c>
    </row>
    <row r="1052" spans="1:22" ht="40.15" customHeight="1" x14ac:dyDescent="0.25">
      <c r="A1052" s="87">
        <v>41</v>
      </c>
      <c r="B1052" s="89"/>
      <c r="C1052" s="89"/>
      <c r="D1052" s="89" t="s">
        <v>344</v>
      </c>
      <c r="E1052" s="116" t="s">
        <v>1616</v>
      </c>
      <c r="F1052" s="87" t="s">
        <v>1556</v>
      </c>
      <c r="G1052" s="92" t="s">
        <v>4356</v>
      </c>
      <c r="H1052" s="93" t="s">
        <v>7397</v>
      </c>
      <c r="I1052" s="87" t="s">
        <v>7398</v>
      </c>
      <c r="J1052" s="87" t="s">
        <v>7399</v>
      </c>
      <c r="K1052" s="87" t="s">
        <v>4160</v>
      </c>
      <c r="L1052" s="91" t="s">
        <v>19</v>
      </c>
      <c r="M1052" s="94">
        <v>44487.958333333336</v>
      </c>
      <c r="N1052" s="94">
        <v>44488.125</v>
      </c>
      <c r="O1052" s="95" t="str">
        <f>PROPER(TEXT(Table1[[#This Row],[Fecha Inicio]],"mmmm"))</f>
        <v>Octubre</v>
      </c>
      <c r="P1052" s="96" t="s">
        <v>2713</v>
      </c>
      <c r="Q1052" s="97" t="s">
        <v>7400</v>
      </c>
      <c r="R1052" s="76">
        <f t="shared" si="80"/>
        <v>6</v>
      </c>
      <c r="S1052" s="76" t="str">
        <f t="shared" si="81"/>
        <v>-</v>
      </c>
      <c r="T1052" s="76" t="str">
        <f t="shared" si="82"/>
        <v>-</v>
      </c>
      <c r="U1052" s="76" t="str">
        <f t="shared" si="83"/>
        <v>-</v>
      </c>
      <c r="V1052" s="76" t="str">
        <f t="shared" si="84"/>
        <v>-</v>
      </c>
    </row>
    <row r="1053" spans="1:22" ht="40.15" customHeight="1" x14ac:dyDescent="0.25">
      <c r="A1053" s="87">
        <v>40</v>
      </c>
      <c r="B1053" s="89"/>
      <c r="C1053" s="89" t="s">
        <v>7322</v>
      </c>
      <c r="D1053" s="89" t="s">
        <v>326</v>
      </c>
      <c r="E1053" s="116" t="s">
        <v>1631</v>
      </c>
      <c r="F1053" s="87" t="s">
        <v>1556</v>
      </c>
      <c r="G1053" s="92" t="s">
        <v>4356</v>
      </c>
      <c r="H1053" s="93" t="s">
        <v>7306</v>
      </c>
      <c r="I1053" s="80" t="s">
        <v>1728</v>
      </c>
      <c r="J1053" s="80" t="s">
        <v>1729</v>
      </c>
      <c r="K1053" s="80" t="s">
        <v>4492</v>
      </c>
      <c r="L1053" s="126" t="s">
        <v>19</v>
      </c>
      <c r="M1053" s="127">
        <v>44488.208333333336</v>
      </c>
      <c r="N1053" s="127">
        <v>44488.333333333336</v>
      </c>
      <c r="O1053" s="95" t="str">
        <f>PROPER(TEXT(Table1[[#This Row],[Fecha Inicio]],"mmmm"))</f>
        <v>Octubre</v>
      </c>
      <c r="P1053" s="5" t="s">
        <v>1730</v>
      </c>
      <c r="Q1053" s="97" t="s">
        <v>7307</v>
      </c>
      <c r="R1053" s="76">
        <f t="shared" si="80"/>
        <v>5</v>
      </c>
      <c r="S1053" s="76" t="str">
        <f t="shared" si="81"/>
        <v>-</v>
      </c>
      <c r="T1053" s="76" t="str">
        <f t="shared" si="82"/>
        <v>-</v>
      </c>
      <c r="U1053" s="76" t="str">
        <f t="shared" si="83"/>
        <v>-</v>
      </c>
      <c r="V1053" s="76" t="str">
        <f t="shared" si="84"/>
        <v>-</v>
      </c>
    </row>
    <row r="1054" spans="1:22" ht="40.15" customHeight="1" x14ac:dyDescent="0.25">
      <c r="A1054" s="87">
        <v>40</v>
      </c>
      <c r="B1054" s="89"/>
      <c r="C1054" s="89" t="s">
        <v>7322</v>
      </c>
      <c r="D1054" s="89" t="s">
        <v>326</v>
      </c>
      <c r="E1054" s="116" t="s">
        <v>1631</v>
      </c>
      <c r="F1054" s="87" t="s">
        <v>1556</v>
      </c>
      <c r="G1054" s="92" t="s">
        <v>4356</v>
      </c>
      <c r="H1054" s="93" t="s">
        <v>7308</v>
      </c>
      <c r="I1054" s="87" t="s">
        <v>7309</v>
      </c>
      <c r="J1054" s="87" t="s">
        <v>7310</v>
      </c>
      <c r="K1054" s="87" t="s">
        <v>2935</v>
      </c>
      <c r="L1054" s="91" t="s">
        <v>19</v>
      </c>
      <c r="M1054" s="94">
        <v>44488.291666666664</v>
      </c>
      <c r="N1054" s="94">
        <v>44488.354166666664</v>
      </c>
      <c r="O1054" s="95" t="str">
        <f>PROPER(TEXT(Table1[[#This Row],[Fecha Inicio]],"mmmm"))</f>
        <v>Octubre</v>
      </c>
      <c r="P1054" s="96" t="s">
        <v>3413</v>
      </c>
      <c r="Q1054" s="97" t="s">
        <v>7311</v>
      </c>
      <c r="R1054" s="76">
        <f t="shared" si="80"/>
        <v>2</v>
      </c>
      <c r="S1054" s="76" t="str">
        <f t="shared" si="81"/>
        <v>-</v>
      </c>
      <c r="T1054" s="76" t="str">
        <f t="shared" si="82"/>
        <v>-</v>
      </c>
      <c r="U1054" s="76" t="str">
        <f t="shared" si="83"/>
        <v>-</v>
      </c>
      <c r="V1054" s="76" t="str">
        <f t="shared" si="84"/>
        <v>-</v>
      </c>
    </row>
    <row r="1055" spans="1:22" ht="40.15" customHeight="1" x14ac:dyDescent="0.25">
      <c r="A1055" s="87">
        <v>42</v>
      </c>
      <c r="B1055" s="89"/>
      <c r="C1055" s="89"/>
      <c r="D1055" s="89" t="s">
        <v>1623</v>
      </c>
      <c r="E1055" s="116" t="s">
        <v>1624</v>
      </c>
      <c r="F1055" s="87" t="s">
        <v>1556</v>
      </c>
      <c r="G1055" s="92" t="s">
        <v>4356</v>
      </c>
      <c r="H1055" s="93" t="s">
        <v>7434</v>
      </c>
      <c r="I1055" s="87" t="s">
        <v>7433</v>
      </c>
      <c r="J1055" s="87" t="s">
        <v>1771</v>
      </c>
      <c r="K1055" s="87" t="s">
        <v>4492</v>
      </c>
      <c r="L1055" s="91" t="s">
        <v>19</v>
      </c>
      <c r="M1055" s="94">
        <v>44488.291666666664</v>
      </c>
      <c r="N1055" s="94">
        <v>44488.5</v>
      </c>
      <c r="O1055" s="95" t="str">
        <f>PROPER(TEXT(Table1[[#This Row],[Fecha Inicio]],"mmmm"))</f>
        <v>Octubre</v>
      </c>
      <c r="P1055" s="87" t="s">
        <v>1772</v>
      </c>
      <c r="Q1055" s="97" t="s">
        <v>7435</v>
      </c>
      <c r="R1055" s="76">
        <f t="shared" si="80"/>
        <v>2</v>
      </c>
      <c r="S1055" s="76" t="str">
        <f t="shared" si="81"/>
        <v>-</v>
      </c>
      <c r="T1055" s="76" t="str">
        <f t="shared" si="82"/>
        <v>-</v>
      </c>
      <c r="U1055" s="76" t="str">
        <f t="shared" si="83"/>
        <v>-</v>
      </c>
      <c r="V1055" s="76" t="str">
        <f t="shared" si="84"/>
        <v>-</v>
      </c>
    </row>
    <row r="1056" spans="1:22" ht="40.15" customHeight="1" x14ac:dyDescent="0.25">
      <c r="A1056" s="87">
        <v>40</v>
      </c>
      <c r="B1056" s="89"/>
      <c r="C1056" s="89" t="s">
        <v>7322</v>
      </c>
      <c r="D1056" s="89" t="s">
        <v>326</v>
      </c>
      <c r="E1056" s="116" t="s">
        <v>1631</v>
      </c>
      <c r="F1056" s="87" t="s">
        <v>1556</v>
      </c>
      <c r="G1056" s="92" t="s">
        <v>4356</v>
      </c>
      <c r="H1056" s="93" t="s">
        <v>7312</v>
      </c>
      <c r="I1056" s="87" t="s">
        <v>7313</v>
      </c>
      <c r="J1056" s="87" t="s">
        <v>1776</v>
      </c>
      <c r="K1056" s="87" t="s">
        <v>4492</v>
      </c>
      <c r="L1056" s="91" t="s">
        <v>19</v>
      </c>
      <c r="M1056" s="94">
        <v>44488.666666666664</v>
      </c>
      <c r="N1056" s="94">
        <v>44488.75</v>
      </c>
      <c r="O1056" s="95" t="str">
        <f>PROPER(TEXT(Table1[[#This Row],[Fecha Inicio]],"mmmm"))</f>
        <v>Octubre</v>
      </c>
      <c r="P1056" s="96" t="s">
        <v>1777</v>
      </c>
      <c r="Q1056" s="97" t="s">
        <v>7314</v>
      </c>
      <c r="R1056" s="76">
        <f t="shared" si="80"/>
        <v>2</v>
      </c>
      <c r="S1056" s="76" t="str">
        <f t="shared" si="81"/>
        <v>-</v>
      </c>
      <c r="T1056" s="76" t="str">
        <f t="shared" si="82"/>
        <v>-</v>
      </c>
      <c r="U1056" s="76" t="str">
        <f t="shared" si="83"/>
        <v>-</v>
      </c>
      <c r="V1056" s="76" t="str">
        <f t="shared" si="84"/>
        <v>-</v>
      </c>
    </row>
    <row r="1057" spans="1:22" ht="40.15" customHeight="1" x14ac:dyDescent="0.25">
      <c r="A1057" s="87">
        <v>40</v>
      </c>
      <c r="B1057" s="89"/>
      <c r="C1057" s="89" t="s">
        <v>7322</v>
      </c>
      <c r="D1057" s="89" t="s">
        <v>326</v>
      </c>
      <c r="E1057" s="116" t="s">
        <v>1631</v>
      </c>
      <c r="F1057" s="87" t="s">
        <v>1556</v>
      </c>
      <c r="G1057" s="92" t="s">
        <v>4356</v>
      </c>
      <c r="H1057" s="93" t="s">
        <v>7315</v>
      </c>
      <c r="I1057" s="87" t="s">
        <v>7316</v>
      </c>
      <c r="J1057" s="87" t="s">
        <v>1786</v>
      </c>
      <c r="K1057" s="87" t="s">
        <v>2307</v>
      </c>
      <c r="L1057" s="91" t="s">
        <v>19</v>
      </c>
      <c r="M1057" s="94">
        <v>44488.833333333336</v>
      </c>
      <c r="N1057" s="94">
        <v>44488.875</v>
      </c>
      <c r="O1057" s="95" t="str">
        <f>PROPER(TEXT(Table1[[#This Row],[Fecha Inicio]],"mmmm"))</f>
        <v>Octubre</v>
      </c>
      <c r="P1057" s="96" t="s">
        <v>250</v>
      </c>
      <c r="Q1057" s="97" t="s">
        <v>7317</v>
      </c>
      <c r="R1057" s="76">
        <f t="shared" si="80"/>
        <v>1</v>
      </c>
      <c r="S1057" s="76" t="str">
        <f t="shared" si="81"/>
        <v>-</v>
      </c>
      <c r="T1057" s="76" t="str">
        <f t="shared" si="82"/>
        <v>-</v>
      </c>
      <c r="U1057" s="76" t="str">
        <f t="shared" si="83"/>
        <v>-</v>
      </c>
      <c r="V1057" s="76" t="str">
        <f t="shared" si="84"/>
        <v>-</v>
      </c>
    </row>
    <row r="1058" spans="1:22" ht="40.15" customHeight="1" x14ac:dyDescent="0.25">
      <c r="A1058" s="87">
        <v>40</v>
      </c>
      <c r="B1058" s="89"/>
      <c r="C1058" s="89" t="s">
        <v>7322</v>
      </c>
      <c r="D1058" s="89" t="s">
        <v>326</v>
      </c>
      <c r="E1058" s="116" t="s">
        <v>1631</v>
      </c>
      <c r="F1058" s="87" t="s">
        <v>1556</v>
      </c>
      <c r="G1058" s="92" t="s">
        <v>4356</v>
      </c>
      <c r="H1058" s="93" t="s">
        <v>7318</v>
      </c>
      <c r="I1058" s="87" t="s">
        <v>7319</v>
      </c>
      <c r="J1058" s="87" t="s">
        <v>7310</v>
      </c>
      <c r="K1058" s="87" t="s">
        <v>2935</v>
      </c>
      <c r="L1058" s="91" t="s">
        <v>19</v>
      </c>
      <c r="M1058" s="94">
        <v>44488.958333333336</v>
      </c>
      <c r="N1058" s="94">
        <v>44489.25</v>
      </c>
      <c r="O1058" s="95" t="str">
        <f>PROPER(TEXT(Table1[[#This Row],[Fecha Inicio]],"mmmm"))</f>
        <v>Octubre</v>
      </c>
      <c r="P1058" s="96" t="s">
        <v>7320</v>
      </c>
      <c r="Q1058" s="97" t="s">
        <v>7321</v>
      </c>
      <c r="R1058" s="76">
        <f t="shared" si="80"/>
        <v>10</v>
      </c>
      <c r="S1058" s="76" t="str">
        <f t="shared" si="81"/>
        <v>-</v>
      </c>
      <c r="T1058" s="76" t="str">
        <f t="shared" si="82"/>
        <v>-</v>
      </c>
      <c r="U1058" s="76" t="str">
        <f t="shared" si="83"/>
        <v>-</v>
      </c>
      <c r="V1058" s="76" t="str">
        <f t="shared" si="84"/>
        <v>-</v>
      </c>
    </row>
    <row r="1059" spans="1:22" ht="40.15" customHeight="1" x14ac:dyDescent="0.25">
      <c r="A1059" s="87">
        <v>41</v>
      </c>
      <c r="B1059" s="89"/>
      <c r="C1059" s="89"/>
      <c r="D1059" s="89" t="s">
        <v>344</v>
      </c>
      <c r="E1059" s="116" t="s">
        <v>1616</v>
      </c>
      <c r="F1059" s="87" t="s">
        <v>1556</v>
      </c>
      <c r="G1059" s="92" t="s">
        <v>4356</v>
      </c>
      <c r="H1059" s="93" t="s">
        <v>7401</v>
      </c>
      <c r="I1059" s="87" t="s">
        <v>7402</v>
      </c>
      <c r="J1059" s="87" t="s">
        <v>7399</v>
      </c>
      <c r="K1059" s="87" t="s">
        <v>4160</v>
      </c>
      <c r="L1059" s="91" t="s">
        <v>19</v>
      </c>
      <c r="M1059" s="94">
        <v>44488.958333333336</v>
      </c>
      <c r="N1059" s="94">
        <v>44489.125</v>
      </c>
      <c r="O1059" s="95" t="str">
        <f>PROPER(TEXT(Table1[[#This Row],[Fecha Inicio]],"mmmm"))</f>
        <v>Octubre</v>
      </c>
      <c r="P1059" s="96" t="s">
        <v>2736</v>
      </c>
      <c r="Q1059" s="97" t="s">
        <v>7403</v>
      </c>
      <c r="R1059" s="76">
        <f t="shared" si="80"/>
        <v>6</v>
      </c>
      <c r="S1059" s="76" t="str">
        <f t="shared" si="81"/>
        <v>-</v>
      </c>
      <c r="T1059" s="76" t="str">
        <f t="shared" si="82"/>
        <v>-</v>
      </c>
      <c r="U1059" s="76" t="str">
        <f t="shared" si="83"/>
        <v>-</v>
      </c>
      <c r="V1059" s="76" t="str">
        <f t="shared" si="84"/>
        <v>-</v>
      </c>
    </row>
    <row r="1060" spans="1:22" ht="40.15" customHeight="1" x14ac:dyDescent="0.25">
      <c r="A1060" s="87">
        <v>41</v>
      </c>
      <c r="B1060" s="89"/>
      <c r="C1060" s="89" t="s">
        <v>7322</v>
      </c>
      <c r="D1060" s="89" t="s">
        <v>326</v>
      </c>
      <c r="E1060" s="116" t="s">
        <v>1631</v>
      </c>
      <c r="F1060" s="87" t="s">
        <v>1556</v>
      </c>
      <c r="G1060" s="92" t="s">
        <v>4356</v>
      </c>
      <c r="H1060" s="93" t="s">
        <v>7325</v>
      </c>
      <c r="I1060" s="87" t="s">
        <v>7326</v>
      </c>
      <c r="J1060" s="87" t="s">
        <v>1760</v>
      </c>
      <c r="K1060" s="87" t="s">
        <v>1761</v>
      </c>
      <c r="L1060" s="91" t="s">
        <v>19</v>
      </c>
      <c r="M1060" s="94">
        <v>44489.041666666664</v>
      </c>
      <c r="N1060" s="94">
        <v>44489.166666666664</v>
      </c>
      <c r="O1060" s="95" t="str">
        <f>PROPER(TEXT(Table1[[#This Row],[Fecha Inicio]],"mmmm"))</f>
        <v>Octubre</v>
      </c>
      <c r="P1060" s="96" t="s">
        <v>2739</v>
      </c>
      <c r="Q1060" s="97" t="s">
        <v>7327</v>
      </c>
      <c r="R1060" s="76">
        <f t="shared" si="80"/>
        <v>7</v>
      </c>
      <c r="S1060" s="76" t="str">
        <f t="shared" si="81"/>
        <v>-</v>
      </c>
      <c r="T1060" s="76" t="str">
        <f t="shared" si="82"/>
        <v>-</v>
      </c>
      <c r="U1060" s="76" t="str">
        <f t="shared" si="83"/>
        <v>-</v>
      </c>
      <c r="V1060" s="76" t="str">
        <f t="shared" si="84"/>
        <v>-</v>
      </c>
    </row>
    <row r="1061" spans="1:22" ht="40.15" customHeight="1" x14ac:dyDescent="0.25">
      <c r="A1061" s="87">
        <v>41</v>
      </c>
      <c r="B1061" s="89"/>
      <c r="C1061" s="89" t="s">
        <v>7322</v>
      </c>
      <c r="D1061" s="89" t="s">
        <v>326</v>
      </c>
      <c r="E1061" s="116" t="s">
        <v>1631</v>
      </c>
      <c r="F1061" s="87" t="s">
        <v>1556</v>
      </c>
      <c r="G1061" s="92" t="s">
        <v>4356</v>
      </c>
      <c r="H1061" s="93" t="s">
        <v>7328</v>
      </c>
      <c r="I1061" s="87" t="s">
        <v>7329</v>
      </c>
      <c r="J1061" s="87" t="s">
        <v>1814</v>
      </c>
      <c r="K1061" s="87" t="s">
        <v>1761</v>
      </c>
      <c r="L1061" s="91" t="s">
        <v>19</v>
      </c>
      <c r="M1061" s="94">
        <v>44489.291666666664</v>
      </c>
      <c r="N1061" s="94">
        <v>44489.333333333336</v>
      </c>
      <c r="O1061" s="95" t="str">
        <f>PROPER(TEXT(Table1[[#This Row],[Fecha Inicio]],"mmmm"))</f>
        <v>Octubre</v>
      </c>
      <c r="P1061" s="96" t="s">
        <v>109</v>
      </c>
      <c r="Q1061" s="97" t="s">
        <v>7330</v>
      </c>
      <c r="R1061" s="76">
        <f t="shared" si="80"/>
        <v>1</v>
      </c>
      <c r="S1061" s="76" t="str">
        <f t="shared" si="81"/>
        <v>-</v>
      </c>
      <c r="T1061" s="76" t="str">
        <f t="shared" si="82"/>
        <v>-</v>
      </c>
      <c r="U1061" s="76" t="str">
        <f t="shared" si="83"/>
        <v>-</v>
      </c>
      <c r="V1061" s="76" t="str">
        <f t="shared" si="84"/>
        <v>-</v>
      </c>
    </row>
    <row r="1062" spans="1:22" ht="40.15" customHeight="1" x14ac:dyDescent="0.25">
      <c r="A1062" s="87">
        <v>41</v>
      </c>
      <c r="B1062" s="89"/>
      <c r="C1062" s="89" t="s">
        <v>7322</v>
      </c>
      <c r="D1062" s="89" t="s">
        <v>326</v>
      </c>
      <c r="E1062" s="116" t="s">
        <v>1631</v>
      </c>
      <c r="F1062" s="87" t="s">
        <v>1556</v>
      </c>
      <c r="G1062" s="92" t="s">
        <v>4356</v>
      </c>
      <c r="H1062" s="93" t="s">
        <v>7331</v>
      </c>
      <c r="I1062" s="87" t="s">
        <v>7332</v>
      </c>
      <c r="J1062" s="87" t="s">
        <v>7310</v>
      </c>
      <c r="K1062" s="87" t="s">
        <v>2935</v>
      </c>
      <c r="L1062" s="91" t="s">
        <v>19</v>
      </c>
      <c r="M1062" s="94">
        <v>44489.708333333336</v>
      </c>
      <c r="N1062" s="94">
        <v>44489.791666666664</v>
      </c>
      <c r="O1062" s="95" t="str">
        <f>PROPER(TEXT(Table1[[#This Row],[Fecha Inicio]],"mmmm"))</f>
        <v>Octubre</v>
      </c>
      <c r="P1062" s="96" t="s">
        <v>3445</v>
      </c>
      <c r="Q1062" s="97" t="s">
        <v>7333</v>
      </c>
      <c r="R1062" s="76">
        <f t="shared" si="80"/>
        <v>2</v>
      </c>
      <c r="S1062" s="76" t="str">
        <f t="shared" si="81"/>
        <v>-</v>
      </c>
      <c r="T1062" s="76" t="str">
        <f t="shared" si="82"/>
        <v>-</v>
      </c>
      <c r="U1062" s="76" t="str">
        <f t="shared" si="83"/>
        <v>-</v>
      </c>
      <c r="V1062" s="76" t="str">
        <f t="shared" si="84"/>
        <v>-</v>
      </c>
    </row>
    <row r="1063" spans="1:22" ht="40.15" customHeight="1" x14ac:dyDescent="0.25">
      <c r="A1063" s="87">
        <v>41</v>
      </c>
      <c r="B1063" s="89"/>
      <c r="C1063" s="89" t="s">
        <v>7322</v>
      </c>
      <c r="D1063" s="89" t="s">
        <v>326</v>
      </c>
      <c r="E1063" s="116" t="s">
        <v>1631</v>
      </c>
      <c r="F1063" s="87" t="s">
        <v>1556</v>
      </c>
      <c r="G1063" s="92" t="s">
        <v>7224</v>
      </c>
      <c r="H1063" s="93" t="s">
        <v>7334</v>
      </c>
      <c r="I1063" s="87" t="s">
        <v>7335</v>
      </c>
      <c r="J1063" s="87" t="s">
        <v>1781</v>
      </c>
      <c r="K1063" s="87" t="s">
        <v>4492</v>
      </c>
      <c r="L1063" s="91" t="s">
        <v>19</v>
      </c>
      <c r="M1063" s="94">
        <v>44489.708333333336</v>
      </c>
      <c r="N1063" s="94">
        <v>44489.791666666664</v>
      </c>
      <c r="O1063" s="95" t="str">
        <f>PROPER(TEXT(Table1[[#This Row],[Fecha Inicio]],"mmmm"))</f>
        <v>Octubre</v>
      </c>
      <c r="P1063" s="96" t="s">
        <v>1782</v>
      </c>
      <c r="Q1063" s="97" t="s">
        <v>7336</v>
      </c>
      <c r="R1063" s="76">
        <f t="shared" si="80"/>
        <v>7</v>
      </c>
      <c r="S1063" s="76" t="str">
        <f t="shared" si="81"/>
        <v>-</v>
      </c>
      <c r="T1063" s="76" t="str">
        <f t="shared" si="82"/>
        <v>-</v>
      </c>
      <c r="U1063" s="76" t="str">
        <f t="shared" si="83"/>
        <v>-</v>
      </c>
      <c r="V1063" s="76" t="str">
        <f t="shared" si="84"/>
        <v>-</v>
      </c>
    </row>
    <row r="1064" spans="1:22" ht="40.15" customHeight="1" x14ac:dyDescent="0.25">
      <c r="A1064" s="87">
        <v>41</v>
      </c>
      <c r="B1064" s="89"/>
      <c r="C1064" s="89" t="s">
        <v>7322</v>
      </c>
      <c r="D1064" s="89" t="s">
        <v>326</v>
      </c>
      <c r="E1064" s="116" t="s">
        <v>1631</v>
      </c>
      <c r="F1064" s="87" t="s">
        <v>1556</v>
      </c>
      <c r="G1064" s="92" t="s">
        <v>4356</v>
      </c>
      <c r="H1064" s="93" t="s">
        <v>7337</v>
      </c>
      <c r="I1064" s="87" t="s">
        <v>1833</v>
      </c>
      <c r="J1064" s="87" t="s">
        <v>1834</v>
      </c>
      <c r="K1064" s="87" t="s">
        <v>1596</v>
      </c>
      <c r="L1064" s="91" t="s">
        <v>19</v>
      </c>
      <c r="M1064" s="94">
        <v>44489.916666666664</v>
      </c>
      <c r="N1064" s="94">
        <v>44489.958333333336</v>
      </c>
      <c r="O1064" s="95" t="str">
        <f>PROPER(TEXT(Table1[[#This Row],[Fecha Inicio]],"mmmm"))</f>
        <v>Octubre</v>
      </c>
      <c r="P1064" s="96" t="s">
        <v>1835</v>
      </c>
      <c r="Q1064" s="97" t="s">
        <v>7338</v>
      </c>
      <c r="R1064" s="76">
        <f t="shared" si="80"/>
        <v>2</v>
      </c>
      <c r="S1064" s="76" t="str">
        <f t="shared" si="81"/>
        <v>-</v>
      </c>
      <c r="T1064" s="76" t="str">
        <f t="shared" si="82"/>
        <v>-</v>
      </c>
      <c r="U1064" s="76" t="str">
        <f t="shared" si="83"/>
        <v>-</v>
      </c>
      <c r="V1064" s="76" t="str">
        <f t="shared" si="84"/>
        <v>-</v>
      </c>
    </row>
    <row r="1065" spans="1:22" ht="40.15" customHeight="1" x14ac:dyDescent="0.25">
      <c r="A1065" s="87">
        <v>41</v>
      </c>
      <c r="B1065" s="89"/>
      <c r="C1065" s="89" t="s">
        <v>7322</v>
      </c>
      <c r="D1065" s="89" t="s">
        <v>326</v>
      </c>
      <c r="E1065" s="116" t="s">
        <v>1631</v>
      </c>
      <c r="F1065" s="87" t="s">
        <v>1556</v>
      </c>
      <c r="G1065" s="92" t="s">
        <v>4356</v>
      </c>
      <c r="H1065" s="93" t="s">
        <v>7339</v>
      </c>
      <c r="I1065" s="87" t="s">
        <v>7340</v>
      </c>
      <c r="J1065" s="87" t="s">
        <v>1560</v>
      </c>
      <c r="K1065" s="87" t="s">
        <v>1561</v>
      </c>
      <c r="L1065" s="91" t="s">
        <v>19</v>
      </c>
      <c r="M1065" s="94">
        <v>44489.958333333336</v>
      </c>
      <c r="N1065" s="94">
        <v>44490.291666666664</v>
      </c>
      <c r="O1065" s="95" t="str">
        <f>PROPER(TEXT(Table1[[#This Row],[Fecha Inicio]],"mmmm"))</f>
        <v>Octubre</v>
      </c>
      <c r="P1065" s="96" t="s">
        <v>1847</v>
      </c>
      <c r="Q1065" s="97" t="s">
        <v>7341</v>
      </c>
      <c r="R1065" s="76">
        <f t="shared" si="80"/>
        <v>14</v>
      </c>
      <c r="S1065" s="76" t="str">
        <f t="shared" si="81"/>
        <v>-</v>
      </c>
      <c r="T1065" s="76" t="str">
        <f t="shared" si="82"/>
        <v>-</v>
      </c>
      <c r="U1065" s="76" t="str">
        <f t="shared" si="83"/>
        <v>-</v>
      </c>
      <c r="V1065" s="76" t="str">
        <f t="shared" si="84"/>
        <v>-</v>
      </c>
    </row>
    <row r="1066" spans="1:22" ht="40.15" customHeight="1" x14ac:dyDescent="0.25">
      <c r="A1066" s="87">
        <v>41</v>
      </c>
      <c r="B1066" s="89"/>
      <c r="C1066" s="89" t="s">
        <v>7322</v>
      </c>
      <c r="D1066" s="89" t="s">
        <v>326</v>
      </c>
      <c r="E1066" s="116" t="s">
        <v>1631</v>
      </c>
      <c r="F1066" s="87" t="s">
        <v>1556</v>
      </c>
      <c r="G1066" s="92" t="s">
        <v>4356</v>
      </c>
      <c r="H1066" s="93" t="s">
        <v>7342</v>
      </c>
      <c r="I1066" s="87" t="s">
        <v>7343</v>
      </c>
      <c r="J1066" s="87" t="s">
        <v>1612</v>
      </c>
      <c r="K1066" s="87" t="s">
        <v>1613</v>
      </c>
      <c r="L1066" s="91" t="s">
        <v>19</v>
      </c>
      <c r="M1066" s="94">
        <v>44489.958333333336</v>
      </c>
      <c r="N1066" s="94">
        <v>44490.208333333336</v>
      </c>
      <c r="O1066" s="95" t="str">
        <f>PROPER(TEXT(Table1[[#This Row],[Fecha Inicio]],"mmmm"))</f>
        <v>Octubre</v>
      </c>
      <c r="P1066" s="96" t="s">
        <v>1843</v>
      </c>
      <c r="Q1066" s="97" t="s">
        <v>7344</v>
      </c>
      <c r="R1066" s="76">
        <f t="shared" si="80"/>
        <v>19</v>
      </c>
      <c r="S1066" s="76" t="str">
        <f t="shared" si="81"/>
        <v>-</v>
      </c>
      <c r="T1066" s="76" t="str">
        <f t="shared" si="82"/>
        <v>-</v>
      </c>
      <c r="U1066" s="76" t="str">
        <f t="shared" si="83"/>
        <v>-</v>
      </c>
      <c r="V1066" s="76" t="str">
        <f t="shared" si="84"/>
        <v>-</v>
      </c>
    </row>
    <row r="1067" spans="1:22" ht="40.15" customHeight="1" x14ac:dyDescent="0.25">
      <c r="A1067" s="87">
        <v>41</v>
      </c>
      <c r="B1067" s="89"/>
      <c r="C1067" s="89" t="s">
        <v>7322</v>
      </c>
      <c r="D1067" s="89" t="s">
        <v>326</v>
      </c>
      <c r="E1067" s="116" t="s">
        <v>1631</v>
      </c>
      <c r="F1067" s="87" t="s">
        <v>1556</v>
      </c>
      <c r="G1067" s="92" t="s">
        <v>7224</v>
      </c>
      <c r="H1067" s="93" t="s">
        <v>7345</v>
      </c>
      <c r="I1067" s="87" t="s">
        <v>7346</v>
      </c>
      <c r="J1067" s="87" t="s">
        <v>1771</v>
      </c>
      <c r="K1067" s="87" t="s">
        <v>4492</v>
      </c>
      <c r="L1067" s="91" t="s">
        <v>19</v>
      </c>
      <c r="M1067" s="94">
        <v>44490.291666666664</v>
      </c>
      <c r="N1067" s="94">
        <v>44490.333333333336</v>
      </c>
      <c r="O1067" s="95" t="str">
        <f>PROPER(TEXT(Table1[[#This Row],[Fecha Inicio]],"mmmm"))</f>
        <v>Octubre</v>
      </c>
      <c r="P1067" s="96" t="s">
        <v>1772</v>
      </c>
      <c r="Q1067" s="97" t="s">
        <v>7347</v>
      </c>
      <c r="R1067" s="76">
        <f t="shared" si="80"/>
        <v>2</v>
      </c>
      <c r="S1067" s="76" t="str">
        <f t="shared" si="81"/>
        <v>-</v>
      </c>
      <c r="T1067" s="76" t="str">
        <f t="shared" si="82"/>
        <v>-</v>
      </c>
      <c r="U1067" s="76" t="str">
        <f t="shared" si="83"/>
        <v>-</v>
      </c>
      <c r="V1067" s="76" t="str">
        <f t="shared" si="84"/>
        <v>-</v>
      </c>
    </row>
    <row r="1068" spans="1:22" ht="40.15" customHeight="1" x14ac:dyDescent="0.25">
      <c r="A1068" s="87">
        <v>41</v>
      </c>
      <c r="B1068" s="89"/>
      <c r="C1068" s="89" t="s">
        <v>7322</v>
      </c>
      <c r="D1068" s="89" t="s">
        <v>326</v>
      </c>
      <c r="E1068" s="116" t="s">
        <v>1631</v>
      </c>
      <c r="F1068" s="87" t="s">
        <v>1556</v>
      </c>
      <c r="G1068" s="92" t="s">
        <v>4356</v>
      </c>
      <c r="H1068" s="93" t="s">
        <v>7348</v>
      </c>
      <c r="I1068" s="87" t="s">
        <v>7349</v>
      </c>
      <c r="J1068" s="87" t="s">
        <v>1760</v>
      </c>
      <c r="K1068" s="87" t="s">
        <v>1761</v>
      </c>
      <c r="L1068" s="91" t="s">
        <v>19</v>
      </c>
      <c r="M1068" s="94">
        <v>44490.75</v>
      </c>
      <c r="N1068" s="94">
        <v>44490.875</v>
      </c>
      <c r="O1068" s="95" t="str">
        <f>PROPER(TEXT(Table1[[#This Row],[Fecha Inicio]],"mmmm"))</f>
        <v>Octubre</v>
      </c>
      <c r="P1068" s="96" t="s">
        <v>2793</v>
      </c>
      <c r="Q1068" s="97" t="s">
        <v>7350</v>
      </c>
      <c r="R1068" s="76">
        <f t="shared" si="80"/>
        <v>4</v>
      </c>
      <c r="S1068" s="76" t="str">
        <f t="shared" si="81"/>
        <v>-</v>
      </c>
      <c r="T1068" s="76" t="str">
        <f t="shared" si="82"/>
        <v>-</v>
      </c>
      <c r="U1068" s="76" t="str">
        <f t="shared" si="83"/>
        <v>-</v>
      </c>
      <c r="V1068" s="76" t="str">
        <f t="shared" si="84"/>
        <v>-</v>
      </c>
    </row>
    <row r="1069" spans="1:22" ht="40.15" customHeight="1" x14ac:dyDescent="0.25">
      <c r="A1069" s="87">
        <v>41</v>
      </c>
      <c r="B1069" s="89"/>
      <c r="C1069" s="89" t="s">
        <v>7322</v>
      </c>
      <c r="D1069" s="89" t="s">
        <v>326</v>
      </c>
      <c r="E1069" s="116" t="s">
        <v>1631</v>
      </c>
      <c r="F1069" s="87" t="s">
        <v>1556</v>
      </c>
      <c r="G1069" s="92" t="s">
        <v>7224</v>
      </c>
      <c r="H1069" s="93" t="s">
        <v>7351</v>
      </c>
      <c r="I1069" s="87" t="s">
        <v>7352</v>
      </c>
      <c r="J1069" s="87" t="s">
        <v>1881</v>
      </c>
      <c r="K1069" s="87" t="s">
        <v>4492</v>
      </c>
      <c r="L1069" s="91" t="s">
        <v>19</v>
      </c>
      <c r="M1069" s="94">
        <v>44490.84375</v>
      </c>
      <c r="N1069" s="94">
        <v>44490.927083333336</v>
      </c>
      <c r="O1069" s="95" t="str">
        <f>PROPER(TEXT(Table1[[#This Row],[Fecha Inicio]],"mmmm"))</f>
        <v>Octubre</v>
      </c>
      <c r="P1069" s="96" t="s">
        <v>1882</v>
      </c>
      <c r="Q1069" s="97" t="s">
        <v>7353</v>
      </c>
      <c r="R1069" s="76">
        <f t="shared" si="80"/>
        <v>6</v>
      </c>
      <c r="S1069" s="76" t="str">
        <f t="shared" si="81"/>
        <v>-</v>
      </c>
      <c r="T1069" s="76" t="str">
        <f t="shared" si="82"/>
        <v>-</v>
      </c>
      <c r="U1069" s="76" t="str">
        <f t="shared" si="83"/>
        <v>-</v>
      </c>
      <c r="V1069" s="76" t="str">
        <f t="shared" si="84"/>
        <v>-</v>
      </c>
    </row>
    <row r="1070" spans="1:22" ht="40.15" customHeight="1" x14ac:dyDescent="0.25">
      <c r="A1070" s="87">
        <v>41</v>
      </c>
      <c r="B1070" s="89"/>
      <c r="C1070" s="89" t="s">
        <v>7322</v>
      </c>
      <c r="D1070" s="89" t="s">
        <v>326</v>
      </c>
      <c r="E1070" s="116" t="s">
        <v>1631</v>
      </c>
      <c r="F1070" s="87" t="s">
        <v>1556</v>
      </c>
      <c r="G1070" s="92" t="s">
        <v>7224</v>
      </c>
      <c r="H1070" s="93" t="s">
        <v>7357</v>
      </c>
      <c r="I1070" s="87" t="s">
        <v>7354</v>
      </c>
      <c r="J1070" s="87" t="s">
        <v>1890</v>
      </c>
      <c r="K1070" s="87" t="s">
        <v>4492</v>
      </c>
      <c r="L1070" s="91" t="s">
        <v>19</v>
      </c>
      <c r="M1070" s="94">
        <v>44490.916666666664</v>
      </c>
      <c r="N1070" s="94">
        <v>44490.958333333336</v>
      </c>
      <c r="O1070" s="95" t="str">
        <f>PROPER(TEXT(Table1[[#This Row],[Fecha Inicio]],"mmmm"))</f>
        <v>Octubre</v>
      </c>
      <c r="P1070" s="96" t="s">
        <v>164</v>
      </c>
      <c r="Q1070" s="97" t="s">
        <v>7358</v>
      </c>
      <c r="R1070" s="76">
        <f t="shared" si="80"/>
        <v>1</v>
      </c>
      <c r="S1070" s="76" t="str">
        <f t="shared" si="81"/>
        <v>-</v>
      </c>
      <c r="T1070" s="76" t="str">
        <f t="shared" si="82"/>
        <v>-</v>
      </c>
      <c r="U1070" s="76" t="str">
        <f t="shared" si="83"/>
        <v>-</v>
      </c>
      <c r="V1070" s="76" t="str">
        <f t="shared" si="84"/>
        <v>-</v>
      </c>
    </row>
    <row r="1071" spans="1:22" ht="40.15" customHeight="1" x14ac:dyDescent="0.25">
      <c r="A1071" s="87">
        <v>41</v>
      </c>
      <c r="B1071" s="89"/>
      <c r="C1071" s="89" t="s">
        <v>7322</v>
      </c>
      <c r="D1071" s="89" t="s">
        <v>326</v>
      </c>
      <c r="E1071" s="116" t="s">
        <v>1631</v>
      </c>
      <c r="F1071" s="87" t="s">
        <v>1556</v>
      </c>
      <c r="G1071" s="92" t="s">
        <v>4356</v>
      </c>
      <c r="H1071" s="93" t="s">
        <v>7360</v>
      </c>
      <c r="I1071" s="87" t="s">
        <v>7355</v>
      </c>
      <c r="J1071" s="87" t="s">
        <v>7310</v>
      </c>
      <c r="K1071" s="87" t="s">
        <v>2935</v>
      </c>
      <c r="L1071" s="91" t="s">
        <v>19</v>
      </c>
      <c r="M1071" s="94">
        <v>44490.958333333336</v>
      </c>
      <c r="N1071" s="94">
        <v>44491.25</v>
      </c>
      <c r="O1071" s="95" t="str">
        <f>PROPER(TEXT(Table1[[#This Row],[Fecha Inicio]],"mmmm"))</f>
        <v>Octubre</v>
      </c>
      <c r="P1071" s="96" t="s">
        <v>3832</v>
      </c>
      <c r="Q1071" s="97" t="s">
        <v>7361</v>
      </c>
      <c r="R1071" s="76">
        <f t="shared" si="80"/>
        <v>13</v>
      </c>
      <c r="S1071" s="76" t="str">
        <f t="shared" si="81"/>
        <v>-</v>
      </c>
      <c r="T1071" s="76" t="str">
        <f t="shared" si="82"/>
        <v>-</v>
      </c>
      <c r="U1071" s="76" t="str">
        <f t="shared" si="83"/>
        <v>-</v>
      </c>
      <c r="V1071" s="76" t="str">
        <f t="shared" si="84"/>
        <v>-</v>
      </c>
    </row>
    <row r="1072" spans="1:22" ht="40.15" customHeight="1" x14ac:dyDescent="0.25">
      <c r="A1072" s="87">
        <v>41</v>
      </c>
      <c r="B1072" s="89"/>
      <c r="C1072" s="89" t="s">
        <v>7322</v>
      </c>
      <c r="D1072" s="89" t="s">
        <v>326</v>
      </c>
      <c r="E1072" s="116" t="s">
        <v>1631</v>
      </c>
      <c r="F1072" s="87" t="s">
        <v>1556</v>
      </c>
      <c r="G1072" s="92" t="s">
        <v>7224</v>
      </c>
      <c r="H1072" s="93" t="s">
        <v>7366</v>
      </c>
      <c r="I1072" s="87" t="s">
        <v>7367</v>
      </c>
      <c r="J1072" s="87" t="s">
        <v>1902</v>
      </c>
      <c r="K1072" s="87" t="s">
        <v>4492</v>
      </c>
      <c r="L1072" s="91" t="s">
        <v>19</v>
      </c>
      <c r="M1072" s="94">
        <v>44491.791666666664</v>
      </c>
      <c r="N1072" s="94">
        <v>44491.875</v>
      </c>
      <c r="O1072" s="95" t="str">
        <f>PROPER(TEXT(Table1[[#This Row],[Fecha Inicio]],"mmmm"))</f>
        <v>Octubre</v>
      </c>
      <c r="P1072" s="96" t="s">
        <v>1903</v>
      </c>
      <c r="Q1072" s="97" t="s">
        <v>7368</v>
      </c>
      <c r="R1072" s="76">
        <f t="shared" si="80"/>
        <v>2</v>
      </c>
      <c r="S1072" s="76" t="str">
        <f t="shared" si="81"/>
        <v>-</v>
      </c>
      <c r="T1072" s="76" t="str">
        <f t="shared" si="82"/>
        <v>-</v>
      </c>
      <c r="U1072" s="76" t="str">
        <f t="shared" si="83"/>
        <v>-</v>
      </c>
      <c r="V1072" s="76" t="str">
        <f t="shared" si="84"/>
        <v>-</v>
      </c>
    </row>
    <row r="1073" spans="1:22" ht="40.15" customHeight="1" x14ac:dyDescent="0.25">
      <c r="A1073" s="87">
        <v>41</v>
      </c>
      <c r="B1073" s="89"/>
      <c r="C1073" s="89" t="s">
        <v>7322</v>
      </c>
      <c r="D1073" s="89" t="s">
        <v>326</v>
      </c>
      <c r="E1073" s="116" t="s">
        <v>1631</v>
      </c>
      <c r="F1073" s="87" t="s">
        <v>1556</v>
      </c>
      <c r="G1073" s="92" t="s">
        <v>7224</v>
      </c>
      <c r="H1073" s="93" t="s">
        <v>7369</v>
      </c>
      <c r="I1073" s="87" t="s">
        <v>7370</v>
      </c>
      <c r="J1073" s="87" t="s">
        <v>1907</v>
      </c>
      <c r="K1073" s="87" t="s">
        <v>4492</v>
      </c>
      <c r="L1073" s="91" t="s">
        <v>19</v>
      </c>
      <c r="M1073" s="94">
        <v>44491.791666666664</v>
      </c>
      <c r="N1073" s="94">
        <v>44491.875</v>
      </c>
      <c r="O1073" s="95" t="str">
        <f>PROPER(TEXT(Table1[[#This Row],[Fecha Inicio]],"mmmm"))</f>
        <v>Octubre</v>
      </c>
      <c r="P1073" s="96" t="s">
        <v>171</v>
      </c>
      <c r="Q1073" s="97" t="s">
        <v>7371</v>
      </c>
      <c r="R1073" s="76">
        <f t="shared" si="80"/>
        <v>1</v>
      </c>
      <c r="S1073" s="76" t="str">
        <f t="shared" si="81"/>
        <v>-</v>
      </c>
      <c r="T1073" s="76" t="str">
        <f t="shared" si="82"/>
        <v>-</v>
      </c>
      <c r="U1073" s="76" t="str">
        <f t="shared" si="83"/>
        <v>-</v>
      </c>
      <c r="V1073" s="76" t="str">
        <f t="shared" si="84"/>
        <v>-</v>
      </c>
    </row>
    <row r="1074" spans="1:22" ht="40.15" customHeight="1" x14ac:dyDescent="0.25">
      <c r="A1074" s="87">
        <v>41</v>
      </c>
      <c r="B1074" s="89"/>
      <c r="C1074" s="89" t="s">
        <v>7322</v>
      </c>
      <c r="D1074" s="89" t="s">
        <v>326</v>
      </c>
      <c r="E1074" s="116" t="s">
        <v>1631</v>
      </c>
      <c r="F1074" s="87" t="s">
        <v>1556</v>
      </c>
      <c r="G1074" s="92" t="s">
        <v>4356</v>
      </c>
      <c r="H1074" s="93" t="s">
        <v>7372</v>
      </c>
      <c r="I1074" s="87" t="s">
        <v>7373</v>
      </c>
      <c r="J1074" s="87" t="s">
        <v>1760</v>
      </c>
      <c r="K1074" s="87" t="s">
        <v>1761</v>
      </c>
      <c r="L1074" s="91" t="s">
        <v>19</v>
      </c>
      <c r="M1074" s="94">
        <v>44492.958333333336</v>
      </c>
      <c r="N1074" s="94">
        <v>44493.125</v>
      </c>
      <c r="O1074" s="95" t="str">
        <f>PROPER(TEXT(Table1[[#This Row],[Fecha Inicio]],"mmmm"))</f>
        <v>Octubre</v>
      </c>
      <c r="P1074" s="96" t="s">
        <v>3203</v>
      </c>
      <c r="Q1074" s="97" t="s">
        <v>7374</v>
      </c>
      <c r="R1074" s="76">
        <f t="shared" si="80"/>
        <v>5</v>
      </c>
      <c r="S1074" s="76" t="str">
        <f t="shared" si="81"/>
        <v>-</v>
      </c>
      <c r="T1074" s="76" t="str">
        <f t="shared" si="82"/>
        <v>-</v>
      </c>
      <c r="U1074" s="76" t="str">
        <f t="shared" si="83"/>
        <v>-</v>
      </c>
      <c r="V1074" s="76" t="str">
        <f t="shared" si="84"/>
        <v>-</v>
      </c>
    </row>
    <row r="1075" spans="1:22" ht="40.15" customHeight="1" x14ac:dyDescent="0.25">
      <c r="A1075" s="87">
        <v>41</v>
      </c>
      <c r="B1075" s="89"/>
      <c r="C1075" s="89" t="s">
        <v>7322</v>
      </c>
      <c r="D1075" s="89" t="s">
        <v>326</v>
      </c>
      <c r="E1075" s="116" t="s">
        <v>1631</v>
      </c>
      <c r="F1075" s="87" t="s">
        <v>1556</v>
      </c>
      <c r="G1075" s="92" t="s">
        <v>4356</v>
      </c>
      <c r="H1075" s="93" t="s">
        <v>7375</v>
      </c>
      <c r="I1075" s="87" t="s">
        <v>7376</v>
      </c>
      <c r="J1075" s="87" t="s">
        <v>1920</v>
      </c>
      <c r="K1075" s="87" t="s">
        <v>1921</v>
      </c>
      <c r="L1075" s="91" t="s">
        <v>19</v>
      </c>
      <c r="M1075" s="94">
        <v>44493</v>
      </c>
      <c r="N1075" s="94">
        <v>44493.25</v>
      </c>
      <c r="O1075" s="95" t="str">
        <f>PROPER(TEXT(Table1[[#This Row],[Fecha Inicio]],"mmmm"))</f>
        <v>Octubre</v>
      </c>
      <c r="P1075" s="96" t="s">
        <v>7086</v>
      </c>
      <c r="Q1075" s="97" t="s">
        <v>7377</v>
      </c>
      <c r="R1075" s="76">
        <f t="shared" si="80"/>
        <v>9</v>
      </c>
      <c r="S1075" s="76" t="str">
        <f t="shared" si="81"/>
        <v>-</v>
      </c>
      <c r="T1075" s="76" t="str">
        <f t="shared" si="82"/>
        <v>-</v>
      </c>
      <c r="U1075" s="76" t="str">
        <f t="shared" si="83"/>
        <v>-</v>
      </c>
      <c r="V1075" s="76" t="str">
        <f t="shared" si="84"/>
        <v>-</v>
      </c>
    </row>
    <row r="1076" spans="1:22" ht="40.15" customHeight="1" x14ac:dyDescent="0.25">
      <c r="A1076" s="87">
        <v>41</v>
      </c>
      <c r="B1076" s="89"/>
      <c r="C1076" s="89" t="s">
        <v>7322</v>
      </c>
      <c r="D1076" s="89" t="s">
        <v>326</v>
      </c>
      <c r="E1076" s="116" t="s">
        <v>1631</v>
      </c>
      <c r="F1076" s="87" t="s">
        <v>1556</v>
      </c>
      <c r="G1076" s="92" t="s">
        <v>7224</v>
      </c>
      <c r="H1076" s="93" t="s">
        <v>7427</v>
      </c>
      <c r="I1076" s="87" t="s">
        <v>7428</v>
      </c>
      <c r="J1076" s="87" t="s">
        <v>7429</v>
      </c>
      <c r="K1076" s="87" t="s">
        <v>4492</v>
      </c>
      <c r="L1076" s="91" t="s">
        <v>19</v>
      </c>
      <c r="M1076" s="94">
        <v>44493.958333333336</v>
      </c>
      <c r="N1076" s="94">
        <v>44494.291666666664</v>
      </c>
      <c r="O1076" s="95" t="str">
        <f>PROPER(TEXT(Table1[[#This Row],[Fecha Inicio]],"mmmm"))</f>
        <v>Octubre</v>
      </c>
      <c r="P1076" s="87" t="s">
        <v>7430</v>
      </c>
      <c r="Q1076" s="97" t="s">
        <v>7431</v>
      </c>
      <c r="R1076" s="76">
        <f t="shared" si="80"/>
        <v>12</v>
      </c>
      <c r="S1076" s="76" t="str">
        <f t="shared" si="81"/>
        <v>-</v>
      </c>
      <c r="T1076" s="76" t="str">
        <f t="shared" si="82"/>
        <v>-</v>
      </c>
      <c r="U1076" s="76" t="str">
        <f t="shared" si="83"/>
        <v>-</v>
      </c>
      <c r="V1076" s="76" t="str">
        <f t="shared" si="84"/>
        <v>-</v>
      </c>
    </row>
    <row r="1077" spans="1:22" ht="40.15" customHeight="1" x14ac:dyDescent="0.25">
      <c r="A1077" s="87">
        <v>41</v>
      </c>
      <c r="B1077" s="89"/>
      <c r="C1077" s="89" t="s">
        <v>7322</v>
      </c>
      <c r="D1077" s="89" t="s">
        <v>326</v>
      </c>
      <c r="E1077" s="116" t="s">
        <v>1631</v>
      </c>
      <c r="F1077" s="87" t="s">
        <v>1556</v>
      </c>
      <c r="G1077" s="92" t="s">
        <v>4356</v>
      </c>
      <c r="H1077" s="93" t="s">
        <v>7385</v>
      </c>
      <c r="I1077" s="87" t="s">
        <v>7386</v>
      </c>
      <c r="J1077" s="87" t="s">
        <v>2825</v>
      </c>
      <c r="K1077" s="87" t="s">
        <v>2826</v>
      </c>
      <c r="L1077" s="91" t="s">
        <v>19</v>
      </c>
      <c r="M1077" s="94">
        <v>44494</v>
      </c>
      <c r="N1077" s="94">
        <v>44494.166666666664</v>
      </c>
      <c r="O1077" s="95" t="str">
        <f>PROPER(TEXT(Table1[[#This Row],[Fecha Inicio]],"mmmm"))</f>
        <v>Octubre</v>
      </c>
      <c r="P1077" s="96" t="s">
        <v>3492</v>
      </c>
      <c r="Q1077" s="97" t="s">
        <v>7387</v>
      </c>
      <c r="R1077" s="76">
        <f t="shared" si="80"/>
        <v>2</v>
      </c>
      <c r="S1077" s="76" t="str">
        <f t="shared" si="81"/>
        <v>-</v>
      </c>
      <c r="T1077" s="76" t="str">
        <f t="shared" si="82"/>
        <v>-</v>
      </c>
      <c r="U1077" s="76" t="str">
        <f t="shared" si="83"/>
        <v>-</v>
      </c>
      <c r="V1077" s="76" t="str">
        <f t="shared" si="84"/>
        <v>-</v>
      </c>
    </row>
    <row r="1078" spans="1:22" ht="40.15" customHeight="1" x14ac:dyDescent="0.25">
      <c r="A1078" s="87">
        <v>41</v>
      </c>
      <c r="B1078" s="89"/>
      <c r="C1078" s="89" t="s">
        <v>7322</v>
      </c>
      <c r="D1078" s="89" t="s">
        <v>326</v>
      </c>
      <c r="E1078" s="116" t="s">
        <v>1631</v>
      </c>
      <c r="F1078" s="87" t="s">
        <v>1556</v>
      </c>
      <c r="G1078" s="92" t="s">
        <v>7224</v>
      </c>
      <c r="H1078" s="93" t="s">
        <v>7388</v>
      </c>
      <c r="I1078" s="87" t="s">
        <v>7389</v>
      </c>
      <c r="J1078" s="87" t="s">
        <v>1839</v>
      </c>
      <c r="K1078" s="87" t="s">
        <v>4492</v>
      </c>
      <c r="L1078" s="91" t="s">
        <v>19</v>
      </c>
      <c r="M1078" s="94">
        <v>44494.916666666664</v>
      </c>
      <c r="N1078" s="94">
        <v>44494.958333333336</v>
      </c>
      <c r="O1078" s="95" t="str">
        <f>PROPER(TEXT(Table1[[#This Row],[Fecha Inicio]],"mmmm"))</f>
        <v>Octubre</v>
      </c>
      <c r="P1078" s="96" t="s">
        <v>194</v>
      </c>
      <c r="Q1078" s="97" t="s">
        <v>7390</v>
      </c>
      <c r="R1078" s="76">
        <f t="shared" si="80"/>
        <v>1</v>
      </c>
      <c r="S1078" s="76" t="str">
        <f t="shared" si="81"/>
        <v>-</v>
      </c>
      <c r="T1078" s="76" t="str">
        <f t="shared" si="82"/>
        <v>-</v>
      </c>
      <c r="U1078" s="76" t="str">
        <f t="shared" si="83"/>
        <v>-</v>
      </c>
      <c r="V1078" s="76" t="str">
        <f t="shared" si="84"/>
        <v>-</v>
      </c>
    </row>
    <row r="1079" spans="1:22" ht="40.15" customHeight="1" x14ac:dyDescent="0.25">
      <c r="A1079" s="87">
        <v>41</v>
      </c>
      <c r="B1079" s="89"/>
      <c r="C1079" s="89" t="s">
        <v>7322</v>
      </c>
      <c r="D1079" s="89" t="s">
        <v>326</v>
      </c>
      <c r="E1079" s="116" t="s">
        <v>1631</v>
      </c>
      <c r="F1079" s="87" t="s">
        <v>1556</v>
      </c>
      <c r="G1079" s="92" t="s">
        <v>4356</v>
      </c>
      <c r="H1079" s="93" t="s">
        <v>7391</v>
      </c>
      <c r="I1079" s="87" t="s">
        <v>7392</v>
      </c>
      <c r="J1079" s="87" t="s">
        <v>3502</v>
      </c>
      <c r="K1079" s="87" t="s">
        <v>1709</v>
      </c>
      <c r="L1079" s="91" t="s">
        <v>19</v>
      </c>
      <c r="M1079" s="94">
        <v>44495</v>
      </c>
      <c r="N1079" s="94">
        <v>44495.208333333336</v>
      </c>
      <c r="O1079" s="95" t="str">
        <f>PROPER(TEXT(Table1[[#This Row],[Fecha Inicio]],"mmmm"))</f>
        <v>Octubre</v>
      </c>
      <c r="P1079" s="96" t="s">
        <v>3503</v>
      </c>
      <c r="Q1079" s="97" t="s">
        <v>7393</v>
      </c>
      <c r="R1079" s="76">
        <f t="shared" si="80"/>
        <v>10</v>
      </c>
      <c r="S1079" s="76" t="str">
        <f t="shared" si="81"/>
        <v>-</v>
      </c>
      <c r="T1079" s="76" t="str">
        <f t="shared" si="82"/>
        <v>-</v>
      </c>
      <c r="U1079" s="76" t="str">
        <f t="shared" si="83"/>
        <v>-</v>
      </c>
      <c r="V1079" s="76" t="str">
        <f t="shared" si="84"/>
        <v>-</v>
      </c>
    </row>
    <row r="1080" spans="1:22" ht="40.15" customHeight="1" x14ac:dyDescent="0.25">
      <c r="A1080" s="87">
        <v>41</v>
      </c>
      <c r="B1080" s="89"/>
      <c r="C1080" s="89" t="s">
        <v>7322</v>
      </c>
      <c r="D1080" s="89" t="s">
        <v>326</v>
      </c>
      <c r="E1080" s="116" t="s">
        <v>1631</v>
      </c>
      <c r="F1080" s="87" t="s">
        <v>1556</v>
      </c>
      <c r="G1080" s="92" t="s">
        <v>7224</v>
      </c>
      <c r="H1080" s="93" t="s">
        <v>7394</v>
      </c>
      <c r="I1080" s="87" t="s">
        <v>7395</v>
      </c>
      <c r="J1080" s="87" t="s">
        <v>1962</v>
      </c>
      <c r="K1080" s="87" t="s">
        <v>4492</v>
      </c>
      <c r="L1080" s="91" t="s">
        <v>19</v>
      </c>
      <c r="M1080" s="94">
        <v>44495.833333333336</v>
      </c>
      <c r="N1080" s="94">
        <v>44495.875</v>
      </c>
      <c r="O1080" s="95" t="str">
        <f>PROPER(TEXT(Table1[[#This Row],[Fecha Inicio]],"mmmm"))</f>
        <v>Octubre</v>
      </c>
      <c r="P1080" s="96" t="s">
        <v>207</v>
      </c>
      <c r="Q1080" s="97" t="s">
        <v>7396</v>
      </c>
      <c r="R1080" s="76">
        <f t="shared" si="80"/>
        <v>1</v>
      </c>
      <c r="S1080" s="76" t="str">
        <f t="shared" si="81"/>
        <v>-</v>
      </c>
      <c r="T1080" s="76" t="str">
        <f t="shared" si="82"/>
        <v>-</v>
      </c>
      <c r="U1080" s="76" t="str">
        <f t="shared" si="83"/>
        <v>-</v>
      </c>
      <c r="V1080" s="76" t="str">
        <f t="shared" si="84"/>
        <v>-</v>
      </c>
    </row>
    <row r="1081" spans="1:22" ht="40.15" customHeight="1" x14ac:dyDescent="0.25">
      <c r="A1081" s="87">
        <v>41</v>
      </c>
      <c r="B1081" s="89"/>
      <c r="C1081" s="89" t="s">
        <v>7322</v>
      </c>
      <c r="D1081" s="89" t="s">
        <v>326</v>
      </c>
      <c r="E1081" s="116" t="s">
        <v>1631</v>
      </c>
      <c r="F1081" s="87" t="s">
        <v>1556</v>
      </c>
      <c r="G1081" s="92" t="s">
        <v>7224</v>
      </c>
      <c r="H1081" s="93" t="s">
        <v>7404</v>
      </c>
      <c r="I1081" s="87" t="s">
        <v>7405</v>
      </c>
      <c r="J1081" s="87" t="s">
        <v>1988</v>
      </c>
      <c r="K1081" s="87" t="s">
        <v>4492</v>
      </c>
      <c r="L1081" s="91" t="s">
        <v>19</v>
      </c>
      <c r="M1081" s="94">
        <v>44496.604166666664</v>
      </c>
      <c r="N1081" s="94">
        <v>44496.729166666664</v>
      </c>
      <c r="O1081" s="95" t="str">
        <f>PROPER(TEXT(Table1[[#This Row],[Fecha Inicio]],"mmmm"))</f>
        <v>Octubre</v>
      </c>
      <c r="P1081" s="96" t="s">
        <v>1989</v>
      </c>
      <c r="Q1081" s="97" t="s">
        <v>7406</v>
      </c>
      <c r="R1081" s="76">
        <f t="shared" si="80"/>
        <v>4</v>
      </c>
      <c r="S1081" s="76" t="str">
        <f t="shared" si="81"/>
        <v>-</v>
      </c>
      <c r="T1081" s="76" t="str">
        <f t="shared" si="82"/>
        <v>-</v>
      </c>
      <c r="U1081" s="76" t="str">
        <f t="shared" si="83"/>
        <v>-</v>
      </c>
      <c r="V1081" s="76" t="str">
        <f t="shared" si="84"/>
        <v>-</v>
      </c>
    </row>
    <row r="1082" spans="1:22" ht="40.15" customHeight="1" x14ac:dyDescent="0.25">
      <c r="A1082" s="87">
        <v>41</v>
      </c>
      <c r="B1082" s="89"/>
      <c r="C1082" s="89" t="s">
        <v>7322</v>
      </c>
      <c r="D1082" s="89" t="s">
        <v>326</v>
      </c>
      <c r="E1082" s="116" t="s">
        <v>1631</v>
      </c>
      <c r="F1082" s="87" t="s">
        <v>1556</v>
      </c>
      <c r="G1082" s="92" t="s">
        <v>7224</v>
      </c>
      <c r="H1082" s="93" t="s">
        <v>7407</v>
      </c>
      <c r="I1082" s="87" t="s">
        <v>7408</v>
      </c>
      <c r="J1082" s="87" t="s">
        <v>2404</v>
      </c>
      <c r="K1082" s="87" t="s">
        <v>4492</v>
      </c>
      <c r="L1082" s="91" t="s">
        <v>19</v>
      </c>
      <c r="M1082" s="94">
        <v>44497</v>
      </c>
      <c r="N1082" s="94">
        <v>44497.166666666664</v>
      </c>
      <c r="O1082" s="95" t="str">
        <f>PROPER(TEXT(Table1[[#This Row],[Fecha Inicio]],"mmmm"))</f>
        <v>Octubre</v>
      </c>
      <c r="P1082" s="96" t="s">
        <v>3523</v>
      </c>
      <c r="Q1082" s="97" t="s">
        <v>7409</v>
      </c>
      <c r="R1082" s="76">
        <f t="shared" si="80"/>
        <v>1</v>
      </c>
      <c r="S1082" s="76" t="str">
        <f t="shared" si="81"/>
        <v>-</v>
      </c>
      <c r="T1082" s="76" t="str">
        <f t="shared" si="82"/>
        <v>-</v>
      </c>
      <c r="U1082" s="76" t="str">
        <f t="shared" si="83"/>
        <v>-</v>
      </c>
      <c r="V1082" s="76" t="str">
        <f t="shared" si="84"/>
        <v>-</v>
      </c>
    </row>
    <row r="1083" spans="1:22" ht="40.15" customHeight="1" x14ac:dyDescent="0.25">
      <c r="A1083" s="87">
        <v>41</v>
      </c>
      <c r="B1083" s="89"/>
      <c r="C1083" s="89" t="s">
        <v>7322</v>
      </c>
      <c r="D1083" s="89" t="s">
        <v>326</v>
      </c>
      <c r="E1083" s="116" t="s">
        <v>1631</v>
      </c>
      <c r="F1083" s="87" t="s">
        <v>1556</v>
      </c>
      <c r="G1083" s="92" t="s">
        <v>7224</v>
      </c>
      <c r="H1083" s="93" t="s">
        <v>7410</v>
      </c>
      <c r="I1083" s="87" t="s">
        <v>7411</v>
      </c>
      <c r="J1083" s="87" t="s">
        <v>3537</v>
      </c>
      <c r="K1083" s="87" t="s">
        <v>4492</v>
      </c>
      <c r="L1083" s="91" t="s">
        <v>19</v>
      </c>
      <c r="M1083" s="94">
        <v>44498</v>
      </c>
      <c r="N1083" s="94">
        <v>44498.166666666664</v>
      </c>
      <c r="O1083" s="95" t="str">
        <f>PROPER(TEXT(Table1[[#This Row],[Fecha Inicio]],"mmmm"))</f>
        <v>Octubre</v>
      </c>
      <c r="P1083" s="96" t="s">
        <v>3538</v>
      </c>
      <c r="Q1083" s="97" t="s">
        <v>7412</v>
      </c>
      <c r="R1083" s="76">
        <f t="shared" si="80"/>
        <v>4</v>
      </c>
      <c r="S1083" s="76" t="str">
        <f t="shared" si="81"/>
        <v>-</v>
      </c>
      <c r="T1083" s="76" t="str">
        <f t="shared" si="82"/>
        <v>-</v>
      </c>
      <c r="U1083" s="76" t="str">
        <f t="shared" si="83"/>
        <v>-</v>
      </c>
      <c r="V1083" s="76" t="str">
        <f t="shared" si="84"/>
        <v>-</v>
      </c>
    </row>
    <row r="1084" spans="1:22" ht="40.15" customHeight="1" x14ac:dyDescent="0.25">
      <c r="A1084" s="87">
        <v>41</v>
      </c>
      <c r="B1084" s="89"/>
      <c r="C1084" s="89" t="s">
        <v>7322</v>
      </c>
      <c r="D1084" s="89" t="s">
        <v>326</v>
      </c>
      <c r="E1084" s="116" t="s">
        <v>1631</v>
      </c>
      <c r="F1084" s="87" t="s">
        <v>1556</v>
      </c>
      <c r="G1084" s="92" t="s">
        <v>7224</v>
      </c>
      <c r="H1084" s="93" t="s">
        <v>7413</v>
      </c>
      <c r="I1084" s="87" t="s">
        <v>7414</v>
      </c>
      <c r="J1084" s="87" t="s">
        <v>2511</v>
      </c>
      <c r="K1084" s="87" t="s">
        <v>2512</v>
      </c>
      <c r="L1084" s="91" t="s">
        <v>19</v>
      </c>
      <c r="M1084" s="94">
        <v>44498.041666666664</v>
      </c>
      <c r="N1084" s="94">
        <v>44498.125</v>
      </c>
      <c r="O1084" s="95" t="str">
        <f>PROPER(TEXT(Table1[[#This Row],[Fecha Inicio]],"mmmm"))</f>
        <v>Octubre</v>
      </c>
      <c r="P1084" s="96" t="s">
        <v>3261</v>
      </c>
      <c r="Q1084" s="97" t="s">
        <v>7415</v>
      </c>
      <c r="R1084" s="76">
        <f t="shared" si="80"/>
        <v>6</v>
      </c>
      <c r="S1084" s="76" t="str">
        <f t="shared" si="81"/>
        <v>-</v>
      </c>
      <c r="T1084" s="76" t="str">
        <f t="shared" si="82"/>
        <v>-</v>
      </c>
      <c r="U1084" s="76" t="str">
        <f t="shared" si="83"/>
        <v>-</v>
      </c>
      <c r="V1084" s="76" t="str">
        <f t="shared" si="84"/>
        <v>-</v>
      </c>
    </row>
    <row r="1085" spans="1:22" ht="40.15" customHeight="1" x14ac:dyDescent="0.25">
      <c r="A1085" s="87">
        <v>41</v>
      </c>
      <c r="B1085" s="89"/>
      <c r="C1085" s="89" t="s">
        <v>7322</v>
      </c>
      <c r="D1085" s="89" t="s">
        <v>326</v>
      </c>
      <c r="E1085" s="116" t="s">
        <v>1631</v>
      </c>
      <c r="F1085" s="87" t="s">
        <v>1556</v>
      </c>
      <c r="G1085" s="92" t="s">
        <v>7224</v>
      </c>
      <c r="H1085" s="93" t="s">
        <v>7416</v>
      </c>
      <c r="I1085" s="87" t="s">
        <v>7417</v>
      </c>
      <c r="J1085" s="87" t="s">
        <v>2014</v>
      </c>
      <c r="K1085" s="87" t="s">
        <v>4492</v>
      </c>
      <c r="L1085" s="91" t="s">
        <v>19</v>
      </c>
      <c r="M1085" s="94">
        <v>44498.791666666664</v>
      </c>
      <c r="N1085" s="94">
        <v>44498.916666666664</v>
      </c>
      <c r="O1085" s="95" t="str">
        <f>PROPER(TEXT(Table1[[#This Row],[Fecha Inicio]],"mmmm"))</f>
        <v>Octubre</v>
      </c>
      <c r="P1085" s="96" t="s">
        <v>4292</v>
      </c>
      <c r="Q1085" s="97" t="s">
        <v>7418</v>
      </c>
      <c r="R1085" s="76">
        <f t="shared" si="80"/>
        <v>10</v>
      </c>
      <c r="S1085" s="76" t="str">
        <f t="shared" si="81"/>
        <v>-</v>
      </c>
      <c r="T1085" s="76" t="str">
        <f t="shared" si="82"/>
        <v>-</v>
      </c>
      <c r="U1085" s="76" t="str">
        <f t="shared" si="83"/>
        <v>-</v>
      </c>
      <c r="V1085" s="76" t="str">
        <f t="shared" si="84"/>
        <v>-</v>
      </c>
    </row>
    <row r="1086" spans="1:22" ht="40.15" customHeight="1" x14ac:dyDescent="0.25">
      <c r="A1086" s="87">
        <v>41</v>
      </c>
      <c r="B1086" s="89"/>
      <c r="C1086" s="89" t="s">
        <v>7322</v>
      </c>
      <c r="D1086" s="89" t="s">
        <v>326</v>
      </c>
      <c r="E1086" s="116" t="s">
        <v>1631</v>
      </c>
      <c r="F1086" s="87" t="s">
        <v>1556</v>
      </c>
      <c r="G1086" s="92" t="s">
        <v>4356</v>
      </c>
      <c r="H1086" s="93" t="s">
        <v>7419</v>
      </c>
      <c r="I1086" s="87" t="s">
        <v>7120</v>
      </c>
      <c r="J1086" s="87" t="s">
        <v>1931</v>
      </c>
      <c r="K1086" s="87" t="s">
        <v>1921</v>
      </c>
      <c r="L1086" s="91" t="s">
        <v>19</v>
      </c>
      <c r="M1086" s="94">
        <v>44499</v>
      </c>
      <c r="N1086" s="94">
        <v>44499.25</v>
      </c>
      <c r="O1086" s="95" t="str">
        <f>PROPER(TEXT(Table1[[#This Row],[Fecha Inicio]],"mmmm"))</f>
        <v>Octubre</v>
      </c>
      <c r="P1086" s="96" t="s">
        <v>3958</v>
      </c>
      <c r="Q1086" s="97" t="s">
        <v>7420</v>
      </c>
      <c r="R1086" s="76">
        <f t="shared" si="80"/>
        <v>6</v>
      </c>
      <c r="S1086" s="76" t="str">
        <f t="shared" si="81"/>
        <v>-</v>
      </c>
      <c r="T1086" s="76" t="str">
        <f t="shared" si="82"/>
        <v>-</v>
      </c>
      <c r="U1086" s="76" t="str">
        <f t="shared" si="83"/>
        <v>-</v>
      </c>
      <c r="V1086" s="76" t="str">
        <f t="shared" si="84"/>
        <v>-</v>
      </c>
    </row>
    <row r="1087" spans="1:22" ht="40.15" customHeight="1" x14ac:dyDescent="0.25">
      <c r="A1087" s="87">
        <v>41</v>
      </c>
      <c r="B1087" s="89"/>
      <c r="C1087" s="89" t="s">
        <v>7322</v>
      </c>
      <c r="D1087" s="89" t="s">
        <v>326</v>
      </c>
      <c r="E1087" s="116" t="s">
        <v>1631</v>
      </c>
      <c r="F1087" s="87" t="s">
        <v>1556</v>
      </c>
      <c r="G1087" s="92" t="s">
        <v>7224</v>
      </c>
      <c r="H1087" s="93" t="s">
        <v>7421</v>
      </c>
      <c r="I1087" s="87" t="s">
        <v>7422</v>
      </c>
      <c r="J1087" s="87" t="s">
        <v>1920</v>
      </c>
      <c r="K1087" s="87" t="s">
        <v>1921</v>
      </c>
      <c r="L1087" s="91" t="s">
        <v>19</v>
      </c>
      <c r="M1087" s="94">
        <v>44500</v>
      </c>
      <c r="N1087" s="94">
        <v>44500.25</v>
      </c>
      <c r="O1087" s="95" t="str">
        <f>PROPER(TEXT(Table1[[#This Row],[Fecha Inicio]],"mmmm"))</f>
        <v>Octubre</v>
      </c>
      <c r="P1087" s="87" t="s">
        <v>7124</v>
      </c>
      <c r="Q1087" s="97" t="s">
        <v>7423</v>
      </c>
      <c r="R1087" s="76">
        <f t="shared" si="80"/>
        <v>19</v>
      </c>
      <c r="S1087" s="76" t="str">
        <f t="shared" si="81"/>
        <v>-</v>
      </c>
      <c r="T1087" s="76" t="str">
        <f t="shared" si="82"/>
        <v>-</v>
      </c>
      <c r="U1087" s="76" t="str">
        <f t="shared" si="83"/>
        <v>-</v>
      </c>
      <c r="V1087" s="76" t="str">
        <f t="shared" si="84"/>
        <v>-</v>
      </c>
    </row>
    <row r="1088" spans="1:22" ht="40.15" customHeight="1" x14ac:dyDescent="0.25">
      <c r="A1088" s="87">
        <v>41</v>
      </c>
      <c r="B1088" s="89"/>
      <c r="C1088" s="89" t="s">
        <v>7322</v>
      </c>
      <c r="D1088" s="89" t="s">
        <v>326</v>
      </c>
      <c r="E1088" s="116" t="s">
        <v>1631</v>
      </c>
      <c r="F1088" s="87" t="s">
        <v>1556</v>
      </c>
      <c r="G1088" s="92" t="s">
        <v>7224</v>
      </c>
      <c r="H1088" s="93" t="s">
        <v>7424</v>
      </c>
      <c r="I1088" s="87" t="s">
        <v>7425</v>
      </c>
      <c r="J1088" s="87" t="s">
        <v>1911</v>
      </c>
      <c r="K1088" s="87" t="s">
        <v>3971</v>
      </c>
      <c r="L1088" s="91" t="s">
        <v>19</v>
      </c>
      <c r="M1088" s="94">
        <v>44501.833333333336</v>
      </c>
      <c r="N1088" s="94">
        <v>44501.875</v>
      </c>
      <c r="O1088" s="95" t="str">
        <f>PROPER(TEXT(Table1[[#This Row],[Fecha Inicio]],"mmmm"))</f>
        <v>Noviembre</v>
      </c>
      <c r="P1088" s="87" t="s">
        <v>1912</v>
      </c>
      <c r="Q1088" s="97" t="s">
        <v>7426</v>
      </c>
      <c r="R1088" s="76">
        <f t="shared" si="80"/>
        <v>1</v>
      </c>
      <c r="S1088" s="76" t="str">
        <f t="shared" si="81"/>
        <v>-</v>
      </c>
      <c r="T1088" s="76" t="str">
        <f t="shared" si="82"/>
        <v>-</v>
      </c>
      <c r="U1088" s="76" t="str">
        <f t="shared" si="83"/>
        <v>-</v>
      </c>
      <c r="V1088" s="76" t="str">
        <f t="shared" si="84"/>
        <v>-</v>
      </c>
    </row>
  </sheetData>
  <sortState xmlns:xlrd2="http://schemas.microsoft.com/office/spreadsheetml/2017/richdata2" ref="B2:Y505">
    <sortCondition ref="M2:M505"/>
  </sortState>
  <phoneticPr fontId="20" type="noConversion"/>
  <conditionalFormatting sqref="H1">
    <cfRule type="duplicateValues" dxfId="13792" priority="45308"/>
  </conditionalFormatting>
  <conditionalFormatting sqref="A2 A14 A61:A65 A17 A67:A72 A74 A76:A78 A82:A86 A114 A175:A181 A237 A239:A240 A242 A244 A284:A286 A333 A335:A339 A620 F90 A90:A91 F94 F96 F107:F108 F111 A94:A111 F121:F122 F126:F127 A121:A130 F134:F136 A132:A140 F151 A142:A152 F160 A159:A164 F171 F173 A166:A173 F193 F196:F197 F200:F201 A196:A202 F204 F214 F218 F220:F221 A218:A221 F228 F230:F231 F256:F258 F260 F262 F267 F270:F271 F279 F290 A288:A293 F295 A295:A301 F304 A303:A305 F309 A307:A314 F329 A329:A331 F116:F118 A116:A118 F157 A157 F183 A183 F185:F186 F189:F191 A185:A193 F208:F210 A204:A216 F225 A223:A231 F233:F234 A233:A235 F253 A253:A262 F265 A264:A265 F281:F282 A267:A282 F324:F325 A316:A325 F550 A550 F645:F650">
    <cfRule type="cellIs" dxfId="13791" priority="45296" operator="equal">
      <formula>"APLAZADO"</formula>
    </cfRule>
    <cfRule type="cellIs" dxfId="13790" priority="45297" operator="equal">
      <formula>"CANCELADO"</formula>
    </cfRule>
    <cfRule type="cellIs" dxfId="13789" priority="45298" operator="equal">
      <formula>"NO EJECUTADO"</formula>
    </cfRule>
    <cfRule type="cellIs" dxfId="13788" priority="45299" operator="equal">
      <formula>"FPE"</formula>
    </cfRule>
    <cfRule type="cellIs" dxfId="13787" priority="45300" operator="equal">
      <formula>"AMA"</formula>
    </cfRule>
    <cfRule type="cellIs" dxfId="13786" priority="45301" operator="equal">
      <formula>"SIN DATOS"</formula>
    </cfRule>
    <cfRule type="cellIs" dxfId="13785" priority="45302" operator="equal">
      <formula>"SIN DATOS"</formula>
    </cfRule>
    <cfRule type="cellIs" dxfId="13784" priority="45303" operator="equal">
      <formula>"NO EJECTUTADO"</formula>
    </cfRule>
    <cfRule type="cellIs" dxfId="13783" priority="45304" operator="equal">
      <formula>"FE"</formula>
    </cfRule>
    <cfRule type="cellIs" dxfId="13782" priority="45305" operator="equal">
      <formula>"FE"</formula>
    </cfRule>
  </conditionalFormatting>
  <conditionalFormatting sqref="A2 A14 A61:A65 A17 A67:A72 A74 A76:A78 A82:A86 A114 A175:A181 A237 A239:A240 A242 A244 A284:A286 A333 A335:A339 A620 F90 A90:A91 F94 F96 F107:F108 F111 A94:A111 F121:F122 F126:F127 A121:A130 F134:F136 A132:A140 F151 A142:A152 F160 A159:A164 F171 F173 A166:A173 F193 F196:F197 F200:F201 A196:A202 F204 F214 F218 F220:F221 A218:A221 F228 F230:F231 F256:F258 F260 F262 F267 F270:F271 F279 F290 A288:A293 F295 A295:A301 F304 A303:A305 F309 A307:A314 F329 A329:A331 F116:F118 A116:A118 F157 A157 F183 A183 F185:F186 F189:F191 A185:A193 F208:F210 A204:A216 F225 A223:A231 F233:F234 A233:A235 F253 A253:A262 F265 A264:A265 F281:F282 A267:A282 F324:F325 A316:A325 F550 A550 F645:F650">
    <cfRule type="cellIs" dxfId="13781" priority="45294" operator="equal">
      <formula>"Retirado"</formula>
    </cfRule>
    <cfRule type="cellIs" dxfId="13780" priority="45295" operator="equal">
      <formula>"FSE"</formula>
    </cfRule>
  </conditionalFormatting>
  <conditionalFormatting sqref="F15 F85:F86">
    <cfRule type="cellIs" dxfId="13779" priority="45284" operator="equal">
      <formula>"APLAZADO"</formula>
    </cfRule>
    <cfRule type="cellIs" dxfId="13778" priority="45285" operator="equal">
      <formula>"CANCELADO"</formula>
    </cfRule>
    <cfRule type="cellIs" dxfId="13777" priority="45286" operator="equal">
      <formula>"NO EJECUTADO"</formula>
    </cfRule>
    <cfRule type="cellIs" dxfId="13776" priority="45287" operator="equal">
      <formula>"FPE"</formula>
    </cfRule>
    <cfRule type="cellIs" dxfId="13775" priority="45288" operator="equal">
      <formula>"AMA"</formula>
    </cfRule>
    <cfRule type="cellIs" dxfId="13774" priority="45289" operator="equal">
      <formula>"SIN DATOS"</formula>
    </cfRule>
    <cfRule type="cellIs" dxfId="13773" priority="45290" operator="equal">
      <formula>"SIN DATOS"</formula>
    </cfRule>
    <cfRule type="cellIs" dxfId="13772" priority="45291" operator="equal">
      <formula>"NO EJECTUTADO"</formula>
    </cfRule>
    <cfRule type="cellIs" dxfId="13771" priority="45292" operator="equal">
      <formula>"FE"</formula>
    </cfRule>
    <cfRule type="cellIs" dxfId="13770" priority="45293" operator="equal">
      <formula>"FE"</formula>
    </cfRule>
  </conditionalFormatting>
  <conditionalFormatting sqref="F15 F85:F86">
    <cfRule type="cellIs" dxfId="13769" priority="45282" operator="equal">
      <formula>"Retirado"</formula>
    </cfRule>
    <cfRule type="cellIs" dxfId="13768" priority="45283" operator="equal">
      <formula>"FSE"</formula>
    </cfRule>
  </conditionalFormatting>
  <conditionalFormatting sqref="F2">
    <cfRule type="cellIs" dxfId="13767" priority="45272" operator="equal">
      <formula>"APLAZADO"</formula>
    </cfRule>
    <cfRule type="cellIs" dxfId="13766" priority="45273" operator="equal">
      <formula>"CANCELADO"</formula>
    </cfRule>
    <cfRule type="cellIs" dxfId="13765" priority="45274" operator="equal">
      <formula>"NO EJECUTADO"</formula>
    </cfRule>
    <cfRule type="cellIs" dxfId="13764" priority="45275" operator="equal">
      <formula>"FPE"</formula>
    </cfRule>
    <cfRule type="cellIs" dxfId="13763" priority="45276" operator="equal">
      <formula>"AMA"</formula>
    </cfRule>
    <cfRule type="cellIs" dxfId="13762" priority="45277" operator="equal">
      <formula>"SIN DATOS"</formula>
    </cfRule>
    <cfRule type="cellIs" dxfId="13761" priority="45278" operator="equal">
      <formula>"SIN DATOS"</formula>
    </cfRule>
    <cfRule type="cellIs" dxfId="13760" priority="45279" operator="equal">
      <formula>"NO EJECTUTADO"</formula>
    </cfRule>
    <cfRule type="cellIs" dxfId="13759" priority="45280" operator="equal">
      <formula>"FE"</formula>
    </cfRule>
    <cfRule type="cellIs" dxfId="13758" priority="45281" operator="equal">
      <formula>"FE"</formula>
    </cfRule>
  </conditionalFormatting>
  <conditionalFormatting sqref="F2">
    <cfRule type="cellIs" dxfId="13757" priority="45270" operator="equal">
      <formula>"Retirado"</formula>
    </cfRule>
    <cfRule type="cellIs" dxfId="13756" priority="45271" operator="equal">
      <formula>"FSE"</formula>
    </cfRule>
  </conditionalFormatting>
  <conditionalFormatting sqref="H4">
    <cfRule type="duplicateValues" dxfId="13755" priority="45245"/>
  </conditionalFormatting>
  <conditionalFormatting sqref="A4">
    <cfRule type="cellIs" dxfId="13754" priority="45235" operator="equal">
      <formula>"APLAZADO"</formula>
    </cfRule>
    <cfRule type="cellIs" dxfId="13753" priority="45236" operator="equal">
      <formula>"CANCELADO"</formula>
    </cfRule>
    <cfRule type="cellIs" dxfId="13752" priority="45237" operator="equal">
      <formula>"NO EJECUTADO"</formula>
    </cfRule>
    <cfRule type="cellIs" dxfId="13751" priority="45238" operator="equal">
      <formula>"FPE"</formula>
    </cfRule>
    <cfRule type="cellIs" dxfId="13750" priority="45239" operator="equal">
      <formula>"AMA"</formula>
    </cfRule>
    <cfRule type="cellIs" dxfId="13749" priority="45240" operator="equal">
      <formula>"SIN DATOS"</formula>
    </cfRule>
    <cfRule type="cellIs" dxfId="13748" priority="45241" operator="equal">
      <formula>"SIN DATOS"</formula>
    </cfRule>
    <cfRule type="cellIs" dxfId="13747" priority="45242" operator="equal">
      <formula>"NO EJECTUTADO"</formula>
    </cfRule>
    <cfRule type="cellIs" dxfId="13746" priority="45243" operator="equal">
      <formula>"FE"</formula>
    </cfRule>
    <cfRule type="cellIs" dxfId="13745" priority="45244" operator="equal">
      <formula>"FE"</formula>
    </cfRule>
  </conditionalFormatting>
  <conditionalFormatting sqref="A4">
    <cfRule type="cellIs" dxfId="13744" priority="45233" operator="equal">
      <formula>"Retirado"</formula>
    </cfRule>
    <cfRule type="cellIs" dxfId="13743" priority="45234" operator="equal">
      <formula>"FSE"</formula>
    </cfRule>
  </conditionalFormatting>
  <conditionalFormatting sqref="F4">
    <cfRule type="cellIs" dxfId="13742" priority="45223" operator="equal">
      <formula>"APLAZADO"</formula>
    </cfRule>
    <cfRule type="cellIs" dxfId="13741" priority="45224" operator="equal">
      <formula>"CANCELADO"</formula>
    </cfRule>
    <cfRule type="cellIs" dxfId="13740" priority="45225" operator="equal">
      <formula>"NO EJECUTADO"</formula>
    </cfRule>
    <cfRule type="cellIs" dxfId="13739" priority="45226" operator="equal">
      <formula>"FPE"</formula>
    </cfRule>
    <cfRule type="cellIs" dxfId="13738" priority="45227" operator="equal">
      <formula>"AMA"</formula>
    </cfRule>
    <cfRule type="cellIs" dxfId="13737" priority="45228" operator="equal">
      <formula>"SIN DATOS"</formula>
    </cfRule>
    <cfRule type="cellIs" dxfId="13736" priority="45229" operator="equal">
      <formula>"SIN DATOS"</formula>
    </cfRule>
    <cfRule type="cellIs" dxfId="13735" priority="45230" operator="equal">
      <formula>"NO EJECTUTADO"</formula>
    </cfRule>
    <cfRule type="cellIs" dxfId="13734" priority="45231" operator="equal">
      <formula>"FE"</formula>
    </cfRule>
    <cfRule type="cellIs" dxfId="13733" priority="45232" operator="equal">
      <formula>"FE"</formula>
    </cfRule>
  </conditionalFormatting>
  <conditionalFormatting sqref="F4">
    <cfRule type="cellIs" dxfId="13732" priority="45221" operator="equal">
      <formula>"Retirado"</formula>
    </cfRule>
    <cfRule type="cellIs" dxfId="13731" priority="45222" operator="equal">
      <formula>"FSE"</formula>
    </cfRule>
  </conditionalFormatting>
  <conditionalFormatting sqref="H5">
    <cfRule type="duplicateValues" dxfId="13730" priority="45219"/>
  </conditionalFormatting>
  <conditionalFormatting sqref="F5">
    <cfRule type="cellIs" dxfId="13729" priority="45197" operator="equal">
      <formula>"APLAZADO"</formula>
    </cfRule>
    <cfRule type="cellIs" dxfId="13728" priority="45198" operator="equal">
      <formula>"CANCELADO"</formula>
    </cfRule>
    <cfRule type="cellIs" dxfId="13727" priority="45199" operator="equal">
      <formula>"NO EJECUTADO"</formula>
    </cfRule>
    <cfRule type="cellIs" dxfId="13726" priority="45200" operator="equal">
      <formula>"FPE"</formula>
    </cfRule>
    <cfRule type="cellIs" dxfId="13725" priority="45201" operator="equal">
      <formula>"AMA"</formula>
    </cfRule>
    <cfRule type="cellIs" dxfId="13724" priority="45202" operator="equal">
      <formula>"SIN DATOS"</formula>
    </cfRule>
    <cfRule type="cellIs" dxfId="13723" priority="45203" operator="equal">
      <formula>"SIN DATOS"</formula>
    </cfRule>
    <cfRule type="cellIs" dxfId="13722" priority="45204" operator="equal">
      <formula>"NO EJECTUTADO"</formula>
    </cfRule>
    <cfRule type="cellIs" dxfId="13721" priority="45205" operator="equal">
      <formula>"FE"</formula>
    </cfRule>
    <cfRule type="cellIs" dxfId="13720" priority="45206" operator="equal">
      <formula>"FE"</formula>
    </cfRule>
  </conditionalFormatting>
  <conditionalFormatting sqref="F5">
    <cfRule type="cellIs" dxfId="13719" priority="45195" operator="equal">
      <formula>"Retirado"</formula>
    </cfRule>
    <cfRule type="cellIs" dxfId="13718" priority="45196" operator="equal">
      <formula>"FSE"</formula>
    </cfRule>
  </conditionalFormatting>
  <conditionalFormatting sqref="A5">
    <cfRule type="cellIs" dxfId="13717" priority="45184" operator="equal">
      <formula>"APLAZADO"</formula>
    </cfRule>
    <cfRule type="cellIs" dxfId="13716" priority="45185" operator="equal">
      <formula>"CANCELADO"</formula>
    </cfRule>
    <cfRule type="cellIs" dxfId="13715" priority="45186" operator="equal">
      <formula>"NO EJECUTADO"</formula>
    </cfRule>
    <cfRule type="cellIs" dxfId="13714" priority="45187" operator="equal">
      <formula>"FPE"</formula>
    </cfRule>
    <cfRule type="cellIs" dxfId="13713" priority="45188" operator="equal">
      <formula>"AMA"</formula>
    </cfRule>
    <cfRule type="cellIs" dxfId="13712" priority="45189" operator="equal">
      <formula>"SIN DATOS"</formula>
    </cfRule>
    <cfRule type="cellIs" dxfId="13711" priority="45190" operator="equal">
      <formula>"SIN DATOS"</formula>
    </cfRule>
    <cfRule type="cellIs" dxfId="13710" priority="45191" operator="equal">
      <formula>"NO EJECTUTADO"</formula>
    </cfRule>
    <cfRule type="cellIs" dxfId="13709" priority="45192" operator="equal">
      <formula>"FE"</formula>
    </cfRule>
    <cfRule type="cellIs" dxfId="13708" priority="45193" operator="equal">
      <formula>"FE"</formula>
    </cfRule>
  </conditionalFormatting>
  <conditionalFormatting sqref="A5">
    <cfRule type="cellIs" dxfId="13707" priority="45182" operator="equal">
      <formula>"Retirado"</formula>
    </cfRule>
    <cfRule type="cellIs" dxfId="13706" priority="45183" operator="equal">
      <formula>"FSE"</formula>
    </cfRule>
  </conditionalFormatting>
  <conditionalFormatting sqref="H3">
    <cfRule type="duplicateValues" dxfId="13705" priority="45035"/>
  </conditionalFormatting>
  <conditionalFormatting sqref="A3">
    <cfRule type="cellIs" dxfId="13704" priority="45024" operator="equal">
      <formula>"APLAZADO"</formula>
    </cfRule>
    <cfRule type="cellIs" dxfId="13703" priority="45025" operator="equal">
      <formula>"CANCELADO"</formula>
    </cfRule>
    <cfRule type="cellIs" dxfId="13702" priority="45026" operator="equal">
      <formula>"NO EJECUTADO"</formula>
    </cfRule>
    <cfRule type="cellIs" dxfId="13701" priority="45027" operator="equal">
      <formula>"FPE"</formula>
    </cfRule>
    <cfRule type="cellIs" dxfId="13700" priority="45028" operator="equal">
      <formula>"AMA"</formula>
    </cfRule>
    <cfRule type="cellIs" dxfId="13699" priority="45029" operator="equal">
      <formula>"SIN DATOS"</formula>
    </cfRule>
    <cfRule type="cellIs" dxfId="13698" priority="45030" operator="equal">
      <formula>"SIN DATOS"</formula>
    </cfRule>
    <cfRule type="cellIs" dxfId="13697" priority="45031" operator="equal">
      <formula>"NO EJECTUTADO"</formula>
    </cfRule>
    <cfRule type="cellIs" dxfId="13696" priority="45032" operator="equal">
      <formula>"FE"</formula>
    </cfRule>
    <cfRule type="cellIs" dxfId="13695" priority="45033" operator="equal">
      <formula>"FE"</formula>
    </cfRule>
  </conditionalFormatting>
  <conditionalFormatting sqref="A3">
    <cfRule type="cellIs" dxfId="13694" priority="45022" operator="equal">
      <formula>"Retirado"</formula>
    </cfRule>
    <cfRule type="cellIs" dxfId="13693" priority="45023" operator="equal">
      <formula>"FSE"</formula>
    </cfRule>
  </conditionalFormatting>
  <conditionalFormatting sqref="F3">
    <cfRule type="cellIs" dxfId="13692" priority="45012" operator="equal">
      <formula>"APLAZADO"</formula>
    </cfRule>
    <cfRule type="cellIs" dxfId="13691" priority="45013" operator="equal">
      <formula>"CANCELADO"</formula>
    </cfRule>
    <cfRule type="cellIs" dxfId="13690" priority="45014" operator="equal">
      <formula>"NO EJECUTADO"</formula>
    </cfRule>
    <cfRule type="cellIs" dxfId="13689" priority="45015" operator="equal">
      <formula>"FPE"</formula>
    </cfRule>
    <cfRule type="cellIs" dxfId="13688" priority="45016" operator="equal">
      <formula>"AMA"</formula>
    </cfRule>
    <cfRule type="cellIs" dxfId="13687" priority="45017" operator="equal">
      <formula>"SIN DATOS"</formula>
    </cfRule>
    <cfRule type="cellIs" dxfId="13686" priority="45018" operator="equal">
      <formula>"SIN DATOS"</formula>
    </cfRule>
    <cfRule type="cellIs" dxfId="13685" priority="45019" operator="equal">
      <formula>"NO EJECTUTADO"</formula>
    </cfRule>
    <cfRule type="cellIs" dxfId="13684" priority="45020" operator="equal">
      <formula>"FE"</formula>
    </cfRule>
    <cfRule type="cellIs" dxfId="13683" priority="45021" operator="equal">
      <formula>"FE"</formula>
    </cfRule>
  </conditionalFormatting>
  <conditionalFormatting sqref="F3">
    <cfRule type="cellIs" dxfId="13682" priority="45010" operator="equal">
      <formula>"Retirado"</formula>
    </cfRule>
    <cfRule type="cellIs" dxfId="13681" priority="45011" operator="equal">
      <formula>"FSE"</formula>
    </cfRule>
  </conditionalFormatting>
  <conditionalFormatting sqref="H6:H13">
    <cfRule type="duplicateValues" dxfId="13680" priority="44827"/>
  </conditionalFormatting>
  <conditionalFormatting sqref="A6:A13">
    <cfRule type="cellIs" dxfId="13679" priority="44816" operator="equal">
      <formula>"APLAZADO"</formula>
    </cfRule>
    <cfRule type="cellIs" dxfId="13678" priority="44817" operator="equal">
      <formula>"CANCELADO"</formula>
    </cfRule>
    <cfRule type="cellIs" dxfId="13677" priority="44818" operator="equal">
      <formula>"NO EJECUTADO"</formula>
    </cfRule>
    <cfRule type="cellIs" dxfId="13676" priority="44819" operator="equal">
      <formula>"FPE"</formula>
    </cfRule>
    <cfRule type="cellIs" dxfId="13675" priority="44820" operator="equal">
      <formula>"AMA"</formula>
    </cfRule>
    <cfRule type="cellIs" dxfId="13674" priority="44821" operator="equal">
      <formula>"SIN DATOS"</formula>
    </cfRule>
    <cfRule type="cellIs" dxfId="13673" priority="44822" operator="equal">
      <formula>"SIN DATOS"</formula>
    </cfRule>
    <cfRule type="cellIs" dxfId="13672" priority="44823" operator="equal">
      <formula>"NO EJECTUTADO"</formula>
    </cfRule>
    <cfRule type="cellIs" dxfId="13671" priority="44824" operator="equal">
      <formula>"FE"</formula>
    </cfRule>
    <cfRule type="cellIs" dxfId="13670" priority="44825" operator="equal">
      <formula>"FE"</formula>
    </cfRule>
  </conditionalFormatting>
  <conditionalFormatting sqref="A6:A13">
    <cfRule type="cellIs" dxfId="13669" priority="44814" operator="equal">
      <formula>"Retirado"</formula>
    </cfRule>
    <cfRule type="cellIs" dxfId="13668" priority="44815" operator="equal">
      <formula>"FSE"</formula>
    </cfRule>
  </conditionalFormatting>
  <conditionalFormatting sqref="F6:F13">
    <cfRule type="cellIs" dxfId="13667" priority="44804" operator="equal">
      <formula>"APLAZADO"</formula>
    </cfRule>
    <cfRule type="cellIs" dxfId="13666" priority="44805" operator="equal">
      <formula>"CANCELADO"</formula>
    </cfRule>
    <cfRule type="cellIs" dxfId="13665" priority="44806" operator="equal">
      <formula>"NO EJECUTADO"</formula>
    </cfRule>
    <cfRule type="cellIs" dxfId="13664" priority="44807" operator="equal">
      <formula>"FPE"</formula>
    </cfRule>
    <cfRule type="cellIs" dxfId="13663" priority="44808" operator="equal">
      <formula>"AMA"</formula>
    </cfRule>
    <cfRule type="cellIs" dxfId="13662" priority="44809" operator="equal">
      <formula>"SIN DATOS"</formula>
    </cfRule>
    <cfRule type="cellIs" dxfId="13661" priority="44810" operator="equal">
      <formula>"SIN DATOS"</formula>
    </cfRule>
    <cfRule type="cellIs" dxfId="13660" priority="44811" operator="equal">
      <formula>"NO EJECTUTADO"</formula>
    </cfRule>
    <cfRule type="cellIs" dxfId="13659" priority="44812" operator="equal">
      <formula>"FE"</formula>
    </cfRule>
    <cfRule type="cellIs" dxfId="13658" priority="44813" operator="equal">
      <formula>"FE"</formula>
    </cfRule>
  </conditionalFormatting>
  <conditionalFormatting sqref="F6:F13">
    <cfRule type="cellIs" dxfId="13657" priority="44802" operator="equal">
      <formula>"Retirado"</formula>
    </cfRule>
    <cfRule type="cellIs" dxfId="13656" priority="44803" operator="equal">
      <formula>"FSE"</formula>
    </cfRule>
  </conditionalFormatting>
  <conditionalFormatting sqref="F14">
    <cfRule type="cellIs" dxfId="13655" priority="44789" operator="equal">
      <formula>"APLAZADO"</formula>
    </cfRule>
    <cfRule type="cellIs" dxfId="13654" priority="44790" operator="equal">
      <formula>"CANCELADO"</formula>
    </cfRule>
    <cfRule type="cellIs" dxfId="13653" priority="44791" operator="equal">
      <formula>"NO EJECUTADO"</formula>
    </cfRule>
    <cfRule type="cellIs" dxfId="13652" priority="44792" operator="equal">
      <formula>"FPE"</formula>
    </cfRule>
    <cfRule type="cellIs" dxfId="13651" priority="44793" operator="equal">
      <formula>"AMA"</formula>
    </cfRule>
    <cfRule type="cellIs" dxfId="13650" priority="44794" operator="equal">
      <formula>"SIN DATOS"</formula>
    </cfRule>
    <cfRule type="cellIs" dxfId="13649" priority="44795" operator="equal">
      <formula>"SIN DATOS"</formula>
    </cfRule>
    <cfRule type="cellIs" dxfId="13648" priority="44796" operator="equal">
      <formula>"NO EJECTUTADO"</formula>
    </cfRule>
    <cfRule type="cellIs" dxfId="13647" priority="44797" operator="equal">
      <formula>"FE"</formula>
    </cfRule>
    <cfRule type="cellIs" dxfId="13646" priority="44798" operator="equal">
      <formula>"FE"</formula>
    </cfRule>
  </conditionalFormatting>
  <conditionalFormatting sqref="F14">
    <cfRule type="cellIs" dxfId="13645" priority="44787" operator="equal">
      <formula>"Retirado"</formula>
    </cfRule>
    <cfRule type="cellIs" dxfId="13644" priority="44788" operator="equal">
      <formula>"FSE"</formula>
    </cfRule>
  </conditionalFormatting>
  <conditionalFormatting sqref="F16">
    <cfRule type="cellIs" dxfId="13643" priority="44772" operator="equal">
      <formula>"APLAZADO"</formula>
    </cfRule>
    <cfRule type="cellIs" dxfId="13642" priority="44773" operator="equal">
      <formula>"CANCELADO"</formula>
    </cfRule>
    <cfRule type="cellIs" dxfId="13641" priority="44774" operator="equal">
      <formula>"NO EJECUTADO"</formula>
    </cfRule>
    <cfRule type="cellIs" dxfId="13640" priority="44775" operator="equal">
      <formula>"FPE"</formula>
    </cfRule>
    <cfRule type="cellIs" dxfId="13639" priority="44776" operator="equal">
      <formula>"AMA"</formula>
    </cfRule>
    <cfRule type="cellIs" dxfId="13638" priority="44777" operator="equal">
      <formula>"SIN DATOS"</formula>
    </cfRule>
    <cfRule type="cellIs" dxfId="13637" priority="44778" operator="equal">
      <formula>"SIN DATOS"</formula>
    </cfRule>
    <cfRule type="cellIs" dxfId="13636" priority="44779" operator="equal">
      <formula>"NO EJECTUTADO"</formula>
    </cfRule>
    <cfRule type="cellIs" dxfId="13635" priority="44780" operator="equal">
      <formula>"FE"</formula>
    </cfRule>
    <cfRule type="cellIs" dxfId="13634" priority="44781" operator="equal">
      <formula>"FE"</formula>
    </cfRule>
  </conditionalFormatting>
  <conditionalFormatting sqref="F16">
    <cfRule type="cellIs" dxfId="13633" priority="44770" operator="equal">
      <formula>"Retirado"</formula>
    </cfRule>
    <cfRule type="cellIs" dxfId="13632" priority="44771" operator="equal">
      <formula>"FSE"</formula>
    </cfRule>
  </conditionalFormatting>
  <conditionalFormatting sqref="F17">
    <cfRule type="cellIs" dxfId="13631" priority="44760" operator="equal">
      <formula>"APLAZADO"</formula>
    </cfRule>
    <cfRule type="cellIs" dxfId="13630" priority="44761" operator="equal">
      <formula>"CANCELADO"</formula>
    </cfRule>
    <cfRule type="cellIs" dxfId="13629" priority="44762" operator="equal">
      <formula>"NO EJECUTADO"</formula>
    </cfRule>
    <cfRule type="cellIs" dxfId="13628" priority="44763" operator="equal">
      <formula>"FPE"</formula>
    </cfRule>
    <cfRule type="cellIs" dxfId="13627" priority="44764" operator="equal">
      <formula>"AMA"</formula>
    </cfRule>
    <cfRule type="cellIs" dxfId="13626" priority="44765" operator="equal">
      <formula>"SIN DATOS"</formula>
    </cfRule>
    <cfRule type="cellIs" dxfId="13625" priority="44766" operator="equal">
      <formula>"SIN DATOS"</formula>
    </cfRule>
    <cfRule type="cellIs" dxfId="13624" priority="44767" operator="equal">
      <formula>"NO EJECTUTADO"</formula>
    </cfRule>
    <cfRule type="cellIs" dxfId="13623" priority="44768" operator="equal">
      <formula>"FE"</formula>
    </cfRule>
    <cfRule type="cellIs" dxfId="13622" priority="44769" operator="equal">
      <formula>"FE"</formula>
    </cfRule>
  </conditionalFormatting>
  <conditionalFormatting sqref="F17">
    <cfRule type="cellIs" dxfId="13621" priority="44758" operator="equal">
      <formula>"Retirado"</formula>
    </cfRule>
    <cfRule type="cellIs" dxfId="13620" priority="44759" operator="equal">
      <formula>"FSE"</formula>
    </cfRule>
  </conditionalFormatting>
  <conditionalFormatting sqref="F18">
    <cfRule type="cellIs" dxfId="13619" priority="44748" operator="equal">
      <formula>"APLAZADO"</formula>
    </cfRule>
    <cfRule type="cellIs" dxfId="13618" priority="44749" operator="equal">
      <formula>"CANCELADO"</formula>
    </cfRule>
    <cfRule type="cellIs" dxfId="13617" priority="44750" operator="equal">
      <formula>"NO EJECUTADO"</formula>
    </cfRule>
    <cfRule type="cellIs" dxfId="13616" priority="44751" operator="equal">
      <formula>"FPE"</formula>
    </cfRule>
    <cfRule type="cellIs" dxfId="13615" priority="44752" operator="equal">
      <formula>"AMA"</formula>
    </cfRule>
    <cfRule type="cellIs" dxfId="13614" priority="44753" operator="equal">
      <formula>"SIN DATOS"</formula>
    </cfRule>
    <cfRule type="cellIs" dxfId="13613" priority="44754" operator="equal">
      <formula>"SIN DATOS"</formula>
    </cfRule>
    <cfRule type="cellIs" dxfId="13612" priority="44755" operator="equal">
      <formula>"NO EJECTUTADO"</formula>
    </cfRule>
    <cfRule type="cellIs" dxfId="13611" priority="44756" operator="equal">
      <formula>"FE"</formula>
    </cfRule>
    <cfRule type="cellIs" dxfId="13610" priority="44757" operator="equal">
      <formula>"FE"</formula>
    </cfRule>
  </conditionalFormatting>
  <conditionalFormatting sqref="F18">
    <cfRule type="cellIs" dxfId="13609" priority="44746" operator="equal">
      <formula>"Retirado"</formula>
    </cfRule>
    <cfRule type="cellIs" dxfId="13608" priority="44747" operator="equal">
      <formula>"FSE"</formula>
    </cfRule>
  </conditionalFormatting>
  <conditionalFormatting sqref="A19">
    <cfRule type="cellIs" dxfId="13607" priority="44733" operator="equal">
      <formula>"APLAZADO"</formula>
    </cfRule>
    <cfRule type="cellIs" dxfId="13606" priority="44734" operator="equal">
      <formula>"CANCELADO"</formula>
    </cfRule>
    <cfRule type="cellIs" dxfId="13605" priority="44735" operator="equal">
      <formula>"NO EJECUTADO"</formula>
    </cfRule>
    <cfRule type="cellIs" dxfId="13604" priority="44736" operator="equal">
      <formula>"FPE"</formula>
    </cfRule>
    <cfRule type="cellIs" dxfId="13603" priority="44737" operator="equal">
      <formula>"AMA"</formula>
    </cfRule>
    <cfRule type="cellIs" dxfId="13602" priority="44738" operator="equal">
      <formula>"SIN DATOS"</formula>
    </cfRule>
    <cfRule type="cellIs" dxfId="13601" priority="44739" operator="equal">
      <formula>"SIN DATOS"</formula>
    </cfRule>
    <cfRule type="cellIs" dxfId="13600" priority="44740" operator="equal">
      <formula>"NO EJECTUTADO"</formula>
    </cfRule>
    <cfRule type="cellIs" dxfId="13599" priority="44741" operator="equal">
      <formula>"FE"</formula>
    </cfRule>
    <cfRule type="cellIs" dxfId="13598" priority="44742" operator="equal">
      <formula>"FE"</formula>
    </cfRule>
  </conditionalFormatting>
  <conditionalFormatting sqref="A19">
    <cfRule type="cellIs" dxfId="13597" priority="44731" operator="equal">
      <formula>"Retirado"</formula>
    </cfRule>
    <cfRule type="cellIs" dxfId="13596" priority="44732" operator="equal">
      <formula>"FSE"</formula>
    </cfRule>
  </conditionalFormatting>
  <conditionalFormatting sqref="H19:H20">
    <cfRule type="duplicateValues" dxfId="13595" priority="44730"/>
  </conditionalFormatting>
  <conditionalFormatting sqref="F19">
    <cfRule type="cellIs" dxfId="13594" priority="44720" operator="equal">
      <formula>"APLAZADO"</formula>
    </cfRule>
    <cfRule type="cellIs" dxfId="13593" priority="44721" operator="equal">
      <formula>"CANCELADO"</formula>
    </cfRule>
    <cfRule type="cellIs" dxfId="13592" priority="44722" operator="equal">
      <formula>"NO EJECUTADO"</formula>
    </cfRule>
    <cfRule type="cellIs" dxfId="13591" priority="44723" operator="equal">
      <formula>"FPE"</formula>
    </cfRule>
    <cfRule type="cellIs" dxfId="13590" priority="44724" operator="equal">
      <formula>"AMA"</formula>
    </cfRule>
    <cfRule type="cellIs" dxfId="13589" priority="44725" operator="equal">
      <formula>"SIN DATOS"</formula>
    </cfRule>
    <cfRule type="cellIs" dxfId="13588" priority="44726" operator="equal">
      <formula>"SIN DATOS"</formula>
    </cfRule>
    <cfRule type="cellIs" dxfId="13587" priority="44727" operator="equal">
      <formula>"NO EJECTUTADO"</formula>
    </cfRule>
    <cfRule type="cellIs" dxfId="13586" priority="44728" operator="equal">
      <formula>"FE"</formula>
    </cfRule>
    <cfRule type="cellIs" dxfId="13585" priority="44729" operator="equal">
      <formula>"FE"</formula>
    </cfRule>
  </conditionalFormatting>
  <conditionalFormatting sqref="F19">
    <cfRule type="cellIs" dxfId="13584" priority="44718" operator="equal">
      <formula>"Retirado"</formula>
    </cfRule>
    <cfRule type="cellIs" dxfId="13583" priority="44719" operator="equal">
      <formula>"FSE"</formula>
    </cfRule>
  </conditionalFormatting>
  <conditionalFormatting sqref="F20">
    <cfRule type="cellIs" dxfId="13582" priority="44696" operator="equal">
      <formula>"APLAZADO"</formula>
    </cfRule>
    <cfRule type="cellIs" dxfId="13581" priority="44697" operator="equal">
      <formula>"CANCELADO"</formula>
    </cfRule>
    <cfRule type="cellIs" dxfId="13580" priority="44698" operator="equal">
      <formula>"NO EJECUTADO"</formula>
    </cfRule>
    <cfRule type="cellIs" dxfId="13579" priority="44699" operator="equal">
      <formula>"FPE"</formula>
    </cfRule>
    <cfRule type="cellIs" dxfId="13578" priority="44700" operator="equal">
      <formula>"AMA"</formula>
    </cfRule>
    <cfRule type="cellIs" dxfId="13577" priority="44701" operator="equal">
      <formula>"SIN DATOS"</formula>
    </cfRule>
    <cfRule type="cellIs" dxfId="13576" priority="44702" operator="equal">
      <formula>"SIN DATOS"</formula>
    </cfRule>
    <cfRule type="cellIs" dxfId="13575" priority="44703" operator="equal">
      <formula>"NO EJECTUTADO"</formula>
    </cfRule>
    <cfRule type="cellIs" dxfId="13574" priority="44704" operator="equal">
      <formula>"FE"</formula>
    </cfRule>
    <cfRule type="cellIs" dxfId="13573" priority="44705" operator="equal">
      <formula>"FE"</formula>
    </cfRule>
  </conditionalFormatting>
  <conditionalFormatting sqref="F20">
    <cfRule type="cellIs" dxfId="13572" priority="44694" operator="equal">
      <formula>"Retirado"</formula>
    </cfRule>
    <cfRule type="cellIs" dxfId="13571" priority="44695" operator="equal">
      <formula>"FSE"</formula>
    </cfRule>
  </conditionalFormatting>
  <conditionalFormatting sqref="A21">
    <cfRule type="cellIs" dxfId="13570" priority="44683" operator="equal">
      <formula>"APLAZADO"</formula>
    </cfRule>
    <cfRule type="cellIs" dxfId="13569" priority="44684" operator="equal">
      <formula>"CANCELADO"</formula>
    </cfRule>
    <cfRule type="cellIs" dxfId="13568" priority="44685" operator="equal">
      <formula>"NO EJECUTADO"</formula>
    </cfRule>
    <cfRule type="cellIs" dxfId="13567" priority="44686" operator="equal">
      <formula>"FPE"</formula>
    </cfRule>
    <cfRule type="cellIs" dxfId="13566" priority="44687" operator="equal">
      <formula>"AMA"</formula>
    </cfRule>
    <cfRule type="cellIs" dxfId="13565" priority="44688" operator="equal">
      <formula>"SIN DATOS"</formula>
    </cfRule>
    <cfRule type="cellIs" dxfId="13564" priority="44689" operator="equal">
      <formula>"SIN DATOS"</formula>
    </cfRule>
    <cfRule type="cellIs" dxfId="13563" priority="44690" operator="equal">
      <formula>"NO EJECTUTADO"</formula>
    </cfRule>
    <cfRule type="cellIs" dxfId="13562" priority="44691" operator="equal">
      <formula>"FE"</formula>
    </cfRule>
    <cfRule type="cellIs" dxfId="13561" priority="44692" operator="equal">
      <formula>"FE"</formula>
    </cfRule>
  </conditionalFormatting>
  <conditionalFormatting sqref="A21">
    <cfRule type="cellIs" dxfId="13560" priority="44681" operator="equal">
      <formula>"Retirado"</formula>
    </cfRule>
    <cfRule type="cellIs" dxfId="13559" priority="44682" operator="equal">
      <formula>"FSE"</formula>
    </cfRule>
  </conditionalFormatting>
  <conditionalFormatting sqref="H21:H22">
    <cfRule type="duplicateValues" dxfId="13558" priority="44680"/>
  </conditionalFormatting>
  <conditionalFormatting sqref="F21">
    <cfRule type="cellIs" dxfId="13557" priority="44670" operator="equal">
      <formula>"APLAZADO"</formula>
    </cfRule>
    <cfRule type="cellIs" dxfId="13556" priority="44671" operator="equal">
      <formula>"CANCELADO"</formula>
    </cfRule>
    <cfRule type="cellIs" dxfId="13555" priority="44672" operator="equal">
      <formula>"NO EJECUTADO"</formula>
    </cfRule>
    <cfRule type="cellIs" dxfId="13554" priority="44673" operator="equal">
      <formula>"FPE"</formula>
    </cfRule>
    <cfRule type="cellIs" dxfId="13553" priority="44674" operator="equal">
      <formula>"AMA"</formula>
    </cfRule>
    <cfRule type="cellIs" dxfId="13552" priority="44675" operator="equal">
      <formula>"SIN DATOS"</formula>
    </cfRule>
    <cfRule type="cellIs" dxfId="13551" priority="44676" operator="equal">
      <formula>"SIN DATOS"</formula>
    </cfRule>
    <cfRule type="cellIs" dxfId="13550" priority="44677" operator="equal">
      <formula>"NO EJECTUTADO"</formula>
    </cfRule>
    <cfRule type="cellIs" dxfId="13549" priority="44678" operator="equal">
      <formula>"FE"</formula>
    </cfRule>
    <cfRule type="cellIs" dxfId="13548" priority="44679" operator="equal">
      <formula>"FE"</formula>
    </cfRule>
  </conditionalFormatting>
  <conditionalFormatting sqref="F21">
    <cfRule type="cellIs" dxfId="13547" priority="44668" operator="equal">
      <formula>"Retirado"</formula>
    </cfRule>
    <cfRule type="cellIs" dxfId="13546" priority="44669" operator="equal">
      <formula>"FSE"</formula>
    </cfRule>
  </conditionalFormatting>
  <conditionalFormatting sqref="F22">
    <cfRule type="cellIs" dxfId="13545" priority="44658" operator="equal">
      <formula>"APLAZADO"</formula>
    </cfRule>
    <cfRule type="cellIs" dxfId="13544" priority="44659" operator="equal">
      <formula>"CANCELADO"</formula>
    </cfRule>
    <cfRule type="cellIs" dxfId="13543" priority="44660" operator="equal">
      <formula>"NO EJECUTADO"</formula>
    </cfRule>
    <cfRule type="cellIs" dxfId="13542" priority="44661" operator="equal">
      <formula>"FPE"</formula>
    </cfRule>
    <cfRule type="cellIs" dxfId="13541" priority="44662" operator="equal">
      <formula>"AMA"</formula>
    </cfRule>
    <cfRule type="cellIs" dxfId="13540" priority="44663" operator="equal">
      <formula>"SIN DATOS"</formula>
    </cfRule>
    <cfRule type="cellIs" dxfId="13539" priority="44664" operator="equal">
      <formula>"SIN DATOS"</formula>
    </cfRule>
    <cfRule type="cellIs" dxfId="13538" priority="44665" operator="equal">
      <formula>"NO EJECTUTADO"</formula>
    </cfRule>
    <cfRule type="cellIs" dxfId="13537" priority="44666" operator="equal">
      <formula>"FE"</formula>
    </cfRule>
    <cfRule type="cellIs" dxfId="13536" priority="44667" operator="equal">
      <formula>"FE"</formula>
    </cfRule>
  </conditionalFormatting>
  <conditionalFormatting sqref="F22">
    <cfRule type="cellIs" dxfId="13535" priority="44656" operator="equal">
      <formula>"Retirado"</formula>
    </cfRule>
    <cfRule type="cellIs" dxfId="13534" priority="44657" operator="equal">
      <formula>"FSE"</formula>
    </cfRule>
  </conditionalFormatting>
  <conditionalFormatting sqref="H23">
    <cfRule type="duplicateValues" dxfId="13533" priority="44614"/>
  </conditionalFormatting>
  <conditionalFormatting sqref="A23">
    <cfRule type="cellIs" dxfId="13532" priority="44590" operator="equal">
      <formula>"Retirado"</formula>
    </cfRule>
    <cfRule type="cellIs" dxfId="13531" priority="44591" operator="equal">
      <formula>"FSE"</formula>
    </cfRule>
  </conditionalFormatting>
  <conditionalFormatting sqref="F23">
    <cfRule type="cellIs" dxfId="13530" priority="44604" operator="equal">
      <formula>"APLAZADO"</formula>
    </cfRule>
    <cfRule type="cellIs" dxfId="13529" priority="44605" operator="equal">
      <formula>"CANCELADO"</formula>
    </cfRule>
    <cfRule type="cellIs" dxfId="13528" priority="44606" operator="equal">
      <formula>"NO EJECUTADO"</formula>
    </cfRule>
    <cfRule type="cellIs" dxfId="13527" priority="44607" operator="equal">
      <formula>"FPE"</formula>
    </cfRule>
    <cfRule type="cellIs" dxfId="13526" priority="44608" operator="equal">
      <formula>"AMA"</formula>
    </cfRule>
    <cfRule type="cellIs" dxfId="13525" priority="44609" operator="equal">
      <formula>"SIN DATOS"</formula>
    </cfRule>
    <cfRule type="cellIs" dxfId="13524" priority="44610" operator="equal">
      <formula>"SIN DATOS"</formula>
    </cfRule>
    <cfRule type="cellIs" dxfId="13523" priority="44611" operator="equal">
      <formula>"NO EJECTUTADO"</formula>
    </cfRule>
    <cfRule type="cellIs" dxfId="13522" priority="44612" operator="equal">
      <formula>"FE"</formula>
    </cfRule>
    <cfRule type="cellIs" dxfId="13521" priority="44613" operator="equal">
      <formula>"FE"</formula>
    </cfRule>
  </conditionalFormatting>
  <conditionalFormatting sqref="F23">
    <cfRule type="cellIs" dxfId="13520" priority="44602" operator="equal">
      <formula>"Retirado"</formula>
    </cfRule>
    <cfRule type="cellIs" dxfId="13519" priority="44603" operator="equal">
      <formula>"FSE"</formula>
    </cfRule>
  </conditionalFormatting>
  <conditionalFormatting sqref="A23">
    <cfRule type="cellIs" dxfId="13518" priority="44592" operator="equal">
      <formula>"APLAZADO"</formula>
    </cfRule>
    <cfRule type="cellIs" dxfId="13517" priority="44593" operator="equal">
      <formula>"CANCELADO"</formula>
    </cfRule>
    <cfRule type="cellIs" dxfId="13516" priority="44594" operator="equal">
      <formula>"NO EJECUTADO"</formula>
    </cfRule>
    <cfRule type="cellIs" dxfId="13515" priority="44595" operator="equal">
      <formula>"FPE"</formula>
    </cfRule>
    <cfRule type="cellIs" dxfId="13514" priority="44596" operator="equal">
      <formula>"AMA"</formula>
    </cfRule>
    <cfRule type="cellIs" dxfId="13513" priority="44597" operator="equal">
      <formula>"SIN DATOS"</formula>
    </cfRule>
    <cfRule type="cellIs" dxfId="13512" priority="44598" operator="equal">
      <formula>"SIN DATOS"</formula>
    </cfRule>
    <cfRule type="cellIs" dxfId="13511" priority="44599" operator="equal">
      <formula>"NO EJECTUTADO"</formula>
    </cfRule>
    <cfRule type="cellIs" dxfId="13510" priority="44600" operator="equal">
      <formula>"FE"</formula>
    </cfRule>
    <cfRule type="cellIs" dxfId="13509" priority="44601" operator="equal">
      <formula>"FE"</formula>
    </cfRule>
  </conditionalFormatting>
  <conditionalFormatting sqref="H24">
    <cfRule type="duplicateValues" dxfId="13508" priority="44588"/>
  </conditionalFormatting>
  <conditionalFormatting sqref="F24">
    <cfRule type="cellIs" dxfId="13507" priority="44578" operator="equal">
      <formula>"APLAZADO"</formula>
    </cfRule>
    <cfRule type="cellIs" dxfId="13506" priority="44579" operator="equal">
      <formula>"CANCELADO"</formula>
    </cfRule>
    <cfRule type="cellIs" dxfId="13505" priority="44580" operator="equal">
      <formula>"NO EJECUTADO"</formula>
    </cfRule>
    <cfRule type="cellIs" dxfId="13504" priority="44581" operator="equal">
      <formula>"FPE"</formula>
    </cfRule>
    <cfRule type="cellIs" dxfId="13503" priority="44582" operator="equal">
      <formula>"AMA"</formula>
    </cfRule>
    <cfRule type="cellIs" dxfId="13502" priority="44583" operator="equal">
      <formula>"SIN DATOS"</formula>
    </cfRule>
    <cfRule type="cellIs" dxfId="13501" priority="44584" operator="equal">
      <formula>"SIN DATOS"</formula>
    </cfRule>
    <cfRule type="cellIs" dxfId="13500" priority="44585" operator="equal">
      <formula>"NO EJECTUTADO"</formula>
    </cfRule>
    <cfRule type="cellIs" dxfId="13499" priority="44586" operator="equal">
      <formula>"FE"</formula>
    </cfRule>
    <cfRule type="cellIs" dxfId="13498" priority="44587" operator="equal">
      <formula>"FE"</formula>
    </cfRule>
  </conditionalFormatting>
  <conditionalFormatting sqref="F24">
    <cfRule type="cellIs" dxfId="13497" priority="44576" operator="equal">
      <formula>"Retirado"</formula>
    </cfRule>
    <cfRule type="cellIs" dxfId="13496" priority="44577" operator="equal">
      <formula>"FSE"</formula>
    </cfRule>
  </conditionalFormatting>
  <conditionalFormatting sqref="I1089:I1048576 H621:H622 H1015 H1:H25 H29 H31:H65 H67:H72 H74 H76:H88 H90:H117 H628:H690 H704:H707 H728:H732 H709:H725 H692:H700">
    <cfRule type="duplicateValues" dxfId="13495" priority="44563"/>
  </conditionalFormatting>
  <conditionalFormatting sqref="F25">
    <cfRule type="cellIs" dxfId="13494" priority="44537" operator="equal">
      <formula>"APLAZADO"</formula>
    </cfRule>
    <cfRule type="cellIs" dxfId="13493" priority="44538" operator="equal">
      <formula>"CANCELADO"</formula>
    </cfRule>
    <cfRule type="cellIs" dxfId="13492" priority="44539" operator="equal">
      <formula>"NO EJECUTADO"</formula>
    </cfRule>
    <cfRule type="cellIs" dxfId="13491" priority="44540" operator="equal">
      <formula>"FPE"</formula>
    </cfRule>
    <cfRule type="cellIs" dxfId="13490" priority="44541" operator="equal">
      <formula>"AMA"</formula>
    </cfRule>
    <cfRule type="cellIs" dxfId="13489" priority="44542" operator="equal">
      <formula>"SIN DATOS"</formula>
    </cfRule>
    <cfRule type="cellIs" dxfId="13488" priority="44543" operator="equal">
      <formula>"SIN DATOS"</formula>
    </cfRule>
    <cfRule type="cellIs" dxfId="13487" priority="44544" operator="equal">
      <formula>"NO EJECTUTADO"</formula>
    </cfRule>
    <cfRule type="cellIs" dxfId="13486" priority="44545" operator="equal">
      <formula>"FE"</formula>
    </cfRule>
    <cfRule type="cellIs" dxfId="13485" priority="44546" operator="equal">
      <formula>"FE"</formula>
    </cfRule>
  </conditionalFormatting>
  <conditionalFormatting sqref="F25">
    <cfRule type="cellIs" dxfId="13484" priority="44535" operator="equal">
      <formula>"Retirado"</formula>
    </cfRule>
    <cfRule type="cellIs" dxfId="13483" priority="44536" operator="equal">
      <formula>"FSE"</formula>
    </cfRule>
  </conditionalFormatting>
  <conditionalFormatting sqref="H26">
    <cfRule type="duplicateValues" dxfId="13482" priority="44534"/>
  </conditionalFormatting>
  <conditionalFormatting sqref="H26">
    <cfRule type="duplicateValues" dxfId="13481" priority="44532"/>
  </conditionalFormatting>
  <conditionalFormatting sqref="A26">
    <cfRule type="cellIs" dxfId="13480" priority="44522" operator="equal">
      <formula>"APLAZADO"</formula>
    </cfRule>
    <cfRule type="cellIs" dxfId="13479" priority="44523" operator="equal">
      <formula>"CANCELADO"</formula>
    </cfRule>
    <cfRule type="cellIs" dxfId="13478" priority="44524" operator="equal">
      <formula>"NO EJECUTADO"</formula>
    </cfRule>
    <cfRule type="cellIs" dxfId="13477" priority="44525" operator="equal">
      <formula>"FPE"</formula>
    </cfRule>
    <cfRule type="cellIs" dxfId="13476" priority="44526" operator="equal">
      <formula>"AMA"</formula>
    </cfRule>
    <cfRule type="cellIs" dxfId="13475" priority="44527" operator="equal">
      <formula>"SIN DATOS"</formula>
    </cfRule>
    <cfRule type="cellIs" dxfId="13474" priority="44528" operator="equal">
      <formula>"SIN DATOS"</formula>
    </cfRule>
    <cfRule type="cellIs" dxfId="13473" priority="44529" operator="equal">
      <formula>"NO EJECTUTADO"</formula>
    </cfRule>
    <cfRule type="cellIs" dxfId="13472" priority="44530" operator="equal">
      <formula>"FE"</formula>
    </cfRule>
    <cfRule type="cellIs" dxfId="13471" priority="44531" operator="equal">
      <formula>"FE"</formula>
    </cfRule>
  </conditionalFormatting>
  <conditionalFormatting sqref="A26">
    <cfRule type="cellIs" dxfId="13470" priority="44520" operator="equal">
      <formula>"Retirado"</formula>
    </cfRule>
    <cfRule type="cellIs" dxfId="13469" priority="44521" operator="equal">
      <formula>"FSE"</formula>
    </cfRule>
  </conditionalFormatting>
  <conditionalFormatting sqref="F26">
    <cfRule type="cellIs" dxfId="13468" priority="44510" operator="equal">
      <formula>"APLAZADO"</formula>
    </cfRule>
    <cfRule type="cellIs" dxfId="13467" priority="44511" operator="equal">
      <formula>"CANCELADO"</formula>
    </cfRule>
    <cfRule type="cellIs" dxfId="13466" priority="44512" operator="equal">
      <formula>"NO EJECUTADO"</formula>
    </cfRule>
    <cfRule type="cellIs" dxfId="13465" priority="44513" operator="equal">
      <formula>"FPE"</formula>
    </cfRule>
    <cfRule type="cellIs" dxfId="13464" priority="44514" operator="equal">
      <formula>"AMA"</formula>
    </cfRule>
    <cfRule type="cellIs" dxfId="13463" priority="44515" operator="equal">
      <formula>"SIN DATOS"</formula>
    </cfRule>
    <cfRule type="cellIs" dxfId="13462" priority="44516" operator="equal">
      <formula>"SIN DATOS"</formula>
    </cfRule>
    <cfRule type="cellIs" dxfId="13461" priority="44517" operator="equal">
      <formula>"NO EJECTUTADO"</formula>
    </cfRule>
    <cfRule type="cellIs" dxfId="13460" priority="44518" operator="equal">
      <formula>"FE"</formula>
    </cfRule>
    <cfRule type="cellIs" dxfId="13459" priority="44519" operator="equal">
      <formula>"FE"</formula>
    </cfRule>
  </conditionalFormatting>
  <conditionalFormatting sqref="F26">
    <cfRule type="cellIs" dxfId="13458" priority="44508" operator="equal">
      <formula>"Retirado"</formula>
    </cfRule>
    <cfRule type="cellIs" dxfId="13457" priority="44509" operator="equal">
      <formula>"FSE"</formula>
    </cfRule>
  </conditionalFormatting>
  <conditionalFormatting sqref="H27">
    <cfRule type="duplicateValues" dxfId="13456" priority="44507"/>
  </conditionalFormatting>
  <conditionalFormatting sqref="H27">
    <cfRule type="duplicateValues" dxfId="13455" priority="44505"/>
  </conditionalFormatting>
  <conditionalFormatting sqref="F27">
    <cfRule type="cellIs" dxfId="13454" priority="44483" operator="equal">
      <formula>"APLAZADO"</formula>
    </cfRule>
    <cfRule type="cellIs" dxfId="13453" priority="44484" operator="equal">
      <formula>"CANCELADO"</formula>
    </cfRule>
    <cfRule type="cellIs" dxfId="13452" priority="44485" operator="equal">
      <formula>"NO EJECUTADO"</formula>
    </cfRule>
    <cfRule type="cellIs" dxfId="13451" priority="44486" operator="equal">
      <formula>"FPE"</formula>
    </cfRule>
    <cfRule type="cellIs" dxfId="13450" priority="44487" operator="equal">
      <formula>"AMA"</formula>
    </cfRule>
    <cfRule type="cellIs" dxfId="13449" priority="44488" operator="equal">
      <formula>"SIN DATOS"</formula>
    </cfRule>
    <cfRule type="cellIs" dxfId="13448" priority="44489" operator="equal">
      <formula>"SIN DATOS"</formula>
    </cfRule>
    <cfRule type="cellIs" dxfId="13447" priority="44490" operator="equal">
      <formula>"NO EJECTUTADO"</formula>
    </cfRule>
    <cfRule type="cellIs" dxfId="13446" priority="44491" operator="equal">
      <formula>"FE"</formula>
    </cfRule>
    <cfRule type="cellIs" dxfId="13445" priority="44492" operator="equal">
      <formula>"FE"</formula>
    </cfRule>
  </conditionalFormatting>
  <conditionalFormatting sqref="F27">
    <cfRule type="cellIs" dxfId="13444" priority="44481" operator="equal">
      <formula>"Retirado"</formula>
    </cfRule>
    <cfRule type="cellIs" dxfId="13443" priority="44482" operator="equal">
      <formula>"FSE"</formula>
    </cfRule>
  </conditionalFormatting>
  <conditionalFormatting sqref="H28">
    <cfRule type="duplicateValues" dxfId="13442" priority="44480"/>
  </conditionalFormatting>
  <conditionalFormatting sqref="H28">
    <cfRule type="duplicateValues" dxfId="13441" priority="44478"/>
  </conditionalFormatting>
  <conditionalFormatting sqref="A28">
    <cfRule type="cellIs" dxfId="13440" priority="44468" operator="equal">
      <formula>"APLAZADO"</formula>
    </cfRule>
    <cfRule type="cellIs" dxfId="13439" priority="44469" operator="equal">
      <formula>"CANCELADO"</formula>
    </cfRule>
    <cfRule type="cellIs" dxfId="13438" priority="44470" operator="equal">
      <formula>"NO EJECUTADO"</formula>
    </cfRule>
    <cfRule type="cellIs" dxfId="13437" priority="44471" operator="equal">
      <formula>"FPE"</formula>
    </cfRule>
    <cfRule type="cellIs" dxfId="13436" priority="44472" operator="equal">
      <formula>"AMA"</formula>
    </cfRule>
    <cfRule type="cellIs" dxfId="13435" priority="44473" operator="equal">
      <formula>"SIN DATOS"</formula>
    </cfRule>
    <cfRule type="cellIs" dxfId="13434" priority="44474" operator="equal">
      <formula>"SIN DATOS"</formula>
    </cfRule>
    <cfRule type="cellIs" dxfId="13433" priority="44475" operator="equal">
      <formula>"NO EJECTUTADO"</formula>
    </cfRule>
    <cfRule type="cellIs" dxfId="13432" priority="44476" operator="equal">
      <formula>"FE"</formula>
    </cfRule>
    <cfRule type="cellIs" dxfId="13431" priority="44477" operator="equal">
      <formula>"FE"</formula>
    </cfRule>
  </conditionalFormatting>
  <conditionalFormatting sqref="A28">
    <cfRule type="cellIs" dxfId="13430" priority="44466" operator="equal">
      <formula>"Retirado"</formula>
    </cfRule>
    <cfRule type="cellIs" dxfId="13429" priority="44467" operator="equal">
      <formula>"FSE"</formula>
    </cfRule>
  </conditionalFormatting>
  <conditionalFormatting sqref="F28">
    <cfRule type="cellIs" dxfId="13428" priority="44456" operator="equal">
      <formula>"APLAZADO"</formula>
    </cfRule>
    <cfRule type="cellIs" dxfId="13427" priority="44457" operator="equal">
      <formula>"CANCELADO"</formula>
    </cfRule>
    <cfRule type="cellIs" dxfId="13426" priority="44458" operator="equal">
      <formula>"NO EJECUTADO"</formula>
    </cfRule>
    <cfRule type="cellIs" dxfId="13425" priority="44459" operator="equal">
      <formula>"FPE"</formula>
    </cfRule>
    <cfRule type="cellIs" dxfId="13424" priority="44460" operator="equal">
      <formula>"AMA"</formula>
    </cfRule>
    <cfRule type="cellIs" dxfId="13423" priority="44461" operator="equal">
      <formula>"SIN DATOS"</formula>
    </cfRule>
    <cfRule type="cellIs" dxfId="13422" priority="44462" operator="equal">
      <formula>"SIN DATOS"</formula>
    </cfRule>
    <cfRule type="cellIs" dxfId="13421" priority="44463" operator="equal">
      <formula>"NO EJECTUTADO"</formula>
    </cfRule>
    <cfRule type="cellIs" dxfId="13420" priority="44464" operator="equal">
      <formula>"FE"</formula>
    </cfRule>
    <cfRule type="cellIs" dxfId="13419" priority="44465" operator="equal">
      <formula>"FE"</formula>
    </cfRule>
  </conditionalFormatting>
  <conditionalFormatting sqref="F28">
    <cfRule type="cellIs" dxfId="13418" priority="44454" operator="equal">
      <formula>"Retirado"</formula>
    </cfRule>
    <cfRule type="cellIs" dxfId="13417" priority="44455" operator="equal">
      <formula>"FSE"</formula>
    </cfRule>
  </conditionalFormatting>
  <conditionalFormatting sqref="F29">
    <cfRule type="cellIs" dxfId="13416" priority="44425" operator="equal">
      <formula>"APLAZADO"</formula>
    </cfRule>
    <cfRule type="cellIs" dxfId="13415" priority="44426" operator="equal">
      <formula>"CANCELADO"</formula>
    </cfRule>
    <cfRule type="cellIs" dxfId="13414" priority="44427" operator="equal">
      <formula>"NO EJECUTADO"</formula>
    </cfRule>
    <cfRule type="cellIs" dxfId="13413" priority="44428" operator="equal">
      <formula>"FPE"</formula>
    </cfRule>
    <cfRule type="cellIs" dxfId="13412" priority="44429" operator="equal">
      <formula>"AMA"</formula>
    </cfRule>
    <cfRule type="cellIs" dxfId="13411" priority="44430" operator="equal">
      <formula>"SIN DATOS"</formula>
    </cfRule>
    <cfRule type="cellIs" dxfId="13410" priority="44431" operator="equal">
      <formula>"SIN DATOS"</formula>
    </cfRule>
    <cfRule type="cellIs" dxfId="13409" priority="44432" operator="equal">
      <formula>"NO EJECTUTADO"</formula>
    </cfRule>
    <cfRule type="cellIs" dxfId="13408" priority="44433" operator="equal">
      <formula>"FE"</formula>
    </cfRule>
    <cfRule type="cellIs" dxfId="13407" priority="44434" operator="equal">
      <formula>"FE"</formula>
    </cfRule>
  </conditionalFormatting>
  <conditionalFormatting sqref="F29">
    <cfRule type="cellIs" dxfId="13406" priority="44423" operator="equal">
      <formula>"Retirado"</formula>
    </cfRule>
    <cfRule type="cellIs" dxfId="13405" priority="44424" operator="equal">
      <formula>"FSE"</formula>
    </cfRule>
  </conditionalFormatting>
  <conditionalFormatting sqref="H30">
    <cfRule type="duplicateValues" dxfId="13404" priority="44422"/>
  </conditionalFormatting>
  <conditionalFormatting sqref="H30">
    <cfRule type="duplicateValues" dxfId="13403" priority="44420"/>
  </conditionalFormatting>
  <conditionalFormatting sqref="F30">
    <cfRule type="cellIs" dxfId="13402" priority="44398" operator="equal">
      <formula>"APLAZADO"</formula>
    </cfRule>
    <cfRule type="cellIs" dxfId="13401" priority="44399" operator="equal">
      <formula>"CANCELADO"</formula>
    </cfRule>
    <cfRule type="cellIs" dxfId="13400" priority="44400" operator="equal">
      <formula>"NO EJECUTADO"</formula>
    </cfRule>
    <cfRule type="cellIs" dxfId="13399" priority="44401" operator="equal">
      <formula>"FPE"</formula>
    </cfRule>
    <cfRule type="cellIs" dxfId="13398" priority="44402" operator="equal">
      <formula>"AMA"</formula>
    </cfRule>
    <cfRule type="cellIs" dxfId="13397" priority="44403" operator="equal">
      <formula>"SIN DATOS"</formula>
    </cfRule>
    <cfRule type="cellIs" dxfId="13396" priority="44404" operator="equal">
      <formula>"SIN DATOS"</formula>
    </cfRule>
    <cfRule type="cellIs" dxfId="13395" priority="44405" operator="equal">
      <formula>"NO EJECTUTADO"</formula>
    </cfRule>
    <cfRule type="cellIs" dxfId="13394" priority="44406" operator="equal">
      <formula>"FE"</formula>
    </cfRule>
    <cfRule type="cellIs" dxfId="13393" priority="44407" operator="equal">
      <formula>"FE"</formula>
    </cfRule>
  </conditionalFormatting>
  <conditionalFormatting sqref="F30">
    <cfRule type="cellIs" dxfId="13392" priority="44396" operator="equal">
      <formula>"Retirado"</formula>
    </cfRule>
    <cfRule type="cellIs" dxfId="13391" priority="44397" operator="equal">
      <formula>"FSE"</formula>
    </cfRule>
  </conditionalFormatting>
  <conditionalFormatting sqref="F31">
    <cfRule type="cellIs" dxfId="13390" priority="44373" operator="equal">
      <formula>"APLAZADO"</formula>
    </cfRule>
    <cfRule type="cellIs" dxfId="13389" priority="44374" operator="equal">
      <formula>"CANCELADO"</formula>
    </cfRule>
    <cfRule type="cellIs" dxfId="13388" priority="44375" operator="equal">
      <formula>"NO EJECUTADO"</formula>
    </cfRule>
    <cfRule type="cellIs" dxfId="13387" priority="44376" operator="equal">
      <formula>"FPE"</formula>
    </cfRule>
    <cfRule type="cellIs" dxfId="13386" priority="44377" operator="equal">
      <formula>"AMA"</formula>
    </cfRule>
    <cfRule type="cellIs" dxfId="13385" priority="44378" operator="equal">
      <formula>"SIN DATOS"</formula>
    </cfRule>
    <cfRule type="cellIs" dxfId="13384" priority="44379" operator="equal">
      <formula>"SIN DATOS"</formula>
    </cfRule>
    <cfRule type="cellIs" dxfId="13383" priority="44380" operator="equal">
      <formula>"NO EJECTUTADO"</formula>
    </cfRule>
    <cfRule type="cellIs" dxfId="13382" priority="44381" operator="equal">
      <formula>"FE"</formula>
    </cfRule>
    <cfRule type="cellIs" dxfId="13381" priority="44382" operator="equal">
      <formula>"FE"</formula>
    </cfRule>
  </conditionalFormatting>
  <conditionalFormatting sqref="F31">
    <cfRule type="cellIs" dxfId="13380" priority="44371" operator="equal">
      <formula>"Retirado"</formula>
    </cfRule>
    <cfRule type="cellIs" dxfId="13379" priority="44372" operator="equal">
      <formula>"FSE"</formula>
    </cfRule>
  </conditionalFormatting>
  <conditionalFormatting sqref="F32">
    <cfRule type="cellIs" dxfId="13378" priority="44345" operator="equal">
      <formula>"APLAZADO"</formula>
    </cfRule>
    <cfRule type="cellIs" dxfId="13377" priority="44346" operator="equal">
      <formula>"CANCELADO"</formula>
    </cfRule>
    <cfRule type="cellIs" dxfId="13376" priority="44347" operator="equal">
      <formula>"NO EJECUTADO"</formula>
    </cfRule>
    <cfRule type="cellIs" dxfId="13375" priority="44348" operator="equal">
      <formula>"FPE"</formula>
    </cfRule>
    <cfRule type="cellIs" dxfId="13374" priority="44349" operator="equal">
      <formula>"AMA"</formula>
    </cfRule>
    <cfRule type="cellIs" dxfId="13373" priority="44350" operator="equal">
      <formula>"SIN DATOS"</formula>
    </cfRule>
    <cfRule type="cellIs" dxfId="13372" priority="44351" operator="equal">
      <formula>"SIN DATOS"</formula>
    </cfRule>
    <cfRule type="cellIs" dxfId="13371" priority="44352" operator="equal">
      <formula>"NO EJECTUTADO"</formula>
    </cfRule>
    <cfRule type="cellIs" dxfId="13370" priority="44353" operator="equal">
      <formula>"FE"</formula>
    </cfRule>
    <cfRule type="cellIs" dxfId="13369" priority="44354" operator="equal">
      <formula>"FE"</formula>
    </cfRule>
  </conditionalFormatting>
  <conditionalFormatting sqref="F32">
    <cfRule type="cellIs" dxfId="13368" priority="44343" operator="equal">
      <formula>"Retirado"</formula>
    </cfRule>
    <cfRule type="cellIs" dxfId="13367" priority="44344" operator="equal">
      <formula>"FSE"</formula>
    </cfRule>
  </conditionalFormatting>
  <conditionalFormatting sqref="A33">
    <cfRule type="cellIs" dxfId="13366" priority="44333" operator="equal">
      <formula>"APLAZADO"</formula>
    </cfRule>
    <cfRule type="cellIs" dxfId="13365" priority="44334" operator="equal">
      <formula>"CANCELADO"</formula>
    </cfRule>
    <cfRule type="cellIs" dxfId="13364" priority="44335" operator="equal">
      <formula>"NO EJECUTADO"</formula>
    </cfRule>
    <cfRule type="cellIs" dxfId="13363" priority="44336" operator="equal">
      <formula>"FPE"</formula>
    </cfRule>
    <cfRule type="cellIs" dxfId="13362" priority="44337" operator="equal">
      <formula>"AMA"</formula>
    </cfRule>
    <cfRule type="cellIs" dxfId="13361" priority="44338" operator="equal">
      <formula>"SIN DATOS"</formula>
    </cfRule>
    <cfRule type="cellIs" dxfId="13360" priority="44339" operator="equal">
      <formula>"SIN DATOS"</formula>
    </cfRule>
    <cfRule type="cellIs" dxfId="13359" priority="44340" operator="equal">
      <formula>"NO EJECTUTADO"</formula>
    </cfRule>
    <cfRule type="cellIs" dxfId="13358" priority="44341" operator="equal">
      <formula>"FE"</formula>
    </cfRule>
    <cfRule type="cellIs" dxfId="13357" priority="44342" operator="equal">
      <formula>"FE"</formula>
    </cfRule>
  </conditionalFormatting>
  <conditionalFormatting sqref="A33">
    <cfRule type="cellIs" dxfId="13356" priority="44331" operator="equal">
      <formula>"Retirado"</formula>
    </cfRule>
    <cfRule type="cellIs" dxfId="13355" priority="44332" operator="equal">
      <formula>"FSE"</formula>
    </cfRule>
  </conditionalFormatting>
  <conditionalFormatting sqref="F33">
    <cfRule type="cellIs" dxfId="13354" priority="44321" operator="equal">
      <formula>"APLAZADO"</formula>
    </cfRule>
    <cfRule type="cellIs" dxfId="13353" priority="44322" operator="equal">
      <formula>"CANCELADO"</formula>
    </cfRule>
    <cfRule type="cellIs" dxfId="13352" priority="44323" operator="equal">
      <formula>"NO EJECUTADO"</formula>
    </cfRule>
    <cfRule type="cellIs" dxfId="13351" priority="44324" operator="equal">
      <formula>"FPE"</formula>
    </cfRule>
    <cfRule type="cellIs" dxfId="13350" priority="44325" operator="equal">
      <formula>"AMA"</formula>
    </cfRule>
    <cfRule type="cellIs" dxfId="13349" priority="44326" operator="equal">
      <formula>"SIN DATOS"</formula>
    </cfRule>
    <cfRule type="cellIs" dxfId="13348" priority="44327" operator="equal">
      <formula>"SIN DATOS"</formula>
    </cfRule>
    <cfRule type="cellIs" dxfId="13347" priority="44328" operator="equal">
      <formula>"NO EJECTUTADO"</formula>
    </cfRule>
    <cfRule type="cellIs" dxfId="13346" priority="44329" operator="equal">
      <formula>"FE"</formula>
    </cfRule>
    <cfRule type="cellIs" dxfId="13345" priority="44330" operator="equal">
      <formula>"FE"</formula>
    </cfRule>
  </conditionalFormatting>
  <conditionalFormatting sqref="F33">
    <cfRule type="cellIs" dxfId="13344" priority="44319" operator="equal">
      <formula>"Retirado"</formula>
    </cfRule>
    <cfRule type="cellIs" dxfId="13343" priority="44320" operator="equal">
      <formula>"FSE"</formula>
    </cfRule>
  </conditionalFormatting>
  <conditionalFormatting sqref="F34">
    <cfRule type="cellIs" dxfId="13342" priority="44297" operator="equal">
      <formula>"APLAZADO"</formula>
    </cfRule>
    <cfRule type="cellIs" dxfId="13341" priority="44298" operator="equal">
      <formula>"CANCELADO"</formula>
    </cfRule>
    <cfRule type="cellIs" dxfId="13340" priority="44299" operator="equal">
      <formula>"NO EJECUTADO"</formula>
    </cfRule>
    <cfRule type="cellIs" dxfId="13339" priority="44300" operator="equal">
      <formula>"FPE"</formula>
    </cfRule>
    <cfRule type="cellIs" dxfId="13338" priority="44301" operator="equal">
      <formula>"AMA"</formula>
    </cfRule>
    <cfRule type="cellIs" dxfId="13337" priority="44302" operator="equal">
      <formula>"SIN DATOS"</formula>
    </cfRule>
    <cfRule type="cellIs" dxfId="13336" priority="44303" operator="equal">
      <formula>"SIN DATOS"</formula>
    </cfRule>
    <cfRule type="cellIs" dxfId="13335" priority="44304" operator="equal">
      <formula>"NO EJECTUTADO"</formula>
    </cfRule>
    <cfRule type="cellIs" dxfId="13334" priority="44305" operator="equal">
      <formula>"FE"</formula>
    </cfRule>
    <cfRule type="cellIs" dxfId="13333" priority="44306" operator="equal">
      <formula>"FE"</formula>
    </cfRule>
  </conditionalFormatting>
  <conditionalFormatting sqref="F34">
    <cfRule type="cellIs" dxfId="13332" priority="44295" operator="equal">
      <formula>"Retirado"</formula>
    </cfRule>
    <cfRule type="cellIs" dxfId="13331" priority="44296" operator="equal">
      <formula>"FSE"</formula>
    </cfRule>
  </conditionalFormatting>
  <conditionalFormatting sqref="F35">
    <cfRule type="cellIs" dxfId="13330" priority="44273" operator="equal">
      <formula>"APLAZADO"</formula>
    </cfRule>
    <cfRule type="cellIs" dxfId="13329" priority="44274" operator="equal">
      <formula>"CANCELADO"</formula>
    </cfRule>
    <cfRule type="cellIs" dxfId="13328" priority="44275" operator="equal">
      <formula>"NO EJECUTADO"</formula>
    </cfRule>
    <cfRule type="cellIs" dxfId="13327" priority="44276" operator="equal">
      <formula>"FPE"</formula>
    </cfRule>
    <cfRule type="cellIs" dxfId="13326" priority="44277" operator="equal">
      <formula>"AMA"</formula>
    </cfRule>
    <cfRule type="cellIs" dxfId="13325" priority="44278" operator="equal">
      <formula>"SIN DATOS"</formula>
    </cfRule>
    <cfRule type="cellIs" dxfId="13324" priority="44279" operator="equal">
      <formula>"SIN DATOS"</formula>
    </cfRule>
    <cfRule type="cellIs" dxfId="13323" priority="44280" operator="equal">
      <formula>"NO EJECTUTADO"</formula>
    </cfRule>
    <cfRule type="cellIs" dxfId="13322" priority="44281" operator="equal">
      <formula>"FE"</formula>
    </cfRule>
    <cfRule type="cellIs" dxfId="13321" priority="44282" operator="equal">
      <formula>"FE"</formula>
    </cfRule>
  </conditionalFormatting>
  <conditionalFormatting sqref="F35">
    <cfRule type="cellIs" dxfId="13320" priority="44271" operator="equal">
      <formula>"Retirado"</formula>
    </cfRule>
    <cfRule type="cellIs" dxfId="13319" priority="44272" operator="equal">
      <formula>"FSE"</formula>
    </cfRule>
  </conditionalFormatting>
  <conditionalFormatting sqref="F36">
    <cfRule type="cellIs" dxfId="13318" priority="44249" operator="equal">
      <formula>"APLAZADO"</formula>
    </cfRule>
    <cfRule type="cellIs" dxfId="13317" priority="44250" operator="equal">
      <formula>"CANCELADO"</formula>
    </cfRule>
    <cfRule type="cellIs" dxfId="13316" priority="44251" operator="equal">
      <formula>"NO EJECUTADO"</formula>
    </cfRule>
    <cfRule type="cellIs" dxfId="13315" priority="44252" operator="equal">
      <formula>"FPE"</formula>
    </cfRule>
    <cfRule type="cellIs" dxfId="13314" priority="44253" operator="equal">
      <formula>"AMA"</formula>
    </cfRule>
    <cfRule type="cellIs" dxfId="13313" priority="44254" operator="equal">
      <formula>"SIN DATOS"</formula>
    </cfRule>
    <cfRule type="cellIs" dxfId="13312" priority="44255" operator="equal">
      <formula>"SIN DATOS"</formula>
    </cfRule>
    <cfRule type="cellIs" dxfId="13311" priority="44256" operator="equal">
      <formula>"NO EJECTUTADO"</formula>
    </cfRule>
    <cfRule type="cellIs" dxfId="13310" priority="44257" operator="equal">
      <formula>"FE"</formula>
    </cfRule>
    <cfRule type="cellIs" dxfId="13309" priority="44258" operator="equal">
      <formula>"FE"</formula>
    </cfRule>
  </conditionalFormatting>
  <conditionalFormatting sqref="F36">
    <cfRule type="cellIs" dxfId="13308" priority="44247" operator="equal">
      <formula>"Retirado"</formula>
    </cfRule>
    <cfRule type="cellIs" dxfId="13307" priority="44248" operator="equal">
      <formula>"FSE"</formula>
    </cfRule>
  </conditionalFormatting>
  <conditionalFormatting sqref="F37">
    <cfRule type="cellIs" dxfId="13306" priority="44225" operator="equal">
      <formula>"APLAZADO"</formula>
    </cfRule>
    <cfRule type="cellIs" dxfId="13305" priority="44226" operator="equal">
      <formula>"CANCELADO"</formula>
    </cfRule>
    <cfRule type="cellIs" dxfId="13304" priority="44227" operator="equal">
      <formula>"NO EJECUTADO"</formula>
    </cfRule>
    <cfRule type="cellIs" dxfId="13303" priority="44228" operator="equal">
      <formula>"FPE"</formula>
    </cfRule>
    <cfRule type="cellIs" dxfId="13302" priority="44229" operator="equal">
      <formula>"AMA"</formula>
    </cfRule>
    <cfRule type="cellIs" dxfId="13301" priority="44230" operator="equal">
      <formula>"SIN DATOS"</formula>
    </cfRule>
    <cfRule type="cellIs" dxfId="13300" priority="44231" operator="equal">
      <formula>"SIN DATOS"</formula>
    </cfRule>
    <cfRule type="cellIs" dxfId="13299" priority="44232" operator="equal">
      <formula>"NO EJECTUTADO"</formula>
    </cfRule>
    <cfRule type="cellIs" dxfId="13298" priority="44233" operator="equal">
      <formula>"FE"</formula>
    </cfRule>
    <cfRule type="cellIs" dxfId="13297" priority="44234" operator="equal">
      <formula>"FE"</formula>
    </cfRule>
  </conditionalFormatting>
  <conditionalFormatting sqref="F37">
    <cfRule type="cellIs" dxfId="13296" priority="44223" operator="equal">
      <formula>"Retirado"</formula>
    </cfRule>
    <cfRule type="cellIs" dxfId="13295" priority="44224" operator="equal">
      <formula>"FSE"</formula>
    </cfRule>
  </conditionalFormatting>
  <conditionalFormatting sqref="F38">
    <cfRule type="cellIs" dxfId="13294" priority="44200" operator="equal">
      <formula>"APLAZADO"</formula>
    </cfRule>
    <cfRule type="cellIs" dxfId="13293" priority="44201" operator="equal">
      <formula>"CANCELADO"</formula>
    </cfRule>
    <cfRule type="cellIs" dxfId="13292" priority="44202" operator="equal">
      <formula>"NO EJECUTADO"</formula>
    </cfRule>
    <cfRule type="cellIs" dxfId="13291" priority="44203" operator="equal">
      <formula>"FPE"</formula>
    </cfRule>
    <cfRule type="cellIs" dxfId="13290" priority="44204" operator="equal">
      <formula>"AMA"</formula>
    </cfRule>
    <cfRule type="cellIs" dxfId="13289" priority="44205" operator="equal">
      <formula>"SIN DATOS"</formula>
    </cfRule>
    <cfRule type="cellIs" dxfId="13288" priority="44206" operator="equal">
      <formula>"SIN DATOS"</formula>
    </cfRule>
    <cfRule type="cellIs" dxfId="13287" priority="44207" operator="equal">
      <formula>"NO EJECTUTADO"</formula>
    </cfRule>
    <cfRule type="cellIs" dxfId="13286" priority="44208" operator="equal">
      <formula>"FE"</formula>
    </cfRule>
    <cfRule type="cellIs" dxfId="13285" priority="44209" operator="equal">
      <formula>"FE"</formula>
    </cfRule>
  </conditionalFormatting>
  <conditionalFormatting sqref="F38">
    <cfRule type="cellIs" dxfId="13284" priority="44198" operator="equal">
      <formula>"Retirado"</formula>
    </cfRule>
    <cfRule type="cellIs" dxfId="13283" priority="44199" operator="equal">
      <formula>"FSE"</formula>
    </cfRule>
  </conditionalFormatting>
  <conditionalFormatting sqref="F39">
    <cfRule type="cellIs" dxfId="13282" priority="44176" operator="equal">
      <formula>"APLAZADO"</formula>
    </cfRule>
    <cfRule type="cellIs" dxfId="13281" priority="44177" operator="equal">
      <formula>"CANCELADO"</formula>
    </cfRule>
    <cfRule type="cellIs" dxfId="13280" priority="44178" operator="equal">
      <formula>"NO EJECUTADO"</formula>
    </cfRule>
    <cfRule type="cellIs" dxfId="13279" priority="44179" operator="equal">
      <formula>"FPE"</formula>
    </cfRule>
    <cfRule type="cellIs" dxfId="13278" priority="44180" operator="equal">
      <formula>"AMA"</formula>
    </cfRule>
    <cfRule type="cellIs" dxfId="13277" priority="44181" operator="equal">
      <formula>"SIN DATOS"</formula>
    </cfRule>
    <cfRule type="cellIs" dxfId="13276" priority="44182" operator="equal">
      <formula>"SIN DATOS"</formula>
    </cfRule>
    <cfRule type="cellIs" dxfId="13275" priority="44183" operator="equal">
      <formula>"NO EJECTUTADO"</formula>
    </cfRule>
    <cfRule type="cellIs" dxfId="13274" priority="44184" operator="equal">
      <formula>"FE"</formula>
    </cfRule>
    <cfRule type="cellIs" dxfId="13273" priority="44185" operator="equal">
      <formula>"FE"</formula>
    </cfRule>
  </conditionalFormatting>
  <conditionalFormatting sqref="F39">
    <cfRule type="cellIs" dxfId="13272" priority="44174" operator="equal">
      <formula>"Retirado"</formula>
    </cfRule>
    <cfRule type="cellIs" dxfId="13271" priority="44175" operator="equal">
      <formula>"FSE"</formula>
    </cfRule>
  </conditionalFormatting>
  <conditionalFormatting sqref="F40">
    <cfRule type="cellIs" dxfId="13270" priority="44152" operator="equal">
      <formula>"APLAZADO"</formula>
    </cfRule>
    <cfRule type="cellIs" dxfId="13269" priority="44153" operator="equal">
      <formula>"CANCELADO"</formula>
    </cfRule>
    <cfRule type="cellIs" dxfId="13268" priority="44154" operator="equal">
      <formula>"NO EJECUTADO"</formula>
    </cfRule>
    <cfRule type="cellIs" dxfId="13267" priority="44155" operator="equal">
      <formula>"FPE"</formula>
    </cfRule>
    <cfRule type="cellIs" dxfId="13266" priority="44156" operator="equal">
      <formula>"AMA"</formula>
    </cfRule>
    <cfRule type="cellIs" dxfId="13265" priority="44157" operator="equal">
      <formula>"SIN DATOS"</formula>
    </cfRule>
    <cfRule type="cellIs" dxfId="13264" priority="44158" operator="equal">
      <formula>"SIN DATOS"</formula>
    </cfRule>
    <cfRule type="cellIs" dxfId="13263" priority="44159" operator="equal">
      <formula>"NO EJECTUTADO"</formula>
    </cfRule>
    <cfRule type="cellIs" dxfId="13262" priority="44160" operator="equal">
      <formula>"FE"</formula>
    </cfRule>
    <cfRule type="cellIs" dxfId="13261" priority="44161" operator="equal">
      <formula>"FE"</formula>
    </cfRule>
  </conditionalFormatting>
  <conditionalFormatting sqref="F40">
    <cfRule type="cellIs" dxfId="13260" priority="44150" operator="equal">
      <formula>"Retirado"</formula>
    </cfRule>
    <cfRule type="cellIs" dxfId="13259" priority="44151" operator="equal">
      <formula>"FSE"</formula>
    </cfRule>
  </conditionalFormatting>
  <conditionalFormatting sqref="F41">
    <cfRule type="cellIs" dxfId="13258" priority="44128" operator="equal">
      <formula>"APLAZADO"</formula>
    </cfRule>
    <cfRule type="cellIs" dxfId="13257" priority="44129" operator="equal">
      <formula>"CANCELADO"</formula>
    </cfRule>
    <cfRule type="cellIs" dxfId="13256" priority="44130" operator="equal">
      <formula>"NO EJECUTADO"</formula>
    </cfRule>
    <cfRule type="cellIs" dxfId="13255" priority="44131" operator="equal">
      <formula>"FPE"</formula>
    </cfRule>
    <cfRule type="cellIs" dxfId="13254" priority="44132" operator="equal">
      <formula>"AMA"</formula>
    </cfRule>
    <cfRule type="cellIs" dxfId="13253" priority="44133" operator="equal">
      <formula>"SIN DATOS"</formula>
    </cfRule>
    <cfRule type="cellIs" dxfId="13252" priority="44134" operator="equal">
      <formula>"SIN DATOS"</formula>
    </cfRule>
    <cfRule type="cellIs" dxfId="13251" priority="44135" operator="equal">
      <formula>"NO EJECTUTADO"</formula>
    </cfRule>
    <cfRule type="cellIs" dxfId="13250" priority="44136" operator="equal">
      <formula>"FE"</formula>
    </cfRule>
    <cfRule type="cellIs" dxfId="13249" priority="44137" operator="equal">
      <formula>"FE"</formula>
    </cfRule>
  </conditionalFormatting>
  <conditionalFormatting sqref="F41">
    <cfRule type="cellIs" dxfId="13248" priority="44126" operator="equal">
      <formula>"Retirado"</formula>
    </cfRule>
    <cfRule type="cellIs" dxfId="13247" priority="44127" operator="equal">
      <formula>"FSE"</formula>
    </cfRule>
  </conditionalFormatting>
  <conditionalFormatting sqref="F42">
    <cfRule type="cellIs" dxfId="13246" priority="44104" operator="equal">
      <formula>"APLAZADO"</formula>
    </cfRule>
    <cfRule type="cellIs" dxfId="13245" priority="44105" operator="equal">
      <formula>"CANCELADO"</formula>
    </cfRule>
    <cfRule type="cellIs" dxfId="13244" priority="44106" operator="equal">
      <formula>"NO EJECUTADO"</formula>
    </cfRule>
    <cfRule type="cellIs" dxfId="13243" priority="44107" operator="equal">
      <formula>"FPE"</formula>
    </cfRule>
    <cfRule type="cellIs" dxfId="13242" priority="44108" operator="equal">
      <formula>"AMA"</formula>
    </cfRule>
    <cfRule type="cellIs" dxfId="13241" priority="44109" operator="equal">
      <formula>"SIN DATOS"</formula>
    </cfRule>
    <cfRule type="cellIs" dxfId="13240" priority="44110" operator="equal">
      <formula>"SIN DATOS"</formula>
    </cfRule>
    <cfRule type="cellIs" dxfId="13239" priority="44111" operator="equal">
      <formula>"NO EJECTUTADO"</formula>
    </cfRule>
    <cfRule type="cellIs" dxfId="13238" priority="44112" operator="equal">
      <formula>"FE"</formula>
    </cfRule>
    <cfRule type="cellIs" dxfId="13237" priority="44113" operator="equal">
      <formula>"FE"</formula>
    </cfRule>
  </conditionalFormatting>
  <conditionalFormatting sqref="F42">
    <cfRule type="cellIs" dxfId="13236" priority="44102" operator="equal">
      <formula>"Retirado"</formula>
    </cfRule>
    <cfRule type="cellIs" dxfId="13235" priority="44103" operator="equal">
      <formula>"FSE"</formula>
    </cfRule>
  </conditionalFormatting>
  <conditionalFormatting sqref="F43">
    <cfRule type="cellIs" dxfId="13234" priority="44080" operator="equal">
      <formula>"APLAZADO"</formula>
    </cfRule>
    <cfRule type="cellIs" dxfId="13233" priority="44081" operator="equal">
      <formula>"CANCELADO"</formula>
    </cfRule>
    <cfRule type="cellIs" dxfId="13232" priority="44082" operator="equal">
      <formula>"NO EJECUTADO"</formula>
    </cfRule>
    <cfRule type="cellIs" dxfId="13231" priority="44083" operator="equal">
      <formula>"FPE"</formula>
    </cfRule>
    <cfRule type="cellIs" dxfId="13230" priority="44084" operator="equal">
      <formula>"AMA"</formula>
    </cfRule>
    <cfRule type="cellIs" dxfId="13229" priority="44085" operator="equal">
      <formula>"SIN DATOS"</formula>
    </cfRule>
    <cfRule type="cellIs" dxfId="13228" priority="44086" operator="equal">
      <formula>"SIN DATOS"</formula>
    </cfRule>
    <cfRule type="cellIs" dxfId="13227" priority="44087" operator="equal">
      <formula>"NO EJECTUTADO"</formula>
    </cfRule>
    <cfRule type="cellIs" dxfId="13226" priority="44088" operator="equal">
      <formula>"FE"</formula>
    </cfRule>
    <cfRule type="cellIs" dxfId="13225" priority="44089" operator="equal">
      <formula>"FE"</formula>
    </cfRule>
  </conditionalFormatting>
  <conditionalFormatting sqref="F43">
    <cfRule type="cellIs" dxfId="13224" priority="44078" operator="equal">
      <formula>"Retirado"</formula>
    </cfRule>
    <cfRule type="cellIs" dxfId="13223" priority="44079" operator="equal">
      <formula>"FSE"</formula>
    </cfRule>
  </conditionalFormatting>
  <conditionalFormatting sqref="F44">
    <cfRule type="cellIs" dxfId="13222" priority="44056" operator="equal">
      <formula>"APLAZADO"</formula>
    </cfRule>
    <cfRule type="cellIs" dxfId="13221" priority="44057" operator="equal">
      <formula>"CANCELADO"</formula>
    </cfRule>
    <cfRule type="cellIs" dxfId="13220" priority="44058" operator="equal">
      <formula>"NO EJECUTADO"</formula>
    </cfRule>
    <cfRule type="cellIs" dxfId="13219" priority="44059" operator="equal">
      <formula>"FPE"</formula>
    </cfRule>
    <cfRule type="cellIs" dxfId="13218" priority="44060" operator="equal">
      <formula>"AMA"</formula>
    </cfRule>
    <cfRule type="cellIs" dxfId="13217" priority="44061" operator="equal">
      <formula>"SIN DATOS"</formula>
    </cfRule>
    <cfRule type="cellIs" dxfId="13216" priority="44062" operator="equal">
      <formula>"SIN DATOS"</formula>
    </cfRule>
    <cfRule type="cellIs" dxfId="13215" priority="44063" operator="equal">
      <formula>"NO EJECTUTADO"</formula>
    </cfRule>
    <cfRule type="cellIs" dxfId="13214" priority="44064" operator="equal">
      <formula>"FE"</formula>
    </cfRule>
    <cfRule type="cellIs" dxfId="13213" priority="44065" operator="equal">
      <formula>"FE"</formula>
    </cfRule>
  </conditionalFormatting>
  <conditionalFormatting sqref="F44">
    <cfRule type="cellIs" dxfId="13212" priority="44054" operator="equal">
      <formula>"Retirado"</formula>
    </cfRule>
    <cfRule type="cellIs" dxfId="13211" priority="44055" operator="equal">
      <formula>"FSE"</formula>
    </cfRule>
  </conditionalFormatting>
  <conditionalFormatting sqref="F45">
    <cfRule type="cellIs" dxfId="13210" priority="44032" operator="equal">
      <formula>"APLAZADO"</formula>
    </cfRule>
    <cfRule type="cellIs" dxfId="13209" priority="44033" operator="equal">
      <formula>"CANCELADO"</formula>
    </cfRule>
    <cfRule type="cellIs" dxfId="13208" priority="44034" operator="equal">
      <formula>"NO EJECUTADO"</formula>
    </cfRule>
    <cfRule type="cellIs" dxfId="13207" priority="44035" operator="equal">
      <formula>"FPE"</formula>
    </cfRule>
    <cfRule type="cellIs" dxfId="13206" priority="44036" operator="equal">
      <formula>"AMA"</formula>
    </cfRule>
    <cfRule type="cellIs" dxfId="13205" priority="44037" operator="equal">
      <formula>"SIN DATOS"</formula>
    </cfRule>
    <cfRule type="cellIs" dxfId="13204" priority="44038" operator="equal">
      <formula>"SIN DATOS"</formula>
    </cfRule>
    <cfRule type="cellIs" dxfId="13203" priority="44039" operator="equal">
      <formula>"NO EJECTUTADO"</formula>
    </cfRule>
    <cfRule type="cellIs" dxfId="13202" priority="44040" operator="equal">
      <formula>"FE"</formula>
    </cfRule>
    <cfRule type="cellIs" dxfId="13201" priority="44041" operator="equal">
      <formula>"FE"</formula>
    </cfRule>
  </conditionalFormatting>
  <conditionalFormatting sqref="F45">
    <cfRule type="cellIs" dxfId="13200" priority="44030" operator="equal">
      <formula>"Retirado"</formula>
    </cfRule>
    <cfRule type="cellIs" dxfId="13199" priority="44031" operator="equal">
      <formula>"FSE"</formula>
    </cfRule>
  </conditionalFormatting>
  <conditionalFormatting sqref="F46">
    <cfRule type="cellIs" dxfId="13198" priority="44008" operator="equal">
      <formula>"APLAZADO"</formula>
    </cfRule>
    <cfRule type="cellIs" dxfId="13197" priority="44009" operator="equal">
      <formula>"CANCELADO"</formula>
    </cfRule>
    <cfRule type="cellIs" dxfId="13196" priority="44010" operator="equal">
      <formula>"NO EJECUTADO"</formula>
    </cfRule>
    <cfRule type="cellIs" dxfId="13195" priority="44011" operator="equal">
      <formula>"FPE"</formula>
    </cfRule>
    <cfRule type="cellIs" dxfId="13194" priority="44012" operator="equal">
      <formula>"AMA"</formula>
    </cfRule>
    <cfRule type="cellIs" dxfId="13193" priority="44013" operator="equal">
      <formula>"SIN DATOS"</formula>
    </cfRule>
    <cfRule type="cellIs" dxfId="13192" priority="44014" operator="equal">
      <formula>"SIN DATOS"</formula>
    </cfRule>
    <cfRule type="cellIs" dxfId="13191" priority="44015" operator="equal">
      <formula>"NO EJECTUTADO"</formula>
    </cfRule>
    <cfRule type="cellIs" dxfId="13190" priority="44016" operator="equal">
      <formula>"FE"</formula>
    </cfRule>
    <cfRule type="cellIs" dxfId="13189" priority="44017" operator="equal">
      <formula>"FE"</formula>
    </cfRule>
  </conditionalFormatting>
  <conditionalFormatting sqref="F46">
    <cfRule type="cellIs" dxfId="13188" priority="44006" operator="equal">
      <formula>"Retirado"</formula>
    </cfRule>
    <cfRule type="cellIs" dxfId="13187" priority="44007" operator="equal">
      <formula>"FSE"</formula>
    </cfRule>
  </conditionalFormatting>
  <conditionalFormatting sqref="F47">
    <cfRule type="cellIs" dxfId="13186" priority="43984" operator="equal">
      <formula>"APLAZADO"</formula>
    </cfRule>
    <cfRule type="cellIs" dxfId="13185" priority="43985" operator="equal">
      <formula>"CANCELADO"</formula>
    </cfRule>
    <cfRule type="cellIs" dxfId="13184" priority="43986" operator="equal">
      <formula>"NO EJECUTADO"</formula>
    </cfRule>
    <cfRule type="cellIs" dxfId="13183" priority="43987" operator="equal">
      <formula>"FPE"</formula>
    </cfRule>
    <cfRule type="cellIs" dxfId="13182" priority="43988" operator="equal">
      <formula>"AMA"</formula>
    </cfRule>
    <cfRule type="cellIs" dxfId="13181" priority="43989" operator="equal">
      <formula>"SIN DATOS"</formula>
    </cfRule>
    <cfRule type="cellIs" dxfId="13180" priority="43990" operator="equal">
      <formula>"SIN DATOS"</formula>
    </cfRule>
    <cfRule type="cellIs" dxfId="13179" priority="43991" operator="equal">
      <formula>"NO EJECTUTADO"</formula>
    </cfRule>
    <cfRule type="cellIs" dxfId="13178" priority="43992" operator="equal">
      <formula>"FE"</formula>
    </cfRule>
    <cfRule type="cellIs" dxfId="13177" priority="43993" operator="equal">
      <formula>"FE"</formula>
    </cfRule>
  </conditionalFormatting>
  <conditionalFormatting sqref="F47">
    <cfRule type="cellIs" dxfId="13176" priority="43982" operator="equal">
      <formula>"Retirado"</formula>
    </cfRule>
    <cfRule type="cellIs" dxfId="13175" priority="43983" operator="equal">
      <formula>"FSE"</formula>
    </cfRule>
  </conditionalFormatting>
  <conditionalFormatting sqref="F48">
    <cfRule type="cellIs" dxfId="13174" priority="43960" operator="equal">
      <formula>"APLAZADO"</formula>
    </cfRule>
    <cfRule type="cellIs" dxfId="13173" priority="43961" operator="equal">
      <formula>"CANCELADO"</formula>
    </cfRule>
    <cfRule type="cellIs" dxfId="13172" priority="43962" operator="equal">
      <formula>"NO EJECUTADO"</formula>
    </cfRule>
    <cfRule type="cellIs" dxfId="13171" priority="43963" operator="equal">
      <formula>"FPE"</formula>
    </cfRule>
    <cfRule type="cellIs" dxfId="13170" priority="43964" operator="equal">
      <formula>"AMA"</formula>
    </cfRule>
    <cfRule type="cellIs" dxfId="13169" priority="43965" operator="equal">
      <formula>"SIN DATOS"</formula>
    </cfRule>
    <cfRule type="cellIs" dxfId="13168" priority="43966" operator="equal">
      <formula>"SIN DATOS"</formula>
    </cfRule>
    <cfRule type="cellIs" dxfId="13167" priority="43967" operator="equal">
      <formula>"NO EJECTUTADO"</formula>
    </cfRule>
    <cfRule type="cellIs" dxfId="13166" priority="43968" operator="equal">
      <formula>"FE"</formula>
    </cfRule>
    <cfRule type="cellIs" dxfId="13165" priority="43969" operator="equal">
      <formula>"FE"</formula>
    </cfRule>
  </conditionalFormatting>
  <conditionalFormatting sqref="F48">
    <cfRule type="cellIs" dxfId="13164" priority="43958" operator="equal">
      <formula>"Retirado"</formula>
    </cfRule>
    <cfRule type="cellIs" dxfId="13163" priority="43959" operator="equal">
      <formula>"FSE"</formula>
    </cfRule>
  </conditionalFormatting>
  <conditionalFormatting sqref="F49">
    <cfRule type="cellIs" dxfId="13162" priority="43936" operator="equal">
      <formula>"APLAZADO"</formula>
    </cfRule>
    <cfRule type="cellIs" dxfId="13161" priority="43937" operator="equal">
      <formula>"CANCELADO"</formula>
    </cfRule>
    <cfRule type="cellIs" dxfId="13160" priority="43938" operator="equal">
      <formula>"NO EJECUTADO"</formula>
    </cfRule>
    <cfRule type="cellIs" dxfId="13159" priority="43939" operator="equal">
      <formula>"FPE"</formula>
    </cfRule>
    <cfRule type="cellIs" dxfId="13158" priority="43940" operator="equal">
      <formula>"AMA"</formula>
    </cfRule>
    <cfRule type="cellIs" dxfId="13157" priority="43941" operator="equal">
      <formula>"SIN DATOS"</formula>
    </cfRule>
    <cfRule type="cellIs" dxfId="13156" priority="43942" operator="equal">
      <formula>"SIN DATOS"</formula>
    </cfRule>
    <cfRule type="cellIs" dxfId="13155" priority="43943" operator="equal">
      <formula>"NO EJECTUTADO"</formula>
    </cfRule>
    <cfRule type="cellIs" dxfId="13154" priority="43944" operator="equal">
      <formula>"FE"</formula>
    </cfRule>
    <cfRule type="cellIs" dxfId="13153" priority="43945" operator="equal">
      <formula>"FE"</formula>
    </cfRule>
  </conditionalFormatting>
  <conditionalFormatting sqref="F49">
    <cfRule type="cellIs" dxfId="13152" priority="43934" operator="equal">
      <formula>"Retirado"</formula>
    </cfRule>
    <cfRule type="cellIs" dxfId="13151" priority="43935" operator="equal">
      <formula>"FSE"</formula>
    </cfRule>
  </conditionalFormatting>
  <conditionalFormatting sqref="F50">
    <cfRule type="cellIs" dxfId="13150" priority="43912" operator="equal">
      <formula>"APLAZADO"</formula>
    </cfRule>
    <cfRule type="cellIs" dxfId="13149" priority="43913" operator="equal">
      <formula>"CANCELADO"</formula>
    </cfRule>
    <cfRule type="cellIs" dxfId="13148" priority="43914" operator="equal">
      <formula>"NO EJECUTADO"</formula>
    </cfRule>
    <cfRule type="cellIs" dxfId="13147" priority="43915" operator="equal">
      <formula>"FPE"</formula>
    </cfRule>
    <cfRule type="cellIs" dxfId="13146" priority="43916" operator="equal">
      <formula>"AMA"</formula>
    </cfRule>
    <cfRule type="cellIs" dxfId="13145" priority="43917" operator="equal">
      <formula>"SIN DATOS"</formula>
    </cfRule>
    <cfRule type="cellIs" dxfId="13144" priority="43918" operator="equal">
      <formula>"SIN DATOS"</formula>
    </cfRule>
    <cfRule type="cellIs" dxfId="13143" priority="43919" operator="equal">
      <formula>"NO EJECTUTADO"</formula>
    </cfRule>
    <cfRule type="cellIs" dxfId="13142" priority="43920" operator="equal">
      <formula>"FE"</formula>
    </cfRule>
    <cfRule type="cellIs" dxfId="13141" priority="43921" operator="equal">
      <formula>"FE"</formula>
    </cfRule>
  </conditionalFormatting>
  <conditionalFormatting sqref="F50">
    <cfRule type="cellIs" dxfId="13140" priority="43910" operator="equal">
      <formula>"Retirado"</formula>
    </cfRule>
    <cfRule type="cellIs" dxfId="13139" priority="43911" operator="equal">
      <formula>"FSE"</formula>
    </cfRule>
  </conditionalFormatting>
  <conditionalFormatting sqref="F51">
    <cfRule type="cellIs" dxfId="13138" priority="43898" operator="equal">
      <formula>"APLAZADO"</formula>
    </cfRule>
    <cfRule type="cellIs" dxfId="13137" priority="43899" operator="equal">
      <formula>"CANCELADO"</formula>
    </cfRule>
    <cfRule type="cellIs" dxfId="13136" priority="43900" operator="equal">
      <formula>"NO EJECUTADO"</formula>
    </cfRule>
    <cfRule type="cellIs" dxfId="13135" priority="43901" operator="equal">
      <formula>"FPE"</formula>
    </cfRule>
    <cfRule type="cellIs" dxfId="13134" priority="43902" operator="equal">
      <formula>"AMA"</formula>
    </cfRule>
    <cfRule type="cellIs" dxfId="13133" priority="43903" operator="equal">
      <formula>"SIN DATOS"</formula>
    </cfRule>
    <cfRule type="cellIs" dxfId="13132" priority="43904" operator="equal">
      <formula>"SIN DATOS"</formula>
    </cfRule>
    <cfRule type="cellIs" dxfId="13131" priority="43905" operator="equal">
      <formula>"NO EJECTUTADO"</formula>
    </cfRule>
    <cfRule type="cellIs" dxfId="13130" priority="43906" operator="equal">
      <formula>"FE"</formula>
    </cfRule>
    <cfRule type="cellIs" dxfId="13129" priority="43907" operator="equal">
      <formula>"FE"</formula>
    </cfRule>
  </conditionalFormatting>
  <conditionalFormatting sqref="F51">
    <cfRule type="cellIs" dxfId="13128" priority="43896" operator="equal">
      <formula>"Retirado"</formula>
    </cfRule>
    <cfRule type="cellIs" dxfId="13127" priority="43897" operator="equal">
      <formula>"FSE"</formula>
    </cfRule>
  </conditionalFormatting>
  <conditionalFormatting sqref="F52">
    <cfRule type="cellIs" dxfId="13126" priority="43886" operator="equal">
      <formula>"APLAZADO"</formula>
    </cfRule>
    <cfRule type="cellIs" dxfId="13125" priority="43887" operator="equal">
      <formula>"CANCELADO"</formula>
    </cfRule>
    <cfRule type="cellIs" dxfId="13124" priority="43888" operator="equal">
      <formula>"NO EJECUTADO"</formula>
    </cfRule>
    <cfRule type="cellIs" dxfId="13123" priority="43889" operator="equal">
      <formula>"FPE"</formula>
    </cfRule>
    <cfRule type="cellIs" dxfId="13122" priority="43890" operator="equal">
      <formula>"AMA"</formula>
    </cfRule>
    <cfRule type="cellIs" dxfId="13121" priority="43891" operator="equal">
      <formula>"SIN DATOS"</formula>
    </cfRule>
    <cfRule type="cellIs" dxfId="13120" priority="43892" operator="equal">
      <formula>"SIN DATOS"</formula>
    </cfRule>
    <cfRule type="cellIs" dxfId="13119" priority="43893" operator="equal">
      <formula>"NO EJECTUTADO"</formula>
    </cfRule>
    <cfRule type="cellIs" dxfId="13118" priority="43894" operator="equal">
      <formula>"FE"</formula>
    </cfRule>
    <cfRule type="cellIs" dxfId="13117" priority="43895" operator="equal">
      <formula>"FE"</formula>
    </cfRule>
  </conditionalFormatting>
  <conditionalFormatting sqref="F52">
    <cfRule type="cellIs" dxfId="13116" priority="43884" operator="equal">
      <formula>"Retirado"</formula>
    </cfRule>
    <cfRule type="cellIs" dxfId="13115" priority="43885" operator="equal">
      <formula>"FSE"</formula>
    </cfRule>
  </conditionalFormatting>
  <conditionalFormatting sqref="F53">
    <cfRule type="cellIs" dxfId="13114" priority="43838" operator="equal">
      <formula>"APLAZADO"</formula>
    </cfRule>
    <cfRule type="cellIs" dxfId="13113" priority="43839" operator="equal">
      <formula>"CANCELADO"</formula>
    </cfRule>
    <cfRule type="cellIs" dxfId="13112" priority="43840" operator="equal">
      <formula>"NO EJECUTADO"</formula>
    </cfRule>
    <cfRule type="cellIs" dxfId="13111" priority="43841" operator="equal">
      <formula>"FPE"</formula>
    </cfRule>
    <cfRule type="cellIs" dxfId="13110" priority="43842" operator="equal">
      <formula>"AMA"</formula>
    </cfRule>
    <cfRule type="cellIs" dxfId="13109" priority="43843" operator="equal">
      <formula>"SIN DATOS"</formula>
    </cfRule>
    <cfRule type="cellIs" dxfId="13108" priority="43844" operator="equal">
      <formula>"SIN DATOS"</formula>
    </cfRule>
    <cfRule type="cellIs" dxfId="13107" priority="43845" operator="equal">
      <formula>"NO EJECTUTADO"</formula>
    </cfRule>
    <cfRule type="cellIs" dxfId="13106" priority="43846" operator="equal">
      <formula>"FE"</formula>
    </cfRule>
    <cfRule type="cellIs" dxfId="13105" priority="43847" operator="equal">
      <formula>"FE"</formula>
    </cfRule>
  </conditionalFormatting>
  <conditionalFormatting sqref="F53">
    <cfRule type="cellIs" dxfId="13104" priority="43836" operator="equal">
      <formula>"Retirado"</formula>
    </cfRule>
    <cfRule type="cellIs" dxfId="13103" priority="43837" operator="equal">
      <formula>"FSE"</formula>
    </cfRule>
  </conditionalFormatting>
  <conditionalFormatting sqref="F54">
    <cfRule type="cellIs" dxfId="13102" priority="43826" operator="equal">
      <formula>"APLAZADO"</formula>
    </cfRule>
    <cfRule type="cellIs" dxfId="13101" priority="43827" operator="equal">
      <formula>"CANCELADO"</formula>
    </cfRule>
    <cfRule type="cellIs" dxfId="13100" priority="43828" operator="equal">
      <formula>"NO EJECUTADO"</formula>
    </cfRule>
    <cfRule type="cellIs" dxfId="13099" priority="43829" operator="equal">
      <formula>"FPE"</formula>
    </cfRule>
    <cfRule type="cellIs" dxfId="13098" priority="43830" operator="equal">
      <formula>"AMA"</formula>
    </cfRule>
    <cfRule type="cellIs" dxfId="13097" priority="43831" operator="equal">
      <formula>"SIN DATOS"</formula>
    </cfRule>
    <cfRule type="cellIs" dxfId="13096" priority="43832" operator="equal">
      <formula>"SIN DATOS"</formula>
    </cfRule>
    <cfRule type="cellIs" dxfId="13095" priority="43833" operator="equal">
      <formula>"NO EJECTUTADO"</formula>
    </cfRule>
    <cfRule type="cellIs" dxfId="13094" priority="43834" operator="equal">
      <formula>"FE"</formula>
    </cfRule>
    <cfRule type="cellIs" dxfId="13093" priority="43835" operator="equal">
      <formula>"FE"</formula>
    </cfRule>
  </conditionalFormatting>
  <conditionalFormatting sqref="F54">
    <cfRule type="cellIs" dxfId="13092" priority="43824" operator="equal">
      <formula>"Retirado"</formula>
    </cfRule>
    <cfRule type="cellIs" dxfId="13091" priority="43825" operator="equal">
      <formula>"FSE"</formula>
    </cfRule>
  </conditionalFormatting>
  <conditionalFormatting sqref="F55">
    <cfRule type="cellIs" dxfId="13090" priority="43801" operator="equal">
      <formula>"APLAZADO"</formula>
    </cfRule>
    <cfRule type="cellIs" dxfId="13089" priority="43802" operator="equal">
      <formula>"CANCELADO"</formula>
    </cfRule>
    <cfRule type="cellIs" dxfId="13088" priority="43803" operator="equal">
      <formula>"NO EJECUTADO"</formula>
    </cfRule>
    <cfRule type="cellIs" dxfId="13087" priority="43804" operator="equal">
      <formula>"FPE"</formula>
    </cfRule>
    <cfRule type="cellIs" dxfId="13086" priority="43805" operator="equal">
      <formula>"AMA"</formula>
    </cfRule>
    <cfRule type="cellIs" dxfId="13085" priority="43806" operator="equal">
      <formula>"SIN DATOS"</formula>
    </cfRule>
    <cfRule type="cellIs" dxfId="13084" priority="43807" operator="equal">
      <formula>"SIN DATOS"</formula>
    </cfRule>
    <cfRule type="cellIs" dxfId="13083" priority="43808" operator="equal">
      <formula>"NO EJECTUTADO"</formula>
    </cfRule>
    <cfRule type="cellIs" dxfId="13082" priority="43809" operator="equal">
      <formula>"FE"</formula>
    </cfRule>
    <cfRule type="cellIs" dxfId="13081" priority="43810" operator="equal">
      <formula>"FE"</formula>
    </cfRule>
  </conditionalFormatting>
  <conditionalFormatting sqref="F55">
    <cfRule type="cellIs" dxfId="13080" priority="43799" operator="equal">
      <formula>"Retirado"</formula>
    </cfRule>
    <cfRule type="cellIs" dxfId="13079" priority="43800" operator="equal">
      <formula>"FSE"</formula>
    </cfRule>
  </conditionalFormatting>
  <conditionalFormatting sqref="F57">
    <cfRule type="cellIs" dxfId="13078" priority="43764" operator="equal">
      <formula>"APLAZADO"</formula>
    </cfRule>
    <cfRule type="cellIs" dxfId="13077" priority="43765" operator="equal">
      <formula>"CANCELADO"</formula>
    </cfRule>
    <cfRule type="cellIs" dxfId="13076" priority="43766" operator="equal">
      <formula>"NO EJECUTADO"</formula>
    </cfRule>
    <cfRule type="cellIs" dxfId="13075" priority="43767" operator="equal">
      <formula>"FPE"</formula>
    </cfRule>
    <cfRule type="cellIs" dxfId="13074" priority="43768" operator="equal">
      <formula>"AMA"</formula>
    </cfRule>
    <cfRule type="cellIs" dxfId="13073" priority="43769" operator="equal">
      <formula>"SIN DATOS"</formula>
    </cfRule>
    <cfRule type="cellIs" dxfId="13072" priority="43770" operator="equal">
      <formula>"SIN DATOS"</formula>
    </cfRule>
    <cfRule type="cellIs" dxfId="13071" priority="43771" operator="equal">
      <formula>"NO EJECTUTADO"</formula>
    </cfRule>
    <cfRule type="cellIs" dxfId="13070" priority="43772" operator="equal">
      <formula>"FE"</formula>
    </cfRule>
    <cfRule type="cellIs" dxfId="13069" priority="43773" operator="equal">
      <formula>"FE"</formula>
    </cfRule>
  </conditionalFormatting>
  <conditionalFormatting sqref="F57">
    <cfRule type="cellIs" dxfId="13068" priority="43762" operator="equal">
      <formula>"Retirado"</formula>
    </cfRule>
    <cfRule type="cellIs" dxfId="13067" priority="43763" operator="equal">
      <formula>"FSE"</formula>
    </cfRule>
  </conditionalFormatting>
  <conditionalFormatting sqref="F58">
    <cfRule type="cellIs" dxfId="13066" priority="43740" operator="equal">
      <formula>"APLAZADO"</formula>
    </cfRule>
    <cfRule type="cellIs" dxfId="13065" priority="43741" operator="equal">
      <formula>"CANCELADO"</formula>
    </cfRule>
    <cfRule type="cellIs" dxfId="13064" priority="43742" operator="equal">
      <formula>"NO EJECUTADO"</formula>
    </cfRule>
    <cfRule type="cellIs" dxfId="13063" priority="43743" operator="equal">
      <formula>"FPE"</formula>
    </cfRule>
    <cfRule type="cellIs" dxfId="13062" priority="43744" operator="equal">
      <formula>"AMA"</formula>
    </cfRule>
    <cfRule type="cellIs" dxfId="13061" priority="43745" operator="equal">
      <formula>"SIN DATOS"</formula>
    </cfRule>
    <cfRule type="cellIs" dxfId="13060" priority="43746" operator="equal">
      <formula>"SIN DATOS"</formula>
    </cfRule>
    <cfRule type="cellIs" dxfId="13059" priority="43747" operator="equal">
      <formula>"NO EJECTUTADO"</formula>
    </cfRule>
    <cfRule type="cellIs" dxfId="13058" priority="43748" operator="equal">
      <formula>"FE"</formula>
    </cfRule>
    <cfRule type="cellIs" dxfId="13057" priority="43749" operator="equal">
      <formula>"FE"</formula>
    </cfRule>
  </conditionalFormatting>
  <conditionalFormatting sqref="F58">
    <cfRule type="cellIs" dxfId="13056" priority="43738" operator="equal">
      <formula>"Retirado"</formula>
    </cfRule>
    <cfRule type="cellIs" dxfId="13055" priority="43739" operator="equal">
      <formula>"FSE"</formula>
    </cfRule>
  </conditionalFormatting>
  <conditionalFormatting sqref="F59">
    <cfRule type="cellIs" dxfId="13054" priority="43716" operator="equal">
      <formula>"APLAZADO"</formula>
    </cfRule>
    <cfRule type="cellIs" dxfId="13053" priority="43717" operator="equal">
      <formula>"CANCELADO"</formula>
    </cfRule>
    <cfRule type="cellIs" dxfId="13052" priority="43718" operator="equal">
      <formula>"NO EJECUTADO"</formula>
    </cfRule>
    <cfRule type="cellIs" dxfId="13051" priority="43719" operator="equal">
      <formula>"FPE"</formula>
    </cfRule>
    <cfRule type="cellIs" dxfId="13050" priority="43720" operator="equal">
      <formula>"AMA"</formula>
    </cfRule>
    <cfRule type="cellIs" dxfId="13049" priority="43721" operator="equal">
      <formula>"SIN DATOS"</formula>
    </cfRule>
    <cfRule type="cellIs" dxfId="13048" priority="43722" operator="equal">
      <formula>"SIN DATOS"</formula>
    </cfRule>
    <cfRule type="cellIs" dxfId="13047" priority="43723" operator="equal">
      <formula>"NO EJECTUTADO"</formula>
    </cfRule>
    <cfRule type="cellIs" dxfId="13046" priority="43724" operator="equal">
      <formula>"FE"</formula>
    </cfRule>
    <cfRule type="cellIs" dxfId="13045" priority="43725" operator="equal">
      <formula>"FE"</formula>
    </cfRule>
  </conditionalFormatting>
  <conditionalFormatting sqref="F59">
    <cfRule type="cellIs" dxfId="13044" priority="43714" operator="equal">
      <formula>"Retirado"</formula>
    </cfRule>
    <cfRule type="cellIs" dxfId="13043" priority="43715" operator="equal">
      <formula>"FSE"</formula>
    </cfRule>
  </conditionalFormatting>
  <conditionalFormatting sqref="F60">
    <cfRule type="cellIs" dxfId="13042" priority="43692" operator="equal">
      <formula>"APLAZADO"</formula>
    </cfRule>
    <cfRule type="cellIs" dxfId="13041" priority="43693" operator="equal">
      <formula>"CANCELADO"</formula>
    </cfRule>
    <cfRule type="cellIs" dxfId="13040" priority="43694" operator="equal">
      <formula>"NO EJECUTADO"</formula>
    </cfRule>
    <cfRule type="cellIs" dxfId="13039" priority="43695" operator="equal">
      <formula>"FPE"</formula>
    </cfRule>
    <cfRule type="cellIs" dxfId="13038" priority="43696" operator="equal">
      <formula>"AMA"</formula>
    </cfRule>
    <cfRule type="cellIs" dxfId="13037" priority="43697" operator="equal">
      <formula>"SIN DATOS"</formula>
    </cfRule>
    <cfRule type="cellIs" dxfId="13036" priority="43698" operator="equal">
      <formula>"SIN DATOS"</formula>
    </cfRule>
    <cfRule type="cellIs" dxfId="13035" priority="43699" operator="equal">
      <formula>"NO EJECTUTADO"</formula>
    </cfRule>
    <cfRule type="cellIs" dxfId="13034" priority="43700" operator="equal">
      <formula>"FE"</formula>
    </cfRule>
    <cfRule type="cellIs" dxfId="13033" priority="43701" operator="equal">
      <formula>"FE"</formula>
    </cfRule>
  </conditionalFormatting>
  <conditionalFormatting sqref="F60">
    <cfRule type="cellIs" dxfId="13032" priority="43690" operator="equal">
      <formula>"Retirado"</formula>
    </cfRule>
    <cfRule type="cellIs" dxfId="13031" priority="43691" operator="equal">
      <formula>"FSE"</formula>
    </cfRule>
  </conditionalFormatting>
  <conditionalFormatting sqref="A15">
    <cfRule type="cellIs" dxfId="13030" priority="43662" operator="equal">
      <formula>"APLAZADO"</formula>
    </cfRule>
    <cfRule type="cellIs" dxfId="13029" priority="43663" operator="equal">
      <formula>"CANCELADO"</formula>
    </cfRule>
    <cfRule type="cellIs" dxfId="13028" priority="43664" operator="equal">
      <formula>"NO EJECUTADO"</formula>
    </cfRule>
    <cfRule type="cellIs" dxfId="13027" priority="43665" operator="equal">
      <formula>"FPE"</formula>
    </cfRule>
    <cfRule type="cellIs" dxfId="13026" priority="43666" operator="equal">
      <formula>"AMA"</formula>
    </cfRule>
    <cfRule type="cellIs" dxfId="13025" priority="43667" operator="equal">
      <formula>"SIN DATOS"</formula>
    </cfRule>
    <cfRule type="cellIs" dxfId="13024" priority="43668" operator="equal">
      <formula>"SIN DATOS"</formula>
    </cfRule>
    <cfRule type="cellIs" dxfId="13023" priority="43669" operator="equal">
      <formula>"NO EJECTUTADO"</formula>
    </cfRule>
    <cfRule type="cellIs" dxfId="13022" priority="43670" operator="equal">
      <formula>"FE"</formula>
    </cfRule>
    <cfRule type="cellIs" dxfId="13021" priority="43671" operator="equal">
      <formula>"FE"</formula>
    </cfRule>
  </conditionalFormatting>
  <conditionalFormatting sqref="A15">
    <cfRule type="cellIs" dxfId="13020" priority="43660" operator="equal">
      <formula>"Retirado"</formula>
    </cfRule>
    <cfRule type="cellIs" dxfId="13019" priority="43661" operator="equal">
      <formula>"FSE"</formula>
    </cfRule>
  </conditionalFormatting>
  <conditionalFormatting sqref="A16">
    <cfRule type="cellIs" dxfId="13018" priority="43650" operator="equal">
      <formula>"APLAZADO"</formula>
    </cfRule>
    <cfRule type="cellIs" dxfId="13017" priority="43651" operator="equal">
      <formula>"CANCELADO"</formula>
    </cfRule>
    <cfRule type="cellIs" dxfId="13016" priority="43652" operator="equal">
      <formula>"NO EJECUTADO"</formula>
    </cfRule>
    <cfRule type="cellIs" dxfId="13015" priority="43653" operator="equal">
      <formula>"FPE"</formula>
    </cfRule>
    <cfRule type="cellIs" dxfId="13014" priority="43654" operator="equal">
      <formula>"AMA"</formula>
    </cfRule>
    <cfRule type="cellIs" dxfId="13013" priority="43655" operator="equal">
      <formula>"SIN DATOS"</formula>
    </cfRule>
    <cfRule type="cellIs" dxfId="13012" priority="43656" operator="equal">
      <formula>"SIN DATOS"</formula>
    </cfRule>
    <cfRule type="cellIs" dxfId="13011" priority="43657" operator="equal">
      <formula>"NO EJECTUTADO"</formula>
    </cfRule>
    <cfRule type="cellIs" dxfId="13010" priority="43658" operator="equal">
      <formula>"FE"</formula>
    </cfRule>
    <cfRule type="cellIs" dxfId="13009" priority="43659" operator="equal">
      <formula>"FE"</formula>
    </cfRule>
  </conditionalFormatting>
  <conditionalFormatting sqref="A16">
    <cfRule type="cellIs" dxfId="13008" priority="43648" operator="equal">
      <formula>"Retirado"</formula>
    </cfRule>
    <cfRule type="cellIs" dxfId="13007" priority="43649" operator="equal">
      <formula>"FSE"</formula>
    </cfRule>
  </conditionalFormatting>
  <conditionalFormatting sqref="A18">
    <cfRule type="cellIs" dxfId="13006" priority="43638" operator="equal">
      <formula>"APLAZADO"</formula>
    </cfRule>
    <cfRule type="cellIs" dxfId="13005" priority="43639" operator="equal">
      <formula>"CANCELADO"</formula>
    </cfRule>
    <cfRule type="cellIs" dxfId="13004" priority="43640" operator="equal">
      <formula>"NO EJECUTADO"</formula>
    </cfRule>
    <cfRule type="cellIs" dxfId="13003" priority="43641" operator="equal">
      <formula>"FPE"</formula>
    </cfRule>
    <cfRule type="cellIs" dxfId="13002" priority="43642" operator="equal">
      <formula>"AMA"</formula>
    </cfRule>
    <cfRule type="cellIs" dxfId="13001" priority="43643" operator="equal">
      <formula>"SIN DATOS"</formula>
    </cfRule>
    <cfRule type="cellIs" dxfId="13000" priority="43644" operator="equal">
      <formula>"SIN DATOS"</formula>
    </cfRule>
    <cfRule type="cellIs" dxfId="12999" priority="43645" operator="equal">
      <formula>"NO EJECTUTADO"</formula>
    </cfRule>
    <cfRule type="cellIs" dxfId="12998" priority="43646" operator="equal">
      <formula>"FE"</formula>
    </cfRule>
    <cfRule type="cellIs" dxfId="12997" priority="43647" operator="equal">
      <formula>"FE"</formula>
    </cfRule>
  </conditionalFormatting>
  <conditionalFormatting sqref="A18">
    <cfRule type="cellIs" dxfId="12996" priority="43636" operator="equal">
      <formula>"Retirado"</formula>
    </cfRule>
    <cfRule type="cellIs" dxfId="12995" priority="43637" operator="equal">
      <formula>"FSE"</formula>
    </cfRule>
  </conditionalFormatting>
  <conditionalFormatting sqref="A20">
    <cfRule type="cellIs" dxfId="12994" priority="43626" operator="equal">
      <formula>"APLAZADO"</formula>
    </cfRule>
    <cfRule type="cellIs" dxfId="12993" priority="43627" operator="equal">
      <formula>"CANCELADO"</formula>
    </cfRule>
    <cfRule type="cellIs" dxfId="12992" priority="43628" operator="equal">
      <formula>"NO EJECUTADO"</formula>
    </cfRule>
    <cfRule type="cellIs" dxfId="12991" priority="43629" operator="equal">
      <formula>"FPE"</formula>
    </cfRule>
    <cfRule type="cellIs" dxfId="12990" priority="43630" operator="equal">
      <formula>"AMA"</formula>
    </cfRule>
    <cfRule type="cellIs" dxfId="12989" priority="43631" operator="equal">
      <formula>"SIN DATOS"</formula>
    </cfRule>
    <cfRule type="cellIs" dxfId="12988" priority="43632" operator="equal">
      <formula>"SIN DATOS"</formula>
    </cfRule>
    <cfRule type="cellIs" dxfId="12987" priority="43633" operator="equal">
      <formula>"NO EJECTUTADO"</formula>
    </cfRule>
    <cfRule type="cellIs" dxfId="12986" priority="43634" operator="equal">
      <formula>"FE"</formula>
    </cfRule>
    <cfRule type="cellIs" dxfId="12985" priority="43635" operator="equal">
      <formula>"FE"</formula>
    </cfRule>
  </conditionalFormatting>
  <conditionalFormatting sqref="A20">
    <cfRule type="cellIs" dxfId="12984" priority="43624" operator="equal">
      <formula>"Retirado"</formula>
    </cfRule>
    <cfRule type="cellIs" dxfId="12983" priority="43625" operator="equal">
      <formula>"FSE"</formula>
    </cfRule>
  </conditionalFormatting>
  <conditionalFormatting sqref="A22">
    <cfRule type="cellIs" dxfId="12982" priority="43614" operator="equal">
      <formula>"APLAZADO"</formula>
    </cfRule>
    <cfRule type="cellIs" dxfId="12981" priority="43615" operator="equal">
      <formula>"CANCELADO"</formula>
    </cfRule>
    <cfRule type="cellIs" dxfId="12980" priority="43616" operator="equal">
      <formula>"NO EJECUTADO"</formula>
    </cfRule>
    <cfRule type="cellIs" dxfId="12979" priority="43617" operator="equal">
      <formula>"FPE"</formula>
    </cfRule>
    <cfRule type="cellIs" dxfId="12978" priority="43618" operator="equal">
      <formula>"AMA"</formula>
    </cfRule>
    <cfRule type="cellIs" dxfId="12977" priority="43619" operator="equal">
      <formula>"SIN DATOS"</formula>
    </cfRule>
    <cfRule type="cellIs" dxfId="12976" priority="43620" operator="equal">
      <formula>"SIN DATOS"</formula>
    </cfRule>
    <cfRule type="cellIs" dxfId="12975" priority="43621" operator="equal">
      <formula>"NO EJECTUTADO"</formula>
    </cfRule>
    <cfRule type="cellIs" dxfId="12974" priority="43622" operator="equal">
      <formula>"FE"</formula>
    </cfRule>
    <cfRule type="cellIs" dxfId="12973" priority="43623" operator="equal">
      <formula>"FE"</formula>
    </cfRule>
  </conditionalFormatting>
  <conditionalFormatting sqref="A22">
    <cfRule type="cellIs" dxfId="12972" priority="43612" operator="equal">
      <formula>"Retirado"</formula>
    </cfRule>
    <cfRule type="cellIs" dxfId="12971" priority="43613" operator="equal">
      <formula>"FSE"</formula>
    </cfRule>
  </conditionalFormatting>
  <conditionalFormatting sqref="A24">
    <cfRule type="cellIs" dxfId="12970" priority="43602" operator="equal">
      <formula>"APLAZADO"</formula>
    </cfRule>
    <cfRule type="cellIs" dxfId="12969" priority="43603" operator="equal">
      <formula>"CANCELADO"</formula>
    </cfRule>
    <cfRule type="cellIs" dxfId="12968" priority="43604" operator="equal">
      <formula>"NO EJECUTADO"</formula>
    </cfRule>
    <cfRule type="cellIs" dxfId="12967" priority="43605" operator="equal">
      <formula>"FPE"</formula>
    </cfRule>
    <cfRule type="cellIs" dxfId="12966" priority="43606" operator="equal">
      <formula>"AMA"</formula>
    </cfRule>
    <cfRule type="cellIs" dxfId="12965" priority="43607" operator="equal">
      <formula>"SIN DATOS"</formula>
    </cfRule>
    <cfRule type="cellIs" dxfId="12964" priority="43608" operator="equal">
      <formula>"SIN DATOS"</formula>
    </cfRule>
    <cfRule type="cellIs" dxfId="12963" priority="43609" operator="equal">
      <formula>"NO EJECTUTADO"</formula>
    </cfRule>
    <cfRule type="cellIs" dxfId="12962" priority="43610" operator="equal">
      <formula>"FE"</formula>
    </cfRule>
    <cfRule type="cellIs" dxfId="12961" priority="43611" operator="equal">
      <formula>"FE"</formula>
    </cfRule>
  </conditionalFormatting>
  <conditionalFormatting sqref="A24">
    <cfRule type="cellIs" dxfId="12960" priority="43600" operator="equal">
      <formula>"Retirado"</formula>
    </cfRule>
    <cfRule type="cellIs" dxfId="12959" priority="43601" operator="equal">
      <formula>"FSE"</formula>
    </cfRule>
  </conditionalFormatting>
  <conditionalFormatting sqref="A25">
    <cfRule type="cellIs" dxfId="12958" priority="43590" operator="equal">
      <formula>"APLAZADO"</formula>
    </cfRule>
    <cfRule type="cellIs" dxfId="12957" priority="43591" operator="equal">
      <formula>"CANCELADO"</formula>
    </cfRule>
    <cfRule type="cellIs" dxfId="12956" priority="43592" operator="equal">
      <formula>"NO EJECUTADO"</formula>
    </cfRule>
    <cfRule type="cellIs" dxfId="12955" priority="43593" operator="equal">
      <formula>"FPE"</formula>
    </cfRule>
    <cfRule type="cellIs" dxfId="12954" priority="43594" operator="equal">
      <formula>"AMA"</formula>
    </cfRule>
    <cfRule type="cellIs" dxfId="12953" priority="43595" operator="equal">
      <formula>"SIN DATOS"</formula>
    </cfRule>
    <cfRule type="cellIs" dxfId="12952" priority="43596" operator="equal">
      <formula>"SIN DATOS"</formula>
    </cfRule>
    <cfRule type="cellIs" dxfId="12951" priority="43597" operator="equal">
      <formula>"NO EJECTUTADO"</formula>
    </cfRule>
    <cfRule type="cellIs" dxfId="12950" priority="43598" operator="equal">
      <formula>"FE"</formula>
    </cfRule>
    <cfRule type="cellIs" dxfId="12949" priority="43599" operator="equal">
      <formula>"FE"</formula>
    </cfRule>
  </conditionalFormatting>
  <conditionalFormatting sqref="A25">
    <cfRule type="cellIs" dxfId="12948" priority="43588" operator="equal">
      <formula>"Retirado"</formula>
    </cfRule>
    <cfRule type="cellIs" dxfId="12947" priority="43589" operator="equal">
      <formula>"FSE"</formula>
    </cfRule>
  </conditionalFormatting>
  <conditionalFormatting sqref="A27">
    <cfRule type="cellIs" dxfId="12946" priority="43578" operator="equal">
      <formula>"APLAZADO"</formula>
    </cfRule>
    <cfRule type="cellIs" dxfId="12945" priority="43579" operator="equal">
      <formula>"CANCELADO"</formula>
    </cfRule>
    <cfRule type="cellIs" dxfId="12944" priority="43580" operator="equal">
      <formula>"NO EJECUTADO"</formula>
    </cfRule>
    <cfRule type="cellIs" dxfId="12943" priority="43581" operator="equal">
      <formula>"FPE"</formula>
    </cfRule>
    <cfRule type="cellIs" dxfId="12942" priority="43582" operator="equal">
      <formula>"AMA"</formula>
    </cfRule>
    <cfRule type="cellIs" dxfId="12941" priority="43583" operator="equal">
      <formula>"SIN DATOS"</formula>
    </cfRule>
    <cfRule type="cellIs" dxfId="12940" priority="43584" operator="equal">
      <formula>"SIN DATOS"</formula>
    </cfRule>
    <cfRule type="cellIs" dxfId="12939" priority="43585" operator="equal">
      <formula>"NO EJECTUTADO"</formula>
    </cfRule>
    <cfRule type="cellIs" dxfId="12938" priority="43586" operator="equal">
      <formula>"FE"</formula>
    </cfRule>
    <cfRule type="cellIs" dxfId="12937" priority="43587" operator="equal">
      <formula>"FE"</formula>
    </cfRule>
  </conditionalFormatting>
  <conditionalFormatting sqref="A27">
    <cfRule type="cellIs" dxfId="12936" priority="43576" operator="equal">
      <formula>"Retirado"</formula>
    </cfRule>
    <cfRule type="cellIs" dxfId="12935" priority="43577" operator="equal">
      <formula>"FSE"</formula>
    </cfRule>
  </conditionalFormatting>
  <conditionalFormatting sqref="A29">
    <cfRule type="cellIs" dxfId="12934" priority="43566" operator="equal">
      <formula>"APLAZADO"</formula>
    </cfRule>
    <cfRule type="cellIs" dxfId="12933" priority="43567" operator="equal">
      <formula>"CANCELADO"</formula>
    </cfRule>
    <cfRule type="cellIs" dxfId="12932" priority="43568" operator="equal">
      <formula>"NO EJECUTADO"</formula>
    </cfRule>
    <cfRule type="cellIs" dxfId="12931" priority="43569" operator="equal">
      <formula>"FPE"</formula>
    </cfRule>
    <cfRule type="cellIs" dxfId="12930" priority="43570" operator="equal">
      <formula>"AMA"</formula>
    </cfRule>
    <cfRule type="cellIs" dxfId="12929" priority="43571" operator="equal">
      <formula>"SIN DATOS"</formula>
    </cfRule>
    <cfRule type="cellIs" dxfId="12928" priority="43572" operator="equal">
      <formula>"SIN DATOS"</formula>
    </cfRule>
    <cfRule type="cellIs" dxfId="12927" priority="43573" operator="equal">
      <formula>"NO EJECTUTADO"</formula>
    </cfRule>
    <cfRule type="cellIs" dxfId="12926" priority="43574" operator="equal">
      <formula>"FE"</formula>
    </cfRule>
    <cfRule type="cellIs" dxfId="12925" priority="43575" operator="equal">
      <formula>"FE"</formula>
    </cfRule>
  </conditionalFormatting>
  <conditionalFormatting sqref="A29">
    <cfRule type="cellIs" dxfId="12924" priority="43564" operator="equal">
      <formula>"Retirado"</formula>
    </cfRule>
    <cfRule type="cellIs" dxfId="12923" priority="43565" operator="equal">
      <formula>"FSE"</formula>
    </cfRule>
  </conditionalFormatting>
  <conditionalFormatting sqref="A30">
    <cfRule type="cellIs" dxfId="12922" priority="43554" operator="equal">
      <formula>"APLAZADO"</formula>
    </cfRule>
    <cfRule type="cellIs" dxfId="12921" priority="43555" operator="equal">
      <formula>"CANCELADO"</formula>
    </cfRule>
    <cfRule type="cellIs" dxfId="12920" priority="43556" operator="equal">
      <formula>"NO EJECUTADO"</formula>
    </cfRule>
    <cfRule type="cellIs" dxfId="12919" priority="43557" operator="equal">
      <formula>"FPE"</formula>
    </cfRule>
    <cfRule type="cellIs" dxfId="12918" priority="43558" operator="equal">
      <formula>"AMA"</formula>
    </cfRule>
    <cfRule type="cellIs" dxfId="12917" priority="43559" operator="equal">
      <formula>"SIN DATOS"</formula>
    </cfRule>
    <cfRule type="cellIs" dxfId="12916" priority="43560" operator="equal">
      <formula>"SIN DATOS"</formula>
    </cfRule>
    <cfRule type="cellIs" dxfId="12915" priority="43561" operator="equal">
      <formula>"NO EJECTUTADO"</formula>
    </cfRule>
    <cfRule type="cellIs" dxfId="12914" priority="43562" operator="equal">
      <formula>"FE"</formula>
    </cfRule>
    <cfRule type="cellIs" dxfId="12913" priority="43563" operator="equal">
      <formula>"FE"</formula>
    </cfRule>
  </conditionalFormatting>
  <conditionalFormatting sqref="A30">
    <cfRule type="cellIs" dxfId="12912" priority="43552" operator="equal">
      <formula>"Retirado"</formula>
    </cfRule>
    <cfRule type="cellIs" dxfId="12911" priority="43553" operator="equal">
      <formula>"FSE"</formula>
    </cfRule>
  </conditionalFormatting>
  <conditionalFormatting sqref="A31">
    <cfRule type="cellIs" dxfId="12910" priority="43542" operator="equal">
      <formula>"APLAZADO"</formula>
    </cfRule>
    <cfRule type="cellIs" dxfId="12909" priority="43543" operator="equal">
      <formula>"CANCELADO"</formula>
    </cfRule>
    <cfRule type="cellIs" dxfId="12908" priority="43544" operator="equal">
      <formula>"NO EJECUTADO"</formula>
    </cfRule>
    <cfRule type="cellIs" dxfId="12907" priority="43545" operator="equal">
      <formula>"FPE"</formula>
    </cfRule>
    <cfRule type="cellIs" dxfId="12906" priority="43546" operator="equal">
      <formula>"AMA"</formula>
    </cfRule>
    <cfRule type="cellIs" dxfId="12905" priority="43547" operator="equal">
      <formula>"SIN DATOS"</formula>
    </cfRule>
    <cfRule type="cellIs" dxfId="12904" priority="43548" operator="equal">
      <formula>"SIN DATOS"</formula>
    </cfRule>
    <cfRule type="cellIs" dxfId="12903" priority="43549" operator="equal">
      <formula>"NO EJECTUTADO"</formula>
    </cfRule>
    <cfRule type="cellIs" dxfId="12902" priority="43550" operator="equal">
      <formula>"FE"</formula>
    </cfRule>
    <cfRule type="cellIs" dxfId="12901" priority="43551" operator="equal">
      <formula>"FE"</formula>
    </cfRule>
  </conditionalFormatting>
  <conditionalFormatting sqref="A31">
    <cfRule type="cellIs" dxfId="12900" priority="43540" operator="equal">
      <formula>"Retirado"</formula>
    </cfRule>
    <cfRule type="cellIs" dxfId="12899" priority="43541" operator="equal">
      <formula>"FSE"</formula>
    </cfRule>
  </conditionalFormatting>
  <conditionalFormatting sqref="A32">
    <cfRule type="cellIs" dxfId="12898" priority="43530" operator="equal">
      <formula>"APLAZADO"</formula>
    </cfRule>
    <cfRule type="cellIs" dxfId="12897" priority="43531" operator="equal">
      <formula>"CANCELADO"</formula>
    </cfRule>
    <cfRule type="cellIs" dxfId="12896" priority="43532" operator="equal">
      <formula>"NO EJECUTADO"</formula>
    </cfRule>
    <cfRule type="cellIs" dxfId="12895" priority="43533" operator="equal">
      <formula>"FPE"</formula>
    </cfRule>
    <cfRule type="cellIs" dxfId="12894" priority="43534" operator="equal">
      <formula>"AMA"</formula>
    </cfRule>
    <cfRule type="cellIs" dxfId="12893" priority="43535" operator="equal">
      <formula>"SIN DATOS"</formula>
    </cfRule>
    <cfRule type="cellIs" dxfId="12892" priority="43536" operator="equal">
      <formula>"SIN DATOS"</formula>
    </cfRule>
    <cfRule type="cellIs" dxfId="12891" priority="43537" operator="equal">
      <formula>"NO EJECTUTADO"</formula>
    </cfRule>
    <cfRule type="cellIs" dxfId="12890" priority="43538" operator="equal">
      <formula>"FE"</formula>
    </cfRule>
    <cfRule type="cellIs" dxfId="12889" priority="43539" operator="equal">
      <formula>"FE"</formula>
    </cfRule>
  </conditionalFormatting>
  <conditionalFormatting sqref="A32">
    <cfRule type="cellIs" dxfId="12888" priority="43528" operator="equal">
      <formula>"Retirado"</formula>
    </cfRule>
    <cfRule type="cellIs" dxfId="12887" priority="43529" operator="equal">
      <formula>"FSE"</formula>
    </cfRule>
  </conditionalFormatting>
  <conditionalFormatting sqref="A34">
    <cfRule type="cellIs" dxfId="12886" priority="43518" operator="equal">
      <formula>"APLAZADO"</formula>
    </cfRule>
    <cfRule type="cellIs" dxfId="12885" priority="43519" operator="equal">
      <formula>"CANCELADO"</formula>
    </cfRule>
    <cfRule type="cellIs" dxfId="12884" priority="43520" operator="equal">
      <formula>"NO EJECUTADO"</formula>
    </cfRule>
    <cfRule type="cellIs" dxfId="12883" priority="43521" operator="equal">
      <formula>"FPE"</formula>
    </cfRule>
    <cfRule type="cellIs" dxfId="12882" priority="43522" operator="equal">
      <formula>"AMA"</formula>
    </cfRule>
    <cfRule type="cellIs" dxfId="12881" priority="43523" operator="equal">
      <formula>"SIN DATOS"</formula>
    </cfRule>
    <cfRule type="cellIs" dxfId="12880" priority="43524" operator="equal">
      <formula>"SIN DATOS"</formula>
    </cfRule>
    <cfRule type="cellIs" dxfId="12879" priority="43525" operator="equal">
      <formula>"NO EJECTUTADO"</formula>
    </cfRule>
    <cfRule type="cellIs" dxfId="12878" priority="43526" operator="equal">
      <formula>"FE"</formula>
    </cfRule>
    <cfRule type="cellIs" dxfId="12877" priority="43527" operator="equal">
      <formula>"FE"</formula>
    </cfRule>
  </conditionalFormatting>
  <conditionalFormatting sqref="A34">
    <cfRule type="cellIs" dxfId="12876" priority="43516" operator="equal">
      <formula>"Retirado"</formula>
    </cfRule>
    <cfRule type="cellIs" dxfId="12875" priority="43517" operator="equal">
      <formula>"FSE"</formula>
    </cfRule>
  </conditionalFormatting>
  <conditionalFormatting sqref="A35">
    <cfRule type="cellIs" dxfId="12874" priority="43506" operator="equal">
      <formula>"APLAZADO"</formula>
    </cfRule>
    <cfRule type="cellIs" dxfId="12873" priority="43507" operator="equal">
      <formula>"CANCELADO"</formula>
    </cfRule>
    <cfRule type="cellIs" dxfId="12872" priority="43508" operator="equal">
      <formula>"NO EJECUTADO"</formula>
    </cfRule>
    <cfRule type="cellIs" dxfId="12871" priority="43509" operator="equal">
      <formula>"FPE"</formula>
    </cfRule>
    <cfRule type="cellIs" dxfId="12870" priority="43510" operator="equal">
      <formula>"AMA"</formula>
    </cfRule>
    <cfRule type="cellIs" dxfId="12869" priority="43511" operator="equal">
      <formula>"SIN DATOS"</formula>
    </cfRule>
    <cfRule type="cellIs" dxfId="12868" priority="43512" operator="equal">
      <formula>"SIN DATOS"</formula>
    </cfRule>
    <cfRule type="cellIs" dxfId="12867" priority="43513" operator="equal">
      <formula>"NO EJECTUTADO"</formula>
    </cfRule>
    <cfRule type="cellIs" dxfId="12866" priority="43514" operator="equal">
      <formula>"FE"</formula>
    </cfRule>
    <cfRule type="cellIs" dxfId="12865" priority="43515" operator="equal">
      <formula>"FE"</formula>
    </cfRule>
  </conditionalFormatting>
  <conditionalFormatting sqref="A35">
    <cfRule type="cellIs" dxfId="12864" priority="43504" operator="equal">
      <formula>"Retirado"</formula>
    </cfRule>
    <cfRule type="cellIs" dxfId="12863" priority="43505" operator="equal">
      <formula>"FSE"</formula>
    </cfRule>
  </conditionalFormatting>
  <conditionalFormatting sqref="A36">
    <cfRule type="cellIs" dxfId="12862" priority="43494" operator="equal">
      <formula>"APLAZADO"</formula>
    </cfRule>
    <cfRule type="cellIs" dxfId="12861" priority="43495" operator="equal">
      <formula>"CANCELADO"</formula>
    </cfRule>
    <cfRule type="cellIs" dxfId="12860" priority="43496" operator="equal">
      <formula>"NO EJECUTADO"</formula>
    </cfRule>
    <cfRule type="cellIs" dxfId="12859" priority="43497" operator="equal">
      <formula>"FPE"</formula>
    </cfRule>
    <cfRule type="cellIs" dxfId="12858" priority="43498" operator="equal">
      <formula>"AMA"</formula>
    </cfRule>
    <cfRule type="cellIs" dxfId="12857" priority="43499" operator="equal">
      <formula>"SIN DATOS"</formula>
    </cfRule>
    <cfRule type="cellIs" dxfId="12856" priority="43500" operator="equal">
      <formula>"SIN DATOS"</formula>
    </cfRule>
    <cfRule type="cellIs" dxfId="12855" priority="43501" operator="equal">
      <formula>"NO EJECTUTADO"</formula>
    </cfRule>
    <cfRule type="cellIs" dxfId="12854" priority="43502" operator="equal">
      <formula>"FE"</formula>
    </cfRule>
    <cfRule type="cellIs" dxfId="12853" priority="43503" operator="equal">
      <formula>"FE"</formula>
    </cfRule>
  </conditionalFormatting>
  <conditionalFormatting sqref="A36">
    <cfRule type="cellIs" dxfId="12852" priority="43492" operator="equal">
      <formula>"Retirado"</formula>
    </cfRule>
    <cfRule type="cellIs" dxfId="12851" priority="43493" operator="equal">
      <formula>"FSE"</formula>
    </cfRule>
  </conditionalFormatting>
  <conditionalFormatting sqref="A37">
    <cfRule type="cellIs" dxfId="12850" priority="43482" operator="equal">
      <formula>"APLAZADO"</formula>
    </cfRule>
    <cfRule type="cellIs" dxfId="12849" priority="43483" operator="equal">
      <formula>"CANCELADO"</formula>
    </cfRule>
    <cfRule type="cellIs" dxfId="12848" priority="43484" operator="equal">
      <formula>"NO EJECUTADO"</formula>
    </cfRule>
    <cfRule type="cellIs" dxfId="12847" priority="43485" operator="equal">
      <formula>"FPE"</formula>
    </cfRule>
    <cfRule type="cellIs" dxfId="12846" priority="43486" operator="equal">
      <formula>"AMA"</formula>
    </cfRule>
    <cfRule type="cellIs" dxfId="12845" priority="43487" operator="equal">
      <formula>"SIN DATOS"</formula>
    </cfRule>
    <cfRule type="cellIs" dxfId="12844" priority="43488" operator="equal">
      <formula>"SIN DATOS"</formula>
    </cfRule>
    <cfRule type="cellIs" dxfId="12843" priority="43489" operator="equal">
      <formula>"NO EJECTUTADO"</formula>
    </cfRule>
    <cfRule type="cellIs" dxfId="12842" priority="43490" operator="equal">
      <formula>"FE"</formula>
    </cfRule>
    <cfRule type="cellIs" dxfId="12841" priority="43491" operator="equal">
      <formula>"FE"</formula>
    </cfRule>
  </conditionalFormatting>
  <conditionalFormatting sqref="A37">
    <cfRule type="cellIs" dxfId="12840" priority="43480" operator="equal">
      <formula>"Retirado"</formula>
    </cfRule>
    <cfRule type="cellIs" dxfId="12839" priority="43481" operator="equal">
      <formula>"FSE"</formula>
    </cfRule>
  </conditionalFormatting>
  <conditionalFormatting sqref="A38">
    <cfRule type="cellIs" dxfId="12838" priority="43470" operator="equal">
      <formula>"APLAZADO"</formula>
    </cfRule>
    <cfRule type="cellIs" dxfId="12837" priority="43471" operator="equal">
      <formula>"CANCELADO"</formula>
    </cfRule>
    <cfRule type="cellIs" dxfId="12836" priority="43472" operator="equal">
      <formula>"NO EJECUTADO"</formula>
    </cfRule>
    <cfRule type="cellIs" dxfId="12835" priority="43473" operator="equal">
      <formula>"FPE"</formula>
    </cfRule>
    <cfRule type="cellIs" dxfId="12834" priority="43474" operator="equal">
      <formula>"AMA"</formula>
    </cfRule>
    <cfRule type="cellIs" dxfId="12833" priority="43475" operator="equal">
      <formula>"SIN DATOS"</formula>
    </cfRule>
    <cfRule type="cellIs" dxfId="12832" priority="43476" operator="equal">
      <formula>"SIN DATOS"</formula>
    </cfRule>
    <cfRule type="cellIs" dxfId="12831" priority="43477" operator="equal">
      <formula>"NO EJECTUTADO"</formula>
    </cfRule>
    <cfRule type="cellIs" dxfId="12830" priority="43478" operator="equal">
      <formula>"FE"</formula>
    </cfRule>
    <cfRule type="cellIs" dxfId="12829" priority="43479" operator="equal">
      <formula>"FE"</formula>
    </cfRule>
  </conditionalFormatting>
  <conditionalFormatting sqref="A38">
    <cfRule type="cellIs" dxfId="12828" priority="43468" operator="equal">
      <formula>"Retirado"</formula>
    </cfRule>
    <cfRule type="cellIs" dxfId="12827" priority="43469" operator="equal">
      <formula>"FSE"</formula>
    </cfRule>
  </conditionalFormatting>
  <conditionalFormatting sqref="A39">
    <cfRule type="cellIs" dxfId="12826" priority="43458" operator="equal">
      <formula>"APLAZADO"</formula>
    </cfRule>
    <cfRule type="cellIs" dxfId="12825" priority="43459" operator="equal">
      <formula>"CANCELADO"</formula>
    </cfRule>
    <cfRule type="cellIs" dxfId="12824" priority="43460" operator="equal">
      <formula>"NO EJECUTADO"</formula>
    </cfRule>
    <cfRule type="cellIs" dxfId="12823" priority="43461" operator="equal">
      <formula>"FPE"</formula>
    </cfRule>
    <cfRule type="cellIs" dxfId="12822" priority="43462" operator="equal">
      <formula>"AMA"</formula>
    </cfRule>
    <cfRule type="cellIs" dxfId="12821" priority="43463" operator="equal">
      <formula>"SIN DATOS"</formula>
    </cfRule>
    <cfRule type="cellIs" dxfId="12820" priority="43464" operator="equal">
      <formula>"SIN DATOS"</formula>
    </cfRule>
    <cfRule type="cellIs" dxfId="12819" priority="43465" operator="equal">
      <formula>"NO EJECTUTADO"</formula>
    </cfRule>
    <cfRule type="cellIs" dxfId="12818" priority="43466" operator="equal">
      <formula>"FE"</formula>
    </cfRule>
    <cfRule type="cellIs" dxfId="12817" priority="43467" operator="equal">
      <formula>"FE"</formula>
    </cfRule>
  </conditionalFormatting>
  <conditionalFormatting sqref="A39">
    <cfRule type="cellIs" dxfId="12816" priority="43456" operator="equal">
      <formula>"Retirado"</formula>
    </cfRule>
    <cfRule type="cellIs" dxfId="12815" priority="43457" operator="equal">
      <formula>"FSE"</formula>
    </cfRule>
  </conditionalFormatting>
  <conditionalFormatting sqref="A40">
    <cfRule type="cellIs" dxfId="12814" priority="43446" operator="equal">
      <formula>"APLAZADO"</formula>
    </cfRule>
    <cfRule type="cellIs" dxfId="12813" priority="43447" operator="equal">
      <formula>"CANCELADO"</formula>
    </cfRule>
    <cfRule type="cellIs" dxfId="12812" priority="43448" operator="equal">
      <formula>"NO EJECUTADO"</formula>
    </cfRule>
    <cfRule type="cellIs" dxfId="12811" priority="43449" operator="equal">
      <formula>"FPE"</formula>
    </cfRule>
    <cfRule type="cellIs" dxfId="12810" priority="43450" operator="equal">
      <formula>"AMA"</formula>
    </cfRule>
    <cfRule type="cellIs" dxfId="12809" priority="43451" operator="equal">
      <formula>"SIN DATOS"</formula>
    </cfRule>
    <cfRule type="cellIs" dxfId="12808" priority="43452" operator="equal">
      <formula>"SIN DATOS"</formula>
    </cfRule>
    <cfRule type="cellIs" dxfId="12807" priority="43453" operator="equal">
      <formula>"NO EJECTUTADO"</formula>
    </cfRule>
    <cfRule type="cellIs" dxfId="12806" priority="43454" operator="equal">
      <formula>"FE"</formula>
    </cfRule>
    <cfRule type="cellIs" dxfId="12805" priority="43455" operator="equal">
      <formula>"FE"</formula>
    </cfRule>
  </conditionalFormatting>
  <conditionalFormatting sqref="A40">
    <cfRule type="cellIs" dxfId="12804" priority="43444" operator="equal">
      <formula>"Retirado"</formula>
    </cfRule>
    <cfRule type="cellIs" dxfId="12803" priority="43445" operator="equal">
      <formula>"FSE"</formula>
    </cfRule>
  </conditionalFormatting>
  <conditionalFormatting sqref="A41">
    <cfRule type="cellIs" dxfId="12802" priority="43434" operator="equal">
      <formula>"APLAZADO"</formula>
    </cfRule>
    <cfRule type="cellIs" dxfId="12801" priority="43435" operator="equal">
      <formula>"CANCELADO"</formula>
    </cfRule>
    <cfRule type="cellIs" dxfId="12800" priority="43436" operator="equal">
      <formula>"NO EJECUTADO"</formula>
    </cfRule>
    <cfRule type="cellIs" dxfId="12799" priority="43437" operator="equal">
      <formula>"FPE"</formula>
    </cfRule>
    <cfRule type="cellIs" dxfId="12798" priority="43438" operator="equal">
      <formula>"AMA"</formula>
    </cfRule>
    <cfRule type="cellIs" dxfId="12797" priority="43439" operator="equal">
      <formula>"SIN DATOS"</formula>
    </cfRule>
    <cfRule type="cellIs" dxfId="12796" priority="43440" operator="equal">
      <formula>"SIN DATOS"</formula>
    </cfRule>
    <cfRule type="cellIs" dxfId="12795" priority="43441" operator="equal">
      <formula>"NO EJECTUTADO"</formula>
    </cfRule>
    <cfRule type="cellIs" dxfId="12794" priority="43442" operator="equal">
      <formula>"FE"</formula>
    </cfRule>
    <cfRule type="cellIs" dxfId="12793" priority="43443" operator="equal">
      <formula>"FE"</formula>
    </cfRule>
  </conditionalFormatting>
  <conditionalFormatting sqref="A41">
    <cfRule type="cellIs" dxfId="12792" priority="43432" operator="equal">
      <formula>"Retirado"</formula>
    </cfRule>
    <cfRule type="cellIs" dxfId="12791" priority="43433" operator="equal">
      <formula>"FSE"</formula>
    </cfRule>
  </conditionalFormatting>
  <conditionalFormatting sqref="A42">
    <cfRule type="cellIs" dxfId="12790" priority="43422" operator="equal">
      <formula>"APLAZADO"</formula>
    </cfRule>
    <cfRule type="cellIs" dxfId="12789" priority="43423" operator="equal">
      <formula>"CANCELADO"</formula>
    </cfRule>
    <cfRule type="cellIs" dxfId="12788" priority="43424" operator="equal">
      <formula>"NO EJECUTADO"</formula>
    </cfRule>
    <cfRule type="cellIs" dxfId="12787" priority="43425" operator="equal">
      <formula>"FPE"</formula>
    </cfRule>
    <cfRule type="cellIs" dxfId="12786" priority="43426" operator="equal">
      <formula>"AMA"</formula>
    </cfRule>
    <cfRule type="cellIs" dxfId="12785" priority="43427" operator="equal">
      <formula>"SIN DATOS"</formula>
    </cfRule>
    <cfRule type="cellIs" dxfId="12784" priority="43428" operator="equal">
      <formula>"SIN DATOS"</formula>
    </cfRule>
    <cfRule type="cellIs" dxfId="12783" priority="43429" operator="equal">
      <formula>"NO EJECTUTADO"</formula>
    </cfRule>
    <cfRule type="cellIs" dxfId="12782" priority="43430" operator="equal">
      <formula>"FE"</formula>
    </cfRule>
    <cfRule type="cellIs" dxfId="12781" priority="43431" operator="equal">
      <formula>"FE"</formula>
    </cfRule>
  </conditionalFormatting>
  <conditionalFormatting sqref="A42">
    <cfRule type="cellIs" dxfId="12780" priority="43420" operator="equal">
      <formula>"Retirado"</formula>
    </cfRule>
    <cfRule type="cellIs" dxfId="12779" priority="43421" operator="equal">
      <formula>"FSE"</formula>
    </cfRule>
  </conditionalFormatting>
  <conditionalFormatting sqref="A43">
    <cfRule type="cellIs" dxfId="12778" priority="43410" operator="equal">
      <formula>"APLAZADO"</formula>
    </cfRule>
    <cfRule type="cellIs" dxfId="12777" priority="43411" operator="equal">
      <formula>"CANCELADO"</formula>
    </cfRule>
    <cfRule type="cellIs" dxfId="12776" priority="43412" operator="equal">
      <formula>"NO EJECUTADO"</formula>
    </cfRule>
    <cfRule type="cellIs" dxfId="12775" priority="43413" operator="equal">
      <formula>"FPE"</formula>
    </cfRule>
    <cfRule type="cellIs" dxfId="12774" priority="43414" operator="equal">
      <formula>"AMA"</formula>
    </cfRule>
    <cfRule type="cellIs" dxfId="12773" priority="43415" operator="equal">
      <formula>"SIN DATOS"</formula>
    </cfRule>
    <cfRule type="cellIs" dxfId="12772" priority="43416" operator="equal">
      <formula>"SIN DATOS"</formula>
    </cfRule>
    <cfRule type="cellIs" dxfId="12771" priority="43417" operator="equal">
      <formula>"NO EJECTUTADO"</formula>
    </cfRule>
    <cfRule type="cellIs" dxfId="12770" priority="43418" operator="equal">
      <formula>"FE"</formula>
    </cfRule>
    <cfRule type="cellIs" dxfId="12769" priority="43419" operator="equal">
      <formula>"FE"</formula>
    </cfRule>
  </conditionalFormatting>
  <conditionalFormatting sqref="A43">
    <cfRule type="cellIs" dxfId="12768" priority="43408" operator="equal">
      <formula>"Retirado"</formula>
    </cfRule>
    <cfRule type="cellIs" dxfId="12767" priority="43409" operator="equal">
      <formula>"FSE"</formula>
    </cfRule>
  </conditionalFormatting>
  <conditionalFormatting sqref="A44">
    <cfRule type="cellIs" dxfId="12766" priority="43398" operator="equal">
      <formula>"APLAZADO"</formula>
    </cfRule>
    <cfRule type="cellIs" dxfId="12765" priority="43399" operator="equal">
      <formula>"CANCELADO"</formula>
    </cfRule>
    <cfRule type="cellIs" dxfId="12764" priority="43400" operator="equal">
      <formula>"NO EJECUTADO"</formula>
    </cfRule>
    <cfRule type="cellIs" dxfId="12763" priority="43401" operator="equal">
      <formula>"FPE"</formula>
    </cfRule>
    <cfRule type="cellIs" dxfId="12762" priority="43402" operator="equal">
      <formula>"AMA"</formula>
    </cfRule>
    <cfRule type="cellIs" dxfId="12761" priority="43403" operator="equal">
      <formula>"SIN DATOS"</formula>
    </cfRule>
    <cfRule type="cellIs" dxfId="12760" priority="43404" operator="equal">
      <formula>"SIN DATOS"</formula>
    </cfRule>
    <cfRule type="cellIs" dxfId="12759" priority="43405" operator="equal">
      <formula>"NO EJECTUTADO"</formula>
    </cfRule>
    <cfRule type="cellIs" dxfId="12758" priority="43406" operator="equal">
      <formula>"FE"</formula>
    </cfRule>
    <cfRule type="cellIs" dxfId="12757" priority="43407" operator="equal">
      <formula>"FE"</formula>
    </cfRule>
  </conditionalFormatting>
  <conditionalFormatting sqref="A44">
    <cfRule type="cellIs" dxfId="12756" priority="43396" operator="equal">
      <formula>"Retirado"</formula>
    </cfRule>
    <cfRule type="cellIs" dxfId="12755" priority="43397" operator="equal">
      <formula>"FSE"</formula>
    </cfRule>
  </conditionalFormatting>
  <conditionalFormatting sqref="A45">
    <cfRule type="cellIs" dxfId="12754" priority="43386" operator="equal">
      <formula>"APLAZADO"</formula>
    </cfRule>
    <cfRule type="cellIs" dxfId="12753" priority="43387" operator="equal">
      <formula>"CANCELADO"</formula>
    </cfRule>
    <cfRule type="cellIs" dxfId="12752" priority="43388" operator="equal">
      <formula>"NO EJECUTADO"</formula>
    </cfRule>
    <cfRule type="cellIs" dxfId="12751" priority="43389" operator="equal">
      <formula>"FPE"</formula>
    </cfRule>
    <cfRule type="cellIs" dxfId="12750" priority="43390" operator="equal">
      <formula>"AMA"</formula>
    </cfRule>
    <cfRule type="cellIs" dxfId="12749" priority="43391" operator="equal">
      <formula>"SIN DATOS"</formula>
    </cfRule>
    <cfRule type="cellIs" dxfId="12748" priority="43392" operator="equal">
      <formula>"SIN DATOS"</formula>
    </cfRule>
    <cfRule type="cellIs" dxfId="12747" priority="43393" operator="equal">
      <formula>"NO EJECTUTADO"</formula>
    </cfRule>
    <cfRule type="cellIs" dxfId="12746" priority="43394" operator="equal">
      <formula>"FE"</formula>
    </cfRule>
    <cfRule type="cellIs" dxfId="12745" priority="43395" operator="equal">
      <formula>"FE"</formula>
    </cfRule>
  </conditionalFormatting>
  <conditionalFormatting sqref="A45">
    <cfRule type="cellIs" dxfId="12744" priority="43384" operator="equal">
      <formula>"Retirado"</formula>
    </cfRule>
    <cfRule type="cellIs" dxfId="12743" priority="43385" operator="equal">
      <formula>"FSE"</formula>
    </cfRule>
  </conditionalFormatting>
  <conditionalFormatting sqref="A46">
    <cfRule type="cellIs" dxfId="12742" priority="43374" operator="equal">
      <formula>"APLAZADO"</formula>
    </cfRule>
    <cfRule type="cellIs" dxfId="12741" priority="43375" operator="equal">
      <formula>"CANCELADO"</formula>
    </cfRule>
    <cfRule type="cellIs" dxfId="12740" priority="43376" operator="equal">
      <formula>"NO EJECUTADO"</formula>
    </cfRule>
    <cfRule type="cellIs" dxfId="12739" priority="43377" operator="equal">
      <formula>"FPE"</formula>
    </cfRule>
    <cfRule type="cellIs" dxfId="12738" priority="43378" operator="equal">
      <formula>"AMA"</formula>
    </cfRule>
    <cfRule type="cellIs" dxfId="12737" priority="43379" operator="equal">
      <formula>"SIN DATOS"</formula>
    </cfRule>
    <cfRule type="cellIs" dxfId="12736" priority="43380" operator="equal">
      <formula>"SIN DATOS"</formula>
    </cfRule>
    <cfRule type="cellIs" dxfId="12735" priority="43381" operator="equal">
      <formula>"NO EJECTUTADO"</formula>
    </cfRule>
    <cfRule type="cellIs" dxfId="12734" priority="43382" operator="equal">
      <formula>"FE"</formula>
    </cfRule>
    <cfRule type="cellIs" dxfId="12733" priority="43383" operator="equal">
      <formula>"FE"</formula>
    </cfRule>
  </conditionalFormatting>
  <conditionalFormatting sqref="A46">
    <cfRule type="cellIs" dxfId="12732" priority="43372" operator="equal">
      <formula>"Retirado"</formula>
    </cfRule>
    <cfRule type="cellIs" dxfId="12731" priority="43373" operator="equal">
      <formula>"FSE"</formula>
    </cfRule>
  </conditionalFormatting>
  <conditionalFormatting sqref="A47">
    <cfRule type="cellIs" dxfId="12730" priority="43362" operator="equal">
      <formula>"APLAZADO"</formula>
    </cfRule>
    <cfRule type="cellIs" dxfId="12729" priority="43363" operator="equal">
      <formula>"CANCELADO"</formula>
    </cfRule>
    <cfRule type="cellIs" dxfId="12728" priority="43364" operator="equal">
      <formula>"NO EJECUTADO"</formula>
    </cfRule>
    <cfRule type="cellIs" dxfId="12727" priority="43365" operator="equal">
      <formula>"FPE"</formula>
    </cfRule>
    <cfRule type="cellIs" dxfId="12726" priority="43366" operator="equal">
      <formula>"AMA"</formula>
    </cfRule>
    <cfRule type="cellIs" dxfId="12725" priority="43367" operator="equal">
      <formula>"SIN DATOS"</formula>
    </cfRule>
    <cfRule type="cellIs" dxfId="12724" priority="43368" operator="equal">
      <formula>"SIN DATOS"</formula>
    </cfRule>
    <cfRule type="cellIs" dxfId="12723" priority="43369" operator="equal">
      <formula>"NO EJECTUTADO"</formula>
    </cfRule>
    <cfRule type="cellIs" dxfId="12722" priority="43370" operator="equal">
      <formula>"FE"</formula>
    </cfRule>
    <cfRule type="cellIs" dxfId="12721" priority="43371" operator="equal">
      <formula>"FE"</formula>
    </cfRule>
  </conditionalFormatting>
  <conditionalFormatting sqref="A47">
    <cfRule type="cellIs" dxfId="12720" priority="43360" operator="equal">
      <formula>"Retirado"</formula>
    </cfRule>
    <cfRule type="cellIs" dxfId="12719" priority="43361" operator="equal">
      <formula>"FSE"</formula>
    </cfRule>
  </conditionalFormatting>
  <conditionalFormatting sqref="A48">
    <cfRule type="cellIs" dxfId="12718" priority="43350" operator="equal">
      <formula>"APLAZADO"</formula>
    </cfRule>
    <cfRule type="cellIs" dxfId="12717" priority="43351" operator="equal">
      <formula>"CANCELADO"</formula>
    </cfRule>
    <cfRule type="cellIs" dxfId="12716" priority="43352" operator="equal">
      <formula>"NO EJECUTADO"</formula>
    </cfRule>
    <cfRule type="cellIs" dxfId="12715" priority="43353" operator="equal">
      <formula>"FPE"</formula>
    </cfRule>
    <cfRule type="cellIs" dxfId="12714" priority="43354" operator="equal">
      <formula>"AMA"</formula>
    </cfRule>
    <cfRule type="cellIs" dxfId="12713" priority="43355" operator="equal">
      <formula>"SIN DATOS"</formula>
    </cfRule>
    <cfRule type="cellIs" dxfId="12712" priority="43356" operator="equal">
      <formula>"SIN DATOS"</formula>
    </cfRule>
    <cfRule type="cellIs" dxfId="12711" priority="43357" operator="equal">
      <formula>"NO EJECTUTADO"</formula>
    </cfRule>
    <cfRule type="cellIs" dxfId="12710" priority="43358" operator="equal">
      <formula>"FE"</formula>
    </cfRule>
    <cfRule type="cellIs" dxfId="12709" priority="43359" operator="equal">
      <formula>"FE"</formula>
    </cfRule>
  </conditionalFormatting>
  <conditionalFormatting sqref="A48">
    <cfRule type="cellIs" dxfId="12708" priority="43348" operator="equal">
      <formula>"Retirado"</formula>
    </cfRule>
    <cfRule type="cellIs" dxfId="12707" priority="43349" operator="equal">
      <formula>"FSE"</formula>
    </cfRule>
  </conditionalFormatting>
  <conditionalFormatting sqref="A49">
    <cfRule type="cellIs" dxfId="12706" priority="43338" operator="equal">
      <formula>"APLAZADO"</formula>
    </cfRule>
    <cfRule type="cellIs" dxfId="12705" priority="43339" operator="equal">
      <formula>"CANCELADO"</formula>
    </cfRule>
    <cfRule type="cellIs" dxfId="12704" priority="43340" operator="equal">
      <formula>"NO EJECUTADO"</formula>
    </cfRule>
    <cfRule type="cellIs" dxfId="12703" priority="43341" operator="equal">
      <formula>"FPE"</formula>
    </cfRule>
    <cfRule type="cellIs" dxfId="12702" priority="43342" operator="equal">
      <formula>"AMA"</formula>
    </cfRule>
    <cfRule type="cellIs" dxfId="12701" priority="43343" operator="equal">
      <formula>"SIN DATOS"</formula>
    </cfRule>
    <cfRule type="cellIs" dxfId="12700" priority="43344" operator="equal">
      <formula>"SIN DATOS"</formula>
    </cfRule>
    <cfRule type="cellIs" dxfId="12699" priority="43345" operator="equal">
      <formula>"NO EJECTUTADO"</formula>
    </cfRule>
    <cfRule type="cellIs" dxfId="12698" priority="43346" operator="equal">
      <formula>"FE"</formula>
    </cfRule>
    <cfRule type="cellIs" dxfId="12697" priority="43347" operator="equal">
      <formula>"FE"</formula>
    </cfRule>
  </conditionalFormatting>
  <conditionalFormatting sqref="A49">
    <cfRule type="cellIs" dxfId="12696" priority="43336" operator="equal">
      <formula>"Retirado"</formula>
    </cfRule>
    <cfRule type="cellIs" dxfId="12695" priority="43337" operator="equal">
      <formula>"FSE"</formula>
    </cfRule>
  </conditionalFormatting>
  <conditionalFormatting sqref="A50">
    <cfRule type="cellIs" dxfId="12694" priority="43326" operator="equal">
      <formula>"APLAZADO"</formula>
    </cfRule>
    <cfRule type="cellIs" dxfId="12693" priority="43327" operator="equal">
      <formula>"CANCELADO"</formula>
    </cfRule>
    <cfRule type="cellIs" dxfId="12692" priority="43328" operator="equal">
      <formula>"NO EJECUTADO"</formula>
    </cfRule>
    <cfRule type="cellIs" dxfId="12691" priority="43329" operator="equal">
      <formula>"FPE"</formula>
    </cfRule>
    <cfRule type="cellIs" dxfId="12690" priority="43330" operator="equal">
      <formula>"AMA"</formula>
    </cfRule>
    <cfRule type="cellIs" dxfId="12689" priority="43331" operator="equal">
      <formula>"SIN DATOS"</formula>
    </cfRule>
    <cfRule type="cellIs" dxfId="12688" priority="43332" operator="equal">
      <formula>"SIN DATOS"</formula>
    </cfRule>
    <cfRule type="cellIs" dxfId="12687" priority="43333" operator="equal">
      <formula>"NO EJECTUTADO"</formula>
    </cfRule>
    <cfRule type="cellIs" dxfId="12686" priority="43334" operator="equal">
      <formula>"FE"</formula>
    </cfRule>
    <cfRule type="cellIs" dxfId="12685" priority="43335" operator="equal">
      <formula>"FE"</formula>
    </cfRule>
  </conditionalFormatting>
  <conditionalFormatting sqref="A50">
    <cfRule type="cellIs" dxfId="12684" priority="43324" operator="equal">
      <formula>"Retirado"</formula>
    </cfRule>
    <cfRule type="cellIs" dxfId="12683" priority="43325" operator="equal">
      <formula>"FSE"</formula>
    </cfRule>
  </conditionalFormatting>
  <conditionalFormatting sqref="A51">
    <cfRule type="cellIs" dxfId="12682" priority="43314" operator="equal">
      <formula>"APLAZADO"</formula>
    </cfRule>
    <cfRule type="cellIs" dxfId="12681" priority="43315" operator="equal">
      <formula>"CANCELADO"</formula>
    </cfRule>
    <cfRule type="cellIs" dxfId="12680" priority="43316" operator="equal">
      <formula>"NO EJECUTADO"</formula>
    </cfRule>
    <cfRule type="cellIs" dxfId="12679" priority="43317" operator="equal">
      <formula>"FPE"</formula>
    </cfRule>
    <cfRule type="cellIs" dxfId="12678" priority="43318" operator="equal">
      <formula>"AMA"</formula>
    </cfRule>
    <cfRule type="cellIs" dxfId="12677" priority="43319" operator="equal">
      <formula>"SIN DATOS"</formula>
    </cfRule>
    <cfRule type="cellIs" dxfId="12676" priority="43320" operator="equal">
      <formula>"SIN DATOS"</formula>
    </cfRule>
    <cfRule type="cellIs" dxfId="12675" priority="43321" operator="equal">
      <formula>"NO EJECTUTADO"</formula>
    </cfRule>
    <cfRule type="cellIs" dxfId="12674" priority="43322" operator="equal">
      <formula>"FE"</formula>
    </cfRule>
    <cfRule type="cellIs" dxfId="12673" priority="43323" operator="equal">
      <formula>"FE"</formula>
    </cfRule>
  </conditionalFormatting>
  <conditionalFormatting sqref="A51">
    <cfRule type="cellIs" dxfId="12672" priority="43312" operator="equal">
      <formula>"Retirado"</formula>
    </cfRule>
    <cfRule type="cellIs" dxfId="12671" priority="43313" operator="equal">
      <formula>"FSE"</formula>
    </cfRule>
  </conditionalFormatting>
  <conditionalFormatting sqref="A52">
    <cfRule type="cellIs" dxfId="12670" priority="43302" operator="equal">
      <formula>"APLAZADO"</formula>
    </cfRule>
    <cfRule type="cellIs" dxfId="12669" priority="43303" operator="equal">
      <formula>"CANCELADO"</formula>
    </cfRule>
    <cfRule type="cellIs" dxfId="12668" priority="43304" operator="equal">
      <formula>"NO EJECUTADO"</formula>
    </cfRule>
    <cfRule type="cellIs" dxfId="12667" priority="43305" operator="equal">
      <formula>"FPE"</formula>
    </cfRule>
    <cfRule type="cellIs" dxfId="12666" priority="43306" operator="equal">
      <formula>"AMA"</formula>
    </cfRule>
    <cfRule type="cellIs" dxfId="12665" priority="43307" operator="equal">
      <formula>"SIN DATOS"</formula>
    </cfRule>
    <cfRule type="cellIs" dxfId="12664" priority="43308" operator="equal">
      <formula>"SIN DATOS"</formula>
    </cfRule>
    <cfRule type="cellIs" dxfId="12663" priority="43309" operator="equal">
      <formula>"NO EJECTUTADO"</formula>
    </cfRule>
    <cfRule type="cellIs" dxfId="12662" priority="43310" operator="equal">
      <formula>"FE"</formula>
    </cfRule>
    <cfRule type="cellIs" dxfId="12661" priority="43311" operator="equal">
      <formula>"FE"</formula>
    </cfRule>
  </conditionalFormatting>
  <conditionalFormatting sqref="A52">
    <cfRule type="cellIs" dxfId="12660" priority="43300" operator="equal">
      <formula>"Retirado"</formula>
    </cfRule>
    <cfRule type="cellIs" dxfId="12659" priority="43301" operator="equal">
      <formula>"FSE"</formula>
    </cfRule>
  </conditionalFormatting>
  <conditionalFormatting sqref="A53">
    <cfRule type="cellIs" dxfId="12658" priority="43290" operator="equal">
      <formula>"APLAZADO"</formula>
    </cfRule>
    <cfRule type="cellIs" dxfId="12657" priority="43291" operator="equal">
      <formula>"CANCELADO"</formula>
    </cfRule>
    <cfRule type="cellIs" dxfId="12656" priority="43292" operator="equal">
      <formula>"NO EJECUTADO"</formula>
    </cfRule>
    <cfRule type="cellIs" dxfId="12655" priority="43293" operator="equal">
      <formula>"FPE"</formula>
    </cfRule>
    <cfRule type="cellIs" dxfId="12654" priority="43294" operator="equal">
      <formula>"AMA"</formula>
    </cfRule>
    <cfRule type="cellIs" dxfId="12653" priority="43295" operator="equal">
      <formula>"SIN DATOS"</formula>
    </cfRule>
    <cfRule type="cellIs" dxfId="12652" priority="43296" operator="equal">
      <formula>"SIN DATOS"</formula>
    </cfRule>
    <cfRule type="cellIs" dxfId="12651" priority="43297" operator="equal">
      <formula>"NO EJECTUTADO"</formula>
    </cfRule>
    <cfRule type="cellIs" dxfId="12650" priority="43298" operator="equal">
      <formula>"FE"</formula>
    </cfRule>
    <cfRule type="cellIs" dxfId="12649" priority="43299" operator="equal">
      <formula>"FE"</formula>
    </cfRule>
  </conditionalFormatting>
  <conditionalFormatting sqref="A53">
    <cfRule type="cellIs" dxfId="12648" priority="43288" operator="equal">
      <formula>"Retirado"</formula>
    </cfRule>
    <cfRule type="cellIs" dxfId="12647" priority="43289" operator="equal">
      <formula>"FSE"</formula>
    </cfRule>
  </conditionalFormatting>
  <conditionalFormatting sqref="A54">
    <cfRule type="cellIs" dxfId="12646" priority="43278" operator="equal">
      <formula>"APLAZADO"</formula>
    </cfRule>
    <cfRule type="cellIs" dxfId="12645" priority="43279" operator="equal">
      <formula>"CANCELADO"</formula>
    </cfRule>
    <cfRule type="cellIs" dxfId="12644" priority="43280" operator="equal">
      <formula>"NO EJECUTADO"</formula>
    </cfRule>
    <cfRule type="cellIs" dxfId="12643" priority="43281" operator="equal">
      <formula>"FPE"</formula>
    </cfRule>
    <cfRule type="cellIs" dxfId="12642" priority="43282" operator="equal">
      <formula>"AMA"</formula>
    </cfRule>
    <cfRule type="cellIs" dxfId="12641" priority="43283" operator="equal">
      <formula>"SIN DATOS"</formula>
    </cfRule>
    <cfRule type="cellIs" dxfId="12640" priority="43284" operator="equal">
      <formula>"SIN DATOS"</formula>
    </cfRule>
    <cfRule type="cellIs" dxfId="12639" priority="43285" operator="equal">
      <formula>"NO EJECTUTADO"</formula>
    </cfRule>
    <cfRule type="cellIs" dxfId="12638" priority="43286" operator="equal">
      <formula>"FE"</formula>
    </cfRule>
    <cfRule type="cellIs" dxfId="12637" priority="43287" operator="equal">
      <formula>"FE"</formula>
    </cfRule>
  </conditionalFormatting>
  <conditionalFormatting sqref="A54">
    <cfRule type="cellIs" dxfId="12636" priority="43276" operator="equal">
      <formula>"Retirado"</formula>
    </cfRule>
    <cfRule type="cellIs" dxfId="12635" priority="43277" operator="equal">
      <formula>"FSE"</formula>
    </cfRule>
  </conditionalFormatting>
  <conditionalFormatting sqref="A55">
    <cfRule type="cellIs" dxfId="12634" priority="43266" operator="equal">
      <formula>"APLAZADO"</formula>
    </cfRule>
    <cfRule type="cellIs" dxfId="12633" priority="43267" operator="equal">
      <formula>"CANCELADO"</formula>
    </cfRule>
    <cfRule type="cellIs" dxfId="12632" priority="43268" operator="equal">
      <formula>"NO EJECUTADO"</formula>
    </cfRule>
    <cfRule type="cellIs" dxfId="12631" priority="43269" operator="equal">
      <formula>"FPE"</formula>
    </cfRule>
    <cfRule type="cellIs" dxfId="12630" priority="43270" operator="equal">
      <formula>"AMA"</formula>
    </cfRule>
    <cfRule type="cellIs" dxfId="12629" priority="43271" operator="equal">
      <formula>"SIN DATOS"</formula>
    </cfRule>
    <cfRule type="cellIs" dxfId="12628" priority="43272" operator="equal">
      <formula>"SIN DATOS"</formula>
    </cfRule>
    <cfRule type="cellIs" dxfId="12627" priority="43273" operator="equal">
      <formula>"NO EJECTUTADO"</formula>
    </cfRule>
    <cfRule type="cellIs" dxfId="12626" priority="43274" operator="equal">
      <formula>"FE"</formula>
    </cfRule>
    <cfRule type="cellIs" dxfId="12625" priority="43275" operator="equal">
      <formula>"FE"</formula>
    </cfRule>
  </conditionalFormatting>
  <conditionalFormatting sqref="A55">
    <cfRule type="cellIs" dxfId="12624" priority="43264" operator="equal">
      <formula>"Retirado"</formula>
    </cfRule>
    <cfRule type="cellIs" dxfId="12623" priority="43265" operator="equal">
      <formula>"FSE"</formula>
    </cfRule>
  </conditionalFormatting>
  <conditionalFormatting sqref="A56">
    <cfRule type="cellIs" dxfId="12622" priority="43254" operator="equal">
      <formula>"APLAZADO"</formula>
    </cfRule>
    <cfRule type="cellIs" dxfId="12621" priority="43255" operator="equal">
      <formula>"CANCELADO"</formula>
    </cfRule>
    <cfRule type="cellIs" dxfId="12620" priority="43256" operator="equal">
      <formula>"NO EJECUTADO"</formula>
    </cfRule>
    <cfRule type="cellIs" dxfId="12619" priority="43257" operator="equal">
      <formula>"FPE"</formula>
    </cfRule>
    <cfRule type="cellIs" dxfId="12618" priority="43258" operator="equal">
      <formula>"AMA"</formula>
    </cfRule>
    <cfRule type="cellIs" dxfId="12617" priority="43259" operator="equal">
      <formula>"SIN DATOS"</formula>
    </cfRule>
    <cfRule type="cellIs" dxfId="12616" priority="43260" operator="equal">
      <formula>"SIN DATOS"</formula>
    </cfRule>
    <cfRule type="cellIs" dxfId="12615" priority="43261" operator="equal">
      <formula>"NO EJECTUTADO"</formula>
    </cfRule>
    <cfRule type="cellIs" dxfId="12614" priority="43262" operator="equal">
      <formula>"FE"</formula>
    </cfRule>
    <cfRule type="cellIs" dxfId="12613" priority="43263" operator="equal">
      <formula>"FE"</formula>
    </cfRule>
  </conditionalFormatting>
  <conditionalFormatting sqref="A56">
    <cfRule type="cellIs" dxfId="12612" priority="43252" operator="equal">
      <formula>"Retirado"</formula>
    </cfRule>
    <cfRule type="cellIs" dxfId="12611" priority="43253" operator="equal">
      <formula>"FSE"</formula>
    </cfRule>
  </conditionalFormatting>
  <conditionalFormatting sqref="A57">
    <cfRule type="cellIs" dxfId="12610" priority="43242" operator="equal">
      <formula>"APLAZADO"</formula>
    </cfRule>
    <cfRule type="cellIs" dxfId="12609" priority="43243" operator="equal">
      <formula>"CANCELADO"</formula>
    </cfRule>
    <cfRule type="cellIs" dxfId="12608" priority="43244" operator="equal">
      <formula>"NO EJECUTADO"</formula>
    </cfRule>
    <cfRule type="cellIs" dxfId="12607" priority="43245" operator="equal">
      <formula>"FPE"</formula>
    </cfRule>
    <cfRule type="cellIs" dxfId="12606" priority="43246" operator="equal">
      <formula>"AMA"</formula>
    </cfRule>
    <cfRule type="cellIs" dxfId="12605" priority="43247" operator="equal">
      <formula>"SIN DATOS"</formula>
    </cfRule>
    <cfRule type="cellIs" dxfId="12604" priority="43248" operator="equal">
      <formula>"SIN DATOS"</formula>
    </cfRule>
    <cfRule type="cellIs" dxfId="12603" priority="43249" operator="equal">
      <formula>"NO EJECTUTADO"</formula>
    </cfRule>
    <cfRule type="cellIs" dxfId="12602" priority="43250" operator="equal">
      <formula>"FE"</formula>
    </cfRule>
    <cfRule type="cellIs" dxfId="12601" priority="43251" operator="equal">
      <formula>"FE"</formula>
    </cfRule>
  </conditionalFormatting>
  <conditionalFormatting sqref="A57">
    <cfRule type="cellIs" dxfId="12600" priority="43240" operator="equal">
      <formula>"Retirado"</formula>
    </cfRule>
    <cfRule type="cellIs" dxfId="12599" priority="43241" operator="equal">
      <formula>"FSE"</formula>
    </cfRule>
  </conditionalFormatting>
  <conditionalFormatting sqref="A58">
    <cfRule type="cellIs" dxfId="12598" priority="43230" operator="equal">
      <formula>"APLAZADO"</formula>
    </cfRule>
    <cfRule type="cellIs" dxfId="12597" priority="43231" operator="equal">
      <formula>"CANCELADO"</formula>
    </cfRule>
    <cfRule type="cellIs" dxfId="12596" priority="43232" operator="equal">
      <formula>"NO EJECUTADO"</formula>
    </cfRule>
    <cfRule type="cellIs" dxfId="12595" priority="43233" operator="equal">
      <formula>"FPE"</formula>
    </cfRule>
    <cfRule type="cellIs" dxfId="12594" priority="43234" operator="equal">
      <formula>"AMA"</formula>
    </cfRule>
    <cfRule type="cellIs" dxfId="12593" priority="43235" operator="equal">
      <formula>"SIN DATOS"</formula>
    </cfRule>
    <cfRule type="cellIs" dxfId="12592" priority="43236" operator="equal">
      <formula>"SIN DATOS"</formula>
    </cfRule>
    <cfRule type="cellIs" dxfId="12591" priority="43237" operator="equal">
      <formula>"NO EJECTUTADO"</formula>
    </cfRule>
    <cfRule type="cellIs" dxfId="12590" priority="43238" operator="equal">
      <formula>"FE"</formula>
    </cfRule>
    <cfRule type="cellIs" dxfId="12589" priority="43239" operator="equal">
      <formula>"FE"</formula>
    </cfRule>
  </conditionalFormatting>
  <conditionalFormatting sqref="A58">
    <cfRule type="cellIs" dxfId="12588" priority="43228" operator="equal">
      <formula>"Retirado"</formula>
    </cfRule>
    <cfRule type="cellIs" dxfId="12587" priority="43229" operator="equal">
      <formula>"FSE"</formula>
    </cfRule>
  </conditionalFormatting>
  <conditionalFormatting sqref="A59">
    <cfRule type="cellIs" dxfId="12586" priority="43218" operator="equal">
      <formula>"APLAZADO"</formula>
    </cfRule>
    <cfRule type="cellIs" dxfId="12585" priority="43219" operator="equal">
      <formula>"CANCELADO"</formula>
    </cfRule>
    <cfRule type="cellIs" dxfId="12584" priority="43220" operator="equal">
      <formula>"NO EJECUTADO"</formula>
    </cfRule>
    <cfRule type="cellIs" dxfId="12583" priority="43221" operator="equal">
      <formula>"FPE"</formula>
    </cfRule>
    <cfRule type="cellIs" dxfId="12582" priority="43222" operator="equal">
      <formula>"AMA"</formula>
    </cfRule>
    <cfRule type="cellIs" dxfId="12581" priority="43223" operator="equal">
      <formula>"SIN DATOS"</formula>
    </cfRule>
    <cfRule type="cellIs" dxfId="12580" priority="43224" operator="equal">
      <formula>"SIN DATOS"</formula>
    </cfRule>
    <cfRule type="cellIs" dxfId="12579" priority="43225" operator="equal">
      <formula>"NO EJECTUTADO"</formula>
    </cfRule>
    <cfRule type="cellIs" dxfId="12578" priority="43226" operator="equal">
      <formula>"FE"</formula>
    </cfRule>
    <cfRule type="cellIs" dxfId="12577" priority="43227" operator="equal">
      <formula>"FE"</formula>
    </cfRule>
  </conditionalFormatting>
  <conditionalFormatting sqref="A59">
    <cfRule type="cellIs" dxfId="12576" priority="43216" operator="equal">
      <formula>"Retirado"</formula>
    </cfRule>
    <cfRule type="cellIs" dxfId="12575" priority="43217" operator="equal">
      <formula>"FSE"</formula>
    </cfRule>
  </conditionalFormatting>
  <conditionalFormatting sqref="A60">
    <cfRule type="cellIs" dxfId="12574" priority="43194" operator="equal">
      <formula>"APLAZADO"</formula>
    </cfRule>
    <cfRule type="cellIs" dxfId="12573" priority="43195" operator="equal">
      <formula>"CANCELADO"</formula>
    </cfRule>
    <cfRule type="cellIs" dxfId="12572" priority="43196" operator="equal">
      <formula>"NO EJECUTADO"</formula>
    </cfRule>
    <cfRule type="cellIs" dxfId="12571" priority="43197" operator="equal">
      <formula>"FPE"</formula>
    </cfRule>
    <cfRule type="cellIs" dxfId="12570" priority="43198" operator="equal">
      <formula>"AMA"</formula>
    </cfRule>
    <cfRule type="cellIs" dxfId="12569" priority="43199" operator="equal">
      <formula>"SIN DATOS"</formula>
    </cfRule>
    <cfRule type="cellIs" dxfId="12568" priority="43200" operator="equal">
      <formula>"SIN DATOS"</formula>
    </cfRule>
    <cfRule type="cellIs" dxfId="12567" priority="43201" operator="equal">
      <formula>"NO EJECTUTADO"</formula>
    </cfRule>
    <cfRule type="cellIs" dxfId="12566" priority="43202" operator="equal">
      <formula>"FE"</formula>
    </cfRule>
    <cfRule type="cellIs" dxfId="12565" priority="43203" operator="equal">
      <formula>"FE"</formula>
    </cfRule>
  </conditionalFormatting>
  <conditionalFormatting sqref="A60">
    <cfRule type="cellIs" dxfId="12564" priority="43192" operator="equal">
      <formula>"Retirado"</formula>
    </cfRule>
    <cfRule type="cellIs" dxfId="12563" priority="43193" operator="equal">
      <formula>"FSE"</formula>
    </cfRule>
  </conditionalFormatting>
  <conditionalFormatting sqref="F61">
    <cfRule type="cellIs" dxfId="12562" priority="43181" operator="equal">
      <formula>"APLAZADO"</formula>
    </cfRule>
    <cfRule type="cellIs" dxfId="12561" priority="43182" operator="equal">
      <formula>"CANCELADO"</formula>
    </cfRule>
    <cfRule type="cellIs" dxfId="12560" priority="43183" operator="equal">
      <formula>"NO EJECUTADO"</formula>
    </cfRule>
    <cfRule type="cellIs" dxfId="12559" priority="43184" operator="equal">
      <formula>"FPE"</formula>
    </cfRule>
    <cfRule type="cellIs" dxfId="12558" priority="43185" operator="equal">
      <formula>"AMA"</formula>
    </cfRule>
    <cfRule type="cellIs" dxfId="12557" priority="43186" operator="equal">
      <formula>"SIN DATOS"</formula>
    </cfRule>
    <cfRule type="cellIs" dxfId="12556" priority="43187" operator="equal">
      <formula>"SIN DATOS"</formula>
    </cfRule>
    <cfRule type="cellIs" dxfId="12555" priority="43188" operator="equal">
      <formula>"NO EJECTUTADO"</formula>
    </cfRule>
    <cfRule type="cellIs" dxfId="12554" priority="43189" operator="equal">
      <formula>"FE"</formula>
    </cfRule>
    <cfRule type="cellIs" dxfId="12553" priority="43190" operator="equal">
      <formula>"FE"</formula>
    </cfRule>
  </conditionalFormatting>
  <conditionalFormatting sqref="F61">
    <cfRule type="cellIs" dxfId="12552" priority="43179" operator="equal">
      <formula>"Retirado"</formula>
    </cfRule>
    <cfRule type="cellIs" dxfId="12551" priority="43180" operator="equal">
      <formula>"FSE"</formula>
    </cfRule>
  </conditionalFormatting>
  <conditionalFormatting sqref="F62">
    <cfRule type="cellIs" dxfId="12550" priority="43169" operator="equal">
      <formula>"APLAZADO"</formula>
    </cfRule>
    <cfRule type="cellIs" dxfId="12549" priority="43170" operator="equal">
      <formula>"CANCELADO"</formula>
    </cfRule>
    <cfRule type="cellIs" dxfId="12548" priority="43171" operator="equal">
      <formula>"NO EJECUTADO"</formula>
    </cfRule>
    <cfRule type="cellIs" dxfId="12547" priority="43172" operator="equal">
      <formula>"FPE"</formula>
    </cfRule>
    <cfRule type="cellIs" dxfId="12546" priority="43173" operator="equal">
      <formula>"AMA"</formula>
    </cfRule>
    <cfRule type="cellIs" dxfId="12545" priority="43174" operator="equal">
      <formula>"SIN DATOS"</formula>
    </cfRule>
    <cfRule type="cellIs" dxfId="12544" priority="43175" operator="equal">
      <formula>"SIN DATOS"</formula>
    </cfRule>
    <cfRule type="cellIs" dxfId="12543" priority="43176" operator="equal">
      <formula>"NO EJECTUTADO"</formula>
    </cfRule>
    <cfRule type="cellIs" dxfId="12542" priority="43177" operator="equal">
      <formula>"FE"</formula>
    </cfRule>
    <cfRule type="cellIs" dxfId="12541" priority="43178" operator="equal">
      <formula>"FE"</formula>
    </cfRule>
  </conditionalFormatting>
  <conditionalFormatting sqref="F62">
    <cfRule type="cellIs" dxfId="12540" priority="43167" operator="equal">
      <formula>"Retirado"</formula>
    </cfRule>
    <cfRule type="cellIs" dxfId="12539" priority="43168" operator="equal">
      <formula>"FSE"</formula>
    </cfRule>
  </conditionalFormatting>
  <conditionalFormatting sqref="F63">
    <cfRule type="cellIs" dxfId="12538" priority="43157" operator="equal">
      <formula>"APLAZADO"</formula>
    </cfRule>
    <cfRule type="cellIs" dxfId="12537" priority="43158" operator="equal">
      <formula>"CANCELADO"</formula>
    </cfRule>
    <cfRule type="cellIs" dxfId="12536" priority="43159" operator="equal">
      <formula>"NO EJECUTADO"</formula>
    </cfRule>
    <cfRule type="cellIs" dxfId="12535" priority="43160" operator="equal">
      <formula>"FPE"</formula>
    </cfRule>
    <cfRule type="cellIs" dxfId="12534" priority="43161" operator="equal">
      <formula>"AMA"</formula>
    </cfRule>
    <cfRule type="cellIs" dxfId="12533" priority="43162" operator="equal">
      <formula>"SIN DATOS"</formula>
    </cfRule>
    <cfRule type="cellIs" dxfId="12532" priority="43163" operator="equal">
      <formula>"SIN DATOS"</formula>
    </cfRule>
    <cfRule type="cellIs" dxfId="12531" priority="43164" operator="equal">
      <formula>"NO EJECTUTADO"</formula>
    </cfRule>
    <cfRule type="cellIs" dxfId="12530" priority="43165" operator="equal">
      <formula>"FE"</formula>
    </cfRule>
    <cfRule type="cellIs" dxfId="12529" priority="43166" operator="equal">
      <formula>"FE"</formula>
    </cfRule>
  </conditionalFormatting>
  <conditionalFormatting sqref="F63">
    <cfRule type="cellIs" dxfId="12528" priority="43155" operator="equal">
      <formula>"Retirado"</formula>
    </cfRule>
    <cfRule type="cellIs" dxfId="12527" priority="43156" operator="equal">
      <formula>"FSE"</formula>
    </cfRule>
  </conditionalFormatting>
  <conditionalFormatting sqref="F64">
    <cfRule type="cellIs" dxfId="12526" priority="43145" operator="equal">
      <formula>"APLAZADO"</formula>
    </cfRule>
    <cfRule type="cellIs" dxfId="12525" priority="43146" operator="equal">
      <formula>"CANCELADO"</formula>
    </cfRule>
    <cfRule type="cellIs" dxfId="12524" priority="43147" operator="equal">
      <formula>"NO EJECUTADO"</formula>
    </cfRule>
    <cfRule type="cellIs" dxfId="12523" priority="43148" operator="equal">
      <formula>"FPE"</formula>
    </cfRule>
    <cfRule type="cellIs" dxfId="12522" priority="43149" operator="equal">
      <formula>"AMA"</formula>
    </cfRule>
    <cfRule type="cellIs" dxfId="12521" priority="43150" operator="equal">
      <formula>"SIN DATOS"</formula>
    </cfRule>
    <cfRule type="cellIs" dxfId="12520" priority="43151" operator="equal">
      <formula>"SIN DATOS"</formula>
    </cfRule>
    <cfRule type="cellIs" dxfId="12519" priority="43152" operator="equal">
      <formula>"NO EJECTUTADO"</formula>
    </cfRule>
    <cfRule type="cellIs" dxfId="12518" priority="43153" operator="equal">
      <formula>"FE"</formula>
    </cfRule>
    <cfRule type="cellIs" dxfId="12517" priority="43154" operator="equal">
      <formula>"FE"</formula>
    </cfRule>
  </conditionalFormatting>
  <conditionalFormatting sqref="F64">
    <cfRule type="cellIs" dxfId="12516" priority="43143" operator="equal">
      <formula>"Retirado"</formula>
    </cfRule>
    <cfRule type="cellIs" dxfId="12515" priority="43144" operator="equal">
      <formula>"FSE"</formula>
    </cfRule>
  </conditionalFormatting>
  <conditionalFormatting sqref="F65">
    <cfRule type="cellIs" dxfId="12514" priority="43129" operator="equal">
      <formula>"APLAZADO"</formula>
    </cfRule>
    <cfRule type="cellIs" dxfId="12513" priority="43130" operator="equal">
      <formula>"CANCELADO"</formula>
    </cfRule>
    <cfRule type="cellIs" dxfId="12512" priority="43131" operator="equal">
      <formula>"NO EJECUTADO"</formula>
    </cfRule>
    <cfRule type="cellIs" dxfId="12511" priority="43132" operator="equal">
      <formula>"FPE"</formula>
    </cfRule>
    <cfRule type="cellIs" dxfId="12510" priority="43133" operator="equal">
      <formula>"AMA"</formula>
    </cfRule>
    <cfRule type="cellIs" dxfId="12509" priority="43134" operator="equal">
      <formula>"SIN DATOS"</formula>
    </cfRule>
    <cfRule type="cellIs" dxfId="12508" priority="43135" operator="equal">
      <formula>"SIN DATOS"</formula>
    </cfRule>
    <cfRule type="cellIs" dxfId="12507" priority="43136" operator="equal">
      <formula>"NO EJECTUTADO"</formula>
    </cfRule>
    <cfRule type="cellIs" dxfId="12506" priority="43137" operator="equal">
      <formula>"FE"</formula>
    </cfRule>
    <cfRule type="cellIs" dxfId="12505" priority="43138" operator="equal">
      <formula>"FE"</formula>
    </cfRule>
  </conditionalFormatting>
  <conditionalFormatting sqref="F65">
    <cfRule type="cellIs" dxfId="12504" priority="43127" operator="equal">
      <formula>"Retirado"</formula>
    </cfRule>
    <cfRule type="cellIs" dxfId="12503" priority="43128" operator="equal">
      <formula>"FSE"</formula>
    </cfRule>
  </conditionalFormatting>
  <conditionalFormatting sqref="A66">
    <cfRule type="cellIs" dxfId="12502" priority="43117" operator="equal">
      <formula>"APLAZADO"</formula>
    </cfRule>
    <cfRule type="cellIs" dxfId="12501" priority="43118" operator="equal">
      <formula>"CANCELADO"</formula>
    </cfRule>
    <cfRule type="cellIs" dxfId="12500" priority="43119" operator="equal">
      <formula>"NO EJECUTADO"</formula>
    </cfRule>
    <cfRule type="cellIs" dxfId="12499" priority="43120" operator="equal">
      <formula>"FPE"</formula>
    </cfRule>
    <cfRule type="cellIs" dxfId="12498" priority="43121" operator="equal">
      <formula>"AMA"</formula>
    </cfRule>
    <cfRule type="cellIs" dxfId="12497" priority="43122" operator="equal">
      <formula>"SIN DATOS"</formula>
    </cfRule>
    <cfRule type="cellIs" dxfId="12496" priority="43123" operator="equal">
      <formula>"SIN DATOS"</formula>
    </cfRule>
    <cfRule type="cellIs" dxfId="12495" priority="43124" operator="equal">
      <formula>"NO EJECTUTADO"</formula>
    </cfRule>
    <cfRule type="cellIs" dxfId="12494" priority="43125" operator="equal">
      <formula>"FE"</formula>
    </cfRule>
    <cfRule type="cellIs" dxfId="12493" priority="43126" operator="equal">
      <formula>"FE"</formula>
    </cfRule>
  </conditionalFormatting>
  <conditionalFormatting sqref="A66">
    <cfRule type="cellIs" dxfId="12492" priority="43115" operator="equal">
      <formula>"Retirado"</formula>
    </cfRule>
    <cfRule type="cellIs" dxfId="12491" priority="43116" operator="equal">
      <formula>"FSE"</formula>
    </cfRule>
  </conditionalFormatting>
  <conditionalFormatting sqref="H66">
    <cfRule type="duplicateValues" dxfId="12490" priority="43114"/>
  </conditionalFormatting>
  <conditionalFormatting sqref="F66">
    <cfRule type="cellIs" dxfId="12489" priority="43104" operator="equal">
      <formula>"APLAZADO"</formula>
    </cfRule>
    <cfRule type="cellIs" dxfId="12488" priority="43105" operator="equal">
      <formula>"CANCELADO"</formula>
    </cfRule>
    <cfRule type="cellIs" dxfId="12487" priority="43106" operator="equal">
      <formula>"NO EJECUTADO"</formula>
    </cfRule>
    <cfRule type="cellIs" dxfId="12486" priority="43107" operator="equal">
      <formula>"FPE"</formula>
    </cfRule>
    <cfRule type="cellIs" dxfId="12485" priority="43108" operator="equal">
      <formula>"AMA"</formula>
    </cfRule>
    <cfRule type="cellIs" dxfId="12484" priority="43109" operator="equal">
      <formula>"SIN DATOS"</formula>
    </cfRule>
    <cfRule type="cellIs" dxfId="12483" priority="43110" operator="equal">
      <formula>"SIN DATOS"</formula>
    </cfRule>
    <cfRule type="cellIs" dxfId="12482" priority="43111" operator="equal">
      <formula>"NO EJECTUTADO"</formula>
    </cfRule>
    <cfRule type="cellIs" dxfId="12481" priority="43112" operator="equal">
      <formula>"FE"</formula>
    </cfRule>
    <cfRule type="cellIs" dxfId="12480" priority="43113" operator="equal">
      <formula>"FE"</formula>
    </cfRule>
  </conditionalFormatting>
  <conditionalFormatting sqref="F66">
    <cfRule type="cellIs" dxfId="12479" priority="43102" operator="equal">
      <formula>"Retirado"</formula>
    </cfRule>
    <cfRule type="cellIs" dxfId="12478" priority="43103" operator="equal">
      <formula>"FSE"</formula>
    </cfRule>
  </conditionalFormatting>
  <conditionalFormatting sqref="F67">
    <cfRule type="cellIs" dxfId="12477" priority="43089" operator="equal">
      <formula>"APLAZADO"</formula>
    </cfRule>
    <cfRule type="cellIs" dxfId="12476" priority="43090" operator="equal">
      <formula>"CANCELADO"</formula>
    </cfRule>
    <cfRule type="cellIs" dxfId="12475" priority="43091" operator="equal">
      <formula>"NO EJECUTADO"</formula>
    </cfRule>
    <cfRule type="cellIs" dxfId="12474" priority="43092" operator="equal">
      <formula>"FPE"</formula>
    </cfRule>
    <cfRule type="cellIs" dxfId="12473" priority="43093" operator="equal">
      <formula>"AMA"</formula>
    </cfRule>
    <cfRule type="cellIs" dxfId="12472" priority="43094" operator="equal">
      <formula>"SIN DATOS"</formula>
    </cfRule>
    <cfRule type="cellIs" dxfId="12471" priority="43095" operator="equal">
      <formula>"SIN DATOS"</formula>
    </cfRule>
    <cfRule type="cellIs" dxfId="12470" priority="43096" operator="equal">
      <formula>"NO EJECTUTADO"</formula>
    </cfRule>
    <cfRule type="cellIs" dxfId="12469" priority="43097" operator="equal">
      <formula>"FE"</formula>
    </cfRule>
    <cfRule type="cellIs" dxfId="12468" priority="43098" operator="equal">
      <formula>"FE"</formula>
    </cfRule>
  </conditionalFormatting>
  <conditionalFormatting sqref="F67">
    <cfRule type="cellIs" dxfId="12467" priority="43087" operator="equal">
      <formula>"Retirado"</formula>
    </cfRule>
    <cfRule type="cellIs" dxfId="12466" priority="43088" operator="equal">
      <formula>"FSE"</formula>
    </cfRule>
  </conditionalFormatting>
  <conditionalFormatting sqref="F69">
    <cfRule type="cellIs" dxfId="12465" priority="43077" operator="equal">
      <formula>"APLAZADO"</formula>
    </cfRule>
    <cfRule type="cellIs" dxfId="12464" priority="43078" operator="equal">
      <formula>"CANCELADO"</formula>
    </cfRule>
    <cfRule type="cellIs" dxfId="12463" priority="43079" operator="equal">
      <formula>"NO EJECUTADO"</formula>
    </cfRule>
    <cfRule type="cellIs" dxfId="12462" priority="43080" operator="equal">
      <formula>"FPE"</formula>
    </cfRule>
    <cfRule type="cellIs" dxfId="12461" priority="43081" operator="equal">
      <formula>"AMA"</formula>
    </cfRule>
    <cfRule type="cellIs" dxfId="12460" priority="43082" operator="equal">
      <formula>"SIN DATOS"</formula>
    </cfRule>
    <cfRule type="cellIs" dxfId="12459" priority="43083" operator="equal">
      <formula>"SIN DATOS"</formula>
    </cfRule>
    <cfRule type="cellIs" dxfId="12458" priority="43084" operator="equal">
      <formula>"NO EJECTUTADO"</formula>
    </cfRule>
    <cfRule type="cellIs" dxfId="12457" priority="43085" operator="equal">
      <formula>"FE"</formula>
    </cfRule>
    <cfRule type="cellIs" dxfId="12456" priority="43086" operator="equal">
      <formula>"FE"</formula>
    </cfRule>
  </conditionalFormatting>
  <conditionalFormatting sqref="F69">
    <cfRule type="cellIs" dxfId="12455" priority="43075" operator="equal">
      <formula>"Retirado"</formula>
    </cfRule>
    <cfRule type="cellIs" dxfId="12454" priority="43076" operator="equal">
      <formula>"FSE"</formula>
    </cfRule>
  </conditionalFormatting>
  <conditionalFormatting sqref="F70">
    <cfRule type="cellIs" dxfId="12453" priority="43065" operator="equal">
      <formula>"APLAZADO"</formula>
    </cfRule>
    <cfRule type="cellIs" dxfId="12452" priority="43066" operator="equal">
      <formula>"CANCELADO"</formula>
    </cfRule>
    <cfRule type="cellIs" dxfId="12451" priority="43067" operator="equal">
      <formula>"NO EJECUTADO"</formula>
    </cfRule>
    <cfRule type="cellIs" dxfId="12450" priority="43068" operator="equal">
      <formula>"FPE"</formula>
    </cfRule>
    <cfRule type="cellIs" dxfId="12449" priority="43069" operator="equal">
      <formula>"AMA"</formula>
    </cfRule>
    <cfRule type="cellIs" dxfId="12448" priority="43070" operator="equal">
      <formula>"SIN DATOS"</formula>
    </cfRule>
    <cfRule type="cellIs" dxfId="12447" priority="43071" operator="equal">
      <formula>"SIN DATOS"</formula>
    </cfRule>
    <cfRule type="cellIs" dxfId="12446" priority="43072" operator="equal">
      <formula>"NO EJECTUTADO"</formula>
    </cfRule>
    <cfRule type="cellIs" dxfId="12445" priority="43073" operator="equal">
      <formula>"FE"</formula>
    </cfRule>
    <cfRule type="cellIs" dxfId="12444" priority="43074" operator="equal">
      <formula>"FE"</formula>
    </cfRule>
  </conditionalFormatting>
  <conditionalFormatting sqref="F70">
    <cfRule type="cellIs" dxfId="12443" priority="43063" operator="equal">
      <formula>"Retirado"</formula>
    </cfRule>
    <cfRule type="cellIs" dxfId="12442" priority="43064" operator="equal">
      <formula>"FSE"</formula>
    </cfRule>
  </conditionalFormatting>
  <conditionalFormatting sqref="F71">
    <cfRule type="cellIs" dxfId="12441" priority="43053" operator="equal">
      <formula>"APLAZADO"</formula>
    </cfRule>
    <cfRule type="cellIs" dxfId="12440" priority="43054" operator="equal">
      <formula>"CANCELADO"</formula>
    </cfRule>
    <cfRule type="cellIs" dxfId="12439" priority="43055" operator="equal">
      <formula>"NO EJECUTADO"</formula>
    </cfRule>
    <cfRule type="cellIs" dxfId="12438" priority="43056" operator="equal">
      <formula>"FPE"</formula>
    </cfRule>
    <cfRule type="cellIs" dxfId="12437" priority="43057" operator="equal">
      <formula>"AMA"</formula>
    </cfRule>
    <cfRule type="cellIs" dxfId="12436" priority="43058" operator="equal">
      <formula>"SIN DATOS"</formula>
    </cfRule>
    <cfRule type="cellIs" dxfId="12435" priority="43059" operator="equal">
      <formula>"SIN DATOS"</formula>
    </cfRule>
    <cfRule type="cellIs" dxfId="12434" priority="43060" operator="equal">
      <formula>"NO EJECTUTADO"</formula>
    </cfRule>
    <cfRule type="cellIs" dxfId="12433" priority="43061" operator="equal">
      <formula>"FE"</formula>
    </cfRule>
    <cfRule type="cellIs" dxfId="12432" priority="43062" operator="equal">
      <formula>"FE"</formula>
    </cfRule>
  </conditionalFormatting>
  <conditionalFormatting sqref="F71">
    <cfRule type="cellIs" dxfId="12431" priority="43051" operator="equal">
      <formula>"Retirado"</formula>
    </cfRule>
    <cfRule type="cellIs" dxfId="12430" priority="43052" operator="equal">
      <formula>"FSE"</formula>
    </cfRule>
  </conditionalFormatting>
  <conditionalFormatting sqref="F72">
    <cfRule type="cellIs" dxfId="12429" priority="43041" operator="equal">
      <formula>"APLAZADO"</formula>
    </cfRule>
    <cfRule type="cellIs" dxfId="12428" priority="43042" operator="equal">
      <formula>"CANCELADO"</formula>
    </cfRule>
    <cfRule type="cellIs" dxfId="12427" priority="43043" operator="equal">
      <formula>"NO EJECUTADO"</formula>
    </cfRule>
    <cfRule type="cellIs" dxfId="12426" priority="43044" operator="equal">
      <formula>"FPE"</formula>
    </cfRule>
    <cfRule type="cellIs" dxfId="12425" priority="43045" operator="equal">
      <formula>"AMA"</formula>
    </cfRule>
    <cfRule type="cellIs" dxfId="12424" priority="43046" operator="equal">
      <formula>"SIN DATOS"</formula>
    </cfRule>
    <cfRule type="cellIs" dxfId="12423" priority="43047" operator="equal">
      <formula>"SIN DATOS"</formula>
    </cfRule>
    <cfRule type="cellIs" dxfId="12422" priority="43048" operator="equal">
      <formula>"NO EJECTUTADO"</formula>
    </cfRule>
    <cfRule type="cellIs" dxfId="12421" priority="43049" operator="equal">
      <formula>"FE"</formula>
    </cfRule>
    <cfRule type="cellIs" dxfId="12420" priority="43050" operator="equal">
      <formula>"FE"</formula>
    </cfRule>
  </conditionalFormatting>
  <conditionalFormatting sqref="F72">
    <cfRule type="cellIs" dxfId="12419" priority="43039" operator="equal">
      <formula>"Retirado"</formula>
    </cfRule>
    <cfRule type="cellIs" dxfId="12418" priority="43040" operator="equal">
      <formula>"FSE"</formula>
    </cfRule>
  </conditionalFormatting>
  <conditionalFormatting sqref="A73">
    <cfRule type="cellIs" dxfId="12417" priority="43027" operator="equal">
      <formula>"APLAZADO"</formula>
    </cfRule>
    <cfRule type="cellIs" dxfId="12416" priority="43028" operator="equal">
      <formula>"CANCELADO"</formula>
    </cfRule>
    <cfRule type="cellIs" dxfId="12415" priority="43029" operator="equal">
      <formula>"NO EJECUTADO"</formula>
    </cfRule>
    <cfRule type="cellIs" dxfId="12414" priority="43030" operator="equal">
      <formula>"FPE"</formula>
    </cfRule>
    <cfRule type="cellIs" dxfId="12413" priority="43031" operator="equal">
      <formula>"AMA"</formula>
    </cfRule>
    <cfRule type="cellIs" dxfId="12412" priority="43032" operator="equal">
      <formula>"SIN DATOS"</formula>
    </cfRule>
    <cfRule type="cellIs" dxfId="12411" priority="43033" operator="equal">
      <formula>"SIN DATOS"</formula>
    </cfRule>
    <cfRule type="cellIs" dxfId="12410" priority="43034" operator="equal">
      <formula>"NO EJECTUTADO"</formula>
    </cfRule>
    <cfRule type="cellIs" dxfId="12409" priority="43035" operator="equal">
      <formula>"FE"</formula>
    </cfRule>
    <cfRule type="cellIs" dxfId="12408" priority="43036" operator="equal">
      <formula>"FE"</formula>
    </cfRule>
  </conditionalFormatting>
  <conditionalFormatting sqref="A73">
    <cfRule type="cellIs" dxfId="12407" priority="43025" operator="equal">
      <formula>"Retirado"</formula>
    </cfRule>
    <cfRule type="cellIs" dxfId="12406" priority="43026" operator="equal">
      <formula>"FSE"</formula>
    </cfRule>
  </conditionalFormatting>
  <conditionalFormatting sqref="F73">
    <cfRule type="cellIs" dxfId="12405" priority="43015" operator="equal">
      <formula>"APLAZADO"</formula>
    </cfRule>
    <cfRule type="cellIs" dxfId="12404" priority="43016" operator="equal">
      <formula>"CANCELADO"</formula>
    </cfRule>
    <cfRule type="cellIs" dxfId="12403" priority="43017" operator="equal">
      <formula>"NO EJECUTADO"</formula>
    </cfRule>
    <cfRule type="cellIs" dxfId="12402" priority="43018" operator="equal">
      <formula>"FPE"</formula>
    </cfRule>
    <cfRule type="cellIs" dxfId="12401" priority="43019" operator="equal">
      <formula>"AMA"</formula>
    </cfRule>
    <cfRule type="cellIs" dxfId="12400" priority="43020" operator="equal">
      <formula>"SIN DATOS"</formula>
    </cfRule>
    <cfRule type="cellIs" dxfId="12399" priority="43021" operator="equal">
      <formula>"SIN DATOS"</formula>
    </cfRule>
    <cfRule type="cellIs" dxfId="12398" priority="43022" operator="equal">
      <formula>"NO EJECTUTADO"</formula>
    </cfRule>
    <cfRule type="cellIs" dxfId="12397" priority="43023" operator="equal">
      <formula>"FE"</formula>
    </cfRule>
    <cfRule type="cellIs" dxfId="12396" priority="43024" operator="equal">
      <formula>"FE"</formula>
    </cfRule>
  </conditionalFormatting>
  <conditionalFormatting sqref="F73">
    <cfRule type="cellIs" dxfId="12395" priority="43013" operator="equal">
      <formula>"Retirado"</formula>
    </cfRule>
    <cfRule type="cellIs" dxfId="12394" priority="43014" operator="equal">
      <formula>"FSE"</formula>
    </cfRule>
  </conditionalFormatting>
  <conditionalFormatting sqref="H73">
    <cfRule type="duplicateValues" dxfId="12393" priority="43012"/>
  </conditionalFormatting>
  <conditionalFormatting sqref="F74">
    <cfRule type="cellIs" dxfId="12392" priority="43000" operator="equal">
      <formula>"APLAZADO"</formula>
    </cfRule>
    <cfRule type="cellIs" dxfId="12391" priority="43001" operator="equal">
      <formula>"CANCELADO"</formula>
    </cfRule>
    <cfRule type="cellIs" dxfId="12390" priority="43002" operator="equal">
      <formula>"NO EJECUTADO"</formula>
    </cfRule>
    <cfRule type="cellIs" dxfId="12389" priority="43003" operator="equal">
      <formula>"FPE"</formula>
    </cfRule>
    <cfRule type="cellIs" dxfId="12388" priority="43004" operator="equal">
      <formula>"AMA"</formula>
    </cfRule>
    <cfRule type="cellIs" dxfId="12387" priority="43005" operator="equal">
      <formula>"SIN DATOS"</formula>
    </cfRule>
    <cfRule type="cellIs" dxfId="12386" priority="43006" operator="equal">
      <formula>"SIN DATOS"</formula>
    </cfRule>
    <cfRule type="cellIs" dxfId="12385" priority="43007" operator="equal">
      <formula>"NO EJECTUTADO"</formula>
    </cfRule>
    <cfRule type="cellIs" dxfId="12384" priority="43008" operator="equal">
      <formula>"FE"</formula>
    </cfRule>
    <cfRule type="cellIs" dxfId="12383" priority="43009" operator="equal">
      <formula>"FE"</formula>
    </cfRule>
  </conditionalFormatting>
  <conditionalFormatting sqref="F74">
    <cfRule type="cellIs" dxfId="12382" priority="42998" operator="equal">
      <formula>"Retirado"</formula>
    </cfRule>
    <cfRule type="cellIs" dxfId="12381" priority="42999" operator="equal">
      <formula>"FSE"</formula>
    </cfRule>
  </conditionalFormatting>
  <conditionalFormatting sqref="A75">
    <cfRule type="cellIs" dxfId="12380" priority="42987" operator="equal">
      <formula>"APLAZADO"</formula>
    </cfRule>
    <cfRule type="cellIs" dxfId="12379" priority="42988" operator="equal">
      <formula>"CANCELADO"</formula>
    </cfRule>
    <cfRule type="cellIs" dxfId="12378" priority="42989" operator="equal">
      <formula>"NO EJECUTADO"</formula>
    </cfRule>
    <cfRule type="cellIs" dxfId="12377" priority="42990" operator="equal">
      <formula>"FPE"</formula>
    </cfRule>
    <cfRule type="cellIs" dxfId="12376" priority="42991" operator="equal">
      <formula>"AMA"</formula>
    </cfRule>
    <cfRule type="cellIs" dxfId="12375" priority="42992" operator="equal">
      <formula>"SIN DATOS"</formula>
    </cfRule>
    <cfRule type="cellIs" dxfId="12374" priority="42993" operator="equal">
      <formula>"SIN DATOS"</formula>
    </cfRule>
    <cfRule type="cellIs" dxfId="12373" priority="42994" operator="equal">
      <formula>"NO EJECTUTADO"</formula>
    </cfRule>
    <cfRule type="cellIs" dxfId="12372" priority="42995" operator="equal">
      <formula>"FE"</formula>
    </cfRule>
    <cfRule type="cellIs" dxfId="12371" priority="42996" operator="equal">
      <formula>"FE"</formula>
    </cfRule>
  </conditionalFormatting>
  <conditionalFormatting sqref="A75">
    <cfRule type="cellIs" dxfId="12370" priority="42985" operator="equal">
      <formula>"Retirado"</formula>
    </cfRule>
    <cfRule type="cellIs" dxfId="12369" priority="42986" operator="equal">
      <formula>"FSE"</formula>
    </cfRule>
  </conditionalFormatting>
  <conditionalFormatting sqref="H75">
    <cfRule type="duplicateValues" dxfId="12368" priority="42971"/>
  </conditionalFormatting>
  <conditionalFormatting sqref="F75">
    <cfRule type="cellIs" dxfId="12367" priority="42961" operator="equal">
      <formula>"APLAZADO"</formula>
    </cfRule>
    <cfRule type="cellIs" dxfId="12366" priority="42962" operator="equal">
      <formula>"CANCELADO"</formula>
    </cfRule>
    <cfRule type="cellIs" dxfId="12365" priority="42963" operator="equal">
      <formula>"NO EJECUTADO"</formula>
    </cfRule>
    <cfRule type="cellIs" dxfId="12364" priority="42964" operator="equal">
      <formula>"FPE"</formula>
    </cfRule>
    <cfRule type="cellIs" dxfId="12363" priority="42965" operator="equal">
      <formula>"AMA"</formula>
    </cfRule>
    <cfRule type="cellIs" dxfId="12362" priority="42966" operator="equal">
      <formula>"SIN DATOS"</formula>
    </cfRule>
    <cfRule type="cellIs" dxfId="12361" priority="42967" operator="equal">
      <formula>"SIN DATOS"</formula>
    </cfRule>
    <cfRule type="cellIs" dxfId="12360" priority="42968" operator="equal">
      <formula>"NO EJECTUTADO"</formula>
    </cfRule>
    <cfRule type="cellIs" dxfId="12359" priority="42969" operator="equal">
      <formula>"FE"</formula>
    </cfRule>
    <cfRule type="cellIs" dxfId="12358" priority="42970" operator="equal">
      <formula>"FE"</formula>
    </cfRule>
  </conditionalFormatting>
  <conditionalFormatting sqref="F75">
    <cfRule type="cellIs" dxfId="12357" priority="42959" operator="equal">
      <formula>"Retirado"</formula>
    </cfRule>
    <cfRule type="cellIs" dxfId="12356" priority="42960" operator="equal">
      <formula>"FSE"</formula>
    </cfRule>
  </conditionalFormatting>
  <conditionalFormatting sqref="F76">
    <cfRule type="cellIs" dxfId="12355" priority="42947" operator="equal">
      <formula>"APLAZADO"</formula>
    </cfRule>
    <cfRule type="cellIs" dxfId="12354" priority="42948" operator="equal">
      <formula>"CANCELADO"</formula>
    </cfRule>
    <cfRule type="cellIs" dxfId="12353" priority="42949" operator="equal">
      <formula>"NO EJECUTADO"</formula>
    </cfRule>
    <cfRule type="cellIs" dxfId="12352" priority="42950" operator="equal">
      <formula>"FPE"</formula>
    </cfRule>
    <cfRule type="cellIs" dxfId="12351" priority="42951" operator="equal">
      <formula>"AMA"</formula>
    </cfRule>
    <cfRule type="cellIs" dxfId="12350" priority="42952" operator="equal">
      <formula>"SIN DATOS"</formula>
    </cfRule>
    <cfRule type="cellIs" dxfId="12349" priority="42953" operator="equal">
      <formula>"SIN DATOS"</formula>
    </cfRule>
    <cfRule type="cellIs" dxfId="12348" priority="42954" operator="equal">
      <formula>"NO EJECTUTADO"</formula>
    </cfRule>
    <cfRule type="cellIs" dxfId="12347" priority="42955" operator="equal">
      <formula>"FE"</formula>
    </cfRule>
    <cfRule type="cellIs" dxfId="12346" priority="42956" operator="equal">
      <formula>"FE"</formula>
    </cfRule>
  </conditionalFormatting>
  <conditionalFormatting sqref="F76">
    <cfRule type="cellIs" dxfId="12345" priority="42945" operator="equal">
      <formula>"Retirado"</formula>
    </cfRule>
    <cfRule type="cellIs" dxfId="12344" priority="42946" operator="equal">
      <formula>"FSE"</formula>
    </cfRule>
  </conditionalFormatting>
  <conditionalFormatting sqref="F77">
    <cfRule type="cellIs" dxfId="12343" priority="42935" operator="equal">
      <formula>"APLAZADO"</formula>
    </cfRule>
    <cfRule type="cellIs" dxfId="12342" priority="42936" operator="equal">
      <formula>"CANCELADO"</formula>
    </cfRule>
    <cfRule type="cellIs" dxfId="12341" priority="42937" operator="equal">
      <formula>"NO EJECUTADO"</formula>
    </cfRule>
    <cfRule type="cellIs" dxfId="12340" priority="42938" operator="equal">
      <formula>"FPE"</formula>
    </cfRule>
    <cfRule type="cellIs" dxfId="12339" priority="42939" operator="equal">
      <formula>"AMA"</formula>
    </cfRule>
    <cfRule type="cellIs" dxfId="12338" priority="42940" operator="equal">
      <formula>"SIN DATOS"</formula>
    </cfRule>
    <cfRule type="cellIs" dxfId="12337" priority="42941" operator="equal">
      <formula>"SIN DATOS"</formula>
    </cfRule>
    <cfRule type="cellIs" dxfId="12336" priority="42942" operator="equal">
      <formula>"NO EJECTUTADO"</formula>
    </cfRule>
    <cfRule type="cellIs" dxfId="12335" priority="42943" operator="equal">
      <formula>"FE"</formula>
    </cfRule>
    <cfRule type="cellIs" dxfId="12334" priority="42944" operator="equal">
      <formula>"FE"</formula>
    </cfRule>
  </conditionalFormatting>
  <conditionalFormatting sqref="F77">
    <cfRule type="cellIs" dxfId="12333" priority="42933" operator="equal">
      <formula>"Retirado"</formula>
    </cfRule>
    <cfRule type="cellIs" dxfId="12332" priority="42934" operator="equal">
      <formula>"FSE"</formula>
    </cfRule>
  </conditionalFormatting>
  <conditionalFormatting sqref="F78">
    <cfRule type="cellIs" dxfId="12331" priority="42920" operator="equal">
      <formula>"APLAZADO"</formula>
    </cfRule>
    <cfRule type="cellIs" dxfId="12330" priority="42921" operator="equal">
      <formula>"CANCELADO"</formula>
    </cfRule>
    <cfRule type="cellIs" dxfId="12329" priority="42922" operator="equal">
      <formula>"NO EJECUTADO"</formula>
    </cfRule>
    <cfRule type="cellIs" dxfId="12328" priority="42923" operator="equal">
      <formula>"FPE"</formula>
    </cfRule>
    <cfRule type="cellIs" dxfId="12327" priority="42924" operator="equal">
      <formula>"AMA"</formula>
    </cfRule>
    <cfRule type="cellIs" dxfId="12326" priority="42925" operator="equal">
      <formula>"SIN DATOS"</formula>
    </cfRule>
    <cfRule type="cellIs" dxfId="12325" priority="42926" operator="equal">
      <formula>"SIN DATOS"</formula>
    </cfRule>
    <cfRule type="cellIs" dxfId="12324" priority="42927" operator="equal">
      <formula>"NO EJECTUTADO"</formula>
    </cfRule>
    <cfRule type="cellIs" dxfId="12323" priority="42928" operator="equal">
      <formula>"FE"</formula>
    </cfRule>
    <cfRule type="cellIs" dxfId="12322" priority="42929" operator="equal">
      <formula>"FE"</formula>
    </cfRule>
  </conditionalFormatting>
  <conditionalFormatting sqref="F78">
    <cfRule type="cellIs" dxfId="12321" priority="42918" operator="equal">
      <formula>"Retirado"</formula>
    </cfRule>
    <cfRule type="cellIs" dxfId="12320" priority="42919" operator="equal">
      <formula>"FSE"</formula>
    </cfRule>
  </conditionalFormatting>
  <conditionalFormatting sqref="A79">
    <cfRule type="cellIs" dxfId="12319" priority="42906" operator="equal">
      <formula>"APLAZADO"</formula>
    </cfRule>
    <cfRule type="cellIs" dxfId="12318" priority="42907" operator="equal">
      <formula>"CANCELADO"</formula>
    </cfRule>
    <cfRule type="cellIs" dxfId="12317" priority="42908" operator="equal">
      <formula>"NO EJECUTADO"</formula>
    </cfRule>
    <cfRule type="cellIs" dxfId="12316" priority="42909" operator="equal">
      <formula>"FPE"</formula>
    </cfRule>
    <cfRule type="cellIs" dxfId="12315" priority="42910" operator="equal">
      <formula>"AMA"</formula>
    </cfRule>
    <cfRule type="cellIs" dxfId="12314" priority="42911" operator="equal">
      <formula>"SIN DATOS"</formula>
    </cfRule>
    <cfRule type="cellIs" dxfId="12313" priority="42912" operator="equal">
      <formula>"SIN DATOS"</formula>
    </cfRule>
    <cfRule type="cellIs" dxfId="12312" priority="42913" operator="equal">
      <formula>"NO EJECTUTADO"</formula>
    </cfRule>
    <cfRule type="cellIs" dxfId="12311" priority="42914" operator="equal">
      <formula>"FE"</formula>
    </cfRule>
    <cfRule type="cellIs" dxfId="12310" priority="42915" operator="equal">
      <formula>"FE"</formula>
    </cfRule>
  </conditionalFormatting>
  <conditionalFormatting sqref="A79">
    <cfRule type="cellIs" dxfId="12309" priority="42904" operator="equal">
      <formula>"Retirado"</formula>
    </cfRule>
    <cfRule type="cellIs" dxfId="12308" priority="42905" operator="equal">
      <formula>"FSE"</formula>
    </cfRule>
  </conditionalFormatting>
  <conditionalFormatting sqref="F79">
    <cfRule type="cellIs" dxfId="12307" priority="42894" operator="equal">
      <formula>"APLAZADO"</formula>
    </cfRule>
    <cfRule type="cellIs" dxfId="12306" priority="42895" operator="equal">
      <formula>"CANCELADO"</formula>
    </cfRule>
    <cfRule type="cellIs" dxfId="12305" priority="42896" operator="equal">
      <formula>"NO EJECUTADO"</formula>
    </cfRule>
    <cfRule type="cellIs" dxfId="12304" priority="42897" operator="equal">
      <formula>"FPE"</formula>
    </cfRule>
    <cfRule type="cellIs" dxfId="12303" priority="42898" operator="equal">
      <formula>"AMA"</formula>
    </cfRule>
    <cfRule type="cellIs" dxfId="12302" priority="42899" operator="equal">
      <formula>"SIN DATOS"</formula>
    </cfRule>
    <cfRule type="cellIs" dxfId="12301" priority="42900" operator="equal">
      <formula>"SIN DATOS"</formula>
    </cfRule>
    <cfRule type="cellIs" dxfId="12300" priority="42901" operator="equal">
      <formula>"NO EJECTUTADO"</formula>
    </cfRule>
    <cfRule type="cellIs" dxfId="12299" priority="42902" operator="equal">
      <formula>"FE"</formula>
    </cfRule>
    <cfRule type="cellIs" dxfId="12298" priority="42903" operator="equal">
      <formula>"FE"</formula>
    </cfRule>
  </conditionalFormatting>
  <conditionalFormatting sqref="F79">
    <cfRule type="cellIs" dxfId="12297" priority="42892" operator="equal">
      <formula>"Retirado"</formula>
    </cfRule>
    <cfRule type="cellIs" dxfId="12296" priority="42893" operator="equal">
      <formula>"FSE"</formula>
    </cfRule>
  </conditionalFormatting>
  <conditionalFormatting sqref="F80">
    <cfRule type="cellIs" dxfId="12295" priority="42882" operator="equal">
      <formula>"APLAZADO"</formula>
    </cfRule>
    <cfRule type="cellIs" dxfId="12294" priority="42883" operator="equal">
      <formula>"CANCELADO"</formula>
    </cfRule>
    <cfRule type="cellIs" dxfId="12293" priority="42884" operator="equal">
      <formula>"NO EJECUTADO"</formula>
    </cfRule>
    <cfRule type="cellIs" dxfId="12292" priority="42885" operator="equal">
      <formula>"FPE"</formula>
    </cfRule>
    <cfRule type="cellIs" dxfId="12291" priority="42886" operator="equal">
      <formula>"AMA"</formula>
    </cfRule>
    <cfRule type="cellIs" dxfId="12290" priority="42887" operator="equal">
      <formula>"SIN DATOS"</formula>
    </cfRule>
    <cfRule type="cellIs" dxfId="12289" priority="42888" operator="equal">
      <formula>"SIN DATOS"</formula>
    </cfRule>
    <cfRule type="cellIs" dxfId="12288" priority="42889" operator="equal">
      <formula>"NO EJECTUTADO"</formula>
    </cfRule>
    <cfRule type="cellIs" dxfId="12287" priority="42890" operator="equal">
      <formula>"FE"</formula>
    </cfRule>
    <cfRule type="cellIs" dxfId="12286" priority="42891" operator="equal">
      <formula>"FE"</formula>
    </cfRule>
  </conditionalFormatting>
  <conditionalFormatting sqref="F80">
    <cfRule type="cellIs" dxfId="12285" priority="42880" operator="equal">
      <formula>"Retirado"</formula>
    </cfRule>
    <cfRule type="cellIs" dxfId="12284" priority="42881" operator="equal">
      <formula>"FSE"</formula>
    </cfRule>
  </conditionalFormatting>
  <conditionalFormatting sqref="A80">
    <cfRule type="cellIs" dxfId="12283" priority="42870" operator="equal">
      <formula>"APLAZADO"</formula>
    </cfRule>
    <cfRule type="cellIs" dxfId="12282" priority="42871" operator="equal">
      <formula>"CANCELADO"</formula>
    </cfRule>
    <cfRule type="cellIs" dxfId="12281" priority="42872" operator="equal">
      <formula>"NO EJECUTADO"</formula>
    </cfRule>
    <cfRule type="cellIs" dxfId="12280" priority="42873" operator="equal">
      <formula>"FPE"</formula>
    </cfRule>
    <cfRule type="cellIs" dxfId="12279" priority="42874" operator="equal">
      <formula>"AMA"</formula>
    </cfRule>
    <cfRule type="cellIs" dxfId="12278" priority="42875" operator="equal">
      <formula>"SIN DATOS"</formula>
    </cfRule>
    <cfRule type="cellIs" dxfId="12277" priority="42876" operator="equal">
      <formula>"SIN DATOS"</formula>
    </cfRule>
    <cfRule type="cellIs" dxfId="12276" priority="42877" operator="equal">
      <formula>"NO EJECTUTADO"</formula>
    </cfRule>
    <cfRule type="cellIs" dxfId="12275" priority="42878" operator="equal">
      <formula>"FE"</formula>
    </cfRule>
    <cfRule type="cellIs" dxfId="12274" priority="42879" operator="equal">
      <formula>"FE"</formula>
    </cfRule>
  </conditionalFormatting>
  <conditionalFormatting sqref="A80">
    <cfRule type="cellIs" dxfId="12273" priority="42868" operator="equal">
      <formula>"Retirado"</formula>
    </cfRule>
    <cfRule type="cellIs" dxfId="12272" priority="42869" operator="equal">
      <formula>"FSE"</formula>
    </cfRule>
  </conditionalFormatting>
  <conditionalFormatting sqref="A81">
    <cfRule type="cellIs" dxfId="12271" priority="42856" operator="equal">
      <formula>"APLAZADO"</formula>
    </cfRule>
    <cfRule type="cellIs" dxfId="12270" priority="42857" operator="equal">
      <formula>"CANCELADO"</formula>
    </cfRule>
    <cfRule type="cellIs" dxfId="12269" priority="42858" operator="equal">
      <formula>"NO EJECUTADO"</formula>
    </cfRule>
    <cfRule type="cellIs" dxfId="12268" priority="42859" operator="equal">
      <formula>"FPE"</formula>
    </cfRule>
    <cfRule type="cellIs" dxfId="12267" priority="42860" operator="equal">
      <formula>"AMA"</formula>
    </cfRule>
    <cfRule type="cellIs" dxfId="12266" priority="42861" operator="equal">
      <formula>"SIN DATOS"</formula>
    </cfRule>
    <cfRule type="cellIs" dxfId="12265" priority="42862" operator="equal">
      <formula>"SIN DATOS"</formula>
    </cfRule>
    <cfRule type="cellIs" dxfId="12264" priority="42863" operator="equal">
      <formula>"NO EJECTUTADO"</formula>
    </cfRule>
    <cfRule type="cellIs" dxfId="12263" priority="42864" operator="equal">
      <formula>"FE"</formula>
    </cfRule>
    <cfRule type="cellIs" dxfId="12262" priority="42865" operator="equal">
      <formula>"FE"</formula>
    </cfRule>
  </conditionalFormatting>
  <conditionalFormatting sqref="A81">
    <cfRule type="cellIs" dxfId="12261" priority="42854" operator="equal">
      <formula>"Retirado"</formula>
    </cfRule>
    <cfRule type="cellIs" dxfId="12260" priority="42855" operator="equal">
      <formula>"FSE"</formula>
    </cfRule>
  </conditionalFormatting>
  <conditionalFormatting sqref="F81">
    <cfRule type="cellIs" dxfId="12259" priority="42844" operator="equal">
      <formula>"APLAZADO"</formula>
    </cfRule>
    <cfRule type="cellIs" dxfId="12258" priority="42845" operator="equal">
      <formula>"CANCELADO"</formula>
    </cfRule>
    <cfRule type="cellIs" dxfId="12257" priority="42846" operator="equal">
      <formula>"NO EJECUTADO"</formula>
    </cfRule>
    <cfRule type="cellIs" dxfId="12256" priority="42847" operator="equal">
      <formula>"FPE"</formula>
    </cfRule>
    <cfRule type="cellIs" dxfId="12255" priority="42848" operator="equal">
      <formula>"AMA"</formula>
    </cfRule>
    <cfRule type="cellIs" dxfId="12254" priority="42849" operator="equal">
      <formula>"SIN DATOS"</formula>
    </cfRule>
    <cfRule type="cellIs" dxfId="12253" priority="42850" operator="equal">
      <formula>"SIN DATOS"</formula>
    </cfRule>
    <cfRule type="cellIs" dxfId="12252" priority="42851" operator="equal">
      <formula>"NO EJECTUTADO"</formula>
    </cfRule>
    <cfRule type="cellIs" dxfId="12251" priority="42852" operator="equal">
      <formula>"FE"</formula>
    </cfRule>
    <cfRule type="cellIs" dxfId="12250" priority="42853" operator="equal">
      <formula>"FE"</formula>
    </cfRule>
  </conditionalFormatting>
  <conditionalFormatting sqref="F81">
    <cfRule type="cellIs" dxfId="12249" priority="42842" operator="equal">
      <formula>"Retirado"</formula>
    </cfRule>
    <cfRule type="cellIs" dxfId="12248" priority="42843" operator="equal">
      <formula>"FSE"</formula>
    </cfRule>
  </conditionalFormatting>
  <conditionalFormatting sqref="F82">
    <cfRule type="cellIs" dxfId="12247" priority="42830" operator="equal">
      <formula>"APLAZADO"</formula>
    </cfRule>
    <cfRule type="cellIs" dxfId="12246" priority="42831" operator="equal">
      <formula>"CANCELADO"</formula>
    </cfRule>
    <cfRule type="cellIs" dxfId="12245" priority="42832" operator="equal">
      <formula>"NO EJECUTADO"</formula>
    </cfRule>
    <cfRule type="cellIs" dxfId="12244" priority="42833" operator="equal">
      <formula>"FPE"</formula>
    </cfRule>
    <cfRule type="cellIs" dxfId="12243" priority="42834" operator="equal">
      <formula>"AMA"</formula>
    </cfRule>
    <cfRule type="cellIs" dxfId="12242" priority="42835" operator="equal">
      <formula>"SIN DATOS"</formula>
    </cfRule>
    <cfRule type="cellIs" dxfId="12241" priority="42836" operator="equal">
      <formula>"SIN DATOS"</formula>
    </cfRule>
    <cfRule type="cellIs" dxfId="12240" priority="42837" operator="equal">
      <formula>"NO EJECTUTADO"</formula>
    </cfRule>
    <cfRule type="cellIs" dxfId="12239" priority="42838" operator="equal">
      <formula>"FE"</formula>
    </cfRule>
    <cfRule type="cellIs" dxfId="12238" priority="42839" operator="equal">
      <formula>"FE"</formula>
    </cfRule>
  </conditionalFormatting>
  <conditionalFormatting sqref="F82">
    <cfRule type="cellIs" dxfId="12237" priority="42828" operator="equal">
      <formula>"Retirado"</formula>
    </cfRule>
    <cfRule type="cellIs" dxfId="12236" priority="42829" operator="equal">
      <formula>"FSE"</formula>
    </cfRule>
  </conditionalFormatting>
  <conditionalFormatting sqref="F83">
    <cfRule type="cellIs" dxfId="12235" priority="42796" operator="equal">
      <formula>"APLAZADO"</formula>
    </cfRule>
    <cfRule type="cellIs" dxfId="12234" priority="42797" operator="equal">
      <formula>"CANCELADO"</formula>
    </cfRule>
    <cfRule type="cellIs" dxfId="12233" priority="42798" operator="equal">
      <formula>"NO EJECUTADO"</formula>
    </cfRule>
    <cfRule type="cellIs" dxfId="12232" priority="42799" operator="equal">
      <formula>"FPE"</formula>
    </cfRule>
    <cfRule type="cellIs" dxfId="12231" priority="42800" operator="equal">
      <formula>"AMA"</formula>
    </cfRule>
    <cfRule type="cellIs" dxfId="12230" priority="42801" operator="equal">
      <formula>"SIN DATOS"</formula>
    </cfRule>
    <cfRule type="cellIs" dxfId="12229" priority="42802" operator="equal">
      <formula>"SIN DATOS"</formula>
    </cfRule>
    <cfRule type="cellIs" dxfId="12228" priority="42803" operator="equal">
      <formula>"NO EJECTUTADO"</formula>
    </cfRule>
    <cfRule type="cellIs" dxfId="12227" priority="42804" operator="equal">
      <formula>"FE"</formula>
    </cfRule>
    <cfRule type="cellIs" dxfId="12226" priority="42805" operator="equal">
      <formula>"FE"</formula>
    </cfRule>
  </conditionalFormatting>
  <conditionalFormatting sqref="F83">
    <cfRule type="cellIs" dxfId="12225" priority="42794" operator="equal">
      <formula>"Retirado"</formula>
    </cfRule>
    <cfRule type="cellIs" dxfId="12224" priority="42795" operator="equal">
      <formula>"FSE"</formula>
    </cfRule>
  </conditionalFormatting>
  <conditionalFormatting sqref="F84">
    <cfRule type="cellIs" dxfId="12223" priority="42781" operator="equal">
      <formula>"APLAZADO"</formula>
    </cfRule>
    <cfRule type="cellIs" dxfId="12222" priority="42782" operator="equal">
      <formula>"CANCELADO"</formula>
    </cfRule>
    <cfRule type="cellIs" dxfId="12221" priority="42783" operator="equal">
      <formula>"NO EJECUTADO"</formula>
    </cfRule>
    <cfRule type="cellIs" dxfId="12220" priority="42784" operator="equal">
      <formula>"FPE"</formula>
    </cfRule>
    <cfRule type="cellIs" dxfId="12219" priority="42785" operator="equal">
      <formula>"AMA"</formula>
    </cfRule>
    <cfRule type="cellIs" dxfId="12218" priority="42786" operator="equal">
      <formula>"SIN DATOS"</formula>
    </cfRule>
    <cfRule type="cellIs" dxfId="12217" priority="42787" operator="equal">
      <formula>"SIN DATOS"</formula>
    </cfRule>
    <cfRule type="cellIs" dxfId="12216" priority="42788" operator="equal">
      <formula>"NO EJECTUTADO"</formula>
    </cfRule>
    <cfRule type="cellIs" dxfId="12215" priority="42789" operator="equal">
      <formula>"FE"</formula>
    </cfRule>
    <cfRule type="cellIs" dxfId="12214" priority="42790" operator="equal">
      <formula>"FE"</formula>
    </cfRule>
  </conditionalFormatting>
  <conditionalFormatting sqref="F84">
    <cfRule type="cellIs" dxfId="12213" priority="42779" operator="equal">
      <formula>"Retirado"</formula>
    </cfRule>
    <cfRule type="cellIs" dxfId="12212" priority="42780" operator="equal">
      <formula>"FSE"</formula>
    </cfRule>
  </conditionalFormatting>
  <conditionalFormatting sqref="F87">
    <cfRule type="cellIs" dxfId="12211" priority="42759" operator="equal">
      <formula>"APLAZADO"</formula>
    </cfRule>
    <cfRule type="cellIs" dxfId="12210" priority="42760" operator="equal">
      <formula>"CANCELADO"</formula>
    </cfRule>
    <cfRule type="cellIs" dxfId="12209" priority="42761" operator="equal">
      <formula>"NO EJECUTADO"</formula>
    </cfRule>
    <cfRule type="cellIs" dxfId="12208" priority="42762" operator="equal">
      <formula>"FPE"</formula>
    </cfRule>
    <cfRule type="cellIs" dxfId="12207" priority="42763" operator="equal">
      <formula>"AMA"</formula>
    </cfRule>
    <cfRule type="cellIs" dxfId="12206" priority="42764" operator="equal">
      <formula>"SIN DATOS"</formula>
    </cfRule>
    <cfRule type="cellIs" dxfId="12205" priority="42765" operator="equal">
      <formula>"SIN DATOS"</formula>
    </cfRule>
    <cfRule type="cellIs" dxfId="12204" priority="42766" operator="equal">
      <formula>"NO EJECTUTADO"</formula>
    </cfRule>
    <cfRule type="cellIs" dxfId="12203" priority="42767" operator="equal">
      <formula>"FE"</formula>
    </cfRule>
    <cfRule type="cellIs" dxfId="12202" priority="42768" operator="equal">
      <formula>"FE"</formula>
    </cfRule>
  </conditionalFormatting>
  <conditionalFormatting sqref="F87">
    <cfRule type="cellIs" dxfId="12201" priority="42757" operator="equal">
      <formula>"Retirado"</formula>
    </cfRule>
    <cfRule type="cellIs" dxfId="12200" priority="42758" operator="equal">
      <formula>"FSE"</formula>
    </cfRule>
  </conditionalFormatting>
  <conditionalFormatting sqref="A87">
    <cfRule type="cellIs" dxfId="12199" priority="42747" operator="equal">
      <formula>"APLAZADO"</formula>
    </cfRule>
    <cfRule type="cellIs" dxfId="12198" priority="42748" operator="equal">
      <formula>"CANCELADO"</formula>
    </cfRule>
    <cfRule type="cellIs" dxfId="12197" priority="42749" operator="equal">
      <formula>"NO EJECUTADO"</formula>
    </cfRule>
    <cfRule type="cellIs" dxfId="12196" priority="42750" operator="equal">
      <formula>"FPE"</formula>
    </cfRule>
    <cfRule type="cellIs" dxfId="12195" priority="42751" operator="equal">
      <formula>"AMA"</formula>
    </cfRule>
    <cfRule type="cellIs" dxfId="12194" priority="42752" operator="equal">
      <formula>"SIN DATOS"</formula>
    </cfRule>
    <cfRule type="cellIs" dxfId="12193" priority="42753" operator="equal">
      <formula>"SIN DATOS"</formula>
    </cfRule>
    <cfRule type="cellIs" dxfId="12192" priority="42754" operator="equal">
      <formula>"NO EJECTUTADO"</formula>
    </cfRule>
    <cfRule type="cellIs" dxfId="12191" priority="42755" operator="equal">
      <formula>"FE"</formula>
    </cfRule>
    <cfRule type="cellIs" dxfId="12190" priority="42756" operator="equal">
      <formula>"FE"</formula>
    </cfRule>
  </conditionalFormatting>
  <conditionalFormatting sqref="A87">
    <cfRule type="cellIs" dxfId="12189" priority="42745" operator="equal">
      <formula>"Retirado"</formula>
    </cfRule>
    <cfRule type="cellIs" dxfId="12188" priority="42746" operator="equal">
      <formula>"FSE"</formula>
    </cfRule>
  </conditionalFormatting>
  <conditionalFormatting sqref="F88">
    <cfRule type="cellIs" dxfId="12187" priority="42735" operator="equal">
      <formula>"APLAZADO"</formula>
    </cfRule>
    <cfRule type="cellIs" dxfId="12186" priority="42736" operator="equal">
      <formula>"CANCELADO"</formula>
    </cfRule>
    <cfRule type="cellIs" dxfId="12185" priority="42737" operator="equal">
      <formula>"NO EJECUTADO"</formula>
    </cfRule>
    <cfRule type="cellIs" dxfId="12184" priority="42738" operator="equal">
      <formula>"FPE"</formula>
    </cfRule>
    <cfRule type="cellIs" dxfId="12183" priority="42739" operator="equal">
      <formula>"AMA"</formula>
    </cfRule>
    <cfRule type="cellIs" dxfId="12182" priority="42740" operator="equal">
      <formula>"SIN DATOS"</formula>
    </cfRule>
    <cfRule type="cellIs" dxfId="12181" priority="42741" operator="equal">
      <formula>"SIN DATOS"</formula>
    </cfRule>
    <cfRule type="cellIs" dxfId="12180" priority="42742" operator="equal">
      <formula>"NO EJECTUTADO"</formula>
    </cfRule>
    <cfRule type="cellIs" dxfId="12179" priority="42743" operator="equal">
      <formula>"FE"</formula>
    </cfRule>
    <cfRule type="cellIs" dxfId="12178" priority="42744" operator="equal">
      <formula>"FE"</formula>
    </cfRule>
  </conditionalFormatting>
  <conditionalFormatting sqref="F88">
    <cfRule type="cellIs" dxfId="12177" priority="42733" operator="equal">
      <formula>"Retirado"</formula>
    </cfRule>
    <cfRule type="cellIs" dxfId="12176" priority="42734" operator="equal">
      <formula>"FSE"</formula>
    </cfRule>
  </conditionalFormatting>
  <conditionalFormatting sqref="A88">
    <cfRule type="cellIs" dxfId="12175" priority="42723" operator="equal">
      <formula>"APLAZADO"</formula>
    </cfRule>
    <cfRule type="cellIs" dxfId="12174" priority="42724" operator="equal">
      <formula>"CANCELADO"</formula>
    </cfRule>
    <cfRule type="cellIs" dxfId="12173" priority="42725" operator="equal">
      <formula>"NO EJECUTADO"</formula>
    </cfRule>
    <cfRule type="cellIs" dxfId="12172" priority="42726" operator="equal">
      <formula>"FPE"</formula>
    </cfRule>
    <cfRule type="cellIs" dxfId="12171" priority="42727" operator="equal">
      <formula>"AMA"</formula>
    </cfRule>
    <cfRule type="cellIs" dxfId="12170" priority="42728" operator="equal">
      <formula>"SIN DATOS"</formula>
    </cfRule>
    <cfRule type="cellIs" dxfId="12169" priority="42729" operator="equal">
      <formula>"SIN DATOS"</formula>
    </cfRule>
    <cfRule type="cellIs" dxfId="12168" priority="42730" operator="equal">
      <formula>"NO EJECTUTADO"</formula>
    </cfRule>
    <cfRule type="cellIs" dxfId="12167" priority="42731" operator="equal">
      <formula>"FE"</formula>
    </cfRule>
    <cfRule type="cellIs" dxfId="12166" priority="42732" operator="equal">
      <formula>"FE"</formula>
    </cfRule>
  </conditionalFormatting>
  <conditionalFormatting sqref="A88">
    <cfRule type="cellIs" dxfId="12165" priority="42721" operator="equal">
      <formula>"Retirado"</formula>
    </cfRule>
    <cfRule type="cellIs" dxfId="12164" priority="42722" operator="equal">
      <formula>"FSE"</formula>
    </cfRule>
  </conditionalFormatting>
  <conditionalFormatting sqref="H89">
    <cfRule type="duplicateValues" dxfId="12163" priority="42705"/>
  </conditionalFormatting>
  <conditionalFormatting sqref="A89">
    <cfRule type="cellIs" dxfId="12162" priority="42694" operator="equal">
      <formula>"APLAZADO"</formula>
    </cfRule>
    <cfRule type="cellIs" dxfId="12161" priority="42695" operator="equal">
      <formula>"CANCELADO"</formula>
    </cfRule>
    <cfRule type="cellIs" dxfId="12160" priority="42696" operator="equal">
      <formula>"NO EJECUTADO"</formula>
    </cfRule>
    <cfRule type="cellIs" dxfId="12159" priority="42697" operator="equal">
      <formula>"FPE"</formula>
    </cfRule>
    <cfRule type="cellIs" dxfId="12158" priority="42698" operator="equal">
      <formula>"AMA"</formula>
    </cfRule>
    <cfRule type="cellIs" dxfId="12157" priority="42699" operator="equal">
      <formula>"SIN DATOS"</formula>
    </cfRule>
    <cfRule type="cellIs" dxfId="12156" priority="42700" operator="equal">
      <formula>"SIN DATOS"</formula>
    </cfRule>
    <cfRule type="cellIs" dxfId="12155" priority="42701" operator="equal">
      <formula>"NO EJECTUTADO"</formula>
    </cfRule>
    <cfRule type="cellIs" dxfId="12154" priority="42702" operator="equal">
      <formula>"FE"</formula>
    </cfRule>
    <cfRule type="cellIs" dxfId="12153" priority="42703" operator="equal">
      <formula>"FE"</formula>
    </cfRule>
  </conditionalFormatting>
  <conditionalFormatting sqref="A89">
    <cfRule type="cellIs" dxfId="12152" priority="42692" operator="equal">
      <formula>"Retirado"</formula>
    </cfRule>
    <cfRule type="cellIs" dxfId="12151" priority="42693" operator="equal">
      <formula>"FSE"</formula>
    </cfRule>
  </conditionalFormatting>
  <conditionalFormatting sqref="H89">
    <cfRule type="duplicateValues" dxfId="12150" priority="42691"/>
  </conditionalFormatting>
  <conditionalFormatting sqref="F89">
    <cfRule type="cellIs" dxfId="12149" priority="42681" operator="equal">
      <formula>"APLAZADO"</formula>
    </cfRule>
    <cfRule type="cellIs" dxfId="12148" priority="42682" operator="equal">
      <formula>"CANCELADO"</formula>
    </cfRule>
    <cfRule type="cellIs" dxfId="12147" priority="42683" operator="equal">
      <formula>"NO EJECUTADO"</formula>
    </cfRule>
    <cfRule type="cellIs" dxfId="12146" priority="42684" operator="equal">
      <formula>"FPE"</formula>
    </cfRule>
    <cfRule type="cellIs" dxfId="12145" priority="42685" operator="equal">
      <formula>"AMA"</formula>
    </cfRule>
    <cfRule type="cellIs" dxfId="12144" priority="42686" operator="equal">
      <formula>"SIN DATOS"</formula>
    </cfRule>
    <cfRule type="cellIs" dxfId="12143" priority="42687" operator="equal">
      <formula>"SIN DATOS"</formula>
    </cfRule>
    <cfRule type="cellIs" dxfId="12142" priority="42688" operator="equal">
      <formula>"NO EJECTUTADO"</formula>
    </cfRule>
    <cfRule type="cellIs" dxfId="12141" priority="42689" operator="equal">
      <formula>"FE"</formula>
    </cfRule>
    <cfRule type="cellIs" dxfId="12140" priority="42690" operator="equal">
      <formula>"FE"</formula>
    </cfRule>
  </conditionalFormatting>
  <conditionalFormatting sqref="F89">
    <cfRule type="cellIs" dxfId="12139" priority="42679" operator="equal">
      <formula>"Retirado"</formula>
    </cfRule>
    <cfRule type="cellIs" dxfId="12138" priority="42680" operator="equal">
      <formula>"FSE"</formula>
    </cfRule>
  </conditionalFormatting>
  <conditionalFormatting sqref="F91">
    <cfRule type="cellIs" dxfId="12137" priority="42659" operator="equal">
      <formula>"APLAZADO"</formula>
    </cfRule>
    <cfRule type="cellIs" dxfId="12136" priority="42660" operator="equal">
      <formula>"CANCELADO"</formula>
    </cfRule>
    <cfRule type="cellIs" dxfId="12135" priority="42661" operator="equal">
      <formula>"NO EJECUTADO"</formula>
    </cfRule>
    <cfRule type="cellIs" dxfId="12134" priority="42662" operator="equal">
      <formula>"FPE"</formula>
    </cfRule>
    <cfRule type="cellIs" dxfId="12133" priority="42663" operator="equal">
      <formula>"AMA"</formula>
    </cfRule>
    <cfRule type="cellIs" dxfId="12132" priority="42664" operator="equal">
      <formula>"SIN DATOS"</formula>
    </cfRule>
    <cfRule type="cellIs" dxfId="12131" priority="42665" operator="equal">
      <formula>"SIN DATOS"</formula>
    </cfRule>
    <cfRule type="cellIs" dxfId="12130" priority="42666" operator="equal">
      <formula>"NO EJECTUTADO"</formula>
    </cfRule>
    <cfRule type="cellIs" dxfId="12129" priority="42667" operator="equal">
      <formula>"FE"</formula>
    </cfRule>
    <cfRule type="cellIs" dxfId="12128" priority="42668" operator="equal">
      <formula>"FE"</formula>
    </cfRule>
  </conditionalFormatting>
  <conditionalFormatting sqref="F91">
    <cfRule type="cellIs" dxfId="12127" priority="42657" operator="equal">
      <formula>"Retirado"</formula>
    </cfRule>
    <cfRule type="cellIs" dxfId="12126" priority="42658" operator="equal">
      <formula>"FSE"</formula>
    </cfRule>
  </conditionalFormatting>
  <conditionalFormatting sqref="F92">
    <cfRule type="cellIs" dxfId="12125" priority="42646" operator="equal">
      <formula>"APLAZADO"</formula>
    </cfRule>
    <cfRule type="cellIs" dxfId="12124" priority="42647" operator="equal">
      <formula>"CANCELADO"</formula>
    </cfRule>
    <cfRule type="cellIs" dxfId="12123" priority="42648" operator="equal">
      <formula>"NO EJECUTADO"</formula>
    </cfRule>
    <cfRule type="cellIs" dxfId="12122" priority="42649" operator="equal">
      <formula>"FPE"</formula>
    </cfRule>
    <cfRule type="cellIs" dxfId="12121" priority="42650" operator="equal">
      <formula>"AMA"</formula>
    </cfRule>
    <cfRule type="cellIs" dxfId="12120" priority="42651" operator="equal">
      <formula>"SIN DATOS"</formula>
    </cfRule>
    <cfRule type="cellIs" dxfId="12119" priority="42652" operator="equal">
      <formula>"SIN DATOS"</formula>
    </cfRule>
    <cfRule type="cellIs" dxfId="12118" priority="42653" operator="equal">
      <formula>"NO EJECTUTADO"</formula>
    </cfRule>
    <cfRule type="cellIs" dxfId="12117" priority="42654" operator="equal">
      <formula>"FE"</formula>
    </cfRule>
    <cfRule type="cellIs" dxfId="12116" priority="42655" operator="equal">
      <formula>"FE"</formula>
    </cfRule>
  </conditionalFormatting>
  <conditionalFormatting sqref="F92">
    <cfRule type="cellIs" dxfId="12115" priority="42644" operator="equal">
      <formula>"Retirado"</formula>
    </cfRule>
    <cfRule type="cellIs" dxfId="12114" priority="42645" operator="equal">
      <formula>"FSE"</formula>
    </cfRule>
  </conditionalFormatting>
  <conditionalFormatting sqref="A92">
    <cfRule type="cellIs" dxfId="12113" priority="42634" operator="equal">
      <formula>"APLAZADO"</formula>
    </cfRule>
    <cfRule type="cellIs" dxfId="12112" priority="42635" operator="equal">
      <formula>"CANCELADO"</formula>
    </cfRule>
    <cfRule type="cellIs" dxfId="12111" priority="42636" operator="equal">
      <formula>"NO EJECUTADO"</formula>
    </cfRule>
    <cfRule type="cellIs" dxfId="12110" priority="42637" operator="equal">
      <formula>"FPE"</formula>
    </cfRule>
    <cfRule type="cellIs" dxfId="12109" priority="42638" operator="equal">
      <formula>"AMA"</formula>
    </cfRule>
    <cfRule type="cellIs" dxfId="12108" priority="42639" operator="equal">
      <formula>"SIN DATOS"</formula>
    </cfRule>
    <cfRule type="cellIs" dxfId="12107" priority="42640" operator="equal">
      <formula>"SIN DATOS"</formula>
    </cfRule>
    <cfRule type="cellIs" dxfId="12106" priority="42641" operator="equal">
      <formula>"NO EJECTUTADO"</formula>
    </cfRule>
    <cfRule type="cellIs" dxfId="12105" priority="42642" operator="equal">
      <formula>"FE"</formula>
    </cfRule>
    <cfRule type="cellIs" dxfId="12104" priority="42643" operator="equal">
      <formula>"FE"</formula>
    </cfRule>
  </conditionalFormatting>
  <conditionalFormatting sqref="A92">
    <cfRule type="cellIs" dxfId="12103" priority="42632" operator="equal">
      <formula>"Retirado"</formula>
    </cfRule>
    <cfRule type="cellIs" dxfId="12102" priority="42633" operator="equal">
      <formula>"FSE"</formula>
    </cfRule>
  </conditionalFormatting>
  <conditionalFormatting sqref="A93">
    <cfRule type="cellIs" dxfId="12101" priority="42615" operator="equal">
      <formula>"APLAZADO"</formula>
    </cfRule>
    <cfRule type="cellIs" dxfId="12100" priority="42616" operator="equal">
      <formula>"CANCELADO"</formula>
    </cfRule>
    <cfRule type="cellIs" dxfId="12099" priority="42617" operator="equal">
      <formula>"NO EJECUTADO"</formula>
    </cfRule>
    <cfRule type="cellIs" dxfId="12098" priority="42618" operator="equal">
      <formula>"FPE"</formula>
    </cfRule>
    <cfRule type="cellIs" dxfId="12097" priority="42619" operator="equal">
      <formula>"AMA"</formula>
    </cfRule>
    <cfRule type="cellIs" dxfId="12096" priority="42620" operator="equal">
      <formula>"SIN DATOS"</formula>
    </cfRule>
    <cfRule type="cellIs" dxfId="12095" priority="42621" operator="equal">
      <formula>"SIN DATOS"</formula>
    </cfRule>
    <cfRule type="cellIs" dxfId="12094" priority="42622" operator="equal">
      <formula>"NO EJECTUTADO"</formula>
    </cfRule>
    <cfRule type="cellIs" dxfId="12093" priority="42623" operator="equal">
      <formula>"FE"</formula>
    </cfRule>
    <cfRule type="cellIs" dxfId="12092" priority="42624" operator="equal">
      <formula>"FE"</formula>
    </cfRule>
  </conditionalFormatting>
  <conditionalFormatting sqref="A93">
    <cfRule type="cellIs" dxfId="12091" priority="42613" operator="equal">
      <formula>"Retirado"</formula>
    </cfRule>
    <cfRule type="cellIs" dxfId="12090" priority="42614" operator="equal">
      <formula>"FSE"</formula>
    </cfRule>
  </conditionalFormatting>
  <conditionalFormatting sqref="F93">
    <cfRule type="cellIs" dxfId="12089" priority="42603" operator="equal">
      <formula>"APLAZADO"</formula>
    </cfRule>
    <cfRule type="cellIs" dxfId="12088" priority="42604" operator="equal">
      <formula>"CANCELADO"</formula>
    </cfRule>
    <cfRule type="cellIs" dxfId="12087" priority="42605" operator="equal">
      <formula>"NO EJECUTADO"</formula>
    </cfRule>
    <cfRule type="cellIs" dxfId="12086" priority="42606" operator="equal">
      <formula>"FPE"</formula>
    </cfRule>
    <cfRule type="cellIs" dxfId="12085" priority="42607" operator="equal">
      <formula>"AMA"</formula>
    </cfRule>
    <cfRule type="cellIs" dxfId="12084" priority="42608" operator="equal">
      <formula>"SIN DATOS"</formula>
    </cfRule>
    <cfRule type="cellIs" dxfId="12083" priority="42609" operator="equal">
      <formula>"SIN DATOS"</formula>
    </cfRule>
    <cfRule type="cellIs" dxfId="12082" priority="42610" operator="equal">
      <formula>"NO EJECTUTADO"</formula>
    </cfRule>
    <cfRule type="cellIs" dxfId="12081" priority="42611" operator="equal">
      <formula>"FE"</formula>
    </cfRule>
    <cfRule type="cellIs" dxfId="12080" priority="42612" operator="equal">
      <formula>"FE"</formula>
    </cfRule>
  </conditionalFormatting>
  <conditionalFormatting sqref="F93">
    <cfRule type="cellIs" dxfId="12079" priority="42601" operator="equal">
      <formula>"Retirado"</formula>
    </cfRule>
    <cfRule type="cellIs" dxfId="12078" priority="42602" operator="equal">
      <formula>"FSE"</formula>
    </cfRule>
  </conditionalFormatting>
  <conditionalFormatting sqref="F95">
    <cfRule type="cellIs" dxfId="12077" priority="42583" operator="equal">
      <formula>"APLAZADO"</formula>
    </cfRule>
    <cfRule type="cellIs" dxfId="12076" priority="42584" operator="equal">
      <formula>"CANCELADO"</formula>
    </cfRule>
    <cfRule type="cellIs" dxfId="12075" priority="42585" operator="equal">
      <formula>"NO EJECUTADO"</formula>
    </cfRule>
    <cfRule type="cellIs" dxfId="12074" priority="42586" operator="equal">
      <formula>"FPE"</formula>
    </cfRule>
    <cfRule type="cellIs" dxfId="12073" priority="42587" operator="equal">
      <formula>"AMA"</formula>
    </cfRule>
    <cfRule type="cellIs" dxfId="12072" priority="42588" operator="equal">
      <formula>"SIN DATOS"</formula>
    </cfRule>
    <cfRule type="cellIs" dxfId="12071" priority="42589" operator="equal">
      <formula>"SIN DATOS"</formula>
    </cfRule>
    <cfRule type="cellIs" dxfId="12070" priority="42590" operator="equal">
      <formula>"NO EJECTUTADO"</formula>
    </cfRule>
    <cfRule type="cellIs" dxfId="12069" priority="42591" operator="equal">
      <formula>"FE"</formula>
    </cfRule>
    <cfRule type="cellIs" dxfId="12068" priority="42592" operator="equal">
      <formula>"FE"</formula>
    </cfRule>
  </conditionalFormatting>
  <conditionalFormatting sqref="F95">
    <cfRule type="cellIs" dxfId="12067" priority="42581" operator="equal">
      <formula>"Retirado"</formula>
    </cfRule>
    <cfRule type="cellIs" dxfId="12066" priority="42582" operator="equal">
      <formula>"FSE"</formula>
    </cfRule>
  </conditionalFormatting>
  <conditionalFormatting sqref="F97">
    <cfRule type="cellIs" dxfId="12065" priority="42563" operator="equal">
      <formula>"APLAZADO"</formula>
    </cfRule>
    <cfRule type="cellIs" dxfId="12064" priority="42564" operator="equal">
      <formula>"CANCELADO"</formula>
    </cfRule>
    <cfRule type="cellIs" dxfId="12063" priority="42565" operator="equal">
      <formula>"NO EJECUTADO"</formula>
    </cfRule>
    <cfRule type="cellIs" dxfId="12062" priority="42566" operator="equal">
      <formula>"FPE"</formula>
    </cfRule>
    <cfRule type="cellIs" dxfId="12061" priority="42567" operator="equal">
      <formula>"AMA"</formula>
    </cfRule>
    <cfRule type="cellIs" dxfId="12060" priority="42568" operator="equal">
      <formula>"SIN DATOS"</formula>
    </cfRule>
    <cfRule type="cellIs" dxfId="12059" priority="42569" operator="equal">
      <formula>"SIN DATOS"</formula>
    </cfRule>
    <cfRule type="cellIs" dxfId="12058" priority="42570" operator="equal">
      <formula>"NO EJECTUTADO"</formula>
    </cfRule>
    <cfRule type="cellIs" dxfId="12057" priority="42571" operator="equal">
      <formula>"FE"</formula>
    </cfRule>
    <cfRule type="cellIs" dxfId="12056" priority="42572" operator="equal">
      <formula>"FE"</formula>
    </cfRule>
  </conditionalFormatting>
  <conditionalFormatting sqref="F97">
    <cfRule type="cellIs" dxfId="12055" priority="42561" operator="equal">
      <formula>"Retirado"</formula>
    </cfRule>
    <cfRule type="cellIs" dxfId="12054" priority="42562" operator="equal">
      <formula>"FSE"</formula>
    </cfRule>
  </conditionalFormatting>
  <conditionalFormatting sqref="F98">
    <cfRule type="cellIs" dxfId="12053" priority="42551" operator="equal">
      <formula>"APLAZADO"</formula>
    </cfRule>
    <cfRule type="cellIs" dxfId="12052" priority="42552" operator="equal">
      <formula>"CANCELADO"</formula>
    </cfRule>
    <cfRule type="cellIs" dxfId="12051" priority="42553" operator="equal">
      <formula>"NO EJECUTADO"</formula>
    </cfRule>
    <cfRule type="cellIs" dxfId="12050" priority="42554" operator="equal">
      <formula>"FPE"</formula>
    </cfRule>
    <cfRule type="cellIs" dxfId="12049" priority="42555" operator="equal">
      <formula>"AMA"</formula>
    </cfRule>
    <cfRule type="cellIs" dxfId="12048" priority="42556" operator="equal">
      <formula>"SIN DATOS"</formula>
    </cfRule>
    <cfRule type="cellIs" dxfId="12047" priority="42557" operator="equal">
      <formula>"SIN DATOS"</formula>
    </cfRule>
    <cfRule type="cellIs" dxfId="12046" priority="42558" operator="equal">
      <formula>"NO EJECTUTADO"</formula>
    </cfRule>
    <cfRule type="cellIs" dxfId="12045" priority="42559" operator="equal">
      <formula>"FE"</formula>
    </cfRule>
    <cfRule type="cellIs" dxfId="12044" priority="42560" operator="equal">
      <formula>"FE"</formula>
    </cfRule>
  </conditionalFormatting>
  <conditionalFormatting sqref="F98">
    <cfRule type="cellIs" dxfId="12043" priority="42549" operator="equal">
      <formula>"Retirado"</formula>
    </cfRule>
    <cfRule type="cellIs" dxfId="12042" priority="42550" operator="equal">
      <formula>"FSE"</formula>
    </cfRule>
  </conditionalFormatting>
  <conditionalFormatting sqref="F99">
    <cfRule type="cellIs" dxfId="12041" priority="42539" operator="equal">
      <formula>"APLAZADO"</formula>
    </cfRule>
    <cfRule type="cellIs" dxfId="12040" priority="42540" operator="equal">
      <formula>"CANCELADO"</formula>
    </cfRule>
    <cfRule type="cellIs" dxfId="12039" priority="42541" operator="equal">
      <formula>"NO EJECUTADO"</formula>
    </cfRule>
    <cfRule type="cellIs" dxfId="12038" priority="42542" operator="equal">
      <formula>"FPE"</formula>
    </cfRule>
    <cfRule type="cellIs" dxfId="12037" priority="42543" operator="equal">
      <formula>"AMA"</formula>
    </cfRule>
    <cfRule type="cellIs" dxfId="12036" priority="42544" operator="equal">
      <formula>"SIN DATOS"</formula>
    </cfRule>
    <cfRule type="cellIs" dxfId="12035" priority="42545" operator="equal">
      <formula>"SIN DATOS"</formula>
    </cfRule>
    <cfRule type="cellIs" dxfId="12034" priority="42546" operator="equal">
      <formula>"NO EJECTUTADO"</formula>
    </cfRule>
    <cfRule type="cellIs" dxfId="12033" priority="42547" operator="equal">
      <formula>"FE"</formula>
    </cfRule>
    <cfRule type="cellIs" dxfId="12032" priority="42548" operator="equal">
      <formula>"FE"</formula>
    </cfRule>
  </conditionalFormatting>
  <conditionalFormatting sqref="F99">
    <cfRule type="cellIs" dxfId="12031" priority="42537" operator="equal">
      <formula>"Retirado"</formula>
    </cfRule>
    <cfRule type="cellIs" dxfId="12030" priority="42538" operator="equal">
      <formula>"FSE"</formula>
    </cfRule>
  </conditionalFormatting>
  <conditionalFormatting sqref="F100">
    <cfRule type="cellIs" dxfId="12029" priority="42527" operator="equal">
      <formula>"APLAZADO"</formula>
    </cfRule>
    <cfRule type="cellIs" dxfId="12028" priority="42528" operator="equal">
      <formula>"CANCELADO"</formula>
    </cfRule>
    <cfRule type="cellIs" dxfId="12027" priority="42529" operator="equal">
      <formula>"NO EJECUTADO"</formula>
    </cfRule>
    <cfRule type="cellIs" dxfId="12026" priority="42530" operator="equal">
      <formula>"FPE"</formula>
    </cfRule>
    <cfRule type="cellIs" dxfId="12025" priority="42531" operator="equal">
      <formula>"AMA"</formula>
    </cfRule>
    <cfRule type="cellIs" dxfId="12024" priority="42532" operator="equal">
      <formula>"SIN DATOS"</formula>
    </cfRule>
    <cfRule type="cellIs" dxfId="12023" priority="42533" operator="equal">
      <formula>"SIN DATOS"</formula>
    </cfRule>
    <cfRule type="cellIs" dxfId="12022" priority="42534" operator="equal">
      <formula>"NO EJECTUTADO"</formula>
    </cfRule>
    <cfRule type="cellIs" dxfId="12021" priority="42535" operator="equal">
      <formula>"FE"</formula>
    </cfRule>
    <cfRule type="cellIs" dxfId="12020" priority="42536" operator="equal">
      <formula>"FE"</formula>
    </cfRule>
  </conditionalFormatting>
  <conditionalFormatting sqref="F100">
    <cfRule type="cellIs" dxfId="12019" priority="42525" operator="equal">
      <formula>"Retirado"</formula>
    </cfRule>
    <cfRule type="cellIs" dxfId="12018" priority="42526" operator="equal">
      <formula>"FSE"</formula>
    </cfRule>
  </conditionalFormatting>
  <conditionalFormatting sqref="F101">
    <cfRule type="cellIs" dxfId="12017" priority="42515" operator="equal">
      <formula>"APLAZADO"</formula>
    </cfRule>
    <cfRule type="cellIs" dxfId="12016" priority="42516" operator="equal">
      <formula>"CANCELADO"</formula>
    </cfRule>
    <cfRule type="cellIs" dxfId="12015" priority="42517" operator="equal">
      <formula>"NO EJECUTADO"</formula>
    </cfRule>
    <cfRule type="cellIs" dxfId="12014" priority="42518" operator="equal">
      <formula>"FPE"</formula>
    </cfRule>
    <cfRule type="cellIs" dxfId="12013" priority="42519" operator="equal">
      <formula>"AMA"</formula>
    </cfRule>
    <cfRule type="cellIs" dxfId="12012" priority="42520" operator="equal">
      <formula>"SIN DATOS"</formula>
    </cfRule>
    <cfRule type="cellIs" dxfId="12011" priority="42521" operator="equal">
      <formula>"SIN DATOS"</formula>
    </cfRule>
    <cfRule type="cellIs" dxfId="12010" priority="42522" operator="equal">
      <formula>"NO EJECTUTADO"</formula>
    </cfRule>
    <cfRule type="cellIs" dxfId="12009" priority="42523" operator="equal">
      <formula>"FE"</formula>
    </cfRule>
    <cfRule type="cellIs" dxfId="12008" priority="42524" operator="equal">
      <formula>"FE"</formula>
    </cfRule>
  </conditionalFormatting>
  <conditionalFormatting sqref="F101">
    <cfRule type="cellIs" dxfId="12007" priority="42513" operator="equal">
      <formula>"Retirado"</formula>
    </cfRule>
    <cfRule type="cellIs" dxfId="12006" priority="42514" operator="equal">
      <formula>"FSE"</formula>
    </cfRule>
  </conditionalFormatting>
  <conditionalFormatting sqref="F102">
    <cfRule type="cellIs" dxfId="12005" priority="42503" operator="equal">
      <formula>"APLAZADO"</formula>
    </cfRule>
    <cfRule type="cellIs" dxfId="12004" priority="42504" operator="equal">
      <formula>"CANCELADO"</formula>
    </cfRule>
    <cfRule type="cellIs" dxfId="12003" priority="42505" operator="equal">
      <formula>"NO EJECUTADO"</formula>
    </cfRule>
    <cfRule type="cellIs" dxfId="12002" priority="42506" operator="equal">
      <formula>"FPE"</formula>
    </cfRule>
    <cfRule type="cellIs" dxfId="12001" priority="42507" operator="equal">
      <formula>"AMA"</formula>
    </cfRule>
    <cfRule type="cellIs" dxfId="12000" priority="42508" operator="equal">
      <formula>"SIN DATOS"</formula>
    </cfRule>
    <cfRule type="cellIs" dxfId="11999" priority="42509" operator="equal">
      <formula>"SIN DATOS"</formula>
    </cfRule>
    <cfRule type="cellIs" dxfId="11998" priority="42510" operator="equal">
      <formula>"NO EJECTUTADO"</formula>
    </cfRule>
    <cfRule type="cellIs" dxfId="11997" priority="42511" operator="equal">
      <formula>"FE"</formula>
    </cfRule>
    <cfRule type="cellIs" dxfId="11996" priority="42512" operator="equal">
      <formula>"FE"</formula>
    </cfRule>
  </conditionalFormatting>
  <conditionalFormatting sqref="F102">
    <cfRule type="cellIs" dxfId="11995" priority="42501" operator="equal">
      <formula>"Retirado"</formula>
    </cfRule>
    <cfRule type="cellIs" dxfId="11994" priority="42502" operator="equal">
      <formula>"FSE"</formula>
    </cfRule>
  </conditionalFormatting>
  <conditionalFormatting sqref="F103">
    <cfRule type="cellIs" dxfId="11993" priority="42491" operator="equal">
      <formula>"APLAZADO"</formula>
    </cfRule>
    <cfRule type="cellIs" dxfId="11992" priority="42492" operator="equal">
      <formula>"CANCELADO"</formula>
    </cfRule>
    <cfRule type="cellIs" dxfId="11991" priority="42493" operator="equal">
      <formula>"NO EJECUTADO"</formula>
    </cfRule>
    <cfRule type="cellIs" dxfId="11990" priority="42494" operator="equal">
      <formula>"FPE"</formula>
    </cfRule>
    <cfRule type="cellIs" dxfId="11989" priority="42495" operator="equal">
      <formula>"AMA"</formula>
    </cfRule>
    <cfRule type="cellIs" dxfId="11988" priority="42496" operator="equal">
      <formula>"SIN DATOS"</formula>
    </cfRule>
    <cfRule type="cellIs" dxfId="11987" priority="42497" operator="equal">
      <formula>"SIN DATOS"</formula>
    </cfRule>
    <cfRule type="cellIs" dxfId="11986" priority="42498" operator="equal">
      <formula>"NO EJECTUTADO"</formula>
    </cfRule>
    <cfRule type="cellIs" dxfId="11985" priority="42499" operator="equal">
      <formula>"FE"</formula>
    </cfRule>
    <cfRule type="cellIs" dxfId="11984" priority="42500" operator="equal">
      <formula>"FE"</formula>
    </cfRule>
  </conditionalFormatting>
  <conditionalFormatting sqref="F103">
    <cfRule type="cellIs" dxfId="11983" priority="42489" operator="equal">
      <formula>"Retirado"</formula>
    </cfRule>
    <cfRule type="cellIs" dxfId="11982" priority="42490" operator="equal">
      <formula>"FSE"</formula>
    </cfRule>
  </conditionalFormatting>
  <conditionalFormatting sqref="F104">
    <cfRule type="cellIs" dxfId="11981" priority="42479" operator="equal">
      <formula>"APLAZADO"</formula>
    </cfRule>
    <cfRule type="cellIs" dxfId="11980" priority="42480" operator="equal">
      <formula>"CANCELADO"</formula>
    </cfRule>
    <cfRule type="cellIs" dxfId="11979" priority="42481" operator="equal">
      <formula>"NO EJECUTADO"</formula>
    </cfRule>
    <cfRule type="cellIs" dxfId="11978" priority="42482" operator="equal">
      <formula>"FPE"</formula>
    </cfRule>
    <cfRule type="cellIs" dxfId="11977" priority="42483" operator="equal">
      <formula>"AMA"</formula>
    </cfRule>
    <cfRule type="cellIs" dxfId="11976" priority="42484" operator="equal">
      <formula>"SIN DATOS"</formula>
    </cfRule>
    <cfRule type="cellIs" dxfId="11975" priority="42485" operator="equal">
      <formula>"SIN DATOS"</formula>
    </cfRule>
    <cfRule type="cellIs" dxfId="11974" priority="42486" operator="equal">
      <formula>"NO EJECTUTADO"</formula>
    </cfRule>
    <cfRule type="cellIs" dxfId="11973" priority="42487" operator="equal">
      <formula>"FE"</formula>
    </cfRule>
    <cfRule type="cellIs" dxfId="11972" priority="42488" operator="equal">
      <formula>"FE"</formula>
    </cfRule>
  </conditionalFormatting>
  <conditionalFormatting sqref="F104">
    <cfRule type="cellIs" dxfId="11971" priority="42477" operator="equal">
      <formula>"Retirado"</formula>
    </cfRule>
    <cfRule type="cellIs" dxfId="11970" priority="42478" operator="equal">
      <formula>"FSE"</formula>
    </cfRule>
  </conditionalFormatting>
  <conditionalFormatting sqref="F105">
    <cfRule type="cellIs" dxfId="11969" priority="42467" operator="equal">
      <formula>"APLAZADO"</formula>
    </cfRule>
    <cfRule type="cellIs" dxfId="11968" priority="42468" operator="equal">
      <formula>"CANCELADO"</formula>
    </cfRule>
    <cfRule type="cellIs" dxfId="11967" priority="42469" operator="equal">
      <formula>"NO EJECUTADO"</formula>
    </cfRule>
    <cfRule type="cellIs" dxfId="11966" priority="42470" operator="equal">
      <formula>"FPE"</formula>
    </cfRule>
    <cfRule type="cellIs" dxfId="11965" priority="42471" operator="equal">
      <formula>"AMA"</formula>
    </cfRule>
    <cfRule type="cellIs" dxfId="11964" priority="42472" operator="equal">
      <formula>"SIN DATOS"</formula>
    </cfRule>
    <cfRule type="cellIs" dxfId="11963" priority="42473" operator="equal">
      <formula>"SIN DATOS"</formula>
    </cfRule>
    <cfRule type="cellIs" dxfId="11962" priority="42474" operator="equal">
      <formula>"NO EJECTUTADO"</formula>
    </cfRule>
    <cfRule type="cellIs" dxfId="11961" priority="42475" operator="equal">
      <formula>"FE"</formula>
    </cfRule>
    <cfRule type="cellIs" dxfId="11960" priority="42476" operator="equal">
      <formula>"FE"</formula>
    </cfRule>
  </conditionalFormatting>
  <conditionalFormatting sqref="F105">
    <cfRule type="cellIs" dxfId="11959" priority="42465" operator="equal">
      <formula>"Retirado"</formula>
    </cfRule>
    <cfRule type="cellIs" dxfId="11958" priority="42466" operator="equal">
      <formula>"FSE"</formula>
    </cfRule>
  </conditionalFormatting>
  <conditionalFormatting sqref="F106">
    <cfRule type="cellIs" dxfId="11957" priority="42455" operator="equal">
      <formula>"APLAZADO"</formula>
    </cfRule>
    <cfRule type="cellIs" dxfId="11956" priority="42456" operator="equal">
      <formula>"CANCELADO"</formula>
    </cfRule>
    <cfRule type="cellIs" dxfId="11955" priority="42457" operator="equal">
      <formula>"NO EJECUTADO"</formula>
    </cfRule>
    <cfRule type="cellIs" dxfId="11954" priority="42458" operator="equal">
      <formula>"FPE"</formula>
    </cfRule>
    <cfRule type="cellIs" dxfId="11953" priority="42459" operator="equal">
      <formula>"AMA"</formula>
    </cfRule>
    <cfRule type="cellIs" dxfId="11952" priority="42460" operator="equal">
      <formula>"SIN DATOS"</formula>
    </cfRule>
    <cfRule type="cellIs" dxfId="11951" priority="42461" operator="equal">
      <formula>"SIN DATOS"</formula>
    </cfRule>
    <cfRule type="cellIs" dxfId="11950" priority="42462" operator="equal">
      <formula>"NO EJECTUTADO"</formula>
    </cfRule>
    <cfRule type="cellIs" dxfId="11949" priority="42463" operator="equal">
      <formula>"FE"</formula>
    </cfRule>
    <cfRule type="cellIs" dxfId="11948" priority="42464" operator="equal">
      <formula>"FE"</formula>
    </cfRule>
  </conditionalFormatting>
  <conditionalFormatting sqref="F106">
    <cfRule type="cellIs" dxfId="11947" priority="42453" operator="equal">
      <formula>"Retirado"</formula>
    </cfRule>
    <cfRule type="cellIs" dxfId="11946" priority="42454" operator="equal">
      <formula>"FSE"</formula>
    </cfRule>
  </conditionalFormatting>
  <conditionalFormatting sqref="F109">
    <cfRule type="cellIs" dxfId="11945" priority="42442" operator="equal">
      <formula>"APLAZADO"</formula>
    </cfRule>
    <cfRule type="cellIs" dxfId="11944" priority="42443" operator="equal">
      <formula>"CANCELADO"</formula>
    </cfRule>
    <cfRule type="cellIs" dxfId="11943" priority="42444" operator="equal">
      <formula>"NO EJECUTADO"</formula>
    </cfRule>
    <cfRule type="cellIs" dxfId="11942" priority="42445" operator="equal">
      <formula>"FPE"</formula>
    </cfRule>
    <cfRule type="cellIs" dxfId="11941" priority="42446" operator="equal">
      <formula>"AMA"</formula>
    </cfRule>
    <cfRule type="cellIs" dxfId="11940" priority="42447" operator="equal">
      <formula>"SIN DATOS"</formula>
    </cfRule>
    <cfRule type="cellIs" dxfId="11939" priority="42448" operator="equal">
      <formula>"SIN DATOS"</formula>
    </cfRule>
    <cfRule type="cellIs" dxfId="11938" priority="42449" operator="equal">
      <formula>"NO EJECTUTADO"</formula>
    </cfRule>
    <cfRule type="cellIs" dxfId="11937" priority="42450" operator="equal">
      <formula>"FE"</formula>
    </cfRule>
    <cfRule type="cellIs" dxfId="11936" priority="42451" operator="equal">
      <formula>"FE"</formula>
    </cfRule>
  </conditionalFormatting>
  <conditionalFormatting sqref="F109">
    <cfRule type="cellIs" dxfId="11935" priority="42440" operator="equal">
      <formula>"Retirado"</formula>
    </cfRule>
    <cfRule type="cellIs" dxfId="11934" priority="42441" operator="equal">
      <formula>"FSE"</formula>
    </cfRule>
  </conditionalFormatting>
  <conditionalFormatting sqref="F110">
    <cfRule type="cellIs" dxfId="11933" priority="42430" operator="equal">
      <formula>"APLAZADO"</formula>
    </cfRule>
    <cfRule type="cellIs" dxfId="11932" priority="42431" operator="equal">
      <formula>"CANCELADO"</formula>
    </cfRule>
    <cfRule type="cellIs" dxfId="11931" priority="42432" operator="equal">
      <formula>"NO EJECUTADO"</formula>
    </cfRule>
    <cfRule type="cellIs" dxfId="11930" priority="42433" operator="equal">
      <formula>"FPE"</formula>
    </cfRule>
    <cfRule type="cellIs" dxfId="11929" priority="42434" operator="equal">
      <formula>"AMA"</formula>
    </cfRule>
    <cfRule type="cellIs" dxfId="11928" priority="42435" operator="equal">
      <formula>"SIN DATOS"</formula>
    </cfRule>
    <cfRule type="cellIs" dxfId="11927" priority="42436" operator="equal">
      <formula>"SIN DATOS"</formula>
    </cfRule>
    <cfRule type="cellIs" dxfId="11926" priority="42437" operator="equal">
      <formula>"NO EJECTUTADO"</formula>
    </cfRule>
    <cfRule type="cellIs" dxfId="11925" priority="42438" operator="equal">
      <formula>"FE"</formula>
    </cfRule>
    <cfRule type="cellIs" dxfId="11924" priority="42439" operator="equal">
      <formula>"FE"</formula>
    </cfRule>
  </conditionalFormatting>
  <conditionalFormatting sqref="F110">
    <cfRule type="cellIs" dxfId="11923" priority="42428" operator="equal">
      <formula>"Retirado"</formula>
    </cfRule>
    <cfRule type="cellIs" dxfId="11922" priority="42429" operator="equal">
      <formula>"FSE"</formula>
    </cfRule>
  </conditionalFormatting>
  <conditionalFormatting sqref="A112">
    <cfRule type="cellIs" dxfId="11921" priority="42416" operator="equal">
      <formula>"APLAZADO"</formula>
    </cfRule>
    <cfRule type="cellIs" dxfId="11920" priority="42417" operator="equal">
      <formula>"CANCELADO"</formula>
    </cfRule>
    <cfRule type="cellIs" dxfId="11919" priority="42418" operator="equal">
      <formula>"NO EJECUTADO"</formula>
    </cfRule>
    <cfRule type="cellIs" dxfId="11918" priority="42419" operator="equal">
      <formula>"FPE"</formula>
    </cfRule>
    <cfRule type="cellIs" dxfId="11917" priority="42420" operator="equal">
      <formula>"AMA"</formula>
    </cfRule>
    <cfRule type="cellIs" dxfId="11916" priority="42421" operator="equal">
      <formula>"SIN DATOS"</formula>
    </cfRule>
    <cfRule type="cellIs" dxfId="11915" priority="42422" operator="equal">
      <formula>"SIN DATOS"</formula>
    </cfRule>
    <cfRule type="cellIs" dxfId="11914" priority="42423" operator="equal">
      <formula>"NO EJECTUTADO"</formula>
    </cfRule>
    <cfRule type="cellIs" dxfId="11913" priority="42424" operator="equal">
      <formula>"FE"</formula>
    </cfRule>
    <cfRule type="cellIs" dxfId="11912" priority="42425" operator="equal">
      <formula>"FE"</formula>
    </cfRule>
  </conditionalFormatting>
  <conditionalFormatting sqref="A112">
    <cfRule type="cellIs" dxfId="11911" priority="42414" operator="equal">
      <formula>"Retirado"</formula>
    </cfRule>
    <cfRule type="cellIs" dxfId="11910" priority="42415" operator="equal">
      <formula>"FSE"</formula>
    </cfRule>
  </conditionalFormatting>
  <conditionalFormatting sqref="F112">
    <cfRule type="cellIs" dxfId="11909" priority="42404" operator="equal">
      <formula>"APLAZADO"</formula>
    </cfRule>
    <cfRule type="cellIs" dxfId="11908" priority="42405" operator="equal">
      <formula>"CANCELADO"</formula>
    </cfRule>
    <cfRule type="cellIs" dxfId="11907" priority="42406" operator="equal">
      <formula>"NO EJECUTADO"</formula>
    </cfRule>
    <cfRule type="cellIs" dxfId="11906" priority="42407" operator="equal">
      <formula>"FPE"</formula>
    </cfRule>
    <cfRule type="cellIs" dxfId="11905" priority="42408" operator="equal">
      <formula>"AMA"</formula>
    </cfRule>
    <cfRule type="cellIs" dxfId="11904" priority="42409" operator="equal">
      <formula>"SIN DATOS"</formula>
    </cfRule>
    <cfRule type="cellIs" dxfId="11903" priority="42410" operator="equal">
      <formula>"SIN DATOS"</formula>
    </cfRule>
    <cfRule type="cellIs" dxfId="11902" priority="42411" operator="equal">
      <formula>"NO EJECTUTADO"</formula>
    </cfRule>
    <cfRule type="cellIs" dxfId="11901" priority="42412" operator="equal">
      <formula>"FE"</formula>
    </cfRule>
    <cfRule type="cellIs" dxfId="11900" priority="42413" operator="equal">
      <formula>"FE"</formula>
    </cfRule>
  </conditionalFormatting>
  <conditionalFormatting sqref="F112">
    <cfRule type="cellIs" dxfId="11899" priority="42402" operator="equal">
      <formula>"Retirado"</formula>
    </cfRule>
    <cfRule type="cellIs" dxfId="11898" priority="42403" operator="equal">
      <formula>"FSE"</formula>
    </cfRule>
  </conditionalFormatting>
  <conditionalFormatting sqref="A113">
    <cfRule type="cellIs" dxfId="11897" priority="42392" operator="equal">
      <formula>"APLAZADO"</formula>
    </cfRule>
    <cfRule type="cellIs" dxfId="11896" priority="42393" operator="equal">
      <formula>"CANCELADO"</formula>
    </cfRule>
    <cfRule type="cellIs" dxfId="11895" priority="42394" operator="equal">
      <formula>"NO EJECUTADO"</formula>
    </cfRule>
    <cfRule type="cellIs" dxfId="11894" priority="42395" operator="equal">
      <formula>"FPE"</formula>
    </cfRule>
    <cfRule type="cellIs" dxfId="11893" priority="42396" operator="equal">
      <formula>"AMA"</formula>
    </cfRule>
    <cfRule type="cellIs" dxfId="11892" priority="42397" operator="equal">
      <formula>"SIN DATOS"</formula>
    </cfRule>
    <cfRule type="cellIs" dxfId="11891" priority="42398" operator="equal">
      <formula>"SIN DATOS"</formula>
    </cfRule>
    <cfRule type="cellIs" dxfId="11890" priority="42399" operator="equal">
      <formula>"NO EJECTUTADO"</formula>
    </cfRule>
    <cfRule type="cellIs" dxfId="11889" priority="42400" operator="equal">
      <formula>"FE"</formula>
    </cfRule>
    <cfRule type="cellIs" dxfId="11888" priority="42401" operator="equal">
      <formula>"FE"</formula>
    </cfRule>
  </conditionalFormatting>
  <conditionalFormatting sqref="A113">
    <cfRule type="cellIs" dxfId="11887" priority="42390" operator="equal">
      <formula>"Retirado"</formula>
    </cfRule>
    <cfRule type="cellIs" dxfId="11886" priority="42391" operator="equal">
      <formula>"FSE"</formula>
    </cfRule>
  </conditionalFormatting>
  <conditionalFormatting sqref="F113">
    <cfRule type="cellIs" dxfId="11885" priority="42380" operator="equal">
      <formula>"APLAZADO"</formula>
    </cfRule>
    <cfRule type="cellIs" dxfId="11884" priority="42381" operator="equal">
      <formula>"CANCELADO"</formula>
    </cfRule>
    <cfRule type="cellIs" dxfId="11883" priority="42382" operator="equal">
      <formula>"NO EJECUTADO"</formula>
    </cfRule>
    <cfRule type="cellIs" dxfId="11882" priority="42383" operator="equal">
      <formula>"FPE"</formula>
    </cfRule>
    <cfRule type="cellIs" dxfId="11881" priority="42384" operator="equal">
      <formula>"AMA"</formula>
    </cfRule>
    <cfRule type="cellIs" dxfId="11880" priority="42385" operator="equal">
      <formula>"SIN DATOS"</formula>
    </cfRule>
    <cfRule type="cellIs" dxfId="11879" priority="42386" operator="equal">
      <formula>"SIN DATOS"</formula>
    </cfRule>
    <cfRule type="cellIs" dxfId="11878" priority="42387" operator="equal">
      <formula>"NO EJECTUTADO"</formula>
    </cfRule>
    <cfRule type="cellIs" dxfId="11877" priority="42388" operator="equal">
      <formula>"FE"</formula>
    </cfRule>
    <cfRule type="cellIs" dxfId="11876" priority="42389" operator="equal">
      <formula>"FE"</formula>
    </cfRule>
  </conditionalFormatting>
  <conditionalFormatting sqref="F113">
    <cfRule type="cellIs" dxfId="11875" priority="42378" operator="equal">
      <formula>"Retirado"</formula>
    </cfRule>
    <cfRule type="cellIs" dxfId="11874" priority="42379" operator="equal">
      <formula>"FSE"</formula>
    </cfRule>
  </conditionalFormatting>
  <conditionalFormatting sqref="F114">
    <cfRule type="cellIs" dxfId="11873" priority="42366" operator="equal">
      <formula>"APLAZADO"</formula>
    </cfRule>
    <cfRule type="cellIs" dxfId="11872" priority="42367" operator="equal">
      <formula>"CANCELADO"</formula>
    </cfRule>
    <cfRule type="cellIs" dxfId="11871" priority="42368" operator="equal">
      <formula>"NO EJECUTADO"</formula>
    </cfRule>
    <cfRule type="cellIs" dxfId="11870" priority="42369" operator="equal">
      <formula>"FPE"</formula>
    </cfRule>
    <cfRule type="cellIs" dxfId="11869" priority="42370" operator="equal">
      <formula>"AMA"</formula>
    </cfRule>
    <cfRule type="cellIs" dxfId="11868" priority="42371" operator="equal">
      <formula>"SIN DATOS"</formula>
    </cfRule>
    <cfRule type="cellIs" dxfId="11867" priority="42372" operator="equal">
      <formula>"SIN DATOS"</formula>
    </cfRule>
    <cfRule type="cellIs" dxfId="11866" priority="42373" operator="equal">
      <formula>"NO EJECTUTADO"</formula>
    </cfRule>
    <cfRule type="cellIs" dxfId="11865" priority="42374" operator="equal">
      <formula>"FE"</formula>
    </cfRule>
    <cfRule type="cellIs" dxfId="11864" priority="42375" operator="equal">
      <formula>"FE"</formula>
    </cfRule>
  </conditionalFormatting>
  <conditionalFormatting sqref="F114">
    <cfRule type="cellIs" dxfId="11863" priority="42364" operator="equal">
      <formula>"Retirado"</formula>
    </cfRule>
    <cfRule type="cellIs" dxfId="11862" priority="42365" operator="equal">
      <formula>"FSE"</formula>
    </cfRule>
  </conditionalFormatting>
  <conditionalFormatting sqref="H2 H14:H18 H25 H29 H31:H65 H67:H72 H74 H76:H88 H90:H117">
    <cfRule type="duplicateValues" dxfId="11861" priority="136737"/>
  </conditionalFormatting>
  <conditionalFormatting sqref="A115">
    <cfRule type="cellIs" dxfId="11860" priority="42340" operator="equal">
      <formula>"APLAZADO"</formula>
    </cfRule>
    <cfRule type="cellIs" dxfId="11859" priority="42341" operator="equal">
      <formula>"CANCELADO"</formula>
    </cfRule>
    <cfRule type="cellIs" dxfId="11858" priority="42342" operator="equal">
      <formula>"NO EJECUTADO"</formula>
    </cfRule>
    <cfRule type="cellIs" dxfId="11857" priority="42343" operator="equal">
      <formula>"FPE"</formula>
    </cfRule>
    <cfRule type="cellIs" dxfId="11856" priority="42344" operator="equal">
      <formula>"AMA"</formula>
    </cfRule>
    <cfRule type="cellIs" dxfId="11855" priority="42345" operator="equal">
      <formula>"SIN DATOS"</formula>
    </cfRule>
    <cfRule type="cellIs" dxfId="11854" priority="42346" operator="equal">
      <formula>"SIN DATOS"</formula>
    </cfRule>
    <cfRule type="cellIs" dxfId="11853" priority="42347" operator="equal">
      <formula>"NO EJECTUTADO"</formula>
    </cfRule>
    <cfRule type="cellIs" dxfId="11852" priority="42348" operator="equal">
      <formula>"FE"</formula>
    </cfRule>
    <cfRule type="cellIs" dxfId="11851" priority="42349" operator="equal">
      <formula>"FE"</formula>
    </cfRule>
  </conditionalFormatting>
  <conditionalFormatting sqref="A115">
    <cfRule type="cellIs" dxfId="11850" priority="42338" operator="equal">
      <formula>"Retirado"</formula>
    </cfRule>
    <cfRule type="cellIs" dxfId="11849" priority="42339" operator="equal">
      <formula>"FSE"</formula>
    </cfRule>
  </conditionalFormatting>
  <conditionalFormatting sqref="F115">
    <cfRule type="cellIs" dxfId="11848" priority="42328" operator="equal">
      <formula>"APLAZADO"</formula>
    </cfRule>
    <cfRule type="cellIs" dxfId="11847" priority="42329" operator="equal">
      <formula>"CANCELADO"</formula>
    </cfRule>
    <cfRule type="cellIs" dxfId="11846" priority="42330" operator="equal">
      <formula>"NO EJECUTADO"</formula>
    </cfRule>
    <cfRule type="cellIs" dxfId="11845" priority="42331" operator="equal">
      <formula>"FPE"</formula>
    </cfRule>
    <cfRule type="cellIs" dxfId="11844" priority="42332" operator="equal">
      <formula>"AMA"</formula>
    </cfRule>
    <cfRule type="cellIs" dxfId="11843" priority="42333" operator="equal">
      <formula>"SIN DATOS"</formula>
    </cfRule>
    <cfRule type="cellIs" dxfId="11842" priority="42334" operator="equal">
      <formula>"SIN DATOS"</formula>
    </cfRule>
    <cfRule type="cellIs" dxfId="11841" priority="42335" operator="equal">
      <formula>"NO EJECTUTADO"</formula>
    </cfRule>
    <cfRule type="cellIs" dxfId="11840" priority="42336" operator="equal">
      <formula>"FE"</formula>
    </cfRule>
    <cfRule type="cellIs" dxfId="11839" priority="42337" operator="equal">
      <formula>"FE"</formula>
    </cfRule>
  </conditionalFormatting>
  <conditionalFormatting sqref="F115">
    <cfRule type="cellIs" dxfId="11838" priority="42326" operator="equal">
      <formula>"Retirado"</formula>
    </cfRule>
    <cfRule type="cellIs" dxfId="11837" priority="42327" operator="equal">
      <formula>"FSE"</formula>
    </cfRule>
  </conditionalFormatting>
  <conditionalFormatting sqref="A119:A120">
    <cfRule type="cellIs" dxfId="11836" priority="42300" operator="equal">
      <formula>"APLAZADO"</formula>
    </cfRule>
    <cfRule type="cellIs" dxfId="11835" priority="42301" operator="equal">
      <formula>"CANCELADO"</formula>
    </cfRule>
    <cfRule type="cellIs" dxfId="11834" priority="42302" operator="equal">
      <formula>"NO EJECUTADO"</formula>
    </cfRule>
    <cfRule type="cellIs" dxfId="11833" priority="42303" operator="equal">
      <formula>"FPE"</formula>
    </cfRule>
    <cfRule type="cellIs" dxfId="11832" priority="42304" operator="equal">
      <formula>"AMA"</formula>
    </cfRule>
    <cfRule type="cellIs" dxfId="11831" priority="42305" operator="equal">
      <formula>"SIN DATOS"</formula>
    </cfRule>
    <cfRule type="cellIs" dxfId="11830" priority="42306" operator="equal">
      <formula>"SIN DATOS"</formula>
    </cfRule>
    <cfRule type="cellIs" dxfId="11829" priority="42307" operator="equal">
      <formula>"NO EJECTUTADO"</formula>
    </cfRule>
    <cfRule type="cellIs" dxfId="11828" priority="42308" operator="equal">
      <formula>"FE"</formula>
    </cfRule>
    <cfRule type="cellIs" dxfId="11827" priority="42309" operator="equal">
      <formula>"FE"</formula>
    </cfRule>
  </conditionalFormatting>
  <conditionalFormatting sqref="A119:A120">
    <cfRule type="cellIs" dxfId="11826" priority="42298" operator="equal">
      <formula>"Retirado"</formula>
    </cfRule>
    <cfRule type="cellIs" dxfId="11825" priority="42299" operator="equal">
      <formula>"FSE"</formula>
    </cfRule>
  </conditionalFormatting>
  <conditionalFormatting sqref="H118">
    <cfRule type="duplicateValues" dxfId="11824" priority="42280"/>
  </conditionalFormatting>
  <conditionalFormatting sqref="H118">
    <cfRule type="duplicateValues" dxfId="11823" priority="42279"/>
  </conditionalFormatting>
  <conditionalFormatting sqref="F119">
    <cfRule type="cellIs" dxfId="11822" priority="42268" operator="equal">
      <formula>"APLAZADO"</formula>
    </cfRule>
    <cfRule type="cellIs" dxfId="11821" priority="42269" operator="equal">
      <formula>"CANCELADO"</formula>
    </cfRule>
    <cfRule type="cellIs" dxfId="11820" priority="42270" operator="equal">
      <formula>"NO EJECUTADO"</formula>
    </cfRule>
    <cfRule type="cellIs" dxfId="11819" priority="42271" operator="equal">
      <formula>"FPE"</formula>
    </cfRule>
    <cfRule type="cellIs" dxfId="11818" priority="42272" operator="equal">
      <formula>"AMA"</formula>
    </cfRule>
    <cfRule type="cellIs" dxfId="11817" priority="42273" operator="equal">
      <formula>"SIN DATOS"</formula>
    </cfRule>
    <cfRule type="cellIs" dxfId="11816" priority="42274" operator="equal">
      <formula>"SIN DATOS"</formula>
    </cfRule>
    <cfRule type="cellIs" dxfId="11815" priority="42275" operator="equal">
      <formula>"NO EJECTUTADO"</formula>
    </cfRule>
    <cfRule type="cellIs" dxfId="11814" priority="42276" operator="equal">
      <formula>"FE"</formula>
    </cfRule>
    <cfRule type="cellIs" dxfId="11813" priority="42277" operator="equal">
      <formula>"FE"</formula>
    </cfRule>
  </conditionalFormatting>
  <conditionalFormatting sqref="F119">
    <cfRule type="cellIs" dxfId="11812" priority="42266" operator="equal">
      <formula>"Retirado"</formula>
    </cfRule>
    <cfRule type="cellIs" dxfId="11811" priority="42267" operator="equal">
      <formula>"FSE"</formula>
    </cfRule>
  </conditionalFormatting>
  <conditionalFormatting sqref="F120">
    <cfRule type="cellIs" dxfId="11810" priority="42256" operator="equal">
      <formula>"APLAZADO"</formula>
    </cfRule>
    <cfRule type="cellIs" dxfId="11809" priority="42257" operator="equal">
      <formula>"CANCELADO"</formula>
    </cfRule>
    <cfRule type="cellIs" dxfId="11808" priority="42258" operator="equal">
      <formula>"NO EJECUTADO"</formula>
    </cfRule>
    <cfRule type="cellIs" dxfId="11807" priority="42259" operator="equal">
      <formula>"FPE"</formula>
    </cfRule>
    <cfRule type="cellIs" dxfId="11806" priority="42260" operator="equal">
      <formula>"AMA"</formula>
    </cfRule>
    <cfRule type="cellIs" dxfId="11805" priority="42261" operator="equal">
      <formula>"SIN DATOS"</formula>
    </cfRule>
    <cfRule type="cellIs" dxfId="11804" priority="42262" operator="equal">
      <formula>"SIN DATOS"</formula>
    </cfRule>
    <cfRule type="cellIs" dxfId="11803" priority="42263" operator="equal">
      <formula>"NO EJECTUTADO"</formula>
    </cfRule>
    <cfRule type="cellIs" dxfId="11802" priority="42264" operator="equal">
      <formula>"FE"</formula>
    </cfRule>
    <cfRule type="cellIs" dxfId="11801" priority="42265" operator="equal">
      <formula>"FE"</formula>
    </cfRule>
  </conditionalFormatting>
  <conditionalFormatting sqref="F120">
    <cfRule type="cellIs" dxfId="11800" priority="42254" operator="equal">
      <formula>"Retirado"</formula>
    </cfRule>
    <cfRule type="cellIs" dxfId="11799" priority="42255" operator="equal">
      <formula>"FSE"</formula>
    </cfRule>
  </conditionalFormatting>
  <conditionalFormatting sqref="F123:F124">
    <cfRule type="cellIs" dxfId="11798" priority="42223" operator="equal">
      <formula>"APLAZADO"</formula>
    </cfRule>
    <cfRule type="cellIs" dxfId="11797" priority="42224" operator="equal">
      <formula>"CANCELADO"</formula>
    </cfRule>
    <cfRule type="cellIs" dxfId="11796" priority="42225" operator="equal">
      <formula>"NO EJECUTADO"</formula>
    </cfRule>
    <cfRule type="cellIs" dxfId="11795" priority="42226" operator="equal">
      <formula>"FPE"</formula>
    </cfRule>
    <cfRule type="cellIs" dxfId="11794" priority="42227" operator="equal">
      <formula>"AMA"</formula>
    </cfRule>
    <cfRule type="cellIs" dxfId="11793" priority="42228" operator="equal">
      <formula>"SIN DATOS"</formula>
    </cfRule>
    <cfRule type="cellIs" dxfId="11792" priority="42229" operator="equal">
      <formula>"SIN DATOS"</formula>
    </cfRule>
    <cfRule type="cellIs" dxfId="11791" priority="42230" operator="equal">
      <formula>"NO EJECTUTADO"</formula>
    </cfRule>
    <cfRule type="cellIs" dxfId="11790" priority="42231" operator="equal">
      <formula>"FE"</formula>
    </cfRule>
    <cfRule type="cellIs" dxfId="11789" priority="42232" operator="equal">
      <formula>"FE"</formula>
    </cfRule>
  </conditionalFormatting>
  <conditionalFormatting sqref="F123:F124">
    <cfRule type="cellIs" dxfId="11788" priority="42221" operator="equal">
      <formula>"Retirado"</formula>
    </cfRule>
    <cfRule type="cellIs" dxfId="11787" priority="42222" operator="equal">
      <formula>"FSE"</formula>
    </cfRule>
  </conditionalFormatting>
  <conditionalFormatting sqref="F125">
    <cfRule type="cellIs" dxfId="11786" priority="42199" operator="equal">
      <formula>"APLAZADO"</formula>
    </cfRule>
    <cfRule type="cellIs" dxfId="11785" priority="42200" operator="equal">
      <formula>"CANCELADO"</formula>
    </cfRule>
    <cfRule type="cellIs" dxfId="11784" priority="42201" operator="equal">
      <formula>"NO EJECUTADO"</formula>
    </cfRule>
    <cfRule type="cellIs" dxfId="11783" priority="42202" operator="equal">
      <formula>"FPE"</formula>
    </cfRule>
    <cfRule type="cellIs" dxfId="11782" priority="42203" operator="equal">
      <formula>"AMA"</formula>
    </cfRule>
    <cfRule type="cellIs" dxfId="11781" priority="42204" operator="equal">
      <formula>"SIN DATOS"</formula>
    </cfRule>
    <cfRule type="cellIs" dxfId="11780" priority="42205" operator="equal">
      <formula>"SIN DATOS"</formula>
    </cfRule>
    <cfRule type="cellIs" dxfId="11779" priority="42206" operator="equal">
      <formula>"NO EJECTUTADO"</formula>
    </cfRule>
    <cfRule type="cellIs" dxfId="11778" priority="42207" operator="equal">
      <formula>"FE"</formula>
    </cfRule>
    <cfRule type="cellIs" dxfId="11777" priority="42208" operator="equal">
      <formula>"FE"</formula>
    </cfRule>
  </conditionalFormatting>
  <conditionalFormatting sqref="F125">
    <cfRule type="cellIs" dxfId="11776" priority="42197" operator="equal">
      <formula>"Retirado"</formula>
    </cfRule>
    <cfRule type="cellIs" dxfId="11775" priority="42198" operator="equal">
      <formula>"FSE"</formula>
    </cfRule>
  </conditionalFormatting>
  <conditionalFormatting sqref="H126">
    <cfRule type="duplicateValues" dxfId="11774" priority="42191"/>
  </conditionalFormatting>
  <conditionalFormatting sqref="H126">
    <cfRule type="duplicateValues" dxfId="11773" priority="42190"/>
  </conditionalFormatting>
  <conditionalFormatting sqref="F128:F129">
    <cfRule type="cellIs" dxfId="11772" priority="42179" operator="equal">
      <formula>"APLAZADO"</formula>
    </cfRule>
    <cfRule type="cellIs" dxfId="11771" priority="42180" operator="equal">
      <formula>"CANCELADO"</formula>
    </cfRule>
    <cfRule type="cellIs" dxfId="11770" priority="42181" operator="equal">
      <formula>"NO EJECUTADO"</formula>
    </cfRule>
    <cfRule type="cellIs" dxfId="11769" priority="42182" operator="equal">
      <formula>"FPE"</formula>
    </cfRule>
    <cfRule type="cellIs" dxfId="11768" priority="42183" operator="equal">
      <formula>"AMA"</formula>
    </cfRule>
    <cfRule type="cellIs" dxfId="11767" priority="42184" operator="equal">
      <formula>"SIN DATOS"</formula>
    </cfRule>
    <cfRule type="cellIs" dxfId="11766" priority="42185" operator="equal">
      <formula>"SIN DATOS"</formula>
    </cfRule>
    <cfRule type="cellIs" dxfId="11765" priority="42186" operator="equal">
      <formula>"NO EJECTUTADO"</formula>
    </cfRule>
    <cfRule type="cellIs" dxfId="11764" priority="42187" operator="equal">
      <formula>"FE"</formula>
    </cfRule>
    <cfRule type="cellIs" dxfId="11763" priority="42188" operator="equal">
      <formula>"FE"</formula>
    </cfRule>
  </conditionalFormatting>
  <conditionalFormatting sqref="F128:F129">
    <cfRule type="cellIs" dxfId="11762" priority="42177" operator="equal">
      <formula>"Retirado"</formula>
    </cfRule>
    <cfRule type="cellIs" dxfId="11761" priority="42178" operator="equal">
      <formula>"FSE"</formula>
    </cfRule>
  </conditionalFormatting>
  <conditionalFormatting sqref="F130">
    <cfRule type="cellIs" dxfId="11760" priority="42167" operator="equal">
      <formula>"APLAZADO"</formula>
    </cfRule>
    <cfRule type="cellIs" dxfId="11759" priority="42168" operator="equal">
      <formula>"CANCELADO"</formula>
    </cfRule>
    <cfRule type="cellIs" dxfId="11758" priority="42169" operator="equal">
      <formula>"NO EJECUTADO"</formula>
    </cfRule>
    <cfRule type="cellIs" dxfId="11757" priority="42170" operator="equal">
      <formula>"FPE"</formula>
    </cfRule>
    <cfRule type="cellIs" dxfId="11756" priority="42171" operator="equal">
      <formula>"AMA"</formula>
    </cfRule>
    <cfRule type="cellIs" dxfId="11755" priority="42172" operator="equal">
      <formula>"SIN DATOS"</formula>
    </cfRule>
    <cfRule type="cellIs" dxfId="11754" priority="42173" operator="equal">
      <formula>"SIN DATOS"</formula>
    </cfRule>
    <cfRule type="cellIs" dxfId="11753" priority="42174" operator="equal">
      <formula>"NO EJECTUTADO"</formula>
    </cfRule>
    <cfRule type="cellIs" dxfId="11752" priority="42175" operator="equal">
      <formula>"FE"</formula>
    </cfRule>
    <cfRule type="cellIs" dxfId="11751" priority="42176" operator="equal">
      <formula>"FE"</formula>
    </cfRule>
  </conditionalFormatting>
  <conditionalFormatting sqref="F130">
    <cfRule type="cellIs" dxfId="11750" priority="42165" operator="equal">
      <formula>"Retirado"</formula>
    </cfRule>
    <cfRule type="cellIs" dxfId="11749" priority="42166" operator="equal">
      <formula>"FSE"</formula>
    </cfRule>
  </conditionalFormatting>
  <conditionalFormatting sqref="A131">
    <cfRule type="cellIs" dxfId="11748" priority="42155" operator="equal">
      <formula>"APLAZADO"</formula>
    </cfRule>
    <cfRule type="cellIs" dxfId="11747" priority="42156" operator="equal">
      <formula>"CANCELADO"</formula>
    </cfRule>
    <cfRule type="cellIs" dxfId="11746" priority="42157" operator="equal">
      <formula>"NO EJECUTADO"</formula>
    </cfRule>
    <cfRule type="cellIs" dxfId="11745" priority="42158" operator="equal">
      <formula>"FPE"</formula>
    </cfRule>
    <cfRule type="cellIs" dxfId="11744" priority="42159" operator="equal">
      <formula>"AMA"</formula>
    </cfRule>
    <cfRule type="cellIs" dxfId="11743" priority="42160" operator="equal">
      <formula>"SIN DATOS"</formula>
    </cfRule>
    <cfRule type="cellIs" dxfId="11742" priority="42161" operator="equal">
      <formula>"SIN DATOS"</formula>
    </cfRule>
    <cfRule type="cellIs" dxfId="11741" priority="42162" operator="equal">
      <formula>"NO EJECTUTADO"</formula>
    </cfRule>
    <cfRule type="cellIs" dxfId="11740" priority="42163" operator="equal">
      <formula>"FE"</formula>
    </cfRule>
    <cfRule type="cellIs" dxfId="11739" priority="42164" operator="equal">
      <formula>"FE"</formula>
    </cfRule>
  </conditionalFormatting>
  <conditionalFormatting sqref="A131">
    <cfRule type="cellIs" dxfId="11738" priority="42153" operator="equal">
      <formula>"Retirado"</formula>
    </cfRule>
    <cfRule type="cellIs" dxfId="11737" priority="42154" operator="equal">
      <formula>"FSE"</formula>
    </cfRule>
  </conditionalFormatting>
  <conditionalFormatting sqref="F131">
    <cfRule type="cellIs" dxfId="11736" priority="42143" operator="equal">
      <formula>"APLAZADO"</formula>
    </cfRule>
    <cfRule type="cellIs" dxfId="11735" priority="42144" operator="equal">
      <formula>"CANCELADO"</formula>
    </cfRule>
    <cfRule type="cellIs" dxfId="11734" priority="42145" operator="equal">
      <formula>"NO EJECUTADO"</formula>
    </cfRule>
    <cfRule type="cellIs" dxfId="11733" priority="42146" operator="equal">
      <formula>"FPE"</formula>
    </cfRule>
    <cfRule type="cellIs" dxfId="11732" priority="42147" operator="equal">
      <formula>"AMA"</formula>
    </cfRule>
    <cfRule type="cellIs" dxfId="11731" priority="42148" operator="equal">
      <formula>"SIN DATOS"</formula>
    </cfRule>
    <cfRule type="cellIs" dxfId="11730" priority="42149" operator="equal">
      <formula>"SIN DATOS"</formula>
    </cfRule>
    <cfRule type="cellIs" dxfId="11729" priority="42150" operator="equal">
      <formula>"NO EJECTUTADO"</formula>
    </cfRule>
    <cfRule type="cellIs" dxfId="11728" priority="42151" operator="equal">
      <formula>"FE"</formula>
    </cfRule>
    <cfRule type="cellIs" dxfId="11727" priority="42152" operator="equal">
      <formula>"FE"</formula>
    </cfRule>
  </conditionalFormatting>
  <conditionalFormatting sqref="F131">
    <cfRule type="cellIs" dxfId="11726" priority="42141" operator="equal">
      <formula>"Retirado"</formula>
    </cfRule>
    <cfRule type="cellIs" dxfId="11725" priority="42142" operator="equal">
      <formula>"FSE"</formula>
    </cfRule>
  </conditionalFormatting>
  <conditionalFormatting sqref="F132">
    <cfRule type="cellIs" dxfId="11724" priority="42130" operator="equal">
      <formula>"APLAZADO"</formula>
    </cfRule>
    <cfRule type="cellIs" dxfId="11723" priority="42131" operator="equal">
      <formula>"CANCELADO"</formula>
    </cfRule>
    <cfRule type="cellIs" dxfId="11722" priority="42132" operator="equal">
      <formula>"NO EJECUTADO"</formula>
    </cfRule>
    <cfRule type="cellIs" dxfId="11721" priority="42133" operator="equal">
      <formula>"FPE"</formula>
    </cfRule>
    <cfRule type="cellIs" dxfId="11720" priority="42134" operator="equal">
      <formula>"AMA"</formula>
    </cfRule>
    <cfRule type="cellIs" dxfId="11719" priority="42135" operator="equal">
      <formula>"SIN DATOS"</formula>
    </cfRule>
    <cfRule type="cellIs" dxfId="11718" priority="42136" operator="equal">
      <formula>"SIN DATOS"</formula>
    </cfRule>
    <cfRule type="cellIs" dxfId="11717" priority="42137" operator="equal">
      <formula>"NO EJECTUTADO"</formula>
    </cfRule>
    <cfRule type="cellIs" dxfId="11716" priority="42138" operator="equal">
      <formula>"FE"</formula>
    </cfRule>
    <cfRule type="cellIs" dxfId="11715" priority="42139" operator="equal">
      <formula>"FE"</formula>
    </cfRule>
  </conditionalFormatting>
  <conditionalFormatting sqref="F132">
    <cfRule type="cellIs" dxfId="11714" priority="42128" operator="equal">
      <formula>"Retirado"</formula>
    </cfRule>
    <cfRule type="cellIs" dxfId="11713" priority="42129" operator="equal">
      <formula>"FSE"</formula>
    </cfRule>
  </conditionalFormatting>
  <conditionalFormatting sqref="F133">
    <cfRule type="cellIs" dxfId="11712" priority="42118" operator="equal">
      <formula>"APLAZADO"</formula>
    </cfRule>
    <cfRule type="cellIs" dxfId="11711" priority="42119" operator="equal">
      <formula>"CANCELADO"</formula>
    </cfRule>
    <cfRule type="cellIs" dxfId="11710" priority="42120" operator="equal">
      <formula>"NO EJECUTADO"</formula>
    </cfRule>
    <cfRule type="cellIs" dxfId="11709" priority="42121" operator="equal">
      <formula>"FPE"</formula>
    </cfRule>
    <cfRule type="cellIs" dxfId="11708" priority="42122" operator="equal">
      <formula>"AMA"</formula>
    </cfRule>
    <cfRule type="cellIs" dxfId="11707" priority="42123" operator="equal">
      <formula>"SIN DATOS"</formula>
    </cfRule>
    <cfRule type="cellIs" dxfId="11706" priority="42124" operator="equal">
      <formula>"SIN DATOS"</formula>
    </cfRule>
    <cfRule type="cellIs" dxfId="11705" priority="42125" operator="equal">
      <formula>"NO EJECTUTADO"</formula>
    </cfRule>
    <cfRule type="cellIs" dxfId="11704" priority="42126" operator="equal">
      <formula>"FE"</formula>
    </cfRule>
    <cfRule type="cellIs" dxfId="11703" priority="42127" operator="equal">
      <formula>"FE"</formula>
    </cfRule>
  </conditionalFormatting>
  <conditionalFormatting sqref="F133">
    <cfRule type="cellIs" dxfId="11702" priority="42116" operator="equal">
      <formula>"Retirado"</formula>
    </cfRule>
    <cfRule type="cellIs" dxfId="11701" priority="42117" operator="equal">
      <formula>"FSE"</formula>
    </cfRule>
  </conditionalFormatting>
  <conditionalFormatting sqref="F137">
    <cfRule type="cellIs" dxfId="11700" priority="42103" operator="equal">
      <formula>"APLAZADO"</formula>
    </cfRule>
    <cfRule type="cellIs" dxfId="11699" priority="42104" operator="equal">
      <formula>"CANCELADO"</formula>
    </cfRule>
    <cfRule type="cellIs" dxfId="11698" priority="42105" operator="equal">
      <formula>"NO EJECUTADO"</formula>
    </cfRule>
    <cfRule type="cellIs" dxfId="11697" priority="42106" operator="equal">
      <formula>"FPE"</formula>
    </cfRule>
    <cfRule type="cellIs" dxfId="11696" priority="42107" operator="equal">
      <formula>"AMA"</formula>
    </cfRule>
    <cfRule type="cellIs" dxfId="11695" priority="42108" operator="equal">
      <formula>"SIN DATOS"</formula>
    </cfRule>
    <cfRule type="cellIs" dxfId="11694" priority="42109" operator="equal">
      <formula>"SIN DATOS"</formula>
    </cfRule>
    <cfRule type="cellIs" dxfId="11693" priority="42110" operator="equal">
      <formula>"NO EJECTUTADO"</formula>
    </cfRule>
    <cfRule type="cellIs" dxfId="11692" priority="42111" operator="equal">
      <formula>"FE"</formula>
    </cfRule>
    <cfRule type="cellIs" dxfId="11691" priority="42112" operator="equal">
      <formula>"FE"</formula>
    </cfRule>
  </conditionalFormatting>
  <conditionalFormatting sqref="F137">
    <cfRule type="cellIs" dxfId="11690" priority="42101" operator="equal">
      <formula>"Retirado"</formula>
    </cfRule>
    <cfRule type="cellIs" dxfId="11689" priority="42102" operator="equal">
      <formula>"FSE"</formula>
    </cfRule>
  </conditionalFormatting>
  <conditionalFormatting sqref="F138">
    <cfRule type="cellIs" dxfId="11688" priority="42090" operator="equal">
      <formula>"APLAZADO"</formula>
    </cfRule>
    <cfRule type="cellIs" dxfId="11687" priority="42091" operator="equal">
      <formula>"CANCELADO"</formula>
    </cfRule>
    <cfRule type="cellIs" dxfId="11686" priority="42092" operator="equal">
      <formula>"NO EJECUTADO"</formula>
    </cfRule>
    <cfRule type="cellIs" dxfId="11685" priority="42093" operator="equal">
      <formula>"FPE"</formula>
    </cfRule>
    <cfRule type="cellIs" dxfId="11684" priority="42094" operator="equal">
      <formula>"AMA"</formula>
    </cfRule>
    <cfRule type="cellIs" dxfId="11683" priority="42095" operator="equal">
      <formula>"SIN DATOS"</formula>
    </cfRule>
    <cfRule type="cellIs" dxfId="11682" priority="42096" operator="equal">
      <formula>"SIN DATOS"</formula>
    </cfRule>
    <cfRule type="cellIs" dxfId="11681" priority="42097" operator="equal">
      <formula>"NO EJECTUTADO"</formula>
    </cfRule>
    <cfRule type="cellIs" dxfId="11680" priority="42098" operator="equal">
      <formula>"FE"</formula>
    </cfRule>
    <cfRule type="cellIs" dxfId="11679" priority="42099" operator="equal">
      <formula>"FE"</formula>
    </cfRule>
  </conditionalFormatting>
  <conditionalFormatting sqref="F138">
    <cfRule type="cellIs" dxfId="11678" priority="42088" operator="equal">
      <formula>"Retirado"</formula>
    </cfRule>
    <cfRule type="cellIs" dxfId="11677" priority="42089" operator="equal">
      <formula>"FSE"</formula>
    </cfRule>
  </conditionalFormatting>
  <conditionalFormatting sqref="F140">
    <cfRule type="cellIs" dxfId="11676" priority="42054" operator="equal">
      <formula>"APLAZADO"</formula>
    </cfRule>
    <cfRule type="cellIs" dxfId="11675" priority="42055" operator="equal">
      <formula>"CANCELADO"</formula>
    </cfRule>
    <cfRule type="cellIs" dxfId="11674" priority="42056" operator="equal">
      <formula>"NO EJECUTADO"</formula>
    </cfRule>
    <cfRule type="cellIs" dxfId="11673" priority="42057" operator="equal">
      <formula>"FPE"</formula>
    </cfRule>
    <cfRule type="cellIs" dxfId="11672" priority="42058" operator="equal">
      <formula>"AMA"</formula>
    </cfRule>
    <cfRule type="cellIs" dxfId="11671" priority="42059" operator="equal">
      <formula>"SIN DATOS"</formula>
    </cfRule>
    <cfRule type="cellIs" dxfId="11670" priority="42060" operator="equal">
      <formula>"SIN DATOS"</formula>
    </cfRule>
    <cfRule type="cellIs" dxfId="11669" priority="42061" operator="equal">
      <formula>"NO EJECTUTADO"</formula>
    </cfRule>
    <cfRule type="cellIs" dxfId="11668" priority="42062" operator="equal">
      <formula>"FE"</formula>
    </cfRule>
    <cfRule type="cellIs" dxfId="11667" priority="42063" operator="equal">
      <formula>"FE"</formula>
    </cfRule>
  </conditionalFormatting>
  <conditionalFormatting sqref="F140">
    <cfRule type="cellIs" dxfId="11666" priority="42052" operator="equal">
      <formula>"Retirado"</formula>
    </cfRule>
    <cfRule type="cellIs" dxfId="11665" priority="42053" operator="equal">
      <formula>"FSE"</formula>
    </cfRule>
  </conditionalFormatting>
  <conditionalFormatting sqref="A141">
    <cfRule type="cellIs" dxfId="11664" priority="42042" operator="equal">
      <formula>"APLAZADO"</formula>
    </cfRule>
    <cfRule type="cellIs" dxfId="11663" priority="42043" operator="equal">
      <formula>"CANCELADO"</formula>
    </cfRule>
    <cfRule type="cellIs" dxfId="11662" priority="42044" operator="equal">
      <formula>"NO EJECUTADO"</formula>
    </cfRule>
    <cfRule type="cellIs" dxfId="11661" priority="42045" operator="equal">
      <formula>"FPE"</formula>
    </cfRule>
    <cfRule type="cellIs" dxfId="11660" priority="42046" operator="equal">
      <formula>"AMA"</formula>
    </cfRule>
    <cfRule type="cellIs" dxfId="11659" priority="42047" operator="equal">
      <formula>"SIN DATOS"</formula>
    </cfRule>
    <cfRule type="cellIs" dxfId="11658" priority="42048" operator="equal">
      <formula>"SIN DATOS"</formula>
    </cfRule>
    <cfRule type="cellIs" dxfId="11657" priority="42049" operator="equal">
      <formula>"NO EJECTUTADO"</formula>
    </cfRule>
    <cfRule type="cellIs" dxfId="11656" priority="42050" operator="equal">
      <formula>"FE"</formula>
    </cfRule>
    <cfRule type="cellIs" dxfId="11655" priority="42051" operator="equal">
      <formula>"FE"</formula>
    </cfRule>
  </conditionalFormatting>
  <conditionalFormatting sqref="A141">
    <cfRule type="cellIs" dxfId="11654" priority="42040" operator="equal">
      <formula>"Retirado"</formula>
    </cfRule>
    <cfRule type="cellIs" dxfId="11653" priority="42041" operator="equal">
      <formula>"FSE"</formula>
    </cfRule>
  </conditionalFormatting>
  <conditionalFormatting sqref="F141">
    <cfRule type="cellIs" dxfId="11652" priority="42030" operator="equal">
      <formula>"APLAZADO"</formula>
    </cfRule>
    <cfRule type="cellIs" dxfId="11651" priority="42031" operator="equal">
      <formula>"CANCELADO"</formula>
    </cfRule>
    <cfRule type="cellIs" dxfId="11650" priority="42032" operator="equal">
      <formula>"NO EJECUTADO"</formula>
    </cfRule>
    <cfRule type="cellIs" dxfId="11649" priority="42033" operator="equal">
      <formula>"FPE"</formula>
    </cfRule>
    <cfRule type="cellIs" dxfId="11648" priority="42034" operator="equal">
      <formula>"AMA"</formula>
    </cfRule>
    <cfRule type="cellIs" dxfId="11647" priority="42035" operator="equal">
      <formula>"SIN DATOS"</formula>
    </cfRule>
    <cfRule type="cellIs" dxfId="11646" priority="42036" operator="equal">
      <formula>"SIN DATOS"</formula>
    </cfRule>
    <cfRule type="cellIs" dxfId="11645" priority="42037" operator="equal">
      <formula>"NO EJECTUTADO"</formula>
    </cfRule>
    <cfRule type="cellIs" dxfId="11644" priority="42038" operator="equal">
      <formula>"FE"</formula>
    </cfRule>
    <cfRule type="cellIs" dxfId="11643" priority="42039" operator="equal">
      <formula>"FE"</formula>
    </cfRule>
  </conditionalFormatting>
  <conditionalFormatting sqref="F141">
    <cfRule type="cellIs" dxfId="11642" priority="42028" operator="equal">
      <formula>"Retirado"</formula>
    </cfRule>
    <cfRule type="cellIs" dxfId="11641" priority="42029" operator="equal">
      <formula>"FSE"</formula>
    </cfRule>
  </conditionalFormatting>
  <conditionalFormatting sqref="F142">
    <cfRule type="cellIs" dxfId="11640" priority="42018" operator="equal">
      <formula>"APLAZADO"</formula>
    </cfRule>
    <cfRule type="cellIs" dxfId="11639" priority="42019" operator="equal">
      <formula>"CANCELADO"</formula>
    </cfRule>
    <cfRule type="cellIs" dxfId="11638" priority="42020" operator="equal">
      <formula>"NO EJECUTADO"</formula>
    </cfRule>
    <cfRule type="cellIs" dxfId="11637" priority="42021" operator="equal">
      <formula>"FPE"</formula>
    </cfRule>
    <cfRule type="cellIs" dxfId="11636" priority="42022" operator="equal">
      <formula>"AMA"</formula>
    </cfRule>
    <cfRule type="cellIs" dxfId="11635" priority="42023" operator="equal">
      <formula>"SIN DATOS"</formula>
    </cfRule>
    <cfRule type="cellIs" dxfId="11634" priority="42024" operator="equal">
      <formula>"SIN DATOS"</formula>
    </cfRule>
    <cfRule type="cellIs" dxfId="11633" priority="42025" operator="equal">
      <formula>"NO EJECTUTADO"</formula>
    </cfRule>
    <cfRule type="cellIs" dxfId="11632" priority="42026" operator="equal">
      <formula>"FE"</formula>
    </cfRule>
    <cfRule type="cellIs" dxfId="11631" priority="42027" operator="equal">
      <formula>"FE"</formula>
    </cfRule>
  </conditionalFormatting>
  <conditionalFormatting sqref="F142">
    <cfRule type="cellIs" dxfId="11630" priority="42016" operator="equal">
      <formula>"Retirado"</formula>
    </cfRule>
    <cfRule type="cellIs" dxfId="11629" priority="42017" operator="equal">
      <formula>"FSE"</formula>
    </cfRule>
  </conditionalFormatting>
  <conditionalFormatting sqref="F143">
    <cfRule type="cellIs" dxfId="11628" priority="42006" operator="equal">
      <formula>"APLAZADO"</formula>
    </cfRule>
    <cfRule type="cellIs" dxfId="11627" priority="42007" operator="equal">
      <formula>"CANCELADO"</formula>
    </cfRule>
    <cfRule type="cellIs" dxfId="11626" priority="42008" operator="equal">
      <formula>"NO EJECUTADO"</formula>
    </cfRule>
    <cfRule type="cellIs" dxfId="11625" priority="42009" operator="equal">
      <formula>"FPE"</formula>
    </cfRule>
    <cfRule type="cellIs" dxfId="11624" priority="42010" operator="equal">
      <formula>"AMA"</formula>
    </cfRule>
    <cfRule type="cellIs" dxfId="11623" priority="42011" operator="equal">
      <formula>"SIN DATOS"</formula>
    </cfRule>
    <cfRule type="cellIs" dxfId="11622" priority="42012" operator="equal">
      <formula>"SIN DATOS"</formula>
    </cfRule>
    <cfRule type="cellIs" dxfId="11621" priority="42013" operator="equal">
      <formula>"NO EJECTUTADO"</formula>
    </cfRule>
    <cfRule type="cellIs" dxfId="11620" priority="42014" operator="equal">
      <formula>"FE"</formula>
    </cfRule>
    <cfRule type="cellIs" dxfId="11619" priority="42015" operator="equal">
      <formula>"FE"</formula>
    </cfRule>
  </conditionalFormatting>
  <conditionalFormatting sqref="F143">
    <cfRule type="cellIs" dxfId="11618" priority="42004" operator="equal">
      <formula>"Retirado"</formula>
    </cfRule>
    <cfRule type="cellIs" dxfId="11617" priority="42005" operator="equal">
      <formula>"FSE"</formula>
    </cfRule>
  </conditionalFormatting>
  <conditionalFormatting sqref="F144">
    <cfRule type="cellIs" dxfId="11616" priority="41988" operator="equal">
      <formula>"APLAZADO"</formula>
    </cfRule>
    <cfRule type="cellIs" dxfId="11615" priority="41989" operator="equal">
      <formula>"CANCELADO"</formula>
    </cfRule>
    <cfRule type="cellIs" dxfId="11614" priority="41990" operator="equal">
      <formula>"NO EJECUTADO"</formula>
    </cfRule>
    <cfRule type="cellIs" dxfId="11613" priority="41991" operator="equal">
      <formula>"FPE"</formula>
    </cfRule>
    <cfRule type="cellIs" dxfId="11612" priority="41992" operator="equal">
      <formula>"AMA"</formula>
    </cfRule>
    <cfRule type="cellIs" dxfId="11611" priority="41993" operator="equal">
      <formula>"SIN DATOS"</formula>
    </cfRule>
    <cfRule type="cellIs" dxfId="11610" priority="41994" operator="equal">
      <formula>"SIN DATOS"</formula>
    </cfRule>
    <cfRule type="cellIs" dxfId="11609" priority="41995" operator="equal">
      <formula>"NO EJECTUTADO"</formula>
    </cfRule>
    <cfRule type="cellIs" dxfId="11608" priority="41996" operator="equal">
      <formula>"FE"</formula>
    </cfRule>
    <cfRule type="cellIs" dxfId="11607" priority="41997" operator="equal">
      <formula>"FE"</formula>
    </cfRule>
  </conditionalFormatting>
  <conditionalFormatting sqref="F144">
    <cfRule type="cellIs" dxfId="11606" priority="41986" operator="equal">
      <formula>"Retirado"</formula>
    </cfRule>
    <cfRule type="cellIs" dxfId="11605" priority="41987" operator="equal">
      <formula>"FSE"</formula>
    </cfRule>
  </conditionalFormatting>
  <conditionalFormatting sqref="F145">
    <cfRule type="cellIs" dxfId="11604" priority="41976" operator="equal">
      <formula>"APLAZADO"</formula>
    </cfRule>
    <cfRule type="cellIs" dxfId="11603" priority="41977" operator="equal">
      <formula>"CANCELADO"</formula>
    </cfRule>
    <cfRule type="cellIs" dxfId="11602" priority="41978" operator="equal">
      <formula>"NO EJECUTADO"</formula>
    </cfRule>
    <cfRule type="cellIs" dxfId="11601" priority="41979" operator="equal">
      <formula>"FPE"</formula>
    </cfRule>
    <cfRule type="cellIs" dxfId="11600" priority="41980" operator="equal">
      <formula>"AMA"</formula>
    </cfRule>
    <cfRule type="cellIs" dxfId="11599" priority="41981" operator="equal">
      <formula>"SIN DATOS"</formula>
    </cfRule>
    <cfRule type="cellIs" dxfId="11598" priority="41982" operator="equal">
      <formula>"SIN DATOS"</formula>
    </cfRule>
    <cfRule type="cellIs" dxfId="11597" priority="41983" operator="equal">
      <formula>"NO EJECTUTADO"</formula>
    </cfRule>
    <cfRule type="cellIs" dxfId="11596" priority="41984" operator="equal">
      <formula>"FE"</formula>
    </cfRule>
    <cfRule type="cellIs" dxfId="11595" priority="41985" operator="equal">
      <formula>"FE"</formula>
    </cfRule>
  </conditionalFormatting>
  <conditionalFormatting sqref="F145">
    <cfRule type="cellIs" dxfId="11594" priority="41974" operator="equal">
      <formula>"Retirado"</formula>
    </cfRule>
    <cfRule type="cellIs" dxfId="11593" priority="41975" operator="equal">
      <formula>"FSE"</formula>
    </cfRule>
  </conditionalFormatting>
  <conditionalFormatting sqref="F146">
    <cfRule type="cellIs" dxfId="11592" priority="41963" operator="equal">
      <formula>"APLAZADO"</formula>
    </cfRule>
    <cfRule type="cellIs" dxfId="11591" priority="41964" operator="equal">
      <formula>"CANCELADO"</formula>
    </cfRule>
    <cfRule type="cellIs" dxfId="11590" priority="41965" operator="equal">
      <formula>"NO EJECUTADO"</formula>
    </cfRule>
    <cfRule type="cellIs" dxfId="11589" priority="41966" operator="equal">
      <formula>"FPE"</formula>
    </cfRule>
    <cfRule type="cellIs" dxfId="11588" priority="41967" operator="equal">
      <formula>"AMA"</formula>
    </cfRule>
    <cfRule type="cellIs" dxfId="11587" priority="41968" operator="equal">
      <formula>"SIN DATOS"</formula>
    </cfRule>
    <cfRule type="cellIs" dxfId="11586" priority="41969" operator="equal">
      <formula>"SIN DATOS"</formula>
    </cfRule>
    <cfRule type="cellIs" dxfId="11585" priority="41970" operator="equal">
      <formula>"NO EJECTUTADO"</formula>
    </cfRule>
    <cfRule type="cellIs" dxfId="11584" priority="41971" operator="equal">
      <formula>"FE"</formula>
    </cfRule>
    <cfRule type="cellIs" dxfId="11583" priority="41972" operator="equal">
      <formula>"FE"</formula>
    </cfRule>
  </conditionalFormatting>
  <conditionalFormatting sqref="F146">
    <cfRule type="cellIs" dxfId="11582" priority="41961" operator="equal">
      <formula>"Retirado"</formula>
    </cfRule>
    <cfRule type="cellIs" dxfId="11581" priority="41962" operator="equal">
      <formula>"FSE"</formula>
    </cfRule>
  </conditionalFormatting>
  <conditionalFormatting sqref="F147">
    <cfRule type="cellIs" dxfId="11580" priority="41951" operator="equal">
      <formula>"APLAZADO"</formula>
    </cfRule>
    <cfRule type="cellIs" dxfId="11579" priority="41952" operator="equal">
      <formula>"CANCELADO"</formula>
    </cfRule>
    <cfRule type="cellIs" dxfId="11578" priority="41953" operator="equal">
      <formula>"NO EJECUTADO"</formula>
    </cfRule>
    <cfRule type="cellIs" dxfId="11577" priority="41954" operator="equal">
      <formula>"FPE"</formula>
    </cfRule>
    <cfRule type="cellIs" dxfId="11576" priority="41955" operator="equal">
      <formula>"AMA"</formula>
    </cfRule>
    <cfRule type="cellIs" dxfId="11575" priority="41956" operator="equal">
      <formula>"SIN DATOS"</formula>
    </cfRule>
    <cfRule type="cellIs" dxfId="11574" priority="41957" operator="equal">
      <formula>"SIN DATOS"</formula>
    </cfRule>
    <cfRule type="cellIs" dxfId="11573" priority="41958" operator="equal">
      <formula>"NO EJECTUTADO"</formula>
    </cfRule>
    <cfRule type="cellIs" dxfId="11572" priority="41959" operator="equal">
      <formula>"FE"</formula>
    </cfRule>
    <cfRule type="cellIs" dxfId="11571" priority="41960" operator="equal">
      <formula>"FE"</formula>
    </cfRule>
  </conditionalFormatting>
  <conditionalFormatting sqref="F147">
    <cfRule type="cellIs" dxfId="11570" priority="41949" operator="equal">
      <formula>"Retirado"</formula>
    </cfRule>
    <cfRule type="cellIs" dxfId="11569" priority="41950" operator="equal">
      <formula>"FSE"</formula>
    </cfRule>
  </conditionalFormatting>
  <conditionalFormatting sqref="F148">
    <cfRule type="cellIs" dxfId="11568" priority="41939" operator="equal">
      <formula>"APLAZADO"</formula>
    </cfRule>
    <cfRule type="cellIs" dxfId="11567" priority="41940" operator="equal">
      <formula>"CANCELADO"</formula>
    </cfRule>
    <cfRule type="cellIs" dxfId="11566" priority="41941" operator="equal">
      <formula>"NO EJECUTADO"</formula>
    </cfRule>
    <cfRule type="cellIs" dxfId="11565" priority="41942" operator="equal">
      <formula>"FPE"</formula>
    </cfRule>
    <cfRule type="cellIs" dxfId="11564" priority="41943" operator="equal">
      <formula>"AMA"</formula>
    </cfRule>
    <cfRule type="cellIs" dxfId="11563" priority="41944" operator="equal">
      <formula>"SIN DATOS"</formula>
    </cfRule>
    <cfRule type="cellIs" dxfId="11562" priority="41945" operator="equal">
      <formula>"SIN DATOS"</formula>
    </cfRule>
    <cfRule type="cellIs" dxfId="11561" priority="41946" operator="equal">
      <formula>"NO EJECTUTADO"</formula>
    </cfRule>
    <cfRule type="cellIs" dxfId="11560" priority="41947" operator="equal">
      <formula>"FE"</formula>
    </cfRule>
    <cfRule type="cellIs" dxfId="11559" priority="41948" operator="equal">
      <formula>"FE"</formula>
    </cfRule>
  </conditionalFormatting>
  <conditionalFormatting sqref="F148">
    <cfRule type="cellIs" dxfId="11558" priority="41937" operator="equal">
      <formula>"Retirado"</formula>
    </cfRule>
    <cfRule type="cellIs" dxfId="11557" priority="41938" operator="equal">
      <formula>"FSE"</formula>
    </cfRule>
  </conditionalFormatting>
  <conditionalFormatting sqref="F149">
    <cfRule type="cellIs" dxfId="11556" priority="41927" operator="equal">
      <formula>"APLAZADO"</formula>
    </cfRule>
    <cfRule type="cellIs" dxfId="11555" priority="41928" operator="equal">
      <formula>"CANCELADO"</formula>
    </cfRule>
    <cfRule type="cellIs" dxfId="11554" priority="41929" operator="equal">
      <formula>"NO EJECUTADO"</formula>
    </cfRule>
    <cfRule type="cellIs" dxfId="11553" priority="41930" operator="equal">
      <formula>"FPE"</formula>
    </cfRule>
    <cfRule type="cellIs" dxfId="11552" priority="41931" operator="equal">
      <formula>"AMA"</formula>
    </cfRule>
    <cfRule type="cellIs" dxfId="11551" priority="41932" operator="equal">
      <formula>"SIN DATOS"</formula>
    </cfRule>
    <cfRule type="cellIs" dxfId="11550" priority="41933" operator="equal">
      <formula>"SIN DATOS"</formula>
    </cfRule>
    <cfRule type="cellIs" dxfId="11549" priority="41934" operator="equal">
      <formula>"NO EJECTUTADO"</formula>
    </cfRule>
    <cfRule type="cellIs" dxfId="11548" priority="41935" operator="equal">
      <formula>"FE"</formula>
    </cfRule>
    <cfRule type="cellIs" dxfId="11547" priority="41936" operator="equal">
      <formula>"FE"</formula>
    </cfRule>
  </conditionalFormatting>
  <conditionalFormatting sqref="F149">
    <cfRule type="cellIs" dxfId="11546" priority="41925" operator="equal">
      <formula>"Retirado"</formula>
    </cfRule>
    <cfRule type="cellIs" dxfId="11545" priority="41926" operator="equal">
      <formula>"FSE"</formula>
    </cfRule>
  </conditionalFormatting>
  <conditionalFormatting sqref="F150">
    <cfRule type="cellIs" dxfId="11544" priority="41915" operator="equal">
      <formula>"APLAZADO"</formula>
    </cfRule>
    <cfRule type="cellIs" dxfId="11543" priority="41916" operator="equal">
      <formula>"CANCELADO"</formula>
    </cfRule>
    <cfRule type="cellIs" dxfId="11542" priority="41917" operator="equal">
      <formula>"NO EJECUTADO"</formula>
    </cfRule>
    <cfRule type="cellIs" dxfId="11541" priority="41918" operator="equal">
      <formula>"FPE"</formula>
    </cfRule>
    <cfRule type="cellIs" dxfId="11540" priority="41919" operator="equal">
      <formula>"AMA"</formula>
    </cfRule>
    <cfRule type="cellIs" dxfId="11539" priority="41920" operator="equal">
      <formula>"SIN DATOS"</formula>
    </cfRule>
    <cfRule type="cellIs" dxfId="11538" priority="41921" operator="equal">
      <formula>"SIN DATOS"</formula>
    </cfRule>
    <cfRule type="cellIs" dxfId="11537" priority="41922" operator="equal">
      <formula>"NO EJECTUTADO"</formula>
    </cfRule>
    <cfRule type="cellIs" dxfId="11536" priority="41923" operator="equal">
      <formula>"FE"</formula>
    </cfRule>
    <cfRule type="cellIs" dxfId="11535" priority="41924" operator="equal">
      <formula>"FE"</formula>
    </cfRule>
  </conditionalFormatting>
  <conditionalFormatting sqref="F150">
    <cfRule type="cellIs" dxfId="11534" priority="41913" operator="equal">
      <formula>"Retirado"</formula>
    </cfRule>
    <cfRule type="cellIs" dxfId="11533" priority="41914" operator="equal">
      <formula>"FSE"</formula>
    </cfRule>
  </conditionalFormatting>
  <conditionalFormatting sqref="F152">
    <cfRule type="cellIs" dxfId="11532" priority="41900" operator="equal">
      <formula>"APLAZADO"</formula>
    </cfRule>
    <cfRule type="cellIs" dxfId="11531" priority="41901" operator="equal">
      <formula>"CANCELADO"</formula>
    </cfRule>
    <cfRule type="cellIs" dxfId="11530" priority="41902" operator="equal">
      <formula>"NO EJECUTADO"</formula>
    </cfRule>
    <cfRule type="cellIs" dxfId="11529" priority="41903" operator="equal">
      <formula>"FPE"</formula>
    </cfRule>
    <cfRule type="cellIs" dxfId="11528" priority="41904" operator="equal">
      <formula>"AMA"</formula>
    </cfRule>
    <cfRule type="cellIs" dxfId="11527" priority="41905" operator="equal">
      <formula>"SIN DATOS"</formula>
    </cfRule>
    <cfRule type="cellIs" dxfId="11526" priority="41906" operator="equal">
      <formula>"SIN DATOS"</formula>
    </cfRule>
    <cfRule type="cellIs" dxfId="11525" priority="41907" operator="equal">
      <formula>"NO EJECTUTADO"</formula>
    </cfRule>
    <cfRule type="cellIs" dxfId="11524" priority="41908" operator="equal">
      <formula>"FE"</formula>
    </cfRule>
    <cfRule type="cellIs" dxfId="11523" priority="41909" operator="equal">
      <formula>"FE"</formula>
    </cfRule>
  </conditionalFormatting>
  <conditionalFormatting sqref="F152">
    <cfRule type="cellIs" dxfId="11522" priority="41898" operator="equal">
      <formula>"Retirado"</formula>
    </cfRule>
    <cfRule type="cellIs" dxfId="11521" priority="41899" operator="equal">
      <formula>"FSE"</formula>
    </cfRule>
  </conditionalFormatting>
  <conditionalFormatting sqref="A153">
    <cfRule type="cellIs" dxfId="11520" priority="41888" operator="equal">
      <formula>"APLAZADO"</formula>
    </cfRule>
    <cfRule type="cellIs" dxfId="11519" priority="41889" operator="equal">
      <formula>"CANCELADO"</formula>
    </cfRule>
    <cfRule type="cellIs" dxfId="11518" priority="41890" operator="equal">
      <formula>"NO EJECUTADO"</formula>
    </cfRule>
    <cfRule type="cellIs" dxfId="11517" priority="41891" operator="equal">
      <formula>"FPE"</formula>
    </cfRule>
    <cfRule type="cellIs" dxfId="11516" priority="41892" operator="equal">
      <formula>"AMA"</formula>
    </cfRule>
    <cfRule type="cellIs" dxfId="11515" priority="41893" operator="equal">
      <formula>"SIN DATOS"</formula>
    </cfRule>
    <cfRule type="cellIs" dxfId="11514" priority="41894" operator="equal">
      <formula>"SIN DATOS"</formula>
    </cfRule>
    <cfRule type="cellIs" dxfId="11513" priority="41895" operator="equal">
      <formula>"NO EJECTUTADO"</formula>
    </cfRule>
    <cfRule type="cellIs" dxfId="11512" priority="41896" operator="equal">
      <formula>"FE"</formula>
    </cfRule>
    <cfRule type="cellIs" dxfId="11511" priority="41897" operator="equal">
      <formula>"FE"</formula>
    </cfRule>
  </conditionalFormatting>
  <conditionalFormatting sqref="A153">
    <cfRule type="cellIs" dxfId="11510" priority="41886" operator="equal">
      <formula>"Retirado"</formula>
    </cfRule>
    <cfRule type="cellIs" dxfId="11509" priority="41887" operator="equal">
      <formula>"FSE"</formula>
    </cfRule>
  </conditionalFormatting>
  <conditionalFormatting sqref="F153">
    <cfRule type="cellIs" dxfId="11508" priority="41876" operator="equal">
      <formula>"APLAZADO"</formula>
    </cfRule>
    <cfRule type="cellIs" dxfId="11507" priority="41877" operator="equal">
      <formula>"CANCELADO"</formula>
    </cfRule>
    <cfRule type="cellIs" dxfId="11506" priority="41878" operator="equal">
      <formula>"NO EJECUTADO"</formula>
    </cfRule>
    <cfRule type="cellIs" dxfId="11505" priority="41879" operator="equal">
      <formula>"FPE"</formula>
    </cfRule>
    <cfRule type="cellIs" dxfId="11504" priority="41880" operator="equal">
      <formula>"AMA"</formula>
    </cfRule>
    <cfRule type="cellIs" dxfId="11503" priority="41881" operator="equal">
      <formula>"SIN DATOS"</formula>
    </cfRule>
    <cfRule type="cellIs" dxfId="11502" priority="41882" operator="equal">
      <formula>"SIN DATOS"</formula>
    </cfRule>
    <cfRule type="cellIs" dxfId="11501" priority="41883" operator="equal">
      <formula>"NO EJECTUTADO"</formula>
    </cfRule>
    <cfRule type="cellIs" dxfId="11500" priority="41884" operator="equal">
      <formula>"FE"</formula>
    </cfRule>
    <cfRule type="cellIs" dxfId="11499" priority="41885" operator="equal">
      <formula>"FE"</formula>
    </cfRule>
  </conditionalFormatting>
  <conditionalFormatting sqref="F153">
    <cfRule type="cellIs" dxfId="11498" priority="41874" operator="equal">
      <formula>"Retirado"</formula>
    </cfRule>
    <cfRule type="cellIs" dxfId="11497" priority="41875" operator="equal">
      <formula>"FSE"</formula>
    </cfRule>
  </conditionalFormatting>
  <conditionalFormatting sqref="A154">
    <cfRule type="cellIs" dxfId="11496" priority="41864" operator="equal">
      <formula>"APLAZADO"</formula>
    </cfRule>
    <cfRule type="cellIs" dxfId="11495" priority="41865" operator="equal">
      <formula>"CANCELADO"</formula>
    </cfRule>
    <cfRule type="cellIs" dxfId="11494" priority="41866" operator="equal">
      <formula>"NO EJECUTADO"</formula>
    </cfRule>
    <cfRule type="cellIs" dxfId="11493" priority="41867" operator="equal">
      <formula>"FPE"</formula>
    </cfRule>
    <cfRule type="cellIs" dxfId="11492" priority="41868" operator="equal">
      <formula>"AMA"</formula>
    </cfRule>
    <cfRule type="cellIs" dxfId="11491" priority="41869" operator="equal">
      <formula>"SIN DATOS"</formula>
    </cfRule>
    <cfRule type="cellIs" dxfId="11490" priority="41870" operator="equal">
      <formula>"SIN DATOS"</formula>
    </cfRule>
    <cfRule type="cellIs" dxfId="11489" priority="41871" operator="equal">
      <formula>"NO EJECTUTADO"</formula>
    </cfRule>
    <cfRule type="cellIs" dxfId="11488" priority="41872" operator="equal">
      <formula>"FE"</formula>
    </cfRule>
    <cfRule type="cellIs" dxfId="11487" priority="41873" operator="equal">
      <formula>"FE"</formula>
    </cfRule>
  </conditionalFormatting>
  <conditionalFormatting sqref="A154">
    <cfRule type="cellIs" dxfId="11486" priority="41862" operator="equal">
      <formula>"Retirado"</formula>
    </cfRule>
    <cfRule type="cellIs" dxfId="11485" priority="41863" operator="equal">
      <formula>"FSE"</formula>
    </cfRule>
  </conditionalFormatting>
  <conditionalFormatting sqref="F154">
    <cfRule type="cellIs" dxfId="11484" priority="41852" operator="equal">
      <formula>"APLAZADO"</formula>
    </cfRule>
    <cfRule type="cellIs" dxfId="11483" priority="41853" operator="equal">
      <formula>"CANCELADO"</formula>
    </cfRule>
    <cfRule type="cellIs" dxfId="11482" priority="41854" operator="equal">
      <formula>"NO EJECUTADO"</formula>
    </cfRule>
    <cfRule type="cellIs" dxfId="11481" priority="41855" operator="equal">
      <formula>"FPE"</formula>
    </cfRule>
    <cfRule type="cellIs" dxfId="11480" priority="41856" operator="equal">
      <formula>"AMA"</formula>
    </cfRule>
    <cfRule type="cellIs" dxfId="11479" priority="41857" operator="equal">
      <formula>"SIN DATOS"</formula>
    </cfRule>
    <cfRule type="cellIs" dxfId="11478" priority="41858" operator="equal">
      <formula>"SIN DATOS"</formula>
    </cfRule>
    <cfRule type="cellIs" dxfId="11477" priority="41859" operator="equal">
      <formula>"NO EJECTUTADO"</formula>
    </cfRule>
    <cfRule type="cellIs" dxfId="11476" priority="41860" operator="equal">
      <formula>"FE"</formula>
    </cfRule>
    <cfRule type="cellIs" dxfId="11475" priority="41861" operator="equal">
      <formula>"FE"</formula>
    </cfRule>
  </conditionalFormatting>
  <conditionalFormatting sqref="F154">
    <cfRule type="cellIs" dxfId="11474" priority="41850" operator="equal">
      <formula>"Retirado"</formula>
    </cfRule>
    <cfRule type="cellIs" dxfId="11473" priority="41851" operator="equal">
      <formula>"FSE"</formula>
    </cfRule>
  </conditionalFormatting>
  <conditionalFormatting sqref="A155">
    <cfRule type="cellIs" dxfId="11472" priority="41840" operator="equal">
      <formula>"APLAZADO"</formula>
    </cfRule>
    <cfRule type="cellIs" dxfId="11471" priority="41841" operator="equal">
      <formula>"CANCELADO"</formula>
    </cfRule>
    <cfRule type="cellIs" dxfId="11470" priority="41842" operator="equal">
      <formula>"NO EJECUTADO"</formula>
    </cfRule>
    <cfRule type="cellIs" dxfId="11469" priority="41843" operator="equal">
      <formula>"FPE"</formula>
    </cfRule>
    <cfRule type="cellIs" dxfId="11468" priority="41844" operator="equal">
      <formula>"AMA"</formula>
    </cfRule>
    <cfRule type="cellIs" dxfId="11467" priority="41845" operator="equal">
      <formula>"SIN DATOS"</formula>
    </cfRule>
    <cfRule type="cellIs" dxfId="11466" priority="41846" operator="equal">
      <formula>"SIN DATOS"</formula>
    </cfRule>
    <cfRule type="cellIs" dxfId="11465" priority="41847" operator="equal">
      <formula>"NO EJECTUTADO"</formula>
    </cfRule>
    <cfRule type="cellIs" dxfId="11464" priority="41848" operator="equal">
      <formula>"FE"</formula>
    </cfRule>
    <cfRule type="cellIs" dxfId="11463" priority="41849" operator="equal">
      <formula>"FE"</formula>
    </cfRule>
  </conditionalFormatting>
  <conditionalFormatting sqref="A155">
    <cfRule type="cellIs" dxfId="11462" priority="41838" operator="equal">
      <formula>"Retirado"</formula>
    </cfRule>
    <cfRule type="cellIs" dxfId="11461" priority="41839" operator="equal">
      <formula>"FSE"</formula>
    </cfRule>
  </conditionalFormatting>
  <conditionalFormatting sqref="F155">
    <cfRule type="cellIs" dxfId="11460" priority="41828" operator="equal">
      <formula>"APLAZADO"</formula>
    </cfRule>
    <cfRule type="cellIs" dxfId="11459" priority="41829" operator="equal">
      <formula>"CANCELADO"</formula>
    </cfRule>
    <cfRule type="cellIs" dxfId="11458" priority="41830" operator="equal">
      <formula>"NO EJECUTADO"</formula>
    </cfRule>
    <cfRule type="cellIs" dxfId="11457" priority="41831" operator="equal">
      <formula>"FPE"</formula>
    </cfRule>
    <cfRule type="cellIs" dxfId="11456" priority="41832" operator="equal">
      <formula>"AMA"</formula>
    </cfRule>
    <cfRule type="cellIs" dxfId="11455" priority="41833" operator="equal">
      <formula>"SIN DATOS"</formula>
    </cfRule>
    <cfRule type="cellIs" dxfId="11454" priority="41834" operator="equal">
      <formula>"SIN DATOS"</formula>
    </cfRule>
    <cfRule type="cellIs" dxfId="11453" priority="41835" operator="equal">
      <formula>"NO EJECTUTADO"</formula>
    </cfRule>
    <cfRule type="cellIs" dxfId="11452" priority="41836" operator="equal">
      <formula>"FE"</formula>
    </cfRule>
    <cfRule type="cellIs" dxfId="11451" priority="41837" operator="equal">
      <formula>"FE"</formula>
    </cfRule>
  </conditionalFormatting>
  <conditionalFormatting sqref="F155">
    <cfRule type="cellIs" dxfId="11450" priority="41826" operator="equal">
      <formula>"Retirado"</formula>
    </cfRule>
    <cfRule type="cellIs" dxfId="11449" priority="41827" operator="equal">
      <formula>"FSE"</formula>
    </cfRule>
  </conditionalFormatting>
  <conditionalFormatting sqref="A156">
    <cfRule type="cellIs" dxfId="11448" priority="41816" operator="equal">
      <formula>"APLAZADO"</formula>
    </cfRule>
    <cfRule type="cellIs" dxfId="11447" priority="41817" operator="equal">
      <formula>"CANCELADO"</formula>
    </cfRule>
    <cfRule type="cellIs" dxfId="11446" priority="41818" operator="equal">
      <formula>"NO EJECUTADO"</formula>
    </cfRule>
    <cfRule type="cellIs" dxfId="11445" priority="41819" operator="equal">
      <formula>"FPE"</formula>
    </cfRule>
    <cfRule type="cellIs" dxfId="11444" priority="41820" operator="equal">
      <formula>"AMA"</formula>
    </cfRule>
    <cfRule type="cellIs" dxfId="11443" priority="41821" operator="equal">
      <formula>"SIN DATOS"</formula>
    </cfRule>
    <cfRule type="cellIs" dxfId="11442" priority="41822" operator="equal">
      <formula>"SIN DATOS"</formula>
    </cfRule>
    <cfRule type="cellIs" dxfId="11441" priority="41823" operator="equal">
      <formula>"NO EJECTUTADO"</formula>
    </cfRule>
    <cfRule type="cellIs" dxfId="11440" priority="41824" operator="equal">
      <formula>"FE"</formula>
    </cfRule>
    <cfRule type="cellIs" dxfId="11439" priority="41825" operator="equal">
      <formula>"FE"</formula>
    </cfRule>
  </conditionalFormatting>
  <conditionalFormatting sqref="A156">
    <cfRule type="cellIs" dxfId="11438" priority="41814" operator="equal">
      <formula>"Retirado"</formula>
    </cfRule>
    <cfRule type="cellIs" dxfId="11437" priority="41815" operator="equal">
      <formula>"FSE"</formula>
    </cfRule>
  </conditionalFormatting>
  <conditionalFormatting sqref="F156">
    <cfRule type="cellIs" dxfId="11436" priority="41804" operator="equal">
      <formula>"APLAZADO"</formula>
    </cfRule>
    <cfRule type="cellIs" dxfId="11435" priority="41805" operator="equal">
      <formula>"CANCELADO"</formula>
    </cfRule>
    <cfRule type="cellIs" dxfId="11434" priority="41806" operator="equal">
      <formula>"NO EJECUTADO"</formula>
    </cfRule>
    <cfRule type="cellIs" dxfId="11433" priority="41807" operator="equal">
      <formula>"FPE"</formula>
    </cfRule>
    <cfRule type="cellIs" dxfId="11432" priority="41808" operator="equal">
      <formula>"AMA"</formula>
    </cfRule>
    <cfRule type="cellIs" dxfId="11431" priority="41809" operator="equal">
      <formula>"SIN DATOS"</formula>
    </cfRule>
    <cfRule type="cellIs" dxfId="11430" priority="41810" operator="equal">
      <formula>"SIN DATOS"</formula>
    </cfRule>
    <cfRule type="cellIs" dxfId="11429" priority="41811" operator="equal">
      <formula>"NO EJECTUTADO"</formula>
    </cfRule>
    <cfRule type="cellIs" dxfId="11428" priority="41812" operator="equal">
      <formula>"FE"</formula>
    </cfRule>
    <cfRule type="cellIs" dxfId="11427" priority="41813" operator="equal">
      <formula>"FE"</formula>
    </cfRule>
  </conditionalFormatting>
  <conditionalFormatting sqref="F156">
    <cfRule type="cellIs" dxfId="11426" priority="41802" operator="equal">
      <formula>"Retirado"</formula>
    </cfRule>
    <cfRule type="cellIs" dxfId="11425" priority="41803" operator="equal">
      <formula>"FSE"</formula>
    </cfRule>
  </conditionalFormatting>
  <conditionalFormatting sqref="A158">
    <cfRule type="cellIs" dxfId="11424" priority="41778" operator="equal">
      <formula>"APLAZADO"</formula>
    </cfRule>
    <cfRule type="cellIs" dxfId="11423" priority="41779" operator="equal">
      <formula>"CANCELADO"</formula>
    </cfRule>
    <cfRule type="cellIs" dxfId="11422" priority="41780" operator="equal">
      <formula>"NO EJECUTADO"</formula>
    </cfRule>
    <cfRule type="cellIs" dxfId="11421" priority="41781" operator="equal">
      <formula>"FPE"</formula>
    </cfRule>
    <cfRule type="cellIs" dxfId="11420" priority="41782" operator="equal">
      <formula>"AMA"</formula>
    </cfRule>
    <cfRule type="cellIs" dxfId="11419" priority="41783" operator="equal">
      <formula>"SIN DATOS"</formula>
    </cfRule>
    <cfRule type="cellIs" dxfId="11418" priority="41784" operator="equal">
      <formula>"SIN DATOS"</formula>
    </cfRule>
    <cfRule type="cellIs" dxfId="11417" priority="41785" operator="equal">
      <formula>"NO EJECTUTADO"</formula>
    </cfRule>
    <cfRule type="cellIs" dxfId="11416" priority="41786" operator="equal">
      <formula>"FE"</formula>
    </cfRule>
    <cfRule type="cellIs" dxfId="11415" priority="41787" operator="equal">
      <formula>"FE"</formula>
    </cfRule>
  </conditionalFormatting>
  <conditionalFormatting sqref="A158">
    <cfRule type="cellIs" dxfId="11414" priority="41776" operator="equal">
      <formula>"Retirado"</formula>
    </cfRule>
    <cfRule type="cellIs" dxfId="11413" priority="41777" operator="equal">
      <formula>"FSE"</formula>
    </cfRule>
  </conditionalFormatting>
  <conditionalFormatting sqref="F158">
    <cfRule type="cellIs" dxfId="11412" priority="41766" operator="equal">
      <formula>"APLAZADO"</formula>
    </cfRule>
    <cfRule type="cellIs" dxfId="11411" priority="41767" operator="equal">
      <formula>"CANCELADO"</formula>
    </cfRule>
    <cfRule type="cellIs" dxfId="11410" priority="41768" operator="equal">
      <formula>"NO EJECUTADO"</formula>
    </cfRule>
    <cfRule type="cellIs" dxfId="11409" priority="41769" operator="equal">
      <formula>"FPE"</formula>
    </cfRule>
    <cfRule type="cellIs" dxfId="11408" priority="41770" operator="equal">
      <formula>"AMA"</formula>
    </cfRule>
    <cfRule type="cellIs" dxfId="11407" priority="41771" operator="equal">
      <formula>"SIN DATOS"</formula>
    </cfRule>
    <cfRule type="cellIs" dxfId="11406" priority="41772" operator="equal">
      <formula>"SIN DATOS"</formula>
    </cfRule>
    <cfRule type="cellIs" dxfId="11405" priority="41773" operator="equal">
      <formula>"NO EJECTUTADO"</formula>
    </cfRule>
    <cfRule type="cellIs" dxfId="11404" priority="41774" operator="equal">
      <formula>"FE"</formula>
    </cfRule>
    <cfRule type="cellIs" dxfId="11403" priority="41775" operator="equal">
      <formula>"FE"</formula>
    </cfRule>
  </conditionalFormatting>
  <conditionalFormatting sqref="F158">
    <cfRule type="cellIs" dxfId="11402" priority="41764" operator="equal">
      <formula>"Retirado"</formula>
    </cfRule>
    <cfRule type="cellIs" dxfId="11401" priority="41765" operator="equal">
      <formula>"FSE"</formula>
    </cfRule>
  </conditionalFormatting>
  <conditionalFormatting sqref="F161">
    <cfRule type="cellIs" dxfId="11400" priority="41750" operator="equal">
      <formula>"APLAZADO"</formula>
    </cfRule>
    <cfRule type="cellIs" dxfId="11399" priority="41751" operator="equal">
      <formula>"CANCELADO"</formula>
    </cfRule>
    <cfRule type="cellIs" dxfId="11398" priority="41752" operator="equal">
      <formula>"NO EJECUTADO"</formula>
    </cfRule>
    <cfRule type="cellIs" dxfId="11397" priority="41753" operator="equal">
      <formula>"FPE"</formula>
    </cfRule>
    <cfRule type="cellIs" dxfId="11396" priority="41754" operator="equal">
      <formula>"AMA"</formula>
    </cfRule>
    <cfRule type="cellIs" dxfId="11395" priority="41755" operator="equal">
      <formula>"SIN DATOS"</formula>
    </cfRule>
    <cfRule type="cellIs" dxfId="11394" priority="41756" operator="equal">
      <formula>"SIN DATOS"</formula>
    </cfRule>
    <cfRule type="cellIs" dxfId="11393" priority="41757" operator="equal">
      <formula>"NO EJECTUTADO"</formula>
    </cfRule>
    <cfRule type="cellIs" dxfId="11392" priority="41758" operator="equal">
      <formula>"FE"</formula>
    </cfRule>
    <cfRule type="cellIs" dxfId="11391" priority="41759" operator="equal">
      <formula>"FE"</formula>
    </cfRule>
  </conditionalFormatting>
  <conditionalFormatting sqref="F161">
    <cfRule type="cellIs" dxfId="11390" priority="41748" operator="equal">
      <formula>"Retirado"</formula>
    </cfRule>
    <cfRule type="cellIs" dxfId="11389" priority="41749" operator="equal">
      <formula>"FSE"</formula>
    </cfRule>
  </conditionalFormatting>
  <conditionalFormatting sqref="F162">
    <cfRule type="cellIs" dxfId="11388" priority="41738" operator="equal">
      <formula>"APLAZADO"</formula>
    </cfRule>
    <cfRule type="cellIs" dxfId="11387" priority="41739" operator="equal">
      <formula>"CANCELADO"</formula>
    </cfRule>
    <cfRule type="cellIs" dxfId="11386" priority="41740" operator="equal">
      <formula>"NO EJECUTADO"</formula>
    </cfRule>
    <cfRule type="cellIs" dxfId="11385" priority="41741" operator="equal">
      <formula>"FPE"</formula>
    </cfRule>
    <cfRule type="cellIs" dxfId="11384" priority="41742" operator="equal">
      <formula>"AMA"</formula>
    </cfRule>
    <cfRule type="cellIs" dxfId="11383" priority="41743" operator="equal">
      <formula>"SIN DATOS"</formula>
    </cfRule>
    <cfRule type="cellIs" dxfId="11382" priority="41744" operator="equal">
      <formula>"SIN DATOS"</formula>
    </cfRule>
    <cfRule type="cellIs" dxfId="11381" priority="41745" operator="equal">
      <formula>"NO EJECTUTADO"</formula>
    </cfRule>
    <cfRule type="cellIs" dxfId="11380" priority="41746" operator="equal">
      <formula>"FE"</formula>
    </cfRule>
    <cfRule type="cellIs" dxfId="11379" priority="41747" operator="equal">
      <formula>"FE"</formula>
    </cfRule>
  </conditionalFormatting>
  <conditionalFormatting sqref="F162">
    <cfRule type="cellIs" dxfId="11378" priority="41736" operator="equal">
      <formula>"Retirado"</formula>
    </cfRule>
    <cfRule type="cellIs" dxfId="11377" priority="41737" operator="equal">
      <formula>"FSE"</formula>
    </cfRule>
  </conditionalFormatting>
  <conditionalFormatting sqref="F163">
    <cfRule type="cellIs" dxfId="11376" priority="41726" operator="equal">
      <formula>"APLAZADO"</formula>
    </cfRule>
    <cfRule type="cellIs" dxfId="11375" priority="41727" operator="equal">
      <formula>"CANCELADO"</formula>
    </cfRule>
    <cfRule type="cellIs" dxfId="11374" priority="41728" operator="equal">
      <formula>"NO EJECUTADO"</formula>
    </cfRule>
    <cfRule type="cellIs" dxfId="11373" priority="41729" operator="equal">
      <formula>"FPE"</formula>
    </cfRule>
    <cfRule type="cellIs" dxfId="11372" priority="41730" operator="equal">
      <formula>"AMA"</formula>
    </cfRule>
    <cfRule type="cellIs" dxfId="11371" priority="41731" operator="equal">
      <formula>"SIN DATOS"</formula>
    </cfRule>
    <cfRule type="cellIs" dxfId="11370" priority="41732" operator="equal">
      <formula>"SIN DATOS"</formula>
    </cfRule>
    <cfRule type="cellIs" dxfId="11369" priority="41733" operator="equal">
      <formula>"NO EJECTUTADO"</formula>
    </cfRule>
    <cfRule type="cellIs" dxfId="11368" priority="41734" operator="equal">
      <formula>"FE"</formula>
    </cfRule>
    <cfRule type="cellIs" dxfId="11367" priority="41735" operator="equal">
      <formula>"FE"</formula>
    </cfRule>
  </conditionalFormatting>
  <conditionalFormatting sqref="F163">
    <cfRule type="cellIs" dxfId="11366" priority="41724" operator="equal">
      <formula>"Retirado"</formula>
    </cfRule>
    <cfRule type="cellIs" dxfId="11365" priority="41725" operator="equal">
      <formula>"FSE"</formula>
    </cfRule>
  </conditionalFormatting>
  <conditionalFormatting sqref="F164">
    <cfRule type="cellIs" dxfId="11364" priority="41714" operator="equal">
      <formula>"APLAZADO"</formula>
    </cfRule>
    <cfRule type="cellIs" dxfId="11363" priority="41715" operator="equal">
      <formula>"CANCELADO"</formula>
    </cfRule>
    <cfRule type="cellIs" dxfId="11362" priority="41716" operator="equal">
      <formula>"NO EJECUTADO"</formula>
    </cfRule>
    <cfRule type="cellIs" dxfId="11361" priority="41717" operator="equal">
      <formula>"FPE"</formula>
    </cfRule>
    <cfRule type="cellIs" dxfId="11360" priority="41718" operator="equal">
      <formula>"AMA"</formula>
    </cfRule>
    <cfRule type="cellIs" dxfId="11359" priority="41719" operator="equal">
      <formula>"SIN DATOS"</formula>
    </cfRule>
    <cfRule type="cellIs" dxfId="11358" priority="41720" operator="equal">
      <formula>"SIN DATOS"</formula>
    </cfRule>
    <cfRule type="cellIs" dxfId="11357" priority="41721" operator="equal">
      <formula>"NO EJECTUTADO"</formula>
    </cfRule>
    <cfRule type="cellIs" dxfId="11356" priority="41722" operator="equal">
      <formula>"FE"</formula>
    </cfRule>
    <cfRule type="cellIs" dxfId="11355" priority="41723" operator="equal">
      <formula>"FE"</formula>
    </cfRule>
  </conditionalFormatting>
  <conditionalFormatting sqref="F164">
    <cfRule type="cellIs" dxfId="11354" priority="41712" operator="equal">
      <formula>"Retirado"</formula>
    </cfRule>
    <cfRule type="cellIs" dxfId="11353" priority="41713" operator="equal">
      <formula>"FSE"</formula>
    </cfRule>
  </conditionalFormatting>
  <conditionalFormatting sqref="A165">
    <cfRule type="cellIs" dxfId="11352" priority="41701" operator="equal">
      <formula>"APLAZADO"</formula>
    </cfRule>
    <cfRule type="cellIs" dxfId="11351" priority="41702" operator="equal">
      <formula>"CANCELADO"</formula>
    </cfRule>
    <cfRule type="cellIs" dxfId="11350" priority="41703" operator="equal">
      <formula>"NO EJECUTADO"</formula>
    </cfRule>
    <cfRule type="cellIs" dxfId="11349" priority="41704" operator="equal">
      <formula>"FPE"</formula>
    </cfRule>
    <cfRule type="cellIs" dxfId="11348" priority="41705" operator="equal">
      <formula>"AMA"</formula>
    </cfRule>
    <cfRule type="cellIs" dxfId="11347" priority="41706" operator="equal">
      <formula>"SIN DATOS"</formula>
    </cfRule>
    <cfRule type="cellIs" dxfId="11346" priority="41707" operator="equal">
      <formula>"SIN DATOS"</formula>
    </cfRule>
    <cfRule type="cellIs" dxfId="11345" priority="41708" operator="equal">
      <formula>"NO EJECTUTADO"</formula>
    </cfRule>
    <cfRule type="cellIs" dxfId="11344" priority="41709" operator="equal">
      <formula>"FE"</formula>
    </cfRule>
    <cfRule type="cellIs" dxfId="11343" priority="41710" operator="equal">
      <formula>"FE"</formula>
    </cfRule>
  </conditionalFormatting>
  <conditionalFormatting sqref="A165">
    <cfRule type="cellIs" dxfId="11342" priority="41699" operator="equal">
      <formula>"Retirado"</formula>
    </cfRule>
    <cfRule type="cellIs" dxfId="11341" priority="41700" operator="equal">
      <formula>"FSE"</formula>
    </cfRule>
  </conditionalFormatting>
  <conditionalFormatting sqref="F165">
    <cfRule type="cellIs" dxfId="11340" priority="41689" operator="equal">
      <formula>"APLAZADO"</formula>
    </cfRule>
    <cfRule type="cellIs" dxfId="11339" priority="41690" operator="equal">
      <formula>"CANCELADO"</formula>
    </cfRule>
    <cfRule type="cellIs" dxfId="11338" priority="41691" operator="equal">
      <formula>"NO EJECUTADO"</formula>
    </cfRule>
    <cfRule type="cellIs" dxfId="11337" priority="41692" operator="equal">
      <formula>"FPE"</formula>
    </cfRule>
    <cfRule type="cellIs" dxfId="11336" priority="41693" operator="equal">
      <formula>"AMA"</formula>
    </cfRule>
    <cfRule type="cellIs" dxfId="11335" priority="41694" operator="equal">
      <formula>"SIN DATOS"</formula>
    </cfRule>
    <cfRule type="cellIs" dxfId="11334" priority="41695" operator="equal">
      <formula>"SIN DATOS"</formula>
    </cfRule>
    <cfRule type="cellIs" dxfId="11333" priority="41696" operator="equal">
      <formula>"NO EJECTUTADO"</formula>
    </cfRule>
    <cfRule type="cellIs" dxfId="11332" priority="41697" operator="equal">
      <formula>"FE"</formula>
    </cfRule>
    <cfRule type="cellIs" dxfId="11331" priority="41698" operator="equal">
      <formula>"FE"</formula>
    </cfRule>
  </conditionalFormatting>
  <conditionalFormatting sqref="F165">
    <cfRule type="cellIs" dxfId="11330" priority="41687" operator="equal">
      <formula>"Retirado"</formula>
    </cfRule>
    <cfRule type="cellIs" dxfId="11329" priority="41688" operator="equal">
      <formula>"FSE"</formula>
    </cfRule>
  </conditionalFormatting>
  <conditionalFormatting sqref="F167">
    <cfRule type="cellIs" dxfId="11328" priority="41676" operator="equal">
      <formula>"APLAZADO"</formula>
    </cfRule>
    <cfRule type="cellIs" dxfId="11327" priority="41677" operator="equal">
      <formula>"CANCELADO"</formula>
    </cfRule>
    <cfRule type="cellIs" dxfId="11326" priority="41678" operator="equal">
      <formula>"NO EJECUTADO"</formula>
    </cfRule>
    <cfRule type="cellIs" dxfId="11325" priority="41679" operator="equal">
      <formula>"FPE"</formula>
    </cfRule>
    <cfRule type="cellIs" dxfId="11324" priority="41680" operator="equal">
      <formula>"AMA"</formula>
    </cfRule>
    <cfRule type="cellIs" dxfId="11323" priority="41681" operator="equal">
      <formula>"SIN DATOS"</formula>
    </cfRule>
    <cfRule type="cellIs" dxfId="11322" priority="41682" operator="equal">
      <formula>"SIN DATOS"</formula>
    </cfRule>
    <cfRule type="cellIs" dxfId="11321" priority="41683" operator="equal">
      <formula>"NO EJECTUTADO"</formula>
    </cfRule>
    <cfRule type="cellIs" dxfId="11320" priority="41684" operator="equal">
      <formula>"FE"</formula>
    </cfRule>
    <cfRule type="cellIs" dxfId="11319" priority="41685" operator="equal">
      <formula>"FE"</formula>
    </cfRule>
  </conditionalFormatting>
  <conditionalFormatting sqref="F167">
    <cfRule type="cellIs" dxfId="11318" priority="41674" operator="equal">
      <formula>"Retirado"</formula>
    </cfRule>
    <cfRule type="cellIs" dxfId="11317" priority="41675" operator="equal">
      <formula>"FSE"</formula>
    </cfRule>
  </conditionalFormatting>
  <conditionalFormatting sqref="F168">
    <cfRule type="cellIs" dxfId="11316" priority="41664" operator="equal">
      <formula>"APLAZADO"</formula>
    </cfRule>
    <cfRule type="cellIs" dxfId="11315" priority="41665" operator="equal">
      <formula>"CANCELADO"</formula>
    </cfRule>
    <cfRule type="cellIs" dxfId="11314" priority="41666" operator="equal">
      <formula>"NO EJECUTADO"</formula>
    </cfRule>
    <cfRule type="cellIs" dxfId="11313" priority="41667" operator="equal">
      <formula>"FPE"</formula>
    </cfRule>
    <cfRule type="cellIs" dxfId="11312" priority="41668" operator="equal">
      <formula>"AMA"</formula>
    </cfRule>
    <cfRule type="cellIs" dxfId="11311" priority="41669" operator="equal">
      <formula>"SIN DATOS"</formula>
    </cfRule>
    <cfRule type="cellIs" dxfId="11310" priority="41670" operator="equal">
      <formula>"SIN DATOS"</formula>
    </cfRule>
    <cfRule type="cellIs" dxfId="11309" priority="41671" operator="equal">
      <formula>"NO EJECTUTADO"</formula>
    </cfRule>
    <cfRule type="cellIs" dxfId="11308" priority="41672" operator="equal">
      <formula>"FE"</formula>
    </cfRule>
    <cfRule type="cellIs" dxfId="11307" priority="41673" operator="equal">
      <formula>"FE"</formula>
    </cfRule>
  </conditionalFormatting>
  <conditionalFormatting sqref="F168">
    <cfRule type="cellIs" dxfId="11306" priority="41662" operator="equal">
      <formula>"Retirado"</formula>
    </cfRule>
    <cfRule type="cellIs" dxfId="11305" priority="41663" operator="equal">
      <formula>"FSE"</formula>
    </cfRule>
  </conditionalFormatting>
  <conditionalFormatting sqref="F169">
    <cfRule type="cellIs" dxfId="11304" priority="41652" operator="equal">
      <formula>"APLAZADO"</formula>
    </cfRule>
    <cfRule type="cellIs" dxfId="11303" priority="41653" operator="equal">
      <formula>"CANCELADO"</formula>
    </cfRule>
    <cfRule type="cellIs" dxfId="11302" priority="41654" operator="equal">
      <formula>"NO EJECUTADO"</formula>
    </cfRule>
    <cfRule type="cellIs" dxfId="11301" priority="41655" operator="equal">
      <formula>"FPE"</formula>
    </cfRule>
    <cfRule type="cellIs" dxfId="11300" priority="41656" operator="equal">
      <formula>"AMA"</formula>
    </cfRule>
    <cfRule type="cellIs" dxfId="11299" priority="41657" operator="equal">
      <formula>"SIN DATOS"</formula>
    </cfRule>
    <cfRule type="cellIs" dxfId="11298" priority="41658" operator="equal">
      <formula>"SIN DATOS"</formula>
    </cfRule>
    <cfRule type="cellIs" dxfId="11297" priority="41659" operator="equal">
      <formula>"NO EJECTUTADO"</formula>
    </cfRule>
    <cfRule type="cellIs" dxfId="11296" priority="41660" operator="equal">
      <formula>"FE"</formula>
    </cfRule>
    <cfRule type="cellIs" dxfId="11295" priority="41661" operator="equal">
      <formula>"FE"</formula>
    </cfRule>
  </conditionalFormatting>
  <conditionalFormatting sqref="F169">
    <cfRule type="cellIs" dxfId="11294" priority="41650" operator="equal">
      <formula>"Retirado"</formula>
    </cfRule>
    <cfRule type="cellIs" dxfId="11293" priority="41651" operator="equal">
      <formula>"FSE"</formula>
    </cfRule>
  </conditionalFormatting>
  <conditionalFormatting sqref="F170">
    <cfRule type="cellIs" dxfId="11292" priority="41640" operator="equal">
      <formula>"APLAZADO"</formula>
    </cfRule>
    <cfRule type="cellIs" dxfId="11291" priority="41641" operator="equal">
      <formula>"CANCELADO"</formula>
    </cfRule>
    <cfRule type="cellIs" dxfId="11290" priority="41642" operator="equal">
      <formula>"NO EJECUTADO"</formula>
    </cfRule>
    <cfRule type="cellIs" dxfId="11289" priority="41643" operator="equal">
      <formula>"FPE"</formula>
    </cfRule>
    <cfRule type="cellIs" dxfId="11288" priority="41644" operator="equal">
      <formula>"AMA"</formula>
    </cfRule>
    <cfRule type="cellIs" dxfId="11287" priority="41645" operator="equal">
      <formula>"SIN DATOS"</formula>
    </cfRule>
    <cfRule type="cellIs" dxfId="11286" priority="41646" operator="equal">
      <formula>"SIN DATOS"</formula>
    </cfRule>
    <cfRule type="cellIs" dxfId="11285" priority="41647" operator="equal">
      <formula>"NO EJECTUTADO"</formula>
    </cfRule>
    <cfRule type="cellIs" dxfId="11284" priority="41648" operator="equal">
      <formula>"FE"</formula>
    </cfRule>
    <cfRule type="cellIs" dxfId="11283" priority="41649" operator="equal">
      <formula>"FE"</formula>
    </cfRule>
  </conditionalFormatting>
  <conditionalFormatting sqref="F170">
    <cfRule type="cellIs" dxfId="11282" priority="41638" operator="equal">
      <formula>"Retirado"</formula>
    </cfRule>
    <cfRule type="cellIs" dxfId="11281" priority="41639" operator="equal">
      <formula>"FSE"</formula>
    </cfRule>
  </conditionalFormatting>
  <conditionalFormatting sqref="F172">
    <cfRule type="cellIs" dxfId="11280" priority="41624" operator="equal">
      <formula>"APLAZADO"</formula>
    </cfRule>
    <cfRule type="cellIs" dxfId="11279" priority="41625" operator="equal">
      <formula>"CANCELADO"</formula>
    </cfRule>
    <cfRule type="cellIs" dxfId="11278" priority="41626" operator="equal">
      <formula>"NO EJECUTADO"</formula>
    </cfRule>
    <cfRule type="cellIs" dxfId="11277" priority="41627" operator="equal">
      <formula>"FPE"</formula>
    </cfRule>
    <cfRule type="cellIs" dxfId="11276" priority="41628" operator="equal">
      <formula>"AMA"</formula>
    </cfRule>
    <cfRule type="cellIs" dxfId="11275" priority="41629" operator="equal">
      <formula>"SIN DATOS"</formula>
    </cfRule>
    <cfRule type="cellIs" dxfId="11274" priority="41630" operator="equal">
      <formula>"SIN DATOS"</formula>
    </cfRule>
    <cfRule type="cellIs" dxfId="11273" priority="41631" operator="equal">
      <formula>"NO EJECTUTADO"</formula>
    </cfRule>
    <cfRule type="cellIs" dxfId="11272" priority="41632" operator="equal">
      <formula>"FE"</formula>
    </cfRule>
    <cfRule type="cellIs" dxfId="11271" priority="41633" operator="equal">
      <formula>"FE"</formula>
    </cfRule>
  </conditionalFormatting>
  <conditionalFormatting sqref="F172">
    <cfRule type="cellIs" dxfId="11270" priority="41622" operator="equal">
      <formula>"Retirado"</formula>
    </cfRule>
    <cfRule type="cellIs" dxfId="11269" priority="41623" operator="equal">
      <formula>"FSE"</formula>
    </cfRule>
  </conditionalFormatting>
  <conditionalFormatting sqref="A174">
    <cfRule type="cellIs" dxfId="11268" priority="41612" operator="equal">
      <formula>"APLAZADO"</formula>
    </cfRule>
    <cfRule type="cellIs" dxfId="11267" priority="41613" operator="equal">
      <formula>"CANCELADO"</formula>
    </cfRule>
    <cfRule type="cellIs" dxfId="11266" priority="41614" operator="equal">
      <formula>"NO EJECUTADO"</formula>
    </cfRule>
    <cfRule type="cellIs" dxfId="11265" priority="41615" operator="equal">
      <formula>"FPE"</formula>
    </cfRule>
    <cfRule type="cellIs" dxfId="11264" priority="41616" operator="equal">
      <formula>"AMA"</formula>
    </cfRule>
    <cfRule type="cellIs" dxfId="11263" priority="41617" operator="equal">
      <formula>"SIN DATOS"</formula>
    </cfRule>
    <cfRule type="cellIs" dxfId="11262" priority="41618" operator="equal">
      <formula>"SIN DATOS"</formula>
    </cfRule>
    <cfRule type="cellIs" dxfId="11261" priority="41619" operator="equal">
      <formula>"NO EJECTUTADO"</formula>
    </cfRule>
    <cfRule type="cellIs" dxfId="11260" priority="41620" operator="equal">
      <formula>"FE"</formula>
    </cfRule>
    <cfRule type="cellIs" dxfId="11259" priority="41621" operator="equal">
      <formula>"FE"</formula>
    </cfRule>
  </conditionalFormatting>
  <conditionalFormatting sqref="A174">
    <cfRule type="cellIs" dxfId="11258" priority="41610" operator="equal">
      <formula>"Retirado"</formula>
    </cfRule>
    <cfRule type="cellIs" dxfId="11257" priority="41611" operator="equal">
      <formula>"FSE"</formula>
    </cfRule>
  </conditionalFormatting>
  <conditionalFormatting sqref="F174">
    <cfRule type="cellIs" dxfId="11256" priority="41600" operator="equal">
      <formula>"APLAZADO"</formula>
    </cfRule>
    <cfRule type="cellIs" dxfId="11255" priority="41601" operator="equal">
      <formula>"CANCELADO"</formula>
    </cfRule>
    <cfRule type="cellIs" dxfId="11254" priority="41602" operator="equal">
      <formula>"NO EJECUTADO"</formula>
    </cfRule>
    <cfRule type="cellIs" dxfId="11253" priority="41603" operator="equal">
      <formula>"FPE"</formula>
    </cfRule>
    <cfRule type="cellIs" dxfId="11252" priority="41604" operator="equal">
      <formula>"AMA"</formula>
    </cfRule>
    <cfRule type="cellIs" dxfId="11251" priority="41605" operator="equal">
      <formula>"SIN DATOS"</formula>
    </cfRule>
    <cfRule type="cellIs" dxfId="11250" priority="41606" operator="equal">
      <formula>"SIN DATOS"</formula>
    </cfRule>
    <cfRule type="cellIs" dxfId="11249" priority="41607" operator="equal">
      <formula>"NO EJECTUTADO"</formula>
    </cfRule>
    <cfRule type="cellIs" dxfId="11248" priority="41608" operator="equal">
      <formula>"FE"</formula>
    </cfRule>
    <cfRule type="cellIs" dxfId="11247" priority="41609" operator="equal">
      <formula>"FE"</formula>
    </cfRule>
  </conditionalFormatting>
  <conditionalFormatting sqref="F174">
    <cfRule type="cellIs" dxfId="11246" priority="41598" operator="equal">
      <formula>"Retirado"</formula>
    </cfRule>
    <cfRule type="cellIs" dxfId="11245" priority="41599" operator="equal">
      <formula>"FSE"</formula>
    </cfRule>
  </conditionalFormatting>
  <conditionalFormatting sqref="F175">
    <cfRule type="cellIs" dxfId="11244" priority="41588" operator="equal">
      <formula>"APLAZADO"</formula>
    </cfRule>
    <cfRule type="cellIs" dxfId="11243" priority="41589" operator="equal">
      <formula>"CANCELADO"</formula>
    </cfRule>
    <cfRule type="cellIs" dxfId="11242" priority="41590" operator="equal">
      <formula>"NO EJECUTADO"</formula>
    </cfRule>
    <cfRule type="cellIs" dxfId="11241" priority="41591" operator="equal">
      <formula>"FPE"</formula>
    </cfRule>
    <cfRule type="cellIs" dxfId="11240" priority="41592" operator="equal">
      <formula>"AMA"</formula>
    </cfRule>
    <cfRule type="cellIs" dxfId="11239" priority="41593" operator="equal">
      <formula>"SIN DATOS"</formula>
    </cfRule>
    <cfRule type="cellIs" dxfId="11238" priority="41594" operator="equal">
      <formula>"SIN DATOS"</formula>
    </cfRule>
    <cfRule type="cellIs" dxfId="11237" priority="41595" operator="equal">
      <formula>"NO EJECTUTADO"</formula>
    </cfRule>
    <cfRule type="cellIs" dxfId="11236" priority="41596" operator="equal">
      <formula>"FE"</formula>
    </cfRule>
    <cfRule type="cellIs" dxfId="11235" priority="41597" operator="equal">
      <formula>"FE"</formula>
    </cfRule>
  </conditionalFormatting>
  <conditionalFormatting sqref="F175">
    <cfRule type="cellIs" dxfId="11234" priority="41586" operator="equal">
      <formula>"Retirado"</formula>
    </cfRule>
    <cfRule type="cellIs" dxfId="11233" priority="41587" operator="equal">
      <formula>"FSE"</formula>
    </cfRule>
  </conditionalFormatting>
  <conditionalFormatting sqref="F176">
    <cfRule type="cellIs" dxfId="11232" priority="41576" operator="equal">
      <formula>"APLAZADO"</formula>
    </cfRule>
    <cfRule type="cellIs" dxfId="11231" priority="41577" operator="equal">
      <formula>"CANCELADO"</formula>
    </cfRule>
    <cfRule type="cellIs" dxfId="11230" priority="41578" operator="equal">
      <formula>"NO EJECUTADO"</formula>
    </cfRule>
    <cfRule type="cellIs" dxfId="11229" priority="41579" operator="equal">
      <formula>"FPE"</formula>
    </cfRule>
    <cfRule type="cellIs" dxfId="11228" priority="41580" operator="equal">
      <formula>"AMA"</formula>
    </cfRule>
    <cfRule type="cellIs" dxfId="11227" priority="41581" operator="equal">
      <formula>"SIN DATOS"</formula>
    </cfRule>
    <cfRule type="cellIs" dxfId="11226" priority="41582" operator="equal">
      <formula>"SIN DATOS"</formula>
    </cfRule>
    <cfRule type="cellIs" dxfId="11225" priority="41583" operator="equal">
      <formula>"NO EJECTUTADO"</formula>
    </cfRule>
    <cfRule type="cellIs" dxfId="11224" priority="41584" operator="equal">
      <formula>"FE"</formula>
    </cfRule>
    <cfRule type="cellIs" dxfId="11223" priority="41585" operator="equal">
      <formula>"FE"</formula>
    </cfRule>
  </conditionalFormatting>
  <conditionalFormatting sqref="F176">
    <cfRule type="cellIs" dxfId="11222" priority="41574" operator="equal">
      <formula>"Retirado"</formula>
    </cfRule>
    <cfRule type="cellIs" dxfId="11221" priority="41575" operator="equal">
      <formula>"FSE"</formula>
    </cfRule>
  </conditionalFormatting>
  <conditionalFormatting sqref="F177">
    <cfRule type="cellIs" dxfId="11220" priority="41564" operator="equal">
      <formula>"APLAZADO"</formula>
    </cfRule>
    <cfRule type="cellIs" dxfId="11219" priority="41565" operator="equal">
      <formula>"CANCELADO"</formula>
    </cfRule>
    <cfRule type="cellIs" dxfId="11218" priority="41566" operator="equal">
      <formula>"NO EJECUTADO"</formula>
    </cfRule>
    <cfRule type="cellIs" dxfId="11217" priority="41567" operator="equal">
      <formula>"FPE"</formula>
    </cfRule>
    <cfRule type="cellIs" dxfId="11216" priority="41568" operator="equal">
      <formula>"AMA"</formula>
    </cfRule>
    <cfRule type="cellIs" dxfId="11215" priority="41569" operator="equal">
      <formula>"SIN DATOS"</formula>
    </cfRule>
    <cfRule type="cellIs" dxfId="11214" priority="41570" operator="equal">
      <formula>"SIN DATOS"</formula>
    </cfRule>
    <cfRule type="cellIs" dxfId="11213" priority="41571" operator="equal">
      <formula>"NO EJECTUTADO"</formula>
    </cfRule>
    <cfRule type="cellIs" dxfId="11212" priority="41572" operator="equal">
      <formula>"FE"</formula>
    </cfRule>
    <cfRule type="cellIs" dxfId="11211" priority="41573" operator="equal">
      <formula>"FE"</formula>
    </cfRule>
  </conditionalFormatting>
  <conditionalFormatting sqref="F177">
    <cfRule type="cellIs" dxfId="11210" priority="41562" operator="equal">
      <formula>"Retirado"</formula>
    </cfRule>
    <cfRule type="cellIs" dxfId="11209" priority="41563" operator="equal">
      <formula>"FSE"</formula>
    </cfRule>
  </conditionalFormatting>
  <conditionalFormatting sqref="F178">
    <cfRule type="cellIs" dxfId="11208" priority="41552" operator="equal">
      <formula>"APLAZADO"</formula>
    </cfRule>
    <cfRule type="cellIs" dxfId="11207" priority="41553" operator="equal">
      <formula>"CANCELADO"</formula>
    </cfRule>
    <cfRule type="cellIs" dxfId="11206" priority="41554" operator="equal">
      <formula>"NO EJECUTADO"</formula>
    </cfRule>
    <cfRule type="cellIs" dxfId="11205" priority="41555" operator="equal">
      <formula>"FPE"</formula>
    </cfRule>
    <cfRule type="cellIs" dxfId="11204" priority="41556" operator="equal">
      <formula>"AMA"</formula>
    </cfRule>
    <cfRule type="cellIs" dxfId="11203" priority="41557" operator="equal">
      <formula>"SIN DATOS"</formula>
    </cfRule>
    <cfRule type="cellIs" dxfId="11202" priority="41558" operator="equal">
      <formula>"SIN DATOS"</formula>
    </cfRule>
    <cfRule type="cellIs" dxfId="11201" priority="41559" operator="equal">
      <formula>"NO EJECTUTADO"</formula>
    </cfRule>
    <cfRule type="cellIs" dxfId="11200" priority="41560" operator="equal">
      <formula>"FE"</formula>
    </cfRule>
    <cfRule type="cellIs" dxfId="11199" priority="41561" operator="equal">
      <formula>"FE"</formula>
    </cfRule>
  </conditionalFormatting>
  <conditionalFormatting sqref="F178">
    <cfRule type="cellIs" dxfId="11198" priority="41550" operator="equal">
      <formula>"Retirado"</formula>
    </cfRule>
    <cfRule type="cellIs" dxfId="11197" priority="41551" operator="equal">
      <formula>"FSE"</formula>
    </cfRule>
  </conditionalFormatting>
  <conditionalFormatting sqref="F179">
    <cfRule type="cellIs" dxfId="11196" priority="41540" operator="equal">
      <formula>"APLAZADO"</formula>
    </cfRule>
    <cfRule type="cellIs" dxfId="11195" priority="41541" operator="equal">
      <formula>"CANCELADO"</formula>
    </cfRule>
    <cfRule type="cellIs" dxfId="11194" priority="41542" operator="equal">
      <formula>"NO EJECUTADO"</formula>
    </cfRule>
    <cfRule type="cellIs" dxfId="11193" priority="41543" operator="equal">
      <formula>"FPE"</formula>
    </cfRule>
    <cfRule type="cellIs" dxfId="11192" priority="41544" operator="equal">
      <formula>"AMA"</formula>
    </cfRule>
    <cfRule type="cellIs" dxfId="11191" priority="41545" operator="equal">
      <formula>"SIN DATOS"</formula>
    </cfRule>
    <cfRule type="cellIs" dxfId="11190" priority="41546" operator="equal">
      <formula>"SIN DATOS"</formula>
    </cfRule>
    <cfRule type="cellIs" dxfId="11189" priority="41547" operator="equal">
      <formula>"NO EJECTUTADO"</formula>
    </cfRule>
    <cfRule type="cellIs" dxfId="11188" priority="41548" operator="equal">
      <formula>"FE"</formula>
    </cfRule>
    <cfRule type="cellIs" dxfId="11187" priority="41549" operator="equal">
      <formula>"FE"</formula>
    </cfRule>
  </conditionalFormatting>
  <conditionalFormatting sqref="F179">
    <cfRule type="cellIs" dxfId="11186" priority="41538" operator="equal">
      <formula>"Retirado"</formula>
    </cfRule>
    <cfRule type="cellIs" dxfId="11185" priority="41539" operator="equal">
      <formula>"FSE"</formula>
    </cfRule>
  </conditionalFormatting>
  <conditionalFormatting sqref="F180">
    <cfRule type="cellIs" dxfId="11184" priority="41528" operator="equal">
      <formula>"APLAZADO"</formula>
    </cfRule>
    <cfRule type="cellIs" dxfId="11183" priority="41529" operator="equal">
      <formula>"CANCELADO"</formula>
    </cfRule>
    <cfRule type="cellIs" dxfId="11182" priority="41530" operator="equal">
      <formula>"NO EJECUTADO"</formula>
    </cfRule>
    <cfRule type="cellIs" dxfId="11181" priority="41531" operator="equal">
      <formula>"FPE"</formula>
    </cfRule>
    <cfRule type="cellIs" dxfId="11180" priority="41532" operator="equal">
      <formula>"AMA"</formula>
    </cfRule>
    <cfRule type="cellIs" dxfId="11179" priority="41533" operator="equal">
      <formula>"SIN DATOS"</formula>
    </cfRule>
    <cfRule type="cellIs" dxfId="11178" priority="41534" operator="equal">
      <formula>"SIN DATOS"</formula>
    </cfRule>
    <cfRule type="cellIs" dxfId="11177" priority="41535" operator="equal">
      <formula>"NO EJECTUTADO"</formula>
    </cfRule>
    <cfRule type="cellIs" dxfId="11176" priority="41536" operator="equal">
      <formula>"FE"</formula>
    </cfRule>
    <cfRule type="cellIs" dxfId="11175" priority="41537" operator="equal">
      <formula>"FE"</formula>
    </cfRule>
  </conditionalFormatting>
  <conditionalFormatting sqref="F180">
    <cfRule type="cellIs" dxfId="11174" priority="41526" operator="equal">
      <formula>"Retirado"</formula>
    </cfRule>
    <cfRule type="cellIs" dxfId="11173" priority="41527" operator="equal">
      <formula>"FSE"</formula>
    </cfRule>
  </conditionalFormatting>
  <conditionalFormatting sqref="F181">
    <cfRule type="cellIs" dxfId="11172" priority="41516" operator="equal">
      <formula>"APLAZADO"</formula>
    </cfRule>
    <cfRule type="cellIs" dxfId="11171" priority="41517" operator="equal">
      <formula>"CANCELADO"</formula>
    </cfRule>
    <cfRule type="cellIs" dxfId="11170" priority="41518" operator="equal">
      <formula>"NO EJECUTADO"</formula>
    </cfRule>
    <cfRule type="cellIs" dxfId="11169" priority="41519" operator="equal">
      <formula>"FPE"</formula>
    </cfRule>
    <cfRule type="cellIs" dxfId="11168" priority="41520" operator="equal">
      <formula>"AMA"</formula>
    </cfRule>
    <cfRule type="cellIs" dxfId="11167" priority="41521" operator="equal">
      <formula>"SIN DATOS"</formula>
    </cfRule>
    <cfRule type="cellIs" dxfId="11166" priority="41522" operator="equal">
      <formula>"SIN DATOS"</formula>
    </cfRule>
    <cfRule type="cellIs" dxfId="11165" priority="41523" operator="equal">
      <formula>"NO EJECTUTADO"</formula>
    </cfRule>
    <cfRule type="cellIs" dxfId="11164" priority="41524" operator="equal">
      <formula>"FE"</formula>
    </cfRule>
    <cfRule type="cellIs" dxfId="11163" priority="41525" operator="equal">
      <formula>"FE"</formula>
    </cfRule>
  </conditionalFormatting>
  <conditionalFormatting sqref="F181">
    <cfRule type="cellIs" dxfId="11162" priority="41514" operator="equal">
      <formula>"Retirado"</formula>
    </cfRule>
    <cfRule type="cellIs" dxfId="11161" priority="41515" operator="equal">
      <formula>"FSE"</formula>
    </cfRule>
  </conditionalFormatting>
  <conditionalFormatting sqref="A182">
    <cfRule type="cellIs" dxfId="11160" priority="41503" operator="equal">
      <formula>"APLAZADO"</formula>
    </cfRule>
    <cfRule type="cellIs" dxfId="11159" priority="41504" operator="equal">
      <formula>"CANCELADO"</formula>
    </cfRule>
    <cfRule type="cellIs" dxfId="11158" priority="41505" operator="equal">
      <formula>"NO EJECUTADO"</formula>
    </cfRule>
    <cfRule type="cellIs" dxfId="11157" priority="41506" operator="equal">
      <formula>"FPE"</formula>
    </cfRule>
    <cfRule type="cellIs" dxfId="11156" priority="41507" operator="equal">
      <formula>"AMA"</formula>
    </cfRule>
    <cfRule type="cellIs" dxfId="11155" priority="41508" operator="equal">
      <formula>"SIN DATOS"</formula>
    </cfRule>
    <cfRule type="cellIs" dxfId="11154" priority="41509" operator="equal">
      <formula>"SIN DATOS"</formula>
    </cfRule>
    <cfRule type="cellIs" dxfId="11153" priority="41510" operator="equal">
      <formula>"NO EJECTUTADO"</formula>
    </cfRule>
    <cfRule type="cellIs" dxfId="11152" priority="41511" operator="equal">
      <formula>"FE"</formula>
    </cfRule>
    <cfRule type="cellIs" dxfId="11151" priority="41512" operator="equal">
      <formula>"FE"</formula>
    </cfRule>
  </conditionalFormatting>
  <conditionalFormatting sqref="A182">
    <cfRule type="cellIs" dxfId="11150" priority="41501" operator="equal">
      <formula>"Retirado"</formula>
    </cfRule>
    <cfRule type="cellIs" dxfId="11149" priority="41502" operator="equal">
      <formula>"FSE"</formula>
    </cfRule>
  </conditionalFormatting>
  <conditionalFormatting sqref="H182">
    <cfRule type="duplicateValues" dxfId="11148" priority="41500"/>
  </conditionalFormatting>
  <conditionalFormatting sqref="F182">
    <cfRule type="cellIs" dxfId="11147" priority="41490" operator="equal">
      <formula>"APLAZADO"</formula>
    </cfRule>
    <cfRule type="cellIs" dxfId="11146" priority="41491" operator="equal">
      <formula>"CANCELADO"</formula>
    </cfRule>
    <cfRule type="cellIs" dxfId="11145" priority="41492" operator="equal">
      <formula>"NO EJECUTADO"</formula>
    </cfRule>
    <cfRule type="cellIs" dxfId="11144" priority="41493" operator="equal">
      <formula>"FPE"</formula>
    </cfRule>
    <cfRule type="cellIs" dxfId="11143" priority="41494" operator="equal">
      <formula>"AMA"</formula>
    </cfRule>
    <cfRule type="cellIs" dxfId="11142" priority="41495" operator="equal">
      <formula>"SIN DATOS"</formula>
    </cfRule>
    <cfRule type="cellIs" dxfId="11141" priority="41496" operator="equal">
      <formula>"SIN DATOS"</formula>
    </cfRule>
    <cfRule type="cellIs" dxfId="11140" priority="41497" operator="equal">
      <formula>"NO EJECTUTADO"</formula>
    </cfRule>
    <cfRule type="cellIs" dxfId="11139" priority="41498" operator="equal">
      <formula>"FE"</formula>
    </cfRule>
    <cfRule type="cellIs" dxfId="11138" priority="41499" operator="equal">
      <formula>"FE"</formula>
    </cfRule>
  </conditionalFormatting>
  <conditionalFormatting sqref="F182">
    <cfRule type="cellIs" dxfId="11137" priority="41488" operator="equal">
      <formula>"Retirado"</formula>
    </cfRule>
    <cfRule type="cellIs" dxfId="11136" priority="41489" operator="equal">
      <formula>"FSE"</formula>
    </cfRule>
  </conditionalFormatting>
  <conditionalFormatting sqref="A184">
    <cfRule type="cellIs" dxfId="11135" priority="41465" operator="equal">
      <formula>"APLAZADO"</formula>
    </cfRule>
    <cfRule type="cellIs" dxfId="11134" priority="41466" operator="equal">
      <formula>"CANCELADO"</formula>
    </cfRule>
    <cfRule type="cellIs" dxfId="11133" priority="41467" operator="equal">
      <formula>"NO EJECUTADO"</formula>
    </cfRule>
    <cfRule type="cellIs" dxfId="11132" priority="41468" operator="equal">
      <formula>"FPE"</formula>
    </cfRule>
    <cfRule type="cellIs" dxfId="11131" priority="41469" operator="equal">
      <formula>"AMA"</formula>
    </cfRule>
    <cfRule type="cellIs" dxfId="11130" priority="41470" operator="equal">
      <formula>"SIN DATOS"</formula>
    </cfRule>
    <cfRule type="cellIs" dxfId="11129" priority="41471" operator="equal">
      <formula>"SIN DATOS"</formula>
    </cfRule>
    <cfRule type="cellIs" dxfId="11128" priority="41472" operator="equal">
      <formula>"NO EJECTUTADO"</formula>
    </cfRule>
    <cfRule type="cellIs" dxfId="11127" priority="41473" operator="equal">
      <formula>"FE"</formula>
    </cfRule>
    <cfRule type="cellIs" dxfId="11126" priority="41474" operator="equal">
      <formula>"FE"</formula>
    </cfRule>
  </conditionalFormatting>
  <conditionalFormatting sqref="A184">
    <cfRule type="cellIs" dxfId="11125" priority="41463" operator="equal">
      <formula>"Retirado"</formula>
    </cfRule>
    <cfRule type="cellIs" dxfId="11124" priority="41464" operator="equal">
      <formula>"FSE"</formula>
    </cfRule>
  </conditionalFormatting>
  <conditionalFormatting sqref="F184">
    <cfRule type="cellIs" dxfId="11123" priority="41453" operator="equal">
      <formula>"APLAZADO"</formula>
    </cfRule>
    <cfRule type="cellIs" dxfId="11122" priority="41454" operator="equal">
      <formula>"CANCELADO"</formula>
    </cfRule>
    <cfRule type="cellIs" dxfId="11121" priority="41455" operator="equal">
      <formula>"NO EJECUTADO"</formula>
    </cfRule>
    <cfRule type="cellIs" dxfId="11120" priority="41456" operator="equal">
      <formula>"FPE"</formula>
    </cfRule>
    <cfRule type="cellIs" dxfId="11119" priority="41457" operator="equal">
      <formula>"AMA"</formula>
    </cfRule>
    <cfRule type="cellIs" dxfId="11118" priority="41458" operator="equal">
      <formula>"SIN DATOS"</formula>
    </cfRule>
    <cfRule type="cellIs" dxfId="11117" priority="41459" operator="equal">
      <formula>"SIN DATOS"</formula>
    </cfRule>
    <cfRule type="cellIs" dxfId="11116" priority="41460" operator="equal">
      <formula>"NO EJECTUTADO"</formula>
    </cfRule>
    <cfRule type="cellIs" dxfId="11115" priority="41461" operator="equal">
      <formula>"FE"</formula>
    </cfRule>
    <cfRule type="cellIs" dxfId="11114" priority="41462" operator="equal">
      <formula>"FE"</formula>
    </cfRule>
  </conditionalFormatting>
  <conditionalFormatting sqref="F184">
    <cfRule type="cellIs" dxfId="11113" priority="41451" operator="equal">
      <formula>"Retirado"</formula>
    </cfRule>
    <cfRule type="cellIs" dxfId="11112" priority="41452" operator="equal">
      <formula>"FSE"</formula>
    </cfRule>
  </conditionalFormatting>
  <conditionalFormatting sqref="F187">
    <cfRule type="cellIs" dxfId="11111" priority="41425" operator="equal">
      <formula>"APLAZADO"</formula>
    </cfRule>
    <cfRule type="cellIs" dxfId="11110" priority="41426" operator="equal">
      <formula>"CANCELADO"</formula>
    </cfRule>
    <cfRule type="cellIs" dxfId="11109" priority="41427" operator="equal">
      <formula>"NO EJECUTADO"</formula>
    </cfRule>
    <cfRule type="cellIs" dxfId="11108" priority="41428" operator="equal">
      <formula>"FPE"</formula>
    </cfRule>
    <cfRule type="cellIs" dxfId="11107" priority="41429" operator="equal">
      <formula>"AMA"</formula>
    </cfRule>
    <cfRule type="cellIs" dxfId="11106" priority="41430" operator="equal">
      <formula>"SIN DATOS"</formula>
    </cfRule>
    <cfRule type="cellIs" dxfId="11105" priority="41431" operator="equal">
      <formula>"SIN DATOS"</formula>
    </cfRule>
    <cfRule type="cellIs" dxfId="11104" priority="41432" operator="equal">
      <formula>"NO EJECTUTADO"</formula>
    </cfRule>
    <cfRule type="cellIs" dxfId="11103" priority="41433" operator="equal">
      <formula>"FE"</formula>
    </cfRule>
    <cfRule type="cellIs" dxfId="11102" priority="41434" operator="equal">
      <formula>"FE"</formula>
    </cfRule>
  </conditionalFormatting>
  <conditionalFormatting sqref="F187">
    <cfRule type="cellIs" dxfId="11101" priority="41423" operator="equal">
      <formula>"Retirado"</formula>
    </cfRule>
    <cfRule type="cellIs" dxfId="11100" priority="41424" operator="equal">
      <formula>"FSE"</formula>
    </cfRule>
  </conditionalFormatting>
  <conditionalFormatting sqref="F188">
    <cfRule type="cellIs" dxfId="11099" priority="41413" operator="equal">
      <formula>"APLAZADO"</formula>
    </cfRule>
    <cfRule type="cellIs" dxfId="11098" priority="41414" operator="equal">
      <formula>"CANCELADO"</formula>
    </cfRule>
    <cfRule type="cellIs" dxfId="11097" priority="41415" operator="equal">
      <formula>"NO EJECUTADO"</formula>
    </cfRule>
    <cfRule type="cellIs" dxfId="11096" priority="41416" operator="equal">
      <formula>"FPE"</formula>
    </cfRule>
    <cfRule type="cellIs" dxfId="11095" priority="41417" operator="equal">
      <formula>"AMA"</formula>
    </cfRule>
    <cfRule type="cellIs" dxfId="11094" priority="41418" operator="equal">
      <formula>"SIN DATOS"</formula>
    </cfRule>
    <cfRule type="cellIs" dxfId="11093" priority="41419" operator="equal">
      <formula>"SIN DATOS"</formula>
    </cfRule>
    <cfRule type="cellIs" dxfId="11092" priority="41420" operator="equal">
      <formula>"NO EJECTUTADO"</formula>
    </cfRule>
    <cfRule type="cellIs" dxfId="11091" priority="41421" operator="equal">
      <formula>"FE"</formula>
    </cfRule>
    <cfRule type="cellIs" dxfId="11090" priority="41422" operator="equal">
      <formula>"FE"</formula>
    </cfRule>
  </conditionalFormatting>
  <conditionalFormatting sqref="F188">
    <cfRule type="cellIs" dxfId="11089" priority="41411" operator="equal">
      <formula>"Retirado"</formula>
    </cfRule>
    <cfRule type="cellIs" dxfId="11088" priority="41412" operator="equal">
      <formula>"FSE"</formula>
    </cfRule>
  </conditionalFormatting>
  <conditionalFormatting sqref="F192">
    <cfRule type="cellIs" dxfId="11087" priority="41388" operator="equal">
      <formula>"APLAZADO"</formula>
    </cfRule>
    <cfRule type="cellIs" dxfId="11086" priority="41389" operator="equal">
      <formula>"CANCELADO"</formula>
    </cfRule>
    <cfRule type="cellIs" dxfId="11085" priority="41390" operator="equal">
      <formula>"NO EJECUTADO"</formula>
    </cfRule>
    <cfRule type="cellIs" dxfId="11084" priority="41391" operator="equal">
      <formula>"FPE"</formula>
    </cfRule>
    <cfRule type="cellIs" dxfId="11083" priority="41392" operator="equal">
      <formula>"AMA"</formula>
    </cfRule>
    <cfRule type="cellIs" dxfId="11082" priority="41393" operator="equal">
      <formula>"SIN DATOS"</formula>
    </cfRule>
    <cfRule type="cellIs" dxfId="11081" priority="41394" operator="equal">
      <formula>"SIN DATOS"</formula>
    </cfRule>
    <cfRule type="cellIs" dxfId="11080" priority="41395" operator="equal">
      <formula>"NO EJECTUTADO"</formula>
    </cfRule>
    <cfRule type="cellIs" dxfId="11079" priority="41396" operator="equal">
      <formula>"FE"</formula>
    </cfRule>
    <cfRule type="cellIs" dxfId="11078" priority="41397" operator="equal">
      <formula>"FE"</formula>
    </cfRule>
  </conditionalFormatting>
  <conditionalFormatting sqref="F192">
    <cfRule type="cellIs" dxfId="11077" priority="41386" operator="equal">
      <formula>"Retirado"</formula>
    </cfRule>
    <cfRule type="cellIs" dxfId="11076" priority="41387" operator="equal">
      <formula>"FSE"</formula>
    </cfRule>
  </conditionalFormatting>
  <conditionalFormatting sqref="A194">
    <cfRule type="cellIs" dxfId="11075" priority="41375" operator="equal">
      <formula>"APLAZADO"</formula>
    </cfRule>
    <cfRule type="cellIs" dxfId="11074" priority="41376" operator="equal">
      <formula>"CANCELADO"</formula>
    </cfRule>
    <cfRule type="cellIs" dxfId="11073" priority="41377" operator="equal">
      <formula>"NO EJECUTADO"</formula>
    </cfRule>
    <cfRule type="cellIs" dxfId="11072" priority="41378" operator="equal">
      <formula>"FPE"</formula>
    </cfRule>
    <cfRule type="cellIs" dxfId="11071" priority="41379" operator="equal">
      <formula>"AMA"</formula>
    </cfRule>
    <cfRule type="cellIs" dxfId="11070" priority="41380" operator="equal">
      <formula>"SIN DATOS"</formula>
    </cfRule>
    <cfRule type="cellIs" dxfId="11069" priority="41381" operator="equal">
      <formula>"SIN DATOS"</formula>
    </cfRule>
    <cfRule type="cellIs" dxfId="11068" priority="41382" operator="equal">
      <formula>"NO EJECTUTADO"</formula>
    </cfRule>
    <cfRule type="cellIs" dxfId="11067" priority="41383" operator="equal">
      <formula>"FE"</formula>
    </cfRule>
    <cfRule type="cellIs" dxfId="11066" priority="41384" operator="equal">
      <formula>"FE"</formula>
    </cfRule>
  </conditionalFormatting>
  <conditionalFormatting sqref="A194">
    <cfRule type="cellIs" dxfId="11065" priority="41373" operator="equal">
      <formula>"Retirado"</formula>
    </cfRule>
    <cfRule type="cellIs" dxfId="11064" priority="41374" operator="equal">
      <formula>"FSE"</formula>
    </cfRule>
  </conditionalFormatting>
  <conditionalFormatting sqref="F194">
    <cfRule type="cellIs" dxfId="11063" priority="41363" operator="equal">
      <formula>"APLAZADO"</formula>
    </cfRule>
    <cfRule type="cellIs" dxfId="11062" priority="41364" operator="equal">
      <formula>"CANCELADO"</formula>
    </cfRule>
    <cfRule type="cellIs" dxfId="11061" priority="41365" operator="equal">
      <formula>"NO EJECUTADO"</formula>
    </cfRule>
    <cfRule type="cellIs" dxfId="11060" priority="41366" operator="equal">
      <formula>"FPE"</formula>
    </cfRule>
    <cfRule type="cellIs" dxfId="11059" priority="41367" operator="equal">
      <formula>"AMA"</formula>
    </cfRule>
    <cfRule type="cellIs" dxfId="11058" priority="41368" operator="equal">
      <formula>"SIN DATOS"</formula>
    </cfRule>
    <cfRule type="cellIs" dxfId="11057" priority="41369" operator="equal">
      <formula>"SIN DATOS"</formula>
    </cfRule>
    <cfRule type="cellIs" dxfId="11056" priority="41370" operator="equal">
      <formula>"NO EJECTUTADO"</formula>
    </cfRule>
    <cfRule type="cellIs" dxfId="11055" priority="41371" operator="equal">
      <formula>"FE"</formula>
    </cfRule>
    <cfRule type="cellIs" dxfId="11054" priority="41372" operator="equal">
      <formula>"FE"</formula>
    </cfRule>
  </conditionalFormatting>
  <conditionalFormatting sqref="F194">
    <cfRule type="cellIs" dxfId="11053" priority="41361" operator="equal">
      <formula>"Retirado"</formula>
    </cfRule>
    <cfRule type="cellIs" dxfId="11052" priority="41362" operator="equal">
      <formula>"FSE"</formula>
    </cfRule>
  </conditionalFormatting>
  <conditionalFormatting sqref="A195">
    <cfRule type="cellIs" dxfId="11051" priority="41351" operator="equal">
      <formula>"APLAZADO"</formula>
    </cfRule>
    <cfRule type="cellIs" dxfId="11050" priority="41352" operator="equal">
      <formula>"CANCELADO"</formula>
    </cfRule>
    <cfRule type="cellIs" dxfId="11049" priority="41353" operator="equal">
      <formula>"NO EJECUTADO"</formula>
    </cfRule>
    <cfRule type="cellIs" dxfId="11048" priority="41354" operator="equal">
      <formula>"FPE"</formula>
    </cfRule>
    <cfRule type="cellIs" dxfId="11047" priority="41355" operator="equal">
      <formula>"AMA"</formula>
    </cfRule>
    <cfRule type="cellIs" dxfId="11046" priority="41356" operator="equal">
      <formula>"SIN DATOS"</formula>
    </cfRule>
    <cfRule type="cellIs" dxfId="11045" priority="41357" operator="equal">
      <formula>"SIN DATOS"</formula>
    </cfRule>
    <cfRule type="cellIs" dxfId="11044" priority="41358" operator="equal">
      <formula>"NO EJECTUTADO"</formula>
    </cfRule>
    <cfRule type="cellIs" dxfId="11043" priority="41359" operator="equal">
      <formula>"FE"</formula>
    </cfRule>
    <cfRule type="cellIs" dxfId="11042" priority="41360" operator="equal">
      <formula>"FE"</formula>
    </cfRule>
  </conditionalFormatting>
  <conditionalFormatting sqref="A195">
    <cfRule type="cellIs" dxfId="11041" priority="41349" operator="equal">
      <formula>"Retirado"</formula>
    </cfRule>
    <cfRule type="cellIs" dxfId="11040" priority="41350" operator="equal">
      <formula>"FSE"</formula>
    </cfRule>
  </conditionalFormatting>
  <conditionalFormatting sqref="F195">
    <cfRule type="cellIs" dxfId="11039" priority="41339" operator="equal">
      <formula>"APLAZADO"</formula>
    </cfRule>
    <cfRule type="cellIs" dxfId="11038" priority="41340" operator="equal">
      <formula>"CANCELADO"</formula>
    </cfRule>
    <cfRule type="cellIs" dxfId="11037" priority="41341" operator="equal">
      <formula>"NO EJECUTADO"</formula>
    </cfRule>
    <cfRule type="cellIs" dxfId="11036" priority="41342" operator="equal">
      <formula>"FPE"</formula>
    </cfRule>
    <cfRule type="cellIs" dxfId="11035" priority="41343" operator="equal">
      <formula>"AMA"</formula>
    </cfRule>
    <cfRule type="cellIs" dxfId="11034" priority="41344" operator="equal">
      <formula>"SIN DATOS"</formula>
    </cfRule>
    <cfRule type="cellIs" dxfId="11033" priority="41345" operator="equal">
      <formula>"SIN DATOS"</formula>
    </cfRule>
    <cfRule type="cellIs" dxfId="11032" priority="41346" operator="equal">
      <formula>"NO EJECTUTADO"</formula>
    </cfRule>
    <cfRule type="cellIs" dxfId="11031" priority="41347" operator="equal">
      <formula>"FE"</formula>
    </cfRule>
    <cfRule type="cellIs" dxfId="11030" priority="41348" operator="equal">
      <formula>"FE"</formula>
    </cfRule>
  </conditionalFormatting>
  <conditionalFormatting sqref="F195">
    <cfRule type="cellIs" dxfId="11029" priority="41337" operator="equal">
      <formula>"Retirado"</formula>
    </cfRule>
    <cfRule type="cellIs" dxfId="11028" priority="41338" operator="equal">
      <formula>"FSE"</formula>
    </cfRule>
  </conditionalFormatting>
  <conditionalFormatting sqref="F198">
    <cfRule type="cellIs" dxfId="11027" priority="41323" operator="equal">
      <formula>"APLAZADO"</formula>
    </cfRule>
    <cfRule type="cellIs" dxfId="11026" priority="41324" operator="equal">
      <formula>"CANCELADO"</formula>
    </cfRule>
    <cfRule type="cellIs" dxfId="11025" priority="41325" operator="equal">
      <formula>"NO EJECUTADO"</formula>
    </cfRule>
    <cfRule type="cellIs" dxfId="11024" priority="41326" operator="equal">
      <formula>"FPE"</formula>
    </cfRule>
    <cfRule type="cellIs" dxfId="11023" priority="41327" operator="equal">
      <formula>"AMA"</formula>
    </cfRule>
    <cfRule type="cellIs" dxfId="11022" priority="41328" operator="equal">
      <formula>"SIN DATOS"</formula>
    </cfRule>
    <cfRule type="cellIs" dxfId="11021" priority="41329" operator="equal">
      <formula>"SIN DATOS"</formula>
    </cfRule>
    <cfRule type="cellIs" dxfId="11020" priority="41330" operator="equal">
      <formula>"NO EJECTUTADO"</formula>
    </cfRule>
    <cfRule type="cellIs" dxfId="11019" priority="41331" operator="equal">
      <formula>"FE"</formula>
    </cfRule>
    <cfRule type="cellIs" dxfId="11018" priority="41332" operator="equal">
      <formula>"FE"</formula>
    </cfRule>
  </conditionalFormatting>
  <conditionalFormatting sqref="F198">
    <cfRule type="cellIs" dxfId="11017" priority="41321" operator="equal">
      <formula>"Retirado"</formula>
    </cfRule>
    <cfRule type="cellIs" dxfId="11016" priority="41322" operator="equal">
      <formula>"FSE"</formula>
    </cfRule>
  </conditionalFormatting>
  <conditionalFormatting sqref="F199">
    <cfRule type="cellIs" dxfId="11015" priority="41308" operator="equal">
      <formula>"APLAZADO"</formula>
    </cfRule>
    <cfRule type="cellIs" dxfId="11014" priority="41309" operator="equal">
      <formula>"CANCELADO"</formula>
    </cfRule>
    <cfRule type="cellIs" dxfId="11013" priority="41310" operator="equal">
      <formula>"NO EJECUTADO"</formula>
    </cfRule>
    <cfRule type="cellIs" dxfId="11012" priority="41311" operator="equal">
      <formula>"FPE"</formula>
    </cfRule>
    <cfRule type="cellIs" dxfId="11011" priority="41312" operator="equal">
      <formula>"AMA"</formula>
    </cfRule>
    <cfRule type="cellIs" dxfId="11010" priority="41313" operator="equal">
      <formula>"SIN DATOS"</formula>
    </cfRule>
    <cfRule type="cellIs" dxfId="11009" priority="41314" operator="equal">
      <formula>"SIN DATOS"</formula>
    </cfRule>
    <cfRule type="cellIs" dxfId="11008" priority="41315" operator="equal">
      <formula>"NO EJECTUTADO"</formula>
    </cfRule>
    <cfRule type="cellIs" dxfId="11007" priority="41316" operator="equal">
      <formula>"FE"</formula>
    </cfRule>
    <cfRule type="cellIs" dxfId="11006" priority="41317" operator="equal">
      <formula>"FE"</formula>
    </cfRule>
  </conditionalFormatting>
  <conditionalFormatting sqref="F199">
    <cfRule type="cellIs" dxfId="11005" priority="41306" operator="equal">
      <formula>"Retirado"</formula>
    </cfRule>
    <cfRule type="cellIs" dxfId="11004" priority="41307" operator="equal">
      <formula>"FSE"</formula>
    </cfRule>
  </conditionalFormatting>
  <conditionalFormatting sqref="F202">
    <cfRule type="cellIs" dxfId="11003" priority="41294" operator="equal">
      <formula>"APLAZADO"</formula>
    </cfRule>
    <cfRule type="cellIs" dxfId="11002" priority="41295" operator="equal">
      <formula>"CANCELADO"</formula>
    </cfRule>
    <cfRule type="cellIs" dxfId="11001" priority="41296" operator="equal">
      <formula>"NO EJECUTADO"</formula>
    </cfRule>
    <cfRule type="cellIs" dxfId="11000" priority="41297" operator="equal">
      <formula>"FPE"</formula>
    </cfRule>
    <cfRule type="cellIs" dxfId="10999" priority="41298" operator="equal">
      <formula>"AMA"</formula>
    </cfRule>
    <cfRule type="cellIs" dxfId="10998" priority="41299" operator="equal">
      <formula>"SIN DATOS"</formula>
    </cfRule>
    <cfRule type="cellIs" dxfId="10997" priority="41300" operator="equal">
      <formula>"SIN DATOS"</formula>
    </cfRule>
    <cfRule type="cellIs" dxfId="10996" priority="41301" operator="equal">
      <formula>"NO EJECTUTADO"</formula>
    </cfRule>
    <cfRule type="cellIs" dxfId="10995" priority="41302" operator="equal">
      <formula>"FE"</formula>
    </cfRule>
    <cfRule type="cellIs" dxfId="10994" priority="41303" operator="equal">
      <formula>"FE"</formula>
    </cfRule>
  </conditionalFormatting>
  <conditionalFormatting sqref="F202">
    <cfRule type="cellIs" dxfId="10993" priority="41292" operator="equal">
      <formula>"Retirado"</formula>
    </cfRule>
    <cfRule type="cellIs" dxfId="10992" priority="41293" operator="equal">
      <formula>"FSE"</formula>
    </cfRule>
  </conditionalFormatting>
  <conditionalFormatting sqref="A203">
    <cfRule type="cellIs" dxfId="10991" priority="41276" operator="equal">
      <formula>"APLAZADO"</formula>
    </cfRule>
    <cfRule type="cellIs" dxfId="10990" priority="41277" operator="equal">
      <formula>"CANCELADO"</formula>
    </cfRule>
    <cfRule type="cellIs" dxfId="10989" priority="41278" operator="equal">
      <formula>"NO EJECUTADO"</formula>
    </cfRule>
    <cfRule type="cellIs" dxfId="10988" priority="41279" operator="equal">
      <formula>"FPE"</formula>
    </cfRule>
    <cfRule type="cellIs" dxfId="10987" priority="41280" operator="equal">
      <formula>"AMA"</formula>
    </cfRule>
    <cfRule type="cellIs" dxfId="10986" priority="41281" operator="equal">
      <formula>"SIN DATOS"</formula>
    </cfRule>
    <cfRule type="cellIs" dxfId="10985" priority="41282" operator="equal">
      <formula>"SIN DATOS"</formula>
    </cfRule>
    <cfRule type="cellIs" dxfId="10984" priority="41283" operator="equal">
      <formula>"NO EJECTUTADO"</formula>
    </cfRule>
    <cfRule type="cellIs" dxfId="10983" priority="41284" operator="equal">
      <formula>"FE"</formula>
    </cfRule>
    <cfRule type="cellIs" dxfId="10982" priority="41285" operator="equal">
      <formula>"FE"</formula>
    </cfRule>
  </conditionalFormatting>
  <conditionalFormatting sqref="A203">
    <cfRule type="cellIs" dxfId="10981" priority="41274" operator="equal">
      <formula>"Retirado"</formula>
    </cfRule>
    <cfRule type="cellIs" dxfId="10980" priority="41275" operator="equal">
      <formula>"FSE"</formula>
    </cfRule>
  </conditionalFormatting>
  <conditionalFormatting sqref="F203">
    <cfRule type="cellIs" dxfId="10979" priority="41264" operator="equal">
      <formula>"APLAZADO"</formula>
    </cfRule>
    <cfRule type="cellIs" dxfId="10978" priority="41265" operator="equal">
      <formula>"CANCELADO"</formula>
    </cfRule>
    <cfRule type="cellIs" dxfId="10977" priority="41266" operator="equal">
      <formula>"NO EJECUTADO"</formula>
    </cfRule>
    <cfRule type="cellIs" dxfId="10976" priority="41267" operator="equal">
      <formula>"FPE"</formula>
    </cfRule>
    <cfRule type="cellIs" dxfId="10975" priority="41268" operator="equal">
      <formula>"AMA"</formula>
    </cfRule>
    <cfRule type="cellIs" dxfId="10974" priority="41269" operator="equal">
      <formula>"SIN DATOS"</formula>
    </cfRule>
    <cfRule type="cellIs" dxfId="10973" priority="41270" operator="equal">
      <formula>"SIN DATOS"</formula>
    </cfRule>
    <cfRule type="cellIs" dxfId="10972" priority="41271" operator="equal">
      <formula>"NO EJECTUTADO"</formula>
    </cfRule>
    <cfRule type="cellIs" dxfId="10971" priority="41272" operator="equal">
      <formula>"FE"</formula>
    </cfRule>
    <cfRule type="cellIs" dxfId="10970" priority="41273" operator="equal">
      <formula>"FE"</formula>
    </cfRule>
  </conditionalFormatting>
  <conditionalFormatting sqref="F203">
    <cfRule type="cellIs" dxfId="10969" priority="41262" operator="equal">
      <formula>"Retirado"</formula>
    </cfRule>
    <cfRule type="cellIs" dxfId="10968" priority="41263" operator="equal">
      <formula>"FSE"</formula>
    </cfRule>
  </conditionalFormatting>
  <conditionalFormatting sqref="F205">
    <cfRule type="cellIs" dxfId="10967" priority="41249" operator="equal">
      <formula>"APLAZADO"</formula>
    </cfRule>
    <cfRule type="cellIs" dxfId="10966" priority="41250" operator="equal">
      <formula>"CANCELADO"</formula>
    </cfRule>
    <cfRule type="cellIs" dxfId="10965" priority="41251" operator="equal">
      <formula>"NO EJECUTADO"</formula>
    </cfRule>
    <cfRule type="cellIs" dxfId="10964" priority="41252" operator="equal">
      <formula>"FPE"</formula>
    </cfRule>
    <cfRule type="cellIs" dxfId="10963" priority="41253" operator="equal">
      <formula>"AMA"</formula>
    </cfRule>
    <cfRule type="cellIs" dxfId="10962" priority="41254" operator="equal">
      <formula>"SIN DATOS"</formula>
    </cfRule>
    <cfRule type="cellIs" dxfId="10961" priority="41255" operator="equal">
      <formula>"SIN DATOS"</formula>
    </cfRule>
    <cfRule type="cellIs" dxfId="10960" priority="41256" operator="equal">
      <formula>"NO EJECTUTADO"</formula>
    </cfRule>
    <cfRule type="cellIs" dxfId="10959" priority="41257" operator="equal">
      <formula>"FE"</formula>
    </cfRule>
    <cfRule type="cellIs" dxfId="10958" priority="41258" operator="equal">
      <formula>"FE"</formula>
    </cfRule>
  </conditionalFormatting>
  <conditionalFormatting sqref="F205">
    <cfRule type="cellIs" dxfId="10957" priority="41247" operator="equal">
      <formula>"Retirado"</formula>
    </cfRule>
    <cfRule type="cellIs" dxfId="10956" priority="41248" operator="equal">
      <formula>"FSE"</formula>
    </cfRule>
  </conditionalFormatting>
  <conditionalFormatting sqref="F206">
    <cfRule type="cellIs" dxfId="10955" priority="41236" operator="equal">
      <formula>"APLAZADO"</formula>
    </cfRule>
    <cfRule type="cellIs" dxfId="10954" priority="41237" operator="equal">
      <formula>"CANCELADO"</formula>
    </cfRule>
    <cfRule type="cellIs" dxfId="10953" priority="41238" operator="equal">
      <formula>"NO EJECUTADO"</formula>
    </cfRule>
    <cfRule type="cellIs" dxfId="10952" priority="41239" operator="equal">
      <formula>"FPE"</formula>
    </cfRule>
    <cfRule type="cellIs" dxfId="10951" priority="41240" operator="equal">
      <formula>"AMA"</formula>
    </cfRule>
    <cfRule type="cellIs" dxfId="10950" priority="41241" operator="equal">
      <formula>"SIN DATOS"</formula>
    </cfRule>
    <cfRule type="cellIs" dxfId="10949" priority="41242" operator="equal">
      <formula>"SIN DATOS"</formula>
    </cfRule>
    <cfRule type="cellIs" dxfId="10948" priority="41243" operator="equal">
      <formula>"NO EJECTUTADO"</formula>
    </cfRule>
    <cfRule type="cellIs" dxfId="10947" priority="41244" operator="equal">
      <formula>"FE"</formula>
    </cfRule>
    <cfRule type="cellIs" dxfId="10946" priority="41245" operator="equal">
      <formula>"FE"</formula>
    </cfRule>
  </conditionalFormatting>
  <conditionalFormatting sqref="F206">
    <cfRule type="cellIs" dxfId="10945" priority="41234" operator="equal">
      <formula>"Retirado"</formula>
    </cfRule>
    <cfRule type="cellIs" dxfId="10944" priority="41235" operator="equal">
      <formula>"FSE"</formula>
    </cfRule>
  </conditionalFormatting>
  <conditionalFormatting sqref="H207">
    <cfRule type="duplicateValues" dxfId="10943" priority="41233"/>
  </conditionalFormatting>
  <conditionalFormatting sqref="F207">
    <cfRule type="cellIs" dxfId="10942" priority="41223" operator="equal">
      <formula>"APLAZADO"</formula>
    </cfRule>
    <cfRule type="cellIs" dxfId="10941" priority="41224" operator="equal">
      <formula>"CANCELADO"</formula>
    </cfRule>
    <cfRule type="cellIs" dxfId="10940" priority="41225" operator="equal">
      <formula>"NO EJECUTADO"</formula>
    </cfRule>
    <cfRule type="cellIs" dxfId="10939" priority="41226" operator="equal">
      <formula>"FPE"</formula>
    </cfRule>
    <cfRule type="cellIs" dxfId="10938" priority="41227" operator="equal">
      <formula>"AMA"</formula>
    </cfRule>
    <cfRule type="cellIs" dxfId="10937" priority="41228" operator="equal">
      <formula>"SIN DATOS"</formula>
    </cfRule>
    <cfRule type="cellIs" dxfId="10936" priority="41229" operator="equal">
      <formula>"SIN DATOS"</formula>
    </cfRule>
    <cfRule type="cellIs" dxfId="10935" priority="41230" operator="equal">
      <formula>"NO EJECTUTADO"</formula>
    </cfRule>
    <cfRule type="cellIs" dxfId="10934" priority="41231" operator="equal">
      <formula>"FE"</formula>
    </cfRule>
    <cfRule type="cellIs" dxfId="10933" priority="41232" operator="equal">
      <formula>"FE"</formula>
    </cfRule>
  </conditionalFormatting>
  <conditionalFormatting sqref="F207">
    <cfRule type="cellIs" dxfId="10932" priority="41221" operator="equal">
      <formula>"Retirado"</formula>
    </cfRule>
    <cfRule type="cellIs" dxfId="10931" priority="41222" operator="equal">
      <formula>"FSE"</formula>
    </cfRule>
  </conditionalFormatting>
  <conditionalFormatting sqref="H119:H125 H127:H181 H183:H206 H208:H233 H235:H244">
    <cfRule type="duplicateValues" dxfId="10930" priority="136834"/>
  </conditionalFormatting>
  <conditionalFormatting sqref="F211">
    <cfRule type="cellIs" dxfId="10929" priority="41189" operator="equal">
      <formula>"APLAZADO"</formula>
    </cfRule>
    <cfRule type="cellIs" dxfId="10928" priority="41190" operator="equal">
      <formula>"CANCELADO"</formula>
    </cfRule>
    <cfRule type="cellIs" dxfId="10927" priority="41191" operator="equal">
      <formula>"NO EJECUTADO"</formula>
    </cfRule>
    <cfRule type="cellIs" dxfId="10926" priority="41192" operator="equal">
      <formula>"FPE"</formula>
    </cfRule>
    <cfRule type="cellIs" dxfId="10925" priority="41193" operator="equal">
      <formula>"AMA"</formula>
    </cfRule>
    <cfRule type="cellIs" dxfId="10924" priority="41194" operator="equal">
      <formula>"SIN DATOS"</formula>
    </cfRule>
    <cfRule type="cellIs" dxfId="10923" priority="41195" operator="equal">
      <formula>"SIN DATOS"</formula>
    </cfRule>
    <cfRule type="cellIs" dxfId="10922" priority="41196" operator="equal">
      <formula>"NO EJECTUTADO"</formula>
    </cfRule>
    <cfRule type="cellIs" dxfId="10921" priority="41197" operator="equal">
      <formula>"FE"</formula>
    </cfRule>
    <cfRule type="cellIs" dxfId="10920" priority="41198" operator="equal">
      <formula>"FE"</formula>
    </cfRule>
  </conditionalFormatting>
  <conditionalFormatting sqref="F211">
    <cfRule type="cellIs" dxfId="10919" priority="41187" operator="equal">
      <formula>"Retirado"</formula>
    </cfRule>
    <cfRule type="cellIs" dxfId="10918" priority="41188" operator="equal">
      <formula>"FSE"</formula>
    </cfRule>
  </conditionalFormatting>
  <conditionalFormatting sqref="F212">
    <cfRule type="cellIs" dxfId="10917" priority="41170" operator="equal">
      <formula>"APLAZADO"</formula>
    </cfRule>
    <cfRule type="cellIs" dxfId="10916" priority="41171" operator="equal">
      <formula>"CANCELADO"</formula>
    </cfRule>
    <cfRule type="cellIs" dxfId="10915" priority="41172" operator="equal">
      <formula>"NO EJECUTADO"</formula>
    </cfRule>
    <cfRule type="cellIs" dxfId="10914" priority="41173" operator="equal">
      <formula>"FPE"</formula>
    </cfRule>
    <cfRule type="cellIs" dxfId="10913" priority="41174" operator="equal">
      <formula>"AMA"</formula>
    </cfRule>
    <cfRule type="cellIs" dxfId="10912" priority="41175" operator="equal">
      <formula>"SIN DATOS"</formula>
    </cfRule>
    <cfRule type="cellIs" dxfId="10911" priority="41176" operator="equal">
      <formula>"SIN DATOS"</formula>
    </cfRule>
    <cfRule type="cellIs" dxfId="10910" priority="41177" operator="equal">
      <formula>"NO EJECTUTADO"</formula>
    </cfRule>
    <cfRule type="cellIs" dxfId="10909" priority="41178" operator="equal">
      <formula>"FE"</formula>
    </cfRule>
    <cfRule type="cellIs" dxfId="10908" priority="41179" operator="equal">
      <formula>"FE"</formula>
    </cfRule>
  </conditionalFormatting>
  <conditionalFormatting sqref="F212">
    <cfRule type="cellIs" dxfId="10907" priority="41168" operator="equal">
      <formula>"Retirado"</formula>
    </cfRule>
    <cfRule type="cellIs" dxfId="10906" priority="41169" operator="equal">
      <formula>"FSE"</formula>
    </cfRule>
  </conditionalFormatting>
  <conditionalFormatting sqref="F213">
    <cfRule type="cellIs" dxfId="10905" priority="41158" operator="equal">
      <formula>"APLAZADO"</formula>
    </cfRule>
    <cfRule type="cellIs" dxfId="10904" priority="41159" operator="equal">
      <formula>"CANCELADO"</formula>
    </cfRule>
    <cfRule type="cellIs" dxfId="10903" priority="41160" operator="equal">
      <formula>"NO EJECUTADO"</formula>
    </cfRule>
    <cfRule type="cellIs" dxfId="10902" priority="41161" operator="equal">
      <formula>"FPE"</formula>
    </cfRule>
    <cfRule type="cellIs" dxfId="10901" priority="41162" operator="equal">
      <formula>"AMA"</formula>
    </cfRule>
    <cfRule type="cellIs" dxfId="10900" priority="41163" operator="equal">
      <formula>"SIN DATOS"</formula>
    </cfRule>
    <cfRule type="cellIs" dxfId="10899" priority="41164" operator="equal">
      <formula>"SIN DATOS"</formula>
    </cfRule>
    <cfRule type="cellIs" dxfId="10898" priority="41165" operator="equal">
      <formula>"NO EJECTUTADO"</formula>
    </cfRule>
    <cfRule type="cellIs" dxfId="10897" priority="41166" operator="equal">
      <formula>"FE"</formula>
    </cfRule>
    <cfRule type="cellIs" dxfId="10896" priority="41167" operator="equal">
      <formula>"FE"</formula>
    </cfRule>
  </conditionalFormatting>
  <conditionalFormatting sqref="F213">
    <cfRule type="cellIs" dxfId="10895" priority="41156" operator="equal">
      <formula>"Retirado"</formula>
    </cfRule>
    <cfRule type="cellIs" dxfId="10894" priority="41157" operator="equal">
      <formula>"FSE"</formula>
    </cfRule>
  </conditionalFormatting>
  <conditionalFormatting sqref="F215 F620">
    <cfRule type="cellIs" dxfId="10893" priority="41146" operator="equal">
      <formula>"APLAZADO"</formula>
    </cfRule>
    <cfRule type="cellIs" dxfId="10892" priority="41147" operator="equal">
      <formula>"CANCELADO"</formula>
    </cfRule>
    <cfRule type="cellIs" dxfId="10891" priority="41148" operator="equal">
      <formula>"NO EJECUTADO"</formula>
    </cfRule>
    <cfRule type="cellIs" dxfId="10890" priority="41149" operator="equal">
      <formula>"FPE"</formula>
    </cfRule>
    <cfRule type="cellIs" dxfId="10889" priority="41150" operator="equal">
      <formula>"AMA"</formula>
    </cfRule>
    <cfRule type="cellIs" dxfId="10888" priority="41151" operator="equal">
      <formula>"SIN DATOS"</formula>
    </cfRule>
    <cfRule type="cellIs" dxfId="10887" priority="41152" operator="equal">
      <formula>"SIN DATOS"</formula>
    </cfRule>
    <cfRule type="cellIs" dxfId="10886" priority="41153" operator="equal">
      <formula>"NO EJECTUTADO"</formula>
    </cfRule>
    <cfRule type="cellIs" dxfId="10885" priority="41154" operator="equal">
      <formula>"FE"</formula>
    </cfRule>
    <cfRule type="cellIs" dxfId="10884" priority="41155" operator="equal">
      <formula>"FE"</formula>
    </cfRule>
  </conditionalFormatting>
  <conditionalFormatting sqref="F215 F620">
    <cfRule type="cellIs" dxfId="10883" priority="41144" operator="equal">
      <formula>"Retirado"</formula>
    </cfRule>
    <cfRule type="cellIs" dxfId="10882" priority="41145" operator="equal">
      <formula>"FSE"</formula>
    </cfRule>
  </conditionalFormatting>
  <conditionalFormatting sqref="F216">
    <cfRule type="cellIs" dxfId="10881" priority="41134" operator="equal">
      <formula>"APLAZADO"</formula>
    </cfRule>
    <cfRule type="cellIs" dxfId="10880" priority="41135" operator="equal">
      <formula>"CANCELADO"</formula>
    </cfRule>
    <cfRule type="cellIs" dxfId="10879" priority="41136" operator="equal">
      <formula>"NO EJECUTADO"</formula>
    </cfRule>
    <cfRule type="cellIs" dxfId="10878" priority="41137" operator="equal">
      <formula>"FPE"</formula>
    </cfRule>
    <cfRule type="cellIs" dxfId="10877" priority="41138" operator="equal">
      <formula>"AMA"</formula>
    </cfRule>
    <cfRule type="cellIs" dxfId="10876" priority="41139" operator="equal">
      <formula>"SIN DATOS"</formula>
    </cfRule>
    <cfRule type="cellIs" dxfId="10875" priority="41140" operator="equal">
      <formula>"SIN DATOS"</formula>
    </cfRule>
    <cfRule type="cellIs" dxfId="10874" priority="41141" operator="equal">
      <formula>"NO EJECTUTADO"</formula>
    </cfRule>
    <cfRule type="cellIs" dxfId="10873" priority="41142" operator="equal">
      <formula>"FE"</formula>
    </cfRule>
    <cfRule type="cellIs" dxfId="10872" priority="41143" operator="equal">
      <formula>"FE"</formula>
    </cfRule>
  </conditionalFormatting>
  <conditionalFormatting sqref="F216">
    <cfRule type="cellIs" dxfId="10871" priority="41132" operator="equal">
      <formula>"Retirado"</formula>
    </cfRule>
    <cfRule type="cellIs" dxfId="10870" priority="41133" operator="equal">
      <formula>"FSE"</formula>
    </cfRule>
  </conditionalFormatting>
  <conditionalFormatting sqref="A217">
    <cfRule type="cellIs" dxfId="10869" priority="41122" operator="equal">
      <formula>"APLAZADO"</formula>
    </cfRule>
    <cfRule type="cellIs" dxfId="10868" priority="41123" operator="equal">
      <formula>"CANCELADO"</formula>
    </cfRule>
    <cfRule type="cellIs" dxfId="10867" priority="41124" operator="equal">
      <formula>"NO EJECUTADO"</formula>
    </cfRule>
    <cfRule type="cellIs" dxfId="10866" priority="41125" operator="equal">
      <formula>"FPE"</formula>
    </cfRule>
    <cfRule type="cellIs" dxfId="10865" priority="41126" operator="equal">
      <formula>"AMA"</formula>
    </cfRule>
    <cfRule type="cellIs" dxfId="10864" priority="41127" operator="equal">
      <formula>"SIN DATOS"</formula>
    </cfRule>
    <cfRule type="cellIs" dxfId="10863" priority="41128" operator="equal">
      <formula>"SIN DATOS"</formula>
    </cfRule>
    <cfRule type="cellIs" dxfId="10862" priority="41129" operator="equal">
      <formula>"NO EJECTUTADO"</formula>
    </cfRule>
    <cfRule type="cellIs" dxfId="10861" priority="41130" operator="equal">
      <formula>"FE"</formula>
    </cfRule>
    <cfRule type="cellIs" dxfId="10860" priority="41131" operator="equal">
      <formula>"FE"</formula>
    </cfRule>
  </conditionalFormatting>
  <conditionalFormatting sqref="A217">
    <cfRule type="cellIs" dxfId="10859" priority="41120" operator="equal">
      <formula>"Retirado"</formula>
    </cfRule>
    <cfRule type="cellIs" dxfId="10858" priority="41121" operator="equal">
      <formula>"FSE"</formula>
    </cfRule>
  </conditionalFormatting>
  <conditionalFormatting sqref="F217">
    <cfRule type="cellIs" dxfId="10857" priority="41110" operator="equal">
      <formula>"APLAZADO"</formula>
    </cfRule>
    <cfRule type="cellIs" dxfId="10856" priority="41111" operator="equal">
      <formula>"CANCELADO"</formula>
    </cfRule>
    <cfRule type="cellIs" dxfId="10855" priority="41112" operator="equal">
      <formula>"NO EJECUTADO"</formula>
    </cfRule>
    <cfRule type="cellIs" dxfId="10854" priority="41113" operator="equal">
      <formula>"FPE"</formula>
    </cfRule>
    <cfRule type="cellIs" dxfId="10853" priority="41114" operator="equal">
      <formula>"AMA"</formula>
    </cfRule>
    <cfRule type="cellIs" dxfId="10852" priority="41115" operator="equal">
      <formula>"SIN DATOS"</formula>
    </cfRule>
    <cfRule type="cellIs" dxfId="10851" priority="41116" operator="equal">
      <formula>"SIN DATOS"</formula>
    </cfRule>
    <cfRule type="cellIs" dxfId="10850" priority="41117" operator="equal">
      <formula>"NO EJECTUTADO"</formula>
    </cfRule>
    <cfRule type="cellIs" dxfId="10849" priority="41118" operator="equal">
      <formula>"FE"</formula>
    </cfRule>
    <cfRule type="cellIs" dxfId="10848" priority="41119" operator="equal">
      <formula>"FE"</formula>
    </cfRule>
  </conditionalFormatting>
  <conditionalFormatting sqref="F217">
    <cfRule type="cellIs" dxfId="10847" priority="41108" operator="equal">
      <formula>"Retirado"</formula>
    </cfRule>
    <cfRule type="cellIs" dxfId="10846" priority="41109" operator="equal">
      <formula>"FSE"</formula>
    </cfRule>
  </conditionalFormatting>
  <conditionalFormatting sqref="F219">
    <cfRule type="cellIs" dxfId="10845" priority="41097" operator="equal">
      <formula>"APLAZADO"</formula>
    </cfRule>
    <cfRule type="cellIs" dxfId="10844" priority="41098" operator="equal">
      <formula>"CANCELADO"</formula>
    </cfRule>
    <cfRule type="cellIs" dxfId="10843" priority="41099" operator="equal">
      <formula>"NO EJECUTADO"</formula>
    </cfRule>
    <cfRule type="cellIs" dxfId="10842" priority="41100" operator="equal">
      <formula>"FPE"</formula>
    </cfRule>
    <cfRule type="cellIs" dxfId="10841" priority="41101" operator="equal">
      <formula>"AMA"</formula>
    </cfRule>
    <cfRule type="cellIs" dxfId="10840" priority="41102" operator="equal">
      <formula>"SIN DATOS"</formula>
    </cfRule>
    <cfRule type="cellIs" dxfId="10839" priority="41103" operator="equal">
      <formula>"SIN DATOS"</formula>
    </cfRule>
    <cfRule type="cellIs" dxfId="10838" priority="41104" operator="equal">
      <formula>"NO EJECTUTADO"</formula>
    </cfRule>
    <cfRule type="cellIs" dxfId="10837" priority="41105" operator="equal">
      <formula>"FE"</formula>
    </cfRule>
    <cfRule type="cellIs" dxfId="10836" priority="41106" operator="equal">
      <formula>"FE"</formula>
    </cfRule>
  </conditionalFormatting>
  <conditionalFormatting sqref="F219">
    <cfRule type="cellIs" dxfId="10835" priority="41095" operator="equal">
      <formula>"Retirado"</formula>
    </cfRule>
    <cfRule type="cellIs" dxfId="10834" priority="41096" operator="equal">
      <formula>"FSE"</formula>
    </cfRule>
  </conditionalFormatting>
  <conditionalFormatting sqref="F222">
    <cfRule type="cellIs" dxfId="10833" priority="41071" operator="equal">
      <formula>"APLAZADO"</formula>
    </cfRule>
    <cfRule type="cellIs" dxfId="10832" priority="41072" operator="equal">
      <formula>"CANCELADO"</formula>
    </cfRule>
    <cfRule type="cellIs" dxfId="10831" priority="41073" operator="equal">
      <formula>"NO EJECUTADO"</formula>
    </cfRule>
    <cfRule type="cellIs" dxfId="10830" priority="41074" operator="equal">
      <formula>"FPE"</formula>
    </cfRule>
    <cfRule type="cellIs" dxfId="10829" priority="41075" operator="equal">
      <formula>"AMA"</formula>
    </cfRule>
    <cfRule type="cellIs" dxfId="10828" priority="41076" operator="equal">
      <formula>"SIN DATOS"</formula>
    </cfRule>
    <cfRule type="cellIs" dxfId="10827" priority="41077" operator="equal">
      <formula>"SIN DATOS"</formula>
    </cfRule>
    <cfRule type="cellIs" dxfId="10826" priority="41078" operator="equal">
      <formula>"NO EJECTUTADO"</formula>
    </cfRule>
    <cfRule type="cellIs" dxfId="10825" priority="41079" operator="equal">
      <formula>"FE"</formula>
    </cfRule>
    <cfRule type="cellIs" dxfId="10824" priority="41080" operator="equal">
      <formula>"FE"</formula>
    </cfRule>
  </conditionalFormatting>
  <conditionalFormatting sqref="F222">
    <cfRule type="cellIs" dxfId="10823" priority="41069" operator="equal">
      <formula>"Retirado"</formula>
    </cfRule>
    <cfRule type="cellIs" dxfId="10822" priority="41070" operator="equal">
      <formula>"FSE"</formula>
    </cfRule>
  </conditionalFormatting>
  <conditionalFormatting sqref="A222">
    <cfRule type="cellIs" dxfId="10821" priority="41059" operator="equal">
      <formula>"APLAZADO"</formula>
    </cfRule>
    <cfRule type="cellIs" dxfId="10820" priority="41060" operator="equal">
      <formula>"CANCELADO"</formula>
    </cfRule>
    <cfRule type="cellIs" dxfId="10819" priority="41061" operator="equal">
      <formula>"NO EJECUTADO"</formula>
    </cfRule>
    <cfRule type="cellIs" dxfId="10818" priority="41062" operator="equal">
      <formula>"FPE"</formula>
    </cfRule>
    <cfRule type="cellIs" dxfId="10817" priority="41063" operator="equal">
      <formula>"AMA"</formula>
    </cfRule>
    <cfRule type="cellIs" dxfId="10816" priority="41064" operator="equal">
      <formula>"SIN DATOS"</formula>
    </cfRule>
    <cfRule type="cellIs" dxfId="10815" priority="41065" operator="equal">
      <formula>"SIN DATOS"</formula>
    </cfRule>
    <cfRule type="cellIs" dxfId="10814" priority="41066" operator="equal">
      <formula>"NO EJECTUTADO"</formula>
    </cfRule>
    <cfRule type="cellIs" dxfId="10813" priority="41067" operator="equal">
      <formula>"FE"</formula>
    </cfRule>
    <cfRule type="cellIs" dxfId="10812" priority="41068" operator="equal">
      <formula>"FE"</formula>
    </cfRule>
  </conditionalFormatting>
  <conditionalFormatting sqref="A222">
    <cfRule type="cellIs" dxfId="10811" priority="41057" operator="equal">
      <formula>"Retirado"</formula>
    </cfRule>
    <cfRule type="cellIs" dxfId="10810" priority="41058" operator="equal">
      <formula>"FSE"</formula>
    </cfRule>
  </conditionalFormatting>
  <conditionalFormatting sqref="F223">
    <cfRule type="cellIs" dxfId="10809" priority="41047" operator="equal">
      <formula>"APLAZADO"</formula>
    </cfRule>
    <cfRule type="cellIs" dxfId="10808" priority="41048" operator="equal">
      <formula>"CANCELADO"</formula>
    </cfRule>
    <cfRule type="cellIs" dxfId="10807" priority="41049" operator="equal">
      <formula>"NO EJECUTADO"</formula>
    </cfRule>
    <cfRule type="cellIs" dxfId="10806" priority="41050" operator="equal">
      <formula>"FPE"</formula>
    </cfRule>
    <cfRule type="cellIs" dxfId="10805" priority="41051" operator="equal">
      <formula>"AMA"</formula>
    </cfRule>
    <cfRule type="cellIs" dxfId="10804" priority="41052" operator="equal">
      <formula>"SIN DATOS"</formula>
    </cfRule>
    <cfRule type="cellIs" dxfId="10803" priority="41053" operator="equal">
      <formula>"SIN DATOS"</formula>
    </cfRule>
    <cfRule type="cellIs" dxfId="10802" priority="41054" operator="equal">
      <formula>"NO EJECTUTADO"</formula>
    </cfRule>
    <cfRule type="cellIs" dxfId="10801" priority="41055" operator="equal">
      <formula>"FE"</formula>
    </cfRule>
    <cfRule type="cellIs" dxfId="10800" priority="41056" operator="equal">
      <formula>"FE"</formula>
    </cfRule>
  </conditionalFormatting>
  <conditionalFormatting sqref="F223">
    <cfRule type="cellIs" dxfId="10799" priority="41045" operator="equal">
      <formula>"Retirado"</formula>
    </cfRule>
    <cfRule type="cellIs" dxfId="10798" priority="41046" operator="equal">
      <formula>"FSE"</formula>
    </cfRule>
  </conditionalFormatting>
  <conditionalFormatting sqref="F224">
    <cfRule type="cellIs" dxfId="10797" priority="41034" operator="equal">
      <formula>"APLAZADO"</formula>
    </cfRule>
    <cfRule type="cellIs" dxfId="10796" priority="41035" operator="equal">
      <formula>"CANCELADO"</formula>
    </cfRule>
    <cfRule type="cellIs" dxfId="10795" priority="41036" operator="equal">
      <formula>"NO EJECUTADO"</formula>
    </cfRule>
    <cfRule type="cellIs" dxfId="10794" priority="41037" operator="equal">
      <formula>"FPE"</formula>
    </cfRule>
    <cfRule type="cellIs" dxfId="10793" priority="41038" operator="equal">
      <formula>"AMA"</formula>
    </cfRule>
    <cfRule type="cellIs" dxfId="10792" priority="41039" operator="equal">
      <formula>"SIN DATOS"</formula>
    </cfRule>
    <cfRule type="cellIs" dxfId="10791" priority="41040" operator="equal">
      <formula>"SIN DATOS"</formula>
    </cfRule>
    <cfRule type="cellIs" dxfId="10790" priority="41041" operator="equal">
      <formula>"NO EJECTUTADO"</formula>
    </cfRule>
    <cfRule type="cellIs" dxfId="10789" priority="41042" operator="equal">
      <formula>"FE"</formula>
    </cfRule>
    <cfRule type="cellIs" dxfId="10788" priority="41043" operator="equal">
      <formula>"FE"</formula>
    </cfRule>
  </conditionalFormatting>
  <conditionalFormatting sqref="F224">
    <cfRule type="cellIs" dxfId="10787" priority="41032" operator="equal">
      <formula>"Retirado"</formula>
    </cfRule>
    <cfRule type="cellIs" dxfId="10786" priority="41033" operator="equal">
      <formula>"FSE"</formula>
    </cfRule>
  </conditionalFormatting>
  <conditionalFormatting sqref="F226">
    <cfRule type="cellIs" dxfId="10785" priority="41010" operator="equal">
      <formula>"APLAZADO"</formula>
    </cfRule>
    <cfRule type="cellIs" dxfId="10784" priority="41011" operator="equal">
      <formula>"CANCELADO"</formula>
    </cfRule>
    <cfRule type="cellIs" dxfId="10783" priority="41012" operator="equal">
      <formula>"NO EJECUTADO"</formula>
    </cfRule>
    <cfRule type="cellIs" dxfId="10782" priority="41013" operator="equal">
      <formula>"FPE"</formula>
    </cfRule>
    <cfRule type="cellIs" dxfId="10781" priority="41014" operator="equal">
      <formula>"AMA"</formula>
    </cfRule>
    <cfRule type="cellIs" dxfId="10780" priority="41015" operator="equal">
      <formula>"SIN DATOS"</formula>
    </cfRule>
    <cfRule type="cellIs" dxfId="10779" priority="41016" operator="equal">
      <formula>"SIN DATOS"</formula>
    </cfRule>
    <cfRule type="cellIs" dxfId="10778" priority="41017" operator="equal">
      <formula>"NO EJECTUTADO"</formula>
    </cfRule>
    <cfRule type="cellIs" dxfId="10777" priority="41018" operator="equal">
      <formula>"FE"</formula>
    </cfRule>
    <cfRule type="cellIs" dxfId="10776" priority="41019" operator="equal">
      <formula>"FE"</formula>
    </cfRule>
  </conditionalFormatting>
  <conditionalFormatting sqref="F226">
    <cfRule type="cellIs" dxfId="10775" priority="41008" operator="equal">
      <formula>"Retirado"</formula>
    </cfRule>
    <cfRule type="cellIs" dxfId="10774" priority="41009" operator="equal">
      <formula>"FSE"</formula>
    </cfRule>
  </conditionalFormatting>
  <conditionalFormatting sqref="F227">
    <cfRule type="cellIs" dxfId="10773" priority="40998" operator="equal">
      <formula>"APLAZADO"</formula>
    </cfRule>
    <cfRule type="cellIs" dxfId="10772" priority="40999" operator="equal">
      <formula>"CANCELADO"</formula>
    </cfRule>
    <cfRule type="cellIs" dxfId="10771" priority="41000" operator="equal">
      <formula>"NO EJECUTADO"</formula>
    </cfRule>
    <cfRule type="cellIs" dxfId="10770" priority="41001" operator="equal">
      <formula>"FPE"</formula>
    </cfRule>
    <cfRule type="cellIs" dxfId="10769" priority="41002" operator="equal">
      <formula>"AMA"</formula>
    </cfRule>
    <cfRule type="cellIs" dxfId="10768" priority="41003" operator="equal">
      <formula>"SIN DATOS"</formula>
    </cfRule>
    <cfRule type="cellIs" dxfId="10767" priority="41004" operator="equal">
      <formula>"SIN DATOS"</formula>
    </cfRule>
    <cfRule type="cellIs" dxfId="10766" priority="41005" operator="equal">
      <formula>"NO EJECTUTADO"</formula>
    </cfRule>
    <cfRule type="cellIs" dxfId="10765" priority="41006" operator="equal">
      <formula>"FE"</formula>
    </cfRule>
    <cfRule type="cellIs" dxfId="10764" priority="41007" operator="equal">
      <formula>"FE"</formula>
    </cfRule>
  </conditionalFormatting>
  <conditionalFormatting sqref="F227">
    <cfRule type="cellIs" dxfId="10763" priority="40996" operator="equal">
      <formula>"Retirado"</formula>
    </cfRule>
    <cfRule type="cellIs" dxfId="10762" priority="40997" operator="equal">
      <formula>"FSE"</formula>
    </cfRule>
  </conditionalFormatting>
  <conditionalFormatting sqref="F229">
    <cfRule type="cellIs" dxfId="10761" priority="40969" operator="equal">
      <formula>"APLAZADO"</formula>
    </cfRule>
    <cfRule type="cellIs" dxfId="10760" priority="40970" operator="equal">
      <formula>"CANCELADO"</formula>
    </cfRule>
    <cfRule type="cellIs" dxfId="10759" priority="40971" operator="equal">
      <formula>"NO EJECUTADO"</formula>
    </cfRule>
    <cfRule type="cellIs" dxfId="10758" priority="40972" operator="equal">
      <formula>"FPE"</formula>
    </cfRule>
    <cfRule type="cellIs" dxfId="10757" priority="40973" operator="equal">
      <formula>"AMA"</formula>
    </cfRule>
    <cfRule type="cellIs" dxfId="10756" priority="40974" operator="equal">
      <formula>"SIN DATOS"</formula>
    </cfRule>
    <cfRule type="cellIs" dxfId="10755" priority="40975" operator="equal">
      <formula>"SIN DATOS"</formula>
    </cfRule>
    <cfRule type="cellIs" dxfId="10754" priority="40976" operator="equal">
      <formula>"NO EJECTUTADO"</formula>
    </cfRule>
    <cfRule type="cellIs" dxfId="10753" priority="40977" operator="equal">
      <formula>"FE"</formula>
    </cfRule>
    <cfRule type="cellIs" dxfId="10752" priority="40978" operator="equal">
      <formula>"FE"</formula>
    </cfRule>
  </conditionalFormatting>
  <conditionalFormatting sqref="F229">
    <cfRule type="cellIs" dxfId="10751" priority="40967" operator="equal">
      <formula>"Retirado"</formula>
    </cfRule>
    <cfRule type="cellIs" dxfId="10750" priority="40968" operator="equal">
      <formula>"FSE"</formula>
    </cfRule>
  </conditionalFormatting>
  <conditionalFormatting sqref="A232">
    <cfRule type="cellIs" dxfId="10749" priority="40957" operator="equal">
      <formula>"APLAZADO"</formula>
    </cfRule>
    <cfRule type="cellIs" dxfId="10748" priority="40958" operator="equal">
      <formula>"CANCELADO"</formula>
    </cfRule>
    <cfRule type="cellIs" dxfId="10747" priority="40959" operator="equal">
      <formula>"NO EJECUTADO"</formula>
    </cfRule>
    <cfRule type="cellIs" dxfId="10746" priority="40960" operator="equal">
      <formula>"FPE"</formula>
    </cfRule>
    <cfRule type="cellIs" dxfId="10745" priority="40961" operator="equal">
      <formula>"AMA"</formula>
    </cfRule>
    <cfRule type="cellIs" dxfId="10744" priority="40962" operator="equal">
      <formula>"SIN DATOS"</formula>
    </cfRule>
    <cfRule type="cellIs" dxfId="10743" priority="40963" operator="equal">
      <formula>"SIN DATOS"</formula>
    </cfRule>
    <cfRule type="cellIs" dxfId="10742" priority="40964" operator="equal">
      <formula>"NO EJECTUTADO"</formula>
    </cfRule>
    <cfRule type="cellIs" dxfId="10741" priority="40965" operator="equal">
      <formula>"FE"</formula>
    </cfRule>
    <cfRule type="cellIs" dxfId="10740" priority="40966" operator="equal">
      <formula>"FE"</formula>
    </cfRule>
  </conditionalFormatting>
  <conditionalFormatting sqref="A232">
    <cfRule type="cellIs" dxfId="10739" priority="40955" operator="equal">
      <formula>"Retirado"</formula>
    </cfRule>
    <cfRule type="cellIs" dxfId="10738" priority="40956" operator="equal">
      <formula>"FSE"</formula>
    </cfRule>
  </conditionalFormatting>
  <conditionalFormatting sqref="F232">
    <cfRule type="cellIs" dxfId="10737" priority="40945" operator="equal">
      <formula>"APLAZADO"</formula>
    </cfRule>
    <cfRule type="cellIs" dxfId="10736" priority="40946" operator="equal">
      <formula>"CANCELADO"</formula>
    </cfRule>
    <cfRule type="cellIs" dxfId="10735" priority="40947" operator="equal">
      <formula>"NO EJECUTADO"</formula>
    </cfRule>
    <cfRule type="cellIs" dxfId="10734" priority="40948" operator="equal">
      <formula>"FPE"</formula>
    </cfRule>
    <cfRule type="cellIs" dxfId="10733" priority="40949" operator="equal">
      <formula>"AMA"</formula>
    </cfRule>
    <cfRule type="cellIs" dxfId="10732" priority="40950" operator="equal">
      <formula>"SIN DATOS"</formula>
    </cfRule>
    <cfRule type="cellIs" dxfId="10731" priority="40951" operator="equal">
      <formula>"SIN DATOS"</formula>
    </cfRule>
    <cfRule type="cellIs" dxfId="10730" priority="40952" operator="equal">
      <formula>"NO EJECTUTADO"</formula>
    </cfRule>
    <cfRule type="cellIs" dxfId="10729" priority="40953" operator="equal">
      <formula>"FE"</formula>
    </cfRule>
    <cfRule type="cellIs" dxfId="10728" priority="40954" operator="equal">
      <formula>"FE"</formula>
    </cfRule>
  </conditionalFormatting>
  <conditionalFormatting sqref="F232">
    <cfRule type="cellIs" dxfId="10727" priority="40943" operator="equal">
      <formula>"Retirado"</formula>
    </cfRule>
    <cfRule type="cellIs" dxfId="10726" priority="40944" operator="equal">
      <formula>"FSE"</formula>
    </cfRule>
  </conditionalFormatting>
  <conditionalFormatting sqref="H234">
    <cfRule type="duplicateValues" dxfId="10725" priority="40918"/>
  </conditionalFormatting>
  <conditionalFormatting sqref="F235">
    <cfRule type="cellIs" dxfId="10724" priority="40908" operator="equal">
      <formula>"APLAZADO"</formula>
    </cfRule>
    <cfRule type="cellIs" dxfId="10723" priority="40909" operator="equal">
      <formula>"CANCELADO"</formula>
    </cfRule>
    <cfRule type="cellIs" dxfId="10722" priority="40910" operator="equal">
      <formula>"NO EJECUTADO"</formula>
    </cfRule>
    <cfRule type="cellIs" dxfId="10721" priority="40911" operator="equal">
      <formula>"FPE"</formula>
    </cfRule>
    <cfRule type="cellIs" dxfId="10720" priority="40912" operator="equal">
      <formula>"AMA"</formula>
    </cfRule>
    <cfRule type="cellIs" dxfId="10719" priority="40913" operator="equal">
      <formula>"SIN DATOS"</formula>
    </cfRule>
    <cfRule type="cellIs" dxfId="10718" priority="40914" operator="equal">
      <formula>"SIN DATOS"</formula>
    </cfRule>
    <cfRule type="cellIs" dxfId="10717" priority="40915" operator="equal">
      <formula>"NO EJECTUTADO"</formula>
    </cfRule>
    <cfRule type="cellIs" dxfId="10716" priority="40916" operator="equal">
      <formula>"FE"</formula>
    </cfRule>
    <cfRule type="cellIs" dxfId="10715" priority="40917" operator="equal">
      <formula>"FE"</formula>
    </cfRule>
  </conditionalFormatting>
  <conditionalFormatting sqref="F235">
    <cfRule type="cellIs" dxfId="10714" priority="40906" operator="equal">
      <formula>"Retirado"</formula>
    </cfRule>
    <cfRule type="cellIs" dxfId="10713" priority="40907" operator="equal">
      <formula>"FSE"</formula>
    </cfRule>
  </conditionalFormatting>
  <conditionalFormatting sqref="A236">
    <cfRule type="cellIs" dxfId="10712" priority="40896" operator="equal">
      <formula>"APLAZADO"</formula>
    </cfRule>
    <cfRule type="cellIs" dxfId="10711" priority="40897" operator="equal">
      <formula>"CANCELADO"</formula>
    </cfRule>
    <cfRule type="cellIs" dxfId="10710" priority="40898" operator="equal">
      <formula>"NO EJECUTADO"</formula>
    </cfRule>
    <cfRule type="cellIs" dxfId="10709" priority="40899" operator="equal">
      <formula>"FPE"</formula>
    </cfRule>
    <cfRule type="cellIs" dxfId="10708" priority="40900" operator="equal">
      <formula>"AMA"</formula>
    </cfRule>
    <cfRule type="cellIs" dxfId="10707" priority="40901" operator="equal">
      <formula>"SIN DATOS"</formula>
    </cfRule>
    <cfRule type="cellIs" dxfId="10706" priority="40902" operator="equal">
      <formula>"SIN DATOS"</formula>
    </cfRule>
    <cfRule type="cellIs" dxfId="10705" priority="40903" operator="equal">
      <formula>"NO EJECTUTADO"</formula>
    </cfRule>
    <cfRule type="cellIs" dxfId="10704" priority="40904" operator="equal">
      <formula>"FE"</formula>
    </cfRule>
    <cfRule type="cellIs" dxfId="10703" priority="40905" operator="equal">
      <formula>"FE"</formula>
    </cfRule>
  </conditionalFormatting>
  <conditionalFormatting sqref="A236">
    <cfRule type="cellIs" dxfId="10702" priority="40894" operator="equal">
      <formula>"Retirado"</formula>
    </cfRule>
    <cfRule type="cellIs" dxfId="10701" priority="40895" operator="equal">
      <formula>"FSE"</formula>
    </cfRule>
  </conditionalFormatting>
  <conditionalFormatting sqref="F236">
    <cfRule type="cellIs" dxfId="10700" priority="40884" operator="equal">
      <formula>"APLAZADO"</formula>
    </cfRule>
    <cfRule type="cellIs" dxfId="10699" priority="40885" operator="equal">
      <formula>"CANCELADO"</formula>
    </cfRule>
    <cfRule type="cellIs" dxfId="10698" priority="40886" operator="equal">
      <formula>"NO EJECUTADO"</formula>
    </cfRule>
    <cfRule type="cellIs" dxfId="10697" priority="40887" operator="equal">
      <formula>"FPE"</formula>
    </cfRule>
    <cfRule type="cellIs" dxfId="10696" priority="40888" operator="equal">
      <formula>"AMA"</formula>
    </cfRule>
    <cfRule type="cellIs" dxfId="10695" priority="40889" operator="equal">
      <formula>"SIN DATOS"</formula>
    </cfRule>
    <cfRule type="cellIs" dxfId="10694" priority="40890" operator="equal">
      <formula>"SIN DATOS"</formula>
    </cfRule>
    <cfRule type="cellIs" dxfId="10693" priority="40891" operator="equal">
      <formula>"NO EJECTUTADO"</formula>
    </cfRule>
    <cfRule type="cellIs" dxfId="10692" priority="40892" operator="equal">
      <formula>"FE"</formula>
    </cfRule>
    <cfRule type="cellIs" dxfId="10691" priority="40893" operator="equal">
      <formula>"FE"</formula>
    </cfRule>
  </conditionalFormatting>
  <conditionalFormatting sqref="F236">
    <cfRule type="cellIs" dxfId="10690" priority="40882" operator="equal">
      <formula>"Retirado"</formula>
    </cfRule>
    <cfRule type="cellIs" dxfId="10689" priority="40883" operator="equal">
      <formula>"FSE"</formula>
    </cfRule>
  </conditionalFormatting>
  <conditionalFormatting sqref="F237">
    <cfRule type="cellIs" dxfId="10688" priority="40863" operator="equal">
      <formula>"APLAZADO"</formula>
    </cfRule>
    <cfRule type="cellIs" dxfId="10687" priority="40864" operator="equal">
      <formula>"CANCELADO"</formula>
    </cfRule>
    <cfRule type="cellIs" dxfId="10686" priority="40865" operator="equal">
      <formula>"NO EJECUTADO"</formula>
    </cfRule>
    <cfRule type="cellIs" dxfId="10685" priority="40866" operator="equal">
      <formula>"FPE"</formula>
    </cfRule>
    <cfRule type="cellIs" dxfId="10684" priority="40867" operator="equal">
      <formula>"AMA"</formula>
    </cfRule>
    <cfRule type="cellIs" dxfId="10683" priority="40868" operator="equal">
      <formula>"SIN DATOS"</formula>
    </cfRule>
    <cfRule type="cellIs" dxfId="10682" priority="40869" operator="equal">
      <formula>"SIN DATOS"</formula>
    </cfRule>
    <cfRule type="cellIs" dxfId="10681" priority="40870" operator="equal">
      <formula>"NO EJECTUTADO"</formula>
    </cfRule>
    <cfRule type="cellIs" dxfId="10680" priority="40871" operator="equal">
      <formula>"FE"</formula>
    </cfRule>
    <cfRule type="cellIs" dxfId="10679" priority="40872" operator="equal">
      <formula>"FE"</formula>
    </cfRule>
  </conditionalFormatting>
  <conditionalFormatting sqref="F237">
    <cfRule type="cellIs" dxfId="10678" priority="40861" operator="equal">
      <formula>"Retirado"</formula>
    </cfRule>
    <cfRule type="cellIs" dxfId="10677" priority="40862" operator="equal">
      <formula>"FSE"</formula>
    </cfRule>
  </conditionalFormatting>
  <conditionalFormatting sqref="A238">
    <cfRule type="cellIs" dxfId="10676" priority="40851" operator="equal">
      <formula>"APLAZADO"</formula>
    </cfRule>
    <cfRule type="cellIs" dxfId="10675" priority="40852" operator="equal">
      <formula>"CANCELADO"</formula>
    </cfRule>
    <cfRule type="cellIs" dxfId="10674" priority="40853" operator="equal">
      <formula>"NO EJECUTADO"</formula>
    </cfRule>
    <cfRule type="cellIs" dxfId="10673" priority="40854" operator="equal">
      <formula>"FPE"</formula>
    </cfRule>
    <cfRule type="cellIs" dxfId="10672" priority="40855" operator="equal">
      <formula>"AMA"</formula>
    </cfRule>
    <cfRule type="cellIs" dxfId="10671" priority="40856" operator="equal">
      <formula>"SIN DATOS"</formula>
    </cfRule>
    <cfRule type="cellIs" dxfId="10670" priority="40857" operator="equal">
      <formula>"SIN DATOS"</formula>
    </cfRule>
    <cfRule type="cellIs" dxfId="10669" priority="40858" operator="equal">
      <formula>"NO EJECTUTADO"</formula>
    </cfRule>
    <cfRule type="cellIs" dxfId="10668" priority="40859" operator="equal">
      <formula>"FE"</formula>
    </cfRule>
    <cfRule type="cellIs" dxfId="10667" priority="40860" operator="equal">
      <formula>"FE"</formula>
    </cfRule>
  </conditionalFormatting>
  <conditionalFormatting sqref="A238">
    <cfRule type="cellIs" dxfId="10666" priority="40849" operator="equal">
      <formula>"Retirado"</formula>
    </cfRule>
    <cfRule type="cellIs" dxfId="10665" priority="40850" operator="equal">
      <formula>"FSE"</formula>
    </cfRule>
  </conditionalFormatting>
  <conditionalFormatting sqref="F238">
    <cfRule type="cellIs" dxfId="10664" priority="40839" operator="equal">
      <formula>"APLAZADO"</formula>
    </cfRule>
    <cfRule type="cellIs" dxfId="10663" priority="40840" operator="equal">
      <formula>"CANCELADO"</formula>
    </cfRule>
    <cfRule type="cellIs" dxfId="10662" priority="40841" operator="equal">
      <formula>"NO EJECUTADO"</formula>
    </cfRule>
    <cfRule type="cellIs" dxfId="10661" priority="40842" operator="equal">
      <formula>"FPE"</formula>
    </cfRule>
    <cfRule type="cellIs" dxfId="10660" priority="40843" operator="equal">
      <formula>"AMA"</formula>
    </cfRule>
    <cfRule type="cellIs" dxfId="10659" priority="40844" operator="equal">
      <formula>"SIN DATOS"</formula>
    </cfRule>
    <cfRule type="cellIs" dxfId="10658" priority="40845" operator="equal">
      <formula>"SIN DATOS"</formula>
    </cfRule>
    <cfRule type="cellIs" dxfId="10657" priority="40846" operator="equal">
      <formula>"NO EJECTUTADO"</formula>
    </cfRule>
    <cfRule type="cellIs" dxfId="10656" priority="40847" operator="equal">
      <formula>"FE"</formula>
    </cfRule>
    <cfRule type="cellIs" dxfId="10655" priority="40848" operator="equal">
      <formula>"FE"</formula>
    </cfRule>
  </conditionalFormatting>
  <conditionalFormatting sqref="F238">
    <cfRule type="cellIs" dxfId="10654" priority="40837" operator="equal">
      <formula>"Retirado"</formula>
    </cfRule>
    <cfRule type="cellIs" dxfId="10653" priority="40838" operator="equal">
      <formula>"FSE"</formula>
    </cfRule>
  </conditionalFormatting>
  <conditionalFormatting sqref="F239">
    <cfRule type="cellIs" dxfId="10652" priority="40827" operator="equal">
      <formula>"APLAZADO"</formula>
    </cfRule>
    <cfRule type="cellIs" dxfId="10651" priority="40828" operator="equal">
      <formula>"CANCELADO"</formula>
    </cfRule>
    <cfRule type="cellIs" dxfId="10650" priority="40829" operator="equal">
      <formula>"NO EJECUTADO"</formula>
    </cfRule>
    <cfRule type="cellIs" dxfId="10649" priority="40830" operator="equal">
      <formula>"FPE"</formula>
    </cfRule>
    <cfRule type="cellIs" dxfId="10648" priority="40831" operator="equal">
      <formula>"AMA"</formula>
    </cfRule>
    <cfRule type="cellIs" dxfId="10647" priority="40832" operator="equal">
      <formula>"SIN DATOS"</formula>
    </cfRule>
    <cfRule type="cellIs" dxfId="10646" priority="40833" operator="equal">
      <formula>"SIN DATOS"</formula>
    </cfRule>
    <cfRule type="cellIs" dxfId="10645" priority="40834" operator="equal">
      <formula>"NO EJECTUTADO"</formula>
    </cfRule>
    <cfRule type="cellIs" dxfId="10644" priority="40835" operator="equal">
      <formula>"FE"</formula>
    </cfRule>
    <cfRule type="cellIs" dxfId="10643" priority="40836" operator="equal">
      <formula>"FE"</formula>
    </cfRule>
  </conditionalFormatting>
  <conditionalFormatting sqref="F239">
    <cfRule type="cellIs" dxfId="10642" priority="40825" operator="equal">
      <formula>"Retirado"</formula>
    </cfRule>
    <cfRule type="cellIs" dxfId="10641" priority="40826" operator="equal">
      <formula>"FSE"</formula>
    </cfRule>
  </conditionalFormatting>
  <conditionalFormatting sqref="F240">
    <cfRule type="cellIs" dxfId="10640" priority="40815" operator="equal">
      <formula>"APLAZADO"</formula>
    </cfRule>
    <cfRule type="cellIs" dxfId="10639" priority="40816" operator="equal">
      <formula>"CANCELADO"</formula>
    </cfRule>
    <cfRule type="cellIs" dxfId="10638" priority="40817" operator="equal">
      <formula>"NO EJECUTADO"</formula>
    </cfRule>
    <cfRule type="cellIs" dxfId="10637" priority="40818" operator="equal">
      <formula>"FPE"</formula>
    </cfRule>
    <cfRule type="cellIs" dxfId="10636" priority="40819" operator="equal">
      <formula>"AMA"</formula>
    </cfRule>
    <cfRule type="cellIs" dxfId="10635" priority="40820" operator="equal">
      <formula>"SIN DATOS"</formula>
    </cfRule>
    <cfRule type="cellIs" dxfId="10634" priority="40821" operator="equal">
      <formula>"SIN DATOS"</formula>
    </cfRule>
    <cfRule type="cellIs" dxfId="10633" priority="40822" operator="equal">
      <formula>"NO EJECTUTADO"</formula>
    </cfRule>
    <cfRule type="cellIs" dxfId="10632" priority="40823" operator="equal">
      <formula>"FE"</formula>
    </cfRule>
    <cfRule type="cellIs" dxfId="10631" priority="40824" operator="equal">
      <formula>"FE"</formula>
    </cfRule>
  </conditionalFormatting>
  <conditionalFormatting sqref="F240">
    <cfRule type="cellIs" dxfId="10630" priority="40813" operator="equal">
      <formula>"Retirado"</formula>
    </cfRule>
    <cfRule type="cellIs" dxfId="10629" priority="40814" operator="equal">
      <formula>"FSE"</formula>
    </cfRule>
  </conditionalFormatting>
  <conditionalFormatting sqref="F241">
    <cfRule type="cellIs" dxfId="10628" priority="40800" operator="equal">
      <formula>"APLAZADO"</formula>
    </cfRule>
    <cfRule type="cellIs" dxfId="10627" priority="40801" operator="equal">
      <formula>"CANCELADO"</formula>
    </cfRule>
    <cfRule type="cellIs" dxfId="10626" priority="40802" operator="equal">
      <formula>"NO EJECUTADO"</formula>
    </cfRule>
    <cfRule type="cellIs" dxfId="10625" priority="40803" operator="equal">
      <formula>"FPE"</formula>
    </cfRule>
    <cfRule type="cellIs" dxfId="10624" priority="40804" operator="equal">
      <formula>"AMA"</formula>
    </cfRule>
    <cfRule type="cellIs" dxfId="10623" priority="40805" operator="equal">
      <formula>"SIN DATOS"</formula>
    </cfRule>
    <cfRule type="cellIs" dxfId="10622" priority="40806" operator="equal">
      <formula>"SIN DATOS"</formula>
    </cfRule>
    <cfRule type="cellIs" dxfId="10621" priority="40807" operator="equal">
      <formula>"NO EJECTUTADO"</formula>
    </cfRule>
    <cfRule type="cellIs" dxfId="10620" priority="40808" operator="equal">
      <formula>"FE"</formula>
    </cfRule>
    <cfRule type="cellIs" dxfId="10619" priority="40809" operator="equal">
      <formula>"FE"</formula>
    </cfRule>
  </conditionalFormatting>
  <conditionalFormatting sqref="F241">
    <cfRule type="cellIs" dxfId="10618" priority="40798" operator="equal">
      <formula>"Retirado"</formula>
    </cfRule>
    <cfRule type="cellIs" dxfId="10617" priority="40799" operator="equal">
      <formula>"FSE"</formula>
    </cfRule>
  </conditionalFormatting>
  <conditionalFormatting sqref="A241">
    <cfRule type="cellIs" dxfId="10616" priority="40788" operator="equal">
      <formula>"APLAZADO"</formula>
    </cfRule>
    <cfRule type="cellIs" dxfId="10615" priority="40789" operator="equal">
      <formula>"CANCELADO"</formula>
    </cfRule>
    <cfRule type="cellIs" dxfId="10614" priority="40790" operator="equal">
      <formula>"NO EJECUTADO"</formula>
    </cfRule>
    <cfRule type="cellIs" dxfId="10613" priority="40791" operator="equal">
      <formula>"FPE"</formula>
    </cfRule>
    <cfRule type="cellIs" dxfId="10612" priority="40792" operator="equal">
      <formula>"AMA"</formula>
    </cfRule>
    <cfRule type="cellIs" dxfId="10611" priority="40793" operator="equal">
      <formula>"SIN DATOS"</formula>
    </cfRule>
    <cfRule type="cellIs" dxfId="10610" priority="40794" operator="equal">
      <formula>"SIN DATOS"</formula>
    </cfRule>
    <cfRule type="cellIs" dxfId="10609" priority="40795" operator="equal">
      <formula>"NO EJECTUTADO"</formula>
    </cfRule>
    <cfRule type="cellIs" dxfId="10608" priority="40796" operator="equal">
      <formula>"FE"</formula>
    </cfRule>
    <cfRule type="cellIs" dxfId="10607" priority="40797" operator="equal">
      <formula>"FE"</formula>
    </cfRule>
  </conditionalFormatting>
  <conditionalFormatting sqref="A241">
    <cfRule type="cellIs" dxfId="10606" priority="40786" operator="equal">
      <formula>"Retirado"</formula>
    </cfRule>
    <cfRule type="cellIs" dxfId="10605" priority="40787" operator="equal">
      <formula>"FSE"</formula>
    </cfRule>
  </conditionalFormatting>
  <conditionalFormatting sqref="A248:A252">
    <cfRule type="cellIs" dxfId="10604" priority="40774" operator="equal">
      <formula>"APLAZADO"</formula>
    </cfRule>
    <cfRule type="cellIs" dxfId="10603" priority="40775" operator="equal">
      <formula>"CANCELADO"</formula>
    </cfRule>
    <cfRule type="cellIs" dxfId="10602" priority="40776" operator="equal">
      <formula>"NO EJECUTADO"</formula>
    </cfRule>
    <cfRule type="cellIs" dxfId="10601" priority="40777" operator="equal">
      <formula>"FPE"</formula>
    </cfRule>
    <cfRule type="cellIs" dxfId="10600" priority="40778" operator="equal">
      <formula>"AMA"</formula>
    </cfRule>
    <cfRule type="cellIs" dxfId="10599" priority="40779" operator="equal">
      <formula>"SIN DATOS"</formula>
    </cfRule>
    <cfRule type="cellIs" dxfId="10598" priority="40780" operator="equal">
      <formula>"SIN DATOS"</formula>
    </cfRule>
    <cfRule type="cellIs" dxfId="10597" priority="40781" operator="equal">
      <formula>"NO EJECTUTADO"</formula>
    </cfRule>
    <cfRule type="cellIs" dxfId="10596" priority="40782" operator="equal">
      <formula>"FE"</formula>
    </cfRule>
    <cfRule type="cellIs" dxfId="10595" priority="40783" operator="equal">
      <formula>"FE"</formula>
    </cfRule>
  </conditionalFormatting>
  <conditionalFormatting sqref="A248:A252">
    <cfRule type="cellIs" dxfId="10594" priority="40772" operator="equal">
      <formula>"Retirado"</formula>
    </cfRule>
    <cfRule type="cellIs" dxfId="10593" priority="40773" operator="equal">
      <formula>"FSE"</formula>
    </cfRule>
  </conditionalFormatting>
  <conditionalFormatting sqref="F242">
    <cfRule type="cellIs" dxfId="10592" priority="40761" operator="equal">
      <formula>"APLAZADO"</formula>
    </cfRule>
    <cfRule type="cellIs" dxfId="10591" priority="40762" operator="equal">
      <formula>"CANCELADO"</formula>
    </cfRule>
    <cfRule type="cellIs" dxfId="10590" priority="40763" operator="equal">
      <formula>"NO EJECUTADO"</formula>
    </cfRule>
    <cfRule type="cellIs" dxfId="10589" priority="40764" operator="equal">
      <formula>"FPE"</formula>
    </cfRule>
    <cfRule type="cellIs" dxfId="10588" priority="40765" operator="equal">
      <formula>"AMA"</formula>
    </cfRule>
    <cfRule type="cellIs" dxfId="10587" priority="40766" operator="equal">
      <formula>"SIN DATOS"</formula>
    </cfRule>
    <cfRule type="cellIs" dxfId="10586" priority="40767" operator="equal">
      <formula>"SIN DATOS"</formula>
    </cfRule>
    <cfRule type="cellIs" dxfId="10585" priority="40768" operator="equal">
      <formula>"NO EJECTUTADO"</formula>
    </cfRule>
    <cfRule type="cellIs" dxfId="10584" priority="40769" operator="equal">
      <formula>"FE"</formula>
    </cfRule>
    <cfRule type="cellIs" dxfId="10583" priority="40770" operator="equal">
      <formula>"FE"</formula>
    </cfRule>
  </conditionalFormatting>
  <conditionalFormatting sqref="F242">
    <cfRule type="cellIs" dxfId="10582" priority="40759" operator="equal">
      <formula>"Retirado"</formula>
    </cfRule>
    <cfRule type="cellIs" dxfId="10581" priority="40760" operator="equal">
      <formula>"FSE"</formula>
    </cfRule>
  </conditionalFormatting>
  <conditionalFormatting sqref="A243">
    <cfRule type="cellIs" dxfId="10580" priority="40749" operator="equal">
      <formula>"APLAZADO"</formula>
    </cfRule>
    <cfRule type="cellIs" dxfId="10579" priority="40750" operator="equal">
      <formula>"CANCELADO"</formula>
    </cfRule>
    <cfRule type="cellIs" dxfId="10578" priority="40751" operator="equal">
      <formula>"NO EJECUTADO"</formula>
    </cfRule>
    <cfRule type="cellIs" dxfId="10577" priority="40752" operator="equal">
      <formula>"FPE"</formula>
    </cfRule>
    <cfRule type="cellIs" dxfId="10576" priority="40753" operator="equal">
      <formula>"AMA"</formula>
    </cfRule>
    <cfRule type="cellIs" dxfId="10575" priority="40754" operator="equal">
      <formula>"SIN DATOS"</formula>
    </cfRule>
    <cfRule type="cellIs" dxfId="10574" priority="40755" operator="equal">
      <formula>"SIN DATOS"</formula>
    </cfRule>
    <cfRule type="cellIs" dxfId="10573" priority="40756" operator="equal">
      <formula>"NO EJECTUTADO"</formula>
    </cfRule>
    <cfRule type="cellIs" dxfId="10572" priority="40757" operator="equal">
      <formula>"FE"</formula>
    </cfRule>
    <cfRule type="cellIs" dxfId="10571" priority="40758" operator="equal">
      <formula>"FE"</formula>
    </cfRule>
  </conditionalFormatting>
  <conditionalFormatting sqref="A243">
    <cfRule type="cellIs" dxfId="10570" priority="40747" operator="equal">
      <formula>"Retirado"</formula>
    </cfRule>
    <cfRule type="cellIs" dxfId="10569" priority="40748" operator="equal">
      <formula>"FSE"</formula>
    </cfRule>
  </conditionalFormatting>
  <conditionalFormatting sqref="F243">
    <cfRule type="cellIs" dxfId="10568" priority="40737" operator="equal">
      <formula>"APLAZADO"</formula>
    </cfRule>
    <cfRule type="cellIs" dxfId="10567" priority="40738" operator="equal">
      <formula>"CANCELADO"</formula>
    </cfRule>
    <cfRule type="cellIs" dxfId="10566" priority="40739" operator="equal">
      <formula>"NO EJECUTADO"</formula>
    </cfRule>
    <cfRule type="cellIs" dxfId="10565" priority="40740" operator="equal">
      <formula>"FPE"</formula>
    </cfRule>
    <cfRule type="cellIs" dxfId="10564" priority="40741" operator="equal">
      <formula>"AMA"</formula>
    </cfRule>
    <cfRule type="cellIs" dxfId="10563" priority="40742" operator="equal">
      <formula>"SIN DATOS"</formula>
    </cfRule>
    <cfRule type="cellIs" dxfId="10562" priority="40743" operator="equal">
      <formula>"SIN DATOS"</formula>
    </cfRule>
    <cfRule type="cellIs" dxfId="10561" priority="40744" operator="equal">
      <formula>"NO EJECTUTADO"</formula>
    </cfRule>
    <cfRule type="cellIs" dxfId="10560" priority="40745" operator="equal">
      <formula>"FE"</formula>
    </cfRule>
    <cfRule type="cellIs" dxfId="10559" priority="40746" operator="equal">
      <formula>"FE"</formula>
    </cfRule>
  </conditionalFormatting>
  <conditionalFormatting sqref="F243">
    <cfRule type="cellIs" dxfId="10558" priority="40735" operator="equal">
      <formula>"Retirado"</formula>
    </cfRule>
    <cfRule type="cellIs" dxfId="10557" priority="40736" operator="equal">
      <formula>"FSE"</formula>
    </cfRule>
  </conditionalFormatting>
  <conditionalFormatting sqref="F244">
    <cfRule type="cellIs" dxfId="10556" priority="40725" operator="equal">
      <formula>"APLAZADO"</formula>
    </cfRule>
    <cfRule type="cellIs" dxfId="10555" priority="40726" operator="equal">
      <formula>"CANCELADO"</formula>
    </cfRule>
    <cfRule type="cellIs" dxfId="10554" priority="40727" operator="equal">
      <formula>"NO EJECUTADO"</formula>
    </cfRule>
    <cfRule type="cellIs" dxfId="10553" priority="40728" operator="equal">
      <formula>"FPE"</formula>
    </cfRule>
    <cfRule type="cellIs" dxfId="10552" priority="40729" operator="equal">
      <formula>"AMA"</formula>
    </cfRule>
    <cfRule type="cellIs" dxfId="10551" priority="40730" operator="equal">
      <formula>"SIN DATOS"</formula>
    </cfRule>
    <cfRule type="cellIs" dxfId="10550" priority="40731" operator="equal">
      <formula>"SIN DATOS"</formula>
    </cfRule>
    <cfRule type="cellIs" dxfId="10549" priority="40732" operator="equal">
      <formula>"NO EJECTUTADO"</formula>
    </cfRule>
    <cfRule type="cellIs" dxfId="10548" priority="40733" operator="equal">
      <formula>"FE"</formula>
    </cfRule>
    <cfRule type="cellIs" dxfId="10547" priority="40734" operator="equal">
      <formula>"FE"</formula>
    </cfRule>
  </conditionalFormatting>
  <conditionalFormatting sqref="F244">
    <cfRule type="cellIs" dxfId="10546" priority="40723" operator="equal">
      <formula>"Retirado"</formula>
    </cfRule>
    <cfRule type="cellIs" dxfId="10545" priority="40724" operator="equal">
      <formula>"FSE"</formula>
    </cfRule>
  </conditionalFormatting>
  <conditionalFormatting sqref="A245">
    <cfRule type="cellIs" dxfId="10544" priority="40712" operator="equal">
      <formula>"APLAZADO"</formula>
    </cfRule>
    <cfRule type="cellIs" dxfId="10543" priority="40713" operator="equal">
      <formula>"CANCELADO"</formula>
    </cfRule>
    <cfRule type="cellIs" dxfId="10542" priority="40714" operator="equal">
      <formula>"NO EJECUTADO"</formula>
    </cfRule>
    <cfRule type="cellIs" dxfId="10541" priority="40715" operator="equal">
      <formula>"FPE"</formula>
    </cfRule>
    <cfRule type="cellIs" dxfId="10540" priority="40716" operator="equal">
      <formula>"AMA"</formula>
    </cfRule>
    <cfRule type="cellIs" dxfId="10539" priority="40717" operator="equal">
      <formula>"SIN DATOS"</formula>
    </cfRule>
    <cfRule type="cellIs" dxfId="10538" priority="40718" operator="equal">
      <formula>"SIN DATOS"</formula>
    </cfRule>
    <cfRule type="cellIs" dxfId="10537" priority="40719" operator="equal">
      <formula>"NO EJECTUTADO"</formula>
    </cfRule>
    <cfRule type="cellIs" dxfId="10536" priority="40720" operator="equal">
      <formula>"FE"</formula>
    </cfRule>
    <cfRule type="cellIs" dxfId="10535" priority="40721" operator="equal">
      <formula>"FE"</formula>
    </cfRule>
  </conditionalFormatting>
  <conditionalFormatting sqref="A245">
    <cfRule type="cellIs" dxfId="10534" priority="40710" operator="equal">
      <formula>"Retirado"</formula>
    </cfRule>
    <cfRule type="cellIs" dxfId="10533" priority="40711" operator="equal">
      <formula>"FSE"</formula>
    </cfRule>
  </conditionalFormatting>
  <conditionalFormatting sqref="H245">
    <cfRule type="duplicateValues" dxfId="10532" priority="40709"/>
  </conditionalFormatting>
  <conditionalFormatting sqref="F245">
    <cfRule type="cellIs" dxfId="10531" priority="40699" operator="equal">
      <formula>"APLAZADO"</formula>
    </cfRule>
    <cfRule type="cellIs" dxfId="10530" priority="40700" operator="equal">
      <formula>"CANCELADO"</formula>
    </cfRule>
    <cfRule type="cellIs" dxfId="10529" priority="40701" operator="equal">
      <formula>"NO EJECUTADO"</formula>
    </cfRule>
    <cfRule type="cellIs" dxfId="10528" priority="40702" operator="equal">
      <formula>"FPE"</formula>
    </cfRule>
    <cfRule type="cellIs" dxfId="10527" priority="40703" operator="equal">
      <formula>"AMA"</formula>
    </cfRule>
    <cfRule type="cellIs" dxfId="10526" priority="40704" operator="equal">
      <formula>"SIN DATOS"</formula>
    </cfRule>
    <cfRule type="cellIs" dxfId="10525" priority="40705" operator="equal">
      <formula>"SIN DATOS"</formula>
    </cfRule>
    <cfRule type="cellIs" dxfId="10524" priority="40706" operator="equal">
      <formula>"NO EJECTUTADO"</formula>
    </cfRule>
    <cfRule type="cellIs" dxfId="10523" priority="40707" operator="equal">
      <formula>"FE"</formula>
    </cfRule>
    <cfRule type="cellIs" dxfId="10522" priority="40708" operator="equal">
      <formula>"FE"</formula>
    </cfRule>
  </conditionalFormatting>
  <conditionalFormatting sqref="F245">
    <cfRule type="cellIs" dxfId="10521" priority="40697" operator="equal">
      <formula>"Retirado"</formula>
    </cfRule>
    <cfRule type="cellIs" dxfId="10520" priority="40698" operator="equal">
      <formula>"FSE"</formula>
    </cfRule>
  </conditionalFormatting>
  <conditionalFormatting sqref="A246">
    <cfRule type="cellIs" dxfId="10519" priority="40686" operator="equal">
      <formula>"APLAZADO"</formula>
    </cfRule>
    <cfRule type="cellIs" dxfId="10518" priority="40687" operator="equal">
      <formula>"CANCELADO"</formula>
    </cfRule>
    <cfRule type="cellIs" dxfId="10517" priority="40688" operator="equal">
      <formula>"NO EJECUTADO"</formula>
    </cfRule>
    <cfRule type="cellIs" dxfId="10516" priority="40689" operator="equal">
      <formula>"FPE"</formula>
    </cfRule>
    <cfRule type="cellIs" dxfId="10515" priority="40690" operator="equal">
      <formula>"AMA"</formula>
    </cfRule>
    <cfRule type="cellIs" dxfId="10514" priority="40691" operator="equal">
      <formula>"SIN DATOS"</formula>
    </cfRule>
    <cfRule type="cellIs" dxfId="10513" priority="40692" operator="equal">
      <formula>"SIN DATOS"</formula>
    </cfRule>
    <cfRule type="cellIs" dxfId="10512" priority="40693" operator="equal">
      <formula>"NO EJECTUTADO"</formula>
    </cfRule>
    <cfRule type="cellIs" dxfId="10511" priority="40694" operator="equal">
      <formula>"FE"</formula>
    </cfRule>
    <cfRule type="cellIs" dxfId="10510" priority="40695" operator="equal">
      <formula>"FE"</formula>
    </cfRule>
  </conditionalFormatting>
  <conditionalFormatting sqref="A246">
    <cfRule type="cellIs" dxfId="10509" priority="40684" operator="equal">
      <formula>"Retirado"</formula>
    </cfRule>
    <cfRule type="cellIs" dxfId="10508" priority="40685" operator="equal">
      <formula>"FSE"</formula>
    </cfRule>
  </conditionalFormatting>
  <conditionalFormatting sqref="H246">
    <cfRule type="duplicateValues" dxfId="10507" priority="40683"/>
  </conditionalFormatting>
  <conditionalFormatting sqref="F246">
    <cfRule type="cellIs" dxfId="10506" priority="40673" operator="equal">
      <formula>"APLAZADO"</formula>
    </cfRule>
    <cfRule type="cellIs" dxfId="10505" priority="40674" operator="equal">
      <formula>"CANCELADO"</formula>
    </cfRule>
    <cfRule type="cellIs" dxfId="10504" priority="40675" operator="equal">
      <formula>"NO EJECUTADO"</formula>
    </cfRule>
    <cfRule type="cellIs" dxfId="10503" priority="40676" operator="equal">
      <formula>"FPE"</formula>
    </cfRule>
    <cfRule type="cellIs" dxfId="10502" priority="40677" operator="equal">
      <formula>"AMA"</formula>
    </cfRule>
    <cfRule type="cellIs" dxfId="10501" priority="40678" operator="equal">
      <formula>"SIN DATOS"</formula>
    </cfRule>
    <cfRule type="cellIs" dxfId="10500" priority="40679" operator="equal">
      <formula>"SIN DATOS"</formula>
    </cfRule>
    <cfRule type="cellIs" dxfId="10499" priority="40680" operator="equal">
      <formula>"NO EJECTUTADO"</formula>
    </cfRule>
    <cfRule type="cellIs" dxfId="10498" priority="40681" operator="equal">
      <formula>"FE"</formula>
    </cfRule>
    <cfRule type="cellIs" dxfId="10497" priority="40682" operator="equal">
      <formula>"FE"</formula>
    </cfRule>
  </conditionalFormatting>
  <conditionalFormatting sqref="F246">
    <cfRule type="cellIs" dxfId="10496" priority="40671" operator="equal">
      <formula>"Retirado"</formula>
    </cfRule>
    <cfRule type="cellIs" dxfId="10495" priority="40672" operator="equal">
      <formula>"FSE"</formula>
    </cfRule>
  </conditionalFormatting>
  <conditionalFormatting sqref="A247">
    <cfRule type="cellIs" dxfId="10494" priority="40660" operator="equal">
      <formula>"APLAZADO"</formula>
    </cfRule>
    <cfRule type="cellIs" dxfId="10493" priority="40661" operator="equal">
      <formula>"CANCELADO"</formula>
    </cfRule>
    <cfRule type="cellIs" dxfId="10492" priority="40662" operator="equal">
      <formula>"NO EJECUTADO"</formula>
    </cfRule>
    <cfRule type="cellIs" dxfId="10491" priority="40663" operator="equal">
      <formula>"FPE"</formula>
    </cfRule>
    <cfRule type="cellIs" dxfId="10490" priority="40664" operator="equal">
      <formula>"AMA"</formula>
    </cfRule>
    <cfRule type="cellIs" dxfId="10489" priority="40665" operator="equal">
      <formula>"SIN DATOS"</formula>
    </cfRule>
    <cfRule type="cellIs" dxfId="10488" priority="40666" operator="equal">
      <formula>"SIN DATOS"</formula>
    </cfRule>
    <cfRule type="cellIs" dxfId="10487" priority="40667" operator="equal">
      <formula>"NO EJECTUTADO"</formula>
    </cfRule>
    <cfRule type="cellIs" dxfId="10486" priority="40668" operator="equal">
      <formula>"FE"</formula>
    </cfRule>
    <cfRule type="cellIs" dxfId="10485" priority="40669" operator="equal">
      <formula>"FE"</formula>
    </cfRule>
  </conditionalFormatting>
  <conditionalFormatting sqref="A247">
    <cfRule type="cellIs" dxfId="10484" priority="40658" operator="equal">
      <formula>"Retirado"</formula>
    </cfRule>
    <cfRule type="cellIs" dxfId="10483" priority="40659" operator="equal">
      <formula>"FSE"</formula>
    </cfRule>
  </conditionalFormatting>
  <conditionalFormatting sqref="H247">
    <cfRule type="duplicateValues" dxfId="10482" priority="40657"/>
  </conditionalFormatting>
  <conditionalFormatting sqref="F247">
    <cfRule type="cellIs" dxfId="10481" priority="40647" operator="equal">
      <formula>"APLAZADO"</formula>
    </cfRule>
    <cfRule type="cellIs" dxfId="10480" priority="40648" operator="equal">
      <formula>"CANCELADO"</formula>
    </cfRule>
    <cfRule type="cellIs" dxfId="10479" priority="40649" operator="equal">
      <formula>"NO EJECUTADO"</formula>
    </cfRule>
    <cfRule type="cellIs" dxfId="10478" priority="40650" operator="equal">
      <formula>"FPE"</formula>
    </cfRule>
    <cfRule type="cellIs" dxfId="10477" priority="40651" operator="equal">
      <formula>"AMA"</formula>
    </cfRule>
    <cfRule type="cellIs" dxfId="10476" priority="40652" operator="equal">
      <formula>"SIN DATOS"</formula>
    </cfRule>
    <cfRule type="cellIs" dxfId="10475" priority="40653" operator="equal">
      <formula>"SIN DATOS"</formula>
    </cfRule>
    <cfRule type="cellIs" dxfId="10474" priority="40654" operator="equal">
      <formula>"NO EJECTUTADO"</formula>
    </cfRule>
    <cfRule type="cellIs" dxfId="10473" priority="40655" operator="equal">
      <formula>"FE"</formula>
    </cfRule>
    <cfRule type="cellIs" dxfId="10472" priority="40656" operator="equal">
      <formula>"FE"</formula>
    </cfRule>
  </conditionalFormatting>
  <conditionalFormatting sqref="F247">
    <cfRule type="cellIs" dxfId="10471" priority="40645" operator="equal">
      <formula>"Retirado"</formula>
    </cfRule>
    <cfRule type="cellIs" dxfId="10470" priority="40646" operator="equal">
      <formula>"FSE"</formula>
    </cfRule>
  </conditionalFormatting>
  <conditionalFormatting sqref="F248">
    <cfRule type="cellIs" dxfId="10469" priority="40628" operator="equal">
      <formula>"APLAZADO"</formula>
    </cfRule>
    <cfRule type="cellIs" dxfId="10468" priority="40629" operator="equal">
      <formula>"CANCELADO"</formula>
    </cfRule>
    <cfRule type="cellIs" dxfId="10467" priority="40630" operator="equal">
      <formula>"NO EJECUTADO"</formula>
    </cfRule>
    <cfRule type="cellIs" dxfId="10466" priority="40631" operator="equal">
      <formula>"FPE"</formula>
    </cfRule>
    <cfRule type="cellIs" dxfId="10465" priority="40632" operator="equal">
      <formula>"AMA"</formula>
    </cfRule>
    <cfRule type="cellIs" dxfId="10464" priority="40633" operator="equal">
      <formula>"SIN DATOS"</formula>
    </cfRule>
    <cfRule type="cellIs" dxfId="10463" priority="40634" operator="equal">
      <formula>"SIN DATOS"</formula>
    </cfRule>
    <cfRule type="cellIs" dxfId="10462" priority="40635" operator="equal">
      <formula>"NO EJECTUTADO"</formula>
    </cfRule>
    <cfRule type="cellIs" dxfId="10461" priority="40636" operator="equal">
      <formula>"FE"</formula>
    </cfRule>
    <cfRule type="cellIs" dxfId="10460" priority="40637" operator="equal">
      <formula>"FE"</formula>
    </cfRule>
  </conditionalFormatting>
  <conditionalFormatting sqref="F248">
    <cfRule type="cellIs" dxfId="10459" priority="40626" operator="equal">
      <formula>"Retirado"</formula>
    </cfRule>
    <cfRule type="cellIs" dxfId="10458" priority="40627" operator="equal">
      <formula>"FSE"</formula>
    </cfRule>
  </conditionalFormatting>
  <conditionalFormatting sqref="F250">
    <cfRule type="cellIs" dxfId="10457" priority="40616" operator="equal">
      <formula>"APLAZADO"</formula>
    </cfRule>
    <cfRule type="cellIs" dxfId="10456" priority="40617" operator="equal">
      <formula>"CANCELADO"</formula>
    </cfRule>
    <cfRule type="cellIs" dxfId="10455" priority="40618" operator="equal">
      <formula>"NO EJECUTADO"</formula>
    </cfRule>
    <cfRule type="cellIs" dxfId="10454" priority="40619" operator="equal">
      <formula>"FPE"</formula>
    </cfRule>
    <cfRule type="cellIs" dxfId="10453" priority="40620" operator="equal">
      <formula>"AMA"</formula>
    </cfRule>
    <cfRule type="cellIs" dxfId="10452" priority="40621" operator="equal">
      <formula>"SIN DATOS"</formula>
    </cfRule>
    <cfRule type="cellIs" dxfId="10451" priority="40622" operator="equal">
      <formula>"SIN DATOS"</formula>
    </cfRule>
    <cfRule type="cellIs" dxfId="10450" priority="40623" operator="equal">
      <formula>"NO EJECTUTADO"</formula>
    </cfRule>
    <cfRule type="cellIs" dxfId="10449" priority="40624" operator="equal">
      <formula>"FE"</formula>
    </cfRule>
    <cfRule type="cellIs" dxfId="10448" priority="40625" operator="equal">
      <formula>"FE"</formula>
    </cfRule>
  </conditionalFormatting>
  <conditionalFormatting sqref="F250">
    <cfRule type="cellIs" dxfId="10447" priority="40614" operator="equal">
      <formula>"Retirado"</formula>
    </cfRule>
    <cfRule type="cellIs" dxfId="10446" priority="40615" operator="equal">
      <formula>"FSE"</formula>
    </cfRule>
  </conditionalFormatting>
  <conditionalFormatting sqref="F251">
    <cfRule type="cellIs" dxfId="10445" priority="40604" operator="equal">
      <formula>"APLAZADO"</formula>
    </cfRule>
    <cfRule type="cellIs" dxfId="10444" priority="40605" operator="equal">
      <formula>"CANCELADO"</formula>
    </cfRule>
    <cfRule type="cellIs" dxfId="10443" priority="40606" operator="equal">
      <formula>"NO EJECUTADO"</formula>
    </cfRule>
    <cfRule type="cellIs" dxfId="10442" priority="40607" operator="equal">
      <formula>"FPE"</formula>
    </cfRule>
    <cfRule type="cellIs" dxfId="10441" priority="40608" operator="equal">
      <formula>"AMA"</formula>
    </cfRule>
    <cfRule type="cellIs" dxfId="10440" priority="40609" operator="equal">
      <formula>"SIN DATOS"</formula>
    </cfRule>
    <cfRule type="cellIs" dxfId="10439" priority="40610" operator="equal">
      <formula>"SIN DATOS"</formula>
    </cfRule>
    <cfRule type="cellIs" dxfId="10438" priority="40611" operator="equal">
      <formula>"NO EJECTUTADO"</formula>
    </cfRule>
    <cfRule type="cellIs" dxfId="10437" priority="40612" operator="equal">
      <formula>"FE"</formula>
    </cfRule>
    <cfRule type="cellIs" dxfId="10436" priority="40613" operator="equal">
      <formula>"FE"</formula>
    </cfRule>
  </conditionalFormatting>
  <conditionalFormatting sqref="F251">
    <cfRule type="cellIs" dxfId="10435" priority="40602" operator="equal">
      <formula>"Retirado"</formula>
    </cfRule>
    <cfRule type="cellIs" dxfId="10434" priority="40603" operator="equal">
      <formula>"FSE"</formula>
    </cfRule>
  </conditionalFormatting>
  <conditionalFormatting sqref="F252">
    <cfRule type="cellIs" dxfId="10433" priority="40592" operator="equal">
      <formula>"APLAZADO"</formula>
    </cfRule>
    <cfRule type="cellIs" dxfId="10432" priority="40593" operator="equal">
      <formula>"CANCELADO"</formula>
    </cfRule>
    <cfRule type="cellIs" dxfId="10431" priority="40594" operator="equal">
      <formula>"NO EJECUTADO"</formula>
    </cfRule>
    <cfRule type="cellIs" dxfId="10430" priority="40595" operator="equal">
      <formula>"FPE"</formula>
    </cfRule>
    <cfRule type="cellIs" dxfId="10429" priority="40596" operator="equal">
      <formula>"AMA"</formula>
    </cfRule>
    <cfRule type="cellIs" dxfId="10428" priority="40597" operator="equal">
      <formula>"SIN DATOS"</formula>
    </cfRule>
    <cfRule type="cellIs" dxfId="10427" priority="40598" operator="equal">
      <formula>"SIN DATOS"</formula>
    </cfRule>
    <cfRule type="cellIs" dxfId="10426" priority="40599" operator="equal">
      <formula>"NO EJECTUTADO"</formula>
    </cfRule>
    <cfRule type="cellIs" dxfId="10425" priority="40600" operator="equal">
      <formula>"FE"</formula>
    </cfRule>
    <cfRule type="cellIs" dxfId="10424" priority="40601" operator="equal">
      <formula>"FE"</formula>
    </cfRule>
  </conditionalFormatting>
  <conditionalFormatting sqref="F252">
    <cfRule type="cellIs" dxfId="10423" priority="40590" operator="equal">
      <formula>"Retirado"</formula>
    </cfRule>
    <cfRule type="cellIs" dxfId="10422" priority="40591" operator="equal">
      <formula>"FSE"</formula>
    </cfRule>
  </conditionalFormatting>
  <conditionalFormatting sqref="F254">
    <cfRule type="cellIs" dxfId="10421" priority="40555" operator="equal">
      <formula>"APLAZADO"</formula>
    </cfRule>
    <cfRule type="cellIs" dxfId="10420" priority="40556" operator="equal">
      <formula>"CANCELADO"</formula>
    </cfRule>
    <cfRule type="cellIs" dxfId="10419" priority="40557" operator="equal">
      <formula>"NO EJECUTADO"</formula>
    </cfRule>
    <cfRule type="cellIs" dxfId="10418" priority="40558" operator="equal">
      <formula>"FPE"</formula>
    </cfRule>
    <cfRule type="cellIs" dxfId="10417" priority="40559" operator="equal">
      <formula>"AMA"</formula>
    </cfRule>
    <cfRule type="cellIs" dxfId="10416" priority="40560" operator="equal">
      <formula>"SIN DATOS"</formula>
    </cfRule>
    <cfRule type="cellIs" dxfId="10415" priority="40561" operator="equal">
      <formula>"SIN DATOS"</formula>
    </cfRule>
    <cfRule type="cellIs" dxfId="10414" priority="40562" operator="equal">
      <formula>"NO EJECTUTADO"</formula>
    </cfRule>
    <cfRule type="cellIs" dxfId="10413" priority="40563" operator="equal">
      <formula>"FE"</formula>
    </cfRule>
    <cfRule type="cellIs" dxfId="10412" priority="40564" operator="equal">
      <formula>"FE"</formula>
    </cfRule>
  </conditionalFormatting>
  <conditionalFormatting sqref="F254">
    <cfRule type="cellIs" dxfId="10411" priority="40553" operator="equal">
      <formula>"Retirado"</formula>
    </cfRule>
    <cfRule type="cellIs" dxfId="10410" priority="40554" operator="equal">
      <formula>"FSE"</formula>
    </cfRule>
  </conditionalFormatting>
  <conditionalFormatting sqref="F255">
    <cfRule type="cellIs" dxfId="10409" priority="40537" operator="equal">
      <formula>"APLAZADO"</formula>
    </cfRule>
    <cfRule type="cellIs" dxfId="10408" priority="40538" operator="equal">
      <formula>"CANCELADO"</formula>
    </cfRule>
    <cfRule type="cellIs" dxfId="10407" priority="40539" operator="equal">
      <formula>"NO EJECUTADO"</formula>
    </cfRule>
    <cfRule type="cellIs" dxfId="10406" priority="40540" operator="equal">
      <formula>"FPE"</formula>
    </cfRule>
    <cfRule type="cellIs" dxfId="10405" priority="40541" operator="equal">
      <formula>"AMA"</formula>
    </cfRule>
    <cfRule type="cellIs" dxfId="10404" priority="40542" operator="equal">
      <formula>"SIN DATOS"</formula>
    </cfRule>
    <cfRule type="cellIs" dxfId="10403" priority="40543" operator="equal">
      <formula>"SIN DATOS"</formula>
    </cfRule>
    <cfRule type="cellIs" dxfId="10402" priority="40544" operator="equal">
      <formula>"NO EJECTUTADO"</formula>
    </cfRule>
    <cfRule type="cellIs" dxfId="10401" priority="40545" operator="equal">
      <formula>"FE"</formula>
    </cfRule>
    <cfRule type="cellIs" dxfId="10400" priority="40546" operator="equal">
      <formula>"FE"</formula>
    </cfRule>
  </conditionalFormatting>
  <conditionalFormatting sqref="F255">
    <cfRule type="cellIs" dxfId="10399" priority="40535" operator="equal">
      <formula>"Retirado"</formula>
    </cfRule>
    <cfRule type="cellIs" dxfId="10398" priority="40536" operator="equal">
      <formula>"FSE"</formula>
    </cfRule>
  </conditionalFormatting>
  <conditionalFormatting sqref="F259">
    <cfRule type="cellIs" dxfId="10397" priority="40522" operator="equal">
      <formula>"APLAZADO"</formula>
    </cfRule>
    <cfRule type="cellIs" dxfId="10396" priority="40523" operator="equal">
      <formula>"CANCELADO"</formula>
    </cfRule>
    <cfRule type="cellIs" dxfId="10395" priority="40524" operator="equal">
      <formula>"NO EJECUTADO"</formula>
    </cfRule>
    <cfRule type="cellIs" dxfId="10394" priority="40525" operator="equal">
      <formula>"FPE"</formula>
    </cfRule>
    <cfRule type="cellIs" dxfId="10393" priority="40526" operator="equal">
      <formula>"AMA"</formula>
    </cfRule>
    <cfRule type="cellIs" dxfId="10392" priority="40527" operator="equal">
      <formula>"SIN DATOS"</formula>
    </cfRule>
    <cfRule type="cellIs" dxfId="10391" priority="40528" operator="equal">
      <formula>"SIN DATOS"</formula>
    </cfRule>
    <cfRule type="cellIs" dxfId="10390" priority="40529" operator="equal">
      <formula>"NO EJECTUTADO"</formula>
    </cfRule>
    <cfRule type="cellIs" dxfId="10389" priority="40530" operator="equal">
      <formula>"FE"</formula>
    </cfRule>
    <cfRule type="cellIs" dxfId="10388" priority="40531" operator="equal">
      <formula>"FE"</formula>
    </cfRule>
  </conditionalFormatting>
  <conditionalFormatting sqref="F259">
    <cfRule type="cellIs" dxfId="10387" priority="40520" operator="equal">
      <formula>"Retirado"</formula>
    </cfRule>
    <cfRule type="cellIs" dxfId="10386" priority="40521" operator="equal">
      <formula>"FSE"</formula>
    </cfRule>
  </conditionalFormatting>
  <conditionalFormatting sqref="F261">
    <cfRule type="cellIs" dxfId="10385" priority="40506" operator="equal">
      <formula>"APLAZADO"</formula>
    </cfRule>
    <cfRule type="cellIs" dxfId="10384" priority="40507" operator="equal">
      <formula>"CANCELADO"</formula>
    </cfRule>
    <cfRule type="cellIs" dxfId="10383" priority="40508" operator="equal">
      <formula>"NO EJECUTADO"</formula>
    </cfRule>
    <cfRule type="cellIs" dxfId="10382" priority="40509" operator="equal">
      <formula>"FPE"</formula>
    </cfRule>
    <cfRule type="cellIs" dxfId="10381" priority="40510" operator="equal">
      <formula>"AMA"</formula>
    </cfRule>
    <cfRule type="cellIs" dxfId="10380" priority="40511" operator="equal">
      <formula>"SIN DATOS"</formula>
    </cfRule>
    <cfRule type="cellIs" dxfId="10379" priority="40512" operator="equal">
      <formula>"SIN DATOS"</formula>
    </cfRule>
    <cfRule type="cellIs" dxfId="10378" priority="40513" operator="equal">
      <formula>"NO EJECTUTADO"</formula>
    </cfRule>
    <cfRule type="cellIs" dxfId="10377" priority="40514" operator="equal">
      <formula>"FE"</formula>
    </cfRule>
    <cfRule type="cellIs" dxfId="10376" priority="40515" operator="equal">
      <formula>"FE"</formula>
    </cfRule>
  </conditionalFormatting>
  <conditionalFormatting sqref="F261">
    <cfRule type="cellIs" dxfId="10375" priority="40504" operator="equal">
      <formula>"Retirado"</formula>
    </cfRule>
    <cfRule type="cellIs" dxfId="10374" priority="40505" operator="equal">
      <formula>"FSE"</formula>
    </cfRule>
  </conditionalFormatting>
  <conditionalFormatting sqref="A263">
    <cfRule type="cellIs" dxfId="10373" priority="40492" operator="equal">
      <formula>"APLAZADO"</formula>
    </cfRule>
    <cfRule type="cellIs" dxfId="10372" priority="40493" operator="equal">
      <formula>"CANCELADO"</formula>
    </cfRule>
    <cfRule type="cellIs" dxfId="10371" priority="40494" operator="equal">
      <formula>"NO EJECUTADO"</formula>
    </cfRule>
    <cfRule type="cellIs" dxfId="10370" priority="40495" operator="equal">
      <formula>"FPE"</formula>
    </cfRule>
    <cfRule type="cellIs" dxfId="10369" priority="40496" operator="equal">
      <formula>"AMA"</formula>
    </cfRule>
    <cfRule type="cellIs" dxfId="10368" priority="40497" operator="equal">
      <formula>"SIN DATOS"</formula>
    </cfRule>
    <cfRule type="cellIs" dxfId="10367" priority="40498" operator="equal">
      <formula>"SIN DATOS"</formula>
    </cfRule>
    <cfRule type="cellIs" dxfId="10366" priority="40499" operator="equal">
      <formula>"NO EJECTUTADO"</formula>
    </cfRule>
    <cfRule type="cellIs" dxfId="10365" priority="40500" operator="equal">
      <formula>"FE"</formula>
    </cfRule>
    <cfRule type="cellIs" dxfId="10364" priority="40501" operator="equal">
      <formula>"FE"</formula>
    </cfRule>
  </conditionalFormatting>
  <conditionalFormatting sqref="A263">
    <cfRule type="cellIs" dxfId="10363" priority="40490" operator="equal">
      <formula>"Retirado"</formula>
    </cfRule>
    <cfRule type="cellIs" dxfId="10362" priority="40491" operator="equal">
      <formula>"FSE"</formula>
    </cfRule>
  </conditionalFormatting>
  <conditionalFormatting sqref="F263">
    <cfRule type="cellIs" dxfId="10361" priority="40480" operator="equal">
      <formula>"APLAZADO"</formula>
    </cfRule>
    <cfRule type="cellIs" dxfId="10360" priority="40481" operator="equal">
      <formula>"CANCELADO"</formula>
    </cfRule>
    <cfRule type="cellIs" dxfId="10359" priority="40482" operator="equal">
      <formula>"NO EJECUTADO"</formula>
    </cfRule>
    <cfRule type="cellIs" dxfId="10358" priority="40483" operator="equal">
      <formula>"FPE"</formula>
    </cfRule>
    <cfRule type="cellIs" dxfId="10357" priority="40484" operator="equal">
      <formula>"AMA"</formula>
    </cfRule>
    <cfRule type="cellIs" dxfId="10356" priority="40485" operator="equal">
      <formula>"SIN DATOS"</formula>
    </cfRule>
    <cfRule type="cellIs" dxfId="10355" priority="40486" operator="equal">
      <formula>"SIN DATOS"</formula>
    </cfRule>
    <cfRule type="cellIs" dxfId="10354" priority="40487" operator="equal">
      <formula>"NO EJECTUTADO"</formula>
    </cfRule>
    <cfRule type="cellIs" dxfId="10353" priority="40488" operator="equal">
      <formula>"FE"</formula>
    </cfRule>
    <cfRule type="cellIs" dxfId="10352" priority="40489" operator="equal">
      <formula>"FE"</formula>
    </cfRule>
  </conditionalFormatting>
  <conditionalFormatting sqref="F263">
    <cfRule type="cellIs" dxfId="10351" priority="40478" operator="equal">
      <formula>"Retirado"</formula>
    </cfRule>
    <cfRule type="cellIs" dxfId="10350" priority="40479" operator="equal">
      <formula>"FSE"</formula>
    </cfRule>
  </conditionalFormatting>
  <conditionalFormatting sqref="F264">
    <cfRule type="cellIs" dxfId="10349" priority="40464" operator="equal">
      <formula>"APLAZADO"</formula>
    </cfRule>
    <cfRule type="cellIs" dxfId="10348" priority="40465" operator="equal">
      <formula>"CANCELADO"</formula>
    </cfRule>
    <cfRule type="cellIs" dxfId="10347" priority="40466" operator="equal">
      <formula>"NO EJECUTADO"</formula>
    </cfRule>
    <cfRule type="cellIs" dxfId="10346" priority="40467" operator="equal">
      <formula>"FPE"</formula>
    </cfRule>
    <cfRule type="cellIs" dxfId="10345" priority="40468" operator="equal">
      <formula>"AMA"</formula>
    </cfRule>
    <cfRule type="cellIs" dxfId="10344" priority="40469" operator="equal">
      <formula>"SIN DATOS"</formula>
    </cfRule>
    <cfRule type="cellIs" dxfId="10343" priority="40470" operator="equal">
      <formula>"SIN DATOS"</formula>
    </cfRule>
    <cfRule type="cellIs" dxfId="10342" priority="40471" operator="equal">
      <formula>"NO EJECTUTADO"</formula>
    </cfRule>
    <cfRule type="cellIs" dxfId="10341" priority="40472" operator="equal">
      <formula>"FE"</formula>
    </cfRule>
    <cfRule type="cellIs" dxfId="10340" priority="40473" operator="equal">
      <formula>"FE"</formula>
    </cfRule>
  </conditionalFormatting>
  <conditionalFormatting sqref="F264">
    <cfRule type="cellIs" dxfId="10339" priority="40462" operator="equal">
      <formula>"Retirado"</formula>
    </cfRule>
    <cfRule type="cellIs" dxfId="10338" priority="40463" operator="equal">
      <formula>"FSE"</formula>
    </cfRule>
  </conditionalFormatting>
  <conditionalFormatting sqref="A266">
    <cfRule type="cellIs" dxfId="10337" priority="40438" operator="equal">
      <formula>"APLAZADO"</formula>
    </cfRule>
    <cfRule type="cellIs" dxfId="10336" priority="40439" operator="equal">
      <formula>"CANCELADO"</formula>
    </cfRule>
    <cfRule type="cellIs" dxfId="10335" priority="40440" operator="equal">
      <formula>"NO EJECUTADO"</formula>
    </cfRule>
    <cfRule type="cellIs" dxfId="10334" priority="40441" operator="equal">
      <formula>"FPE"</formula>
    </cfRule>
    <cfRule type="cellIs" dxfId="10333" priority="40442" operator="equal">
      <formula>"AMA"</formula>
    </cfRule>
    <cfRule type="cellIs" dxfId="10332" priority="40443" operator="equal">
      <formula>"SIN DATOS"</formula>
    </cfRule>
    <cfRule type="cellIs" dxfId="10331" priority="40444" operator="equal">
      <formula>"SIN DATOS"</formula>
    </cfRule>
    <cfRule type="cellIs" dxfId="10330" priority="40445" operator="equal">
      <formula>"NO EJECTUTADO"</formula>
    </cfRule>
    <cfRule type="cellIs" dxfId="10329" priority="40446" operator="equal">
      <formula>"FE"</formula>
    </cfRule>
    <cfRule type="cellIs" dxfId="10328" priority="40447" operator="equal">
      <formula>"FE"</formula>
    </cfRule>
  </conditionalFormatting>
  <conditionalFormatting sqref="A266">
    <cfRule type="cellIs" dxfId="10327" priority="40436" operator="equal">
      <formula>"Retirado"</formula>
    </cfRule>
    <cfRule type="cellIs" dxfId="10326" priority="40437" operator="equal">
      <formula>"FSE"</formula>
    </cfRule>
  </conditionalFormatting>
  <conditionalFormatting sqref="F266">
    <cfRule type="cellIs" dxfId="10325" priority="40426" operator="equal">
      <formula>"APLAZADO"</formula>
    </cfRule>
    <cfRule type="cellIs" dxfId="10324" priority="40427" operator="equal">
      <formula>"CANCELADO"</formula>
    </cfRule>
    <cfRule type="cellIs" dxfId="10323" priority="40428" operator="equal">
      <formula>"NO EJECUTADO"</formula>
    </cfRule>
    <cfRule type="cellIs" dxfId="10322" priority="40429" operator="equal">
      <formula>"FPE"</formula>
    </cfRule>
    <cfRule type="cellIs" dxfId="10321" priority="40430" operator="equal">
      <formula>"AMA"</formula>
    </cfRule>
    <cfRule type="cellIs" dxfId="10320" priority="40431" operator="equal">
      <formula>"SIN DATOS"</formula>
    </cfRule>
    <cfRule type="cellIs" dxfId="10319" priority="40432" operator="equal">
      <formula>"SIN DATOS"</formula>
    </cfRule>
    <cfRule type="cellIs" dxfId="10318" priority="40433" operator="equal">
      <formula>"NO EJECTUTADO"</formula>
    </cfRule>
    <cfRule type="cellIs" dxfId="10317" priority="40434" operator="equal">
      <formula>"FE"</formula>
    </cfRule>
    <cfRule type="cellIs" dxfId="10316" priority="40435" operator="equal">
      <formula>"FE"</formula>
    </cfRule>
  </conditionalFormatting>
  <conditionalFormatting sqref="F266">
    <cfRule type="cellIs" dxfId="10315" priority="40424" operator="equal">
      <formula>"Retirado"</formula>
    </cfRule>
    <cfRule type="cellIs" dxfId="10314" priority="40425" operator="equal">
      <formula>"FSE"</formula>
    </cfRule>
  </conditionalFormatting>
  <conditionalFormatting sqref="F268">
    <cfRule type="cellIs" dxfId="10313" priority="40402" operator="equal">
      <formula>"APLAZADO"</formula>
    </cfRule>
    <cfRule type="cellIs" dxfId="10312" priority="40403" operator="equal">
      <formula>"CANCELADO"</formula>
    </cfRule>
    <cfRule type="cellIs" dxfId="10311" priority="40404" operator="equal">
      <formula>"NO EJECUTADO"</formula>
    </cfRule>
    <cfRule type="cellIs" dxfId="10310" priority="40405" operator="equal">
      <formula>"FPE"</formula>
    </cfRule>
    <cfRule type="cellIs" dxfId="10309" priority="40406" operator="equal">
      <formula>"AMA"</formula>
    </cfRule>
    <cfRule type="cellIs" dxfId="10308" priority="40407" operator="equal">
      <formula>"SIN DATOS"</formula>
    </cfRule>
    <cfRule type="cellIs" dxfId="10307" priority="40408" operator="equal">
      <formula>"SIN DATOS"</formula>
    </cfRule>
    <cfRule type="cellIs" dxfId="10306" priority="40409" operator="equal">
      <formula>"NO EJECTUTADO"</formula>
    </cfRule>
    <cfRule type="cellIs" dxfId="10305" priority="40410" operator="equal">
      <formula>"FE"</formula>
    </cfRule>
    <cfRule type="cellIs" dxfId="10304" priority="40411" operator="equal">
      <formula>"FE"</formula>
    </cfRule>
  </conditionalFormatting>
  <conditionalFormatting sqref="F268">
    <cfRule type="cellIs" dxfId="10303" priority="40400" operator="equal">
      <formula>"Retirado"</formula>
    </cfRule>
    <cfRule type="cellIs" dxfId="10302" priority="40401" operator="equal">
      <formula>"FSE"</formula>
    </cfRule>
  </conditionalFormatting>
  <conditionalFormatting sqref="F269">
    <cfRule type="cellIs" dxfId="10301" priority="40390" operator="equal">
      <formula>"APLAZADO"</formula>
    </cfRule>
    <cfRule type="cellIs" dxfId="10300" priority="40391" operator="equal">
      <formula>"CANCELADO"</formula>
    </cfRule>
    <cfRule type="cellIs" dxfId="10299" priority="40392" operator="equal">
      <formula>"NO EJECUTADO"</formula>
    </cfRule>
    <cfRule type="cellIs" dxfId="10298" priority="40393" operator="equal">
      <formula>"FPE"</formula>
    </cfRule>
    <cfRule type="cellIs" dxfId="10297" priority="40394" operator="equal">
      <formula>"AMA"</formula>
    </cfRule>
    <cfRule type="cellIs" dxfId="10296" priority="40395" operator="equal">
      <formula>"SIN DATOS"</formula>
    </cfRule>
    <cfRule type="cellIs" dxfId="10295" priority="40396" operator="equal">
      <formula>"SIN DATOS"</formula>
    </cfRule>
    <cfRule type="cellIs" dxfId="10294" priority="40397" operator="equal">
      <formula>"NO EJECTUTADO"</formula>
    </cfRule>
    <cfRule type="cellIs" dxfId="10293" priority="40398" operator="equal">
      <formula>"FE"</formula>
    </cfRule>
    <cfRule type="cellIs" dxfId="10292" priority="40399" operator="equal">
      <formula>"FE"</formula>
    </cfRule>
  </conditionalFormatting>
  <conditionalFormatting sqref="F269">
    <cfRule type="cellIs" dxfId="10291" priority="40388" operator="equal">
      <formula>"Retirado"</formula>
    </cfRule>
    <cfRule type="cellIs" dxfId="10290" priority="40389" operator="equal">
      <formula>"FSE"</formula>
    </cfRule>
  </conditionalFormatting>
  <conditionalFormatting sqref="F272">
    <cfRule type="cellIs" dxfId="10289" priority="40374" operator="equal">
      <formula>"APLAZADO"</formula>
    </cfRule>
    <cfRule type="cellIs" dxfId="10288" priority="40375" operator="equal">
      <formula>"CANCELADO"</formula>
    </cfRule>
    <cfRule type="cellIs" dxfId="10287" priority="40376" operator="equal">
      <formula>"NO EJECUTADO"</formula>
    </cfRule>
    <cfRule type="cellIs" dxfId="10286" priority="40377" operator="equal">
      <formula>"FPE"</formula>
    </cfRule>
    <cfRule type="cellIs" dxfId="10285" priority="40378" operator="equal">
      <formula>"AMA"</formula>
    </cfRule>
    <cfRule type="cellIs" dxfId="10284" priority="40379" operator="equal">
      <formula>"SIN DATOS"</formula>
    </cfRule>
    <cfRule type="cellIs" dxfId="10283" priority="40380" operator="equal">
      <formula>"SIN DATOS"</formula>
    </cfRule>
    <cfRule type="cellIs" dxfId="10282" priority="40381" operator="equal">
      <formula>"NO EJECTUTADO"</formula>
    </cfRule>
    <cfRule type="cellIs" dxfId="10281" priority="40382" operator="equal">
      <formula>"FE"</formula>
    </cfRule>
    <cfRule type="cellIs" dxfId="10280" priority="40383" operator="equal">
      <formula>"FE"</formula>
    </cfRule>
  </conditionalFormatting>
  <conditionalFormatting sqref="F272">
    <cfRule type="cellIs" dxfId="10279" priority="40372" operator="equal">
      <formula>"Retirado"</formula>
    </cfRule>
    <cfRule type="cellIs" dxfId="10278" priority="40373" operator="equal">
      <formula>"FSE"</formula>
    </cfRule>
  </conditionalFormatting>
  <conditionalFormatting sqref="F273">
    <cfRule type="cellIs" dxfId="10277" priority="40362" operator="equal">
      <formula>"APLAZADO"</formula>
    </cfRule>
    <cfRule type="cellIs" dxfId="10276" priority="40363" operator="equal">
      <formula>"CANCELADO"</formula>
    </cfRule>
    <cfRule type="cellIs" dxfId="10275" priority="40364" operator="equal">
      <formula>"NO EJECUTADO"</formula>
    </cfRule>
    <cfRule type="cellIs" dxfId="10274" priority="40365" operator="equal">
      <formula>"FPE"</formula>
    </cfRule>
    <cfRule type="cellIs" dxfId="10273" priority="40366" operator="equal">
      <formula>"AMA"</formula>
    </cfRule>
    <cfRule type="cellIs" dxfId="10272" priority="40367" operator="equal">
      <formula>"SIN DATOS"</formula>
    </cfRule>
    <cfRule type="cellIs" dxfId="10271" priority="40368" operator="equal">
      <formula>"SIN DATOS"</formula>
    </cfRule>
    <cfRule type="cellIs" dxfId="10270" priority="40369" operator="equal">
      <formula>"NO EJECTUTADO"</formula>
    </cfRule>
    <cfRule type="cellIs" dxfId="10269" priority="40370" operator="equal">
      <formula>"FE"</formula>
    </cfRule>
    <cfRule type="cellIs" dxfId="10268" priority="40371" operator="equal">
      <formula>"FE"</formula>
    </cfRule>
  </conditionalFormatting>
  <conditionalFormatting sqref="F273">
    <cfRule type="cellIs" dxfId="10267" priority="40360" operator="equal">
      <formula>"Retirado"</formula>
    </cfRule>
    <cfRule type="cellIs" dxfId="10266" priority="40361" operator="equal">
      <formula>"FSE"</formula>
    </cfRule>
  </conditionalFormatting>
  <conditionalFormatting sqref="F274">
    <cfRule type="cellIs" dxfId="10265" priority="40350" operator="equal">
      <formula>"APLAZADO"</formula>
    </cfRule>
    <cfRule type="cellIs" dxfId="10264" priority="40351" operator="equal">
      <formula>"CANCELADO"</formula>
    </cfRule>
    <cfRule type="cellIs" dxfId="10263" priority="40352" operator="equal">
      <formula>"NO EJECUTADO"</formula>
    </cfRule>
    <cfRule type="cellIs" dxfId="10262" priority="40353" operator="equal">
      <formula>"FPE"</formula>
    </cfRule>
    <cfRule type="cellIs" dxfId="10261" priority="40354" operator="equal">
      <formula>"AMA"</formula>
    </cfRule>
    <cfRule type="cellIs" dxfId="10260" priority="40355" operator="equal">
      <formula>"SIN DATOS"</formula>
    </cfRule>
    <cfRule type="cellIs" dxfId="10259" priority="40356" operator="equal">
      <formula>"SIN DATOS"</formula>
    </cfRule>
    <cfRule type="cellIs" dxfId="10258" priority="40357" operator="equal">
      <formula>"NO EJECTUTADO"</formula>
    </cfRule>
    <cfRule type="cellIs" dxfId="10257" priority="40358" operator="equal">
      <formula>"FE"</formula>
    </cfRule>
    <cfRule type="cellIs" dxfId="10256" priority="40359" operator="equal">
      <formula>"FE"</formula>
    </cfRule>
  </conditionalFormatting>
  <conditionalFormatting sqref="F274">
    <cfRule type="cellIs" dxfId="10255" priority="40348" operator="equal">
      <formula>"Retirado"</formula>
    </cfRule>
    <cfRule type="cellIs" dxfId="10254" priority="40349" operator="equal">
      <formula>"FSE"</formula>
    </cfRule>
  </conditionalFormatting>
  <conditionalFormatting sqref="F275">
    <cfRule type="cellIs" dxfId="10253" priority="40338" operator="equal">
      <formula>"APLAZADO"</formula>
    </cfRule>
    <cfRule type="cellIs" dxfId="10252" priority="40339" operator="equal">
      <formula>"CANCELADO"</formula>
    </cfRule>
    <cfRule type="cellIs" dxfId="10251" priority="40340" operator="equal">
      <formula>"NO EJECUTADO"</formula>
    </cfRule>
    <cfRule type="cellIs" dxfId="10250" priority="40341" operator="equal">
      <formula>"FPE"</formula>
    </cfRule>
    <cfRule type="cellIs" dxfId="10249" priority="40342" operator="equal">
      <formula>"AMA"</formula>
    </cfRule>
    <cfRule type="cellIs" dxfId="10248" priority="40343" operator="equal">
      <formula>"SIN DATOS"</formula>
    </cfRule>
    <cfRule type="cellIs" dxfId="10247" priority="40344" operator="equal">
      <formula>"SIN DATOS"</formula>
    </cfRule>
    <cfRule type="cellIs" dxfId="10246" priority="40345" operator="equal">
      <formula>"NO EJECTUTADO"</formula>
    </cfRule>
    <cfRule type="cellIs" dxfId="10245" priority="40346" operator="equal">
      <formula>"FE"</formula>
    </cfRule>
    <cfRule type="cellIs" dxfId="10244" priority="40347" operator="equal">
      <formula>"FE"</formula>
    </cfRule>
  </conditionalFormatting>
  <conditionalFormatting sqref="F275">
    <cfRule type="cellIs" dxfId="10243" priority="40336" operator="equal">
      <formula>"Retirado"</formula>
    </cfRule>
    <cfRule type="cellIs" dxfId="10242" priority="40337" operator="equal">
      <formula>"FSE"</formula>
    </cfRule>
  </conditionalFormatting>
  <conditionalFormatting sqref="F276">
    <cfRule type="cellIs" dxfId="10241" priority="40326" operator="equal">
      <formula>"APLAZADO"</formula>
    </cfRule>
    <cfRule type="cellIs" dxfId="10240" priority="40327" operator="equal">
      <formula>"CANCELADO"</formula>
    </cfRule>
    <cfRule type="cellIs" dxfId="10239" priority="40328" operator="equal">
      <formula>"NO EJECUTADO"</formula>
    </cfRule>
    <cfRule type="cellIs" dxfId="10238" priority="40329" operator="equal">
      <formula>"FPE"</formula>
    </cfRule>
    <cfRule type="cellIs" dxfId="10237" priority="40330" operator="equal">
      <formula>"AMA"</formula>
    </cfRule>
    <cfRule type="cellIs" dxfId="10236" priority="40331" operator="equal">
      <formula>"SIN DATOS"</formula>
    </cfRule>
    <cfRule type="cellIs" dxfId="10235" priority="40332" operator="equal">
      <formula>"SIN DATOS"</formula>
    </cfRule>
    <cfRule type="cellIs" dxfId="10234" priority="40333" operator="equal">
      <formula>"NO EJECTUTADO"</formula>
    </cfRule>
    <cfRule type="cellIs" dxfId="10233" priority="40334" operator="equal">
      <formula>"FE"</formula>
    </cfRule>
    <cfRule type="cellIs" dxfId="10232" priority="40335" operator="equal">
      <formula>"FE"</formula>
    </cfRule>
  </conditionalFormatting>
  <conditionalFormatting sqref="F276">
    <cfRule type="cellIs" dxfId="10231" priority="40324" operator="equal">
      <formula>"Retirado"</formula>
    </cfRule>
    <cfRule type="cellIs" dxfId="10230" priority="40325" operator="equal">
      <formula>"FSE"</formula>
    </cfRule>
  </conditionalFormatting>
  <conditionalFormatting sqref="F277">
    <cfRule type="cellIs" dxfId="10229" priority="40314" operator="equal">
      <formula>"APLAZADO"</formula>
    </cfRule>
    <cfRule type="cellIs" dxfId="10228" priority="40315" operator="equal">
      <formula>"CANCELADO"</formula>
    </cfRule>
    <cfRule type="cellIs" dxfId="10227" priority="40316" operator="equal">
      <formula>"NO EJECUTADO"</formula>
    </cfRule>
    <cfRule type="cellIs" dxfId="10226" priority="40317" operator="equal">
      <formula>"FPE"</formula>
    </cfRule>
    <cfRule type="cellIs" dxfId="10225" priority="40318" operator="equal">
      <formula>"AMA"</formula>
    </cfRule>
    <cfRule type="cellIs" dxfId="10224" priority="40319" operator="equal">
      <formula>"SIN DATOS"</formula>
    </cfRule>
    <cfRule type="cellIs" dxfId="10223" priority="40320" operator="equal">
      <formula>"SIN DATOS"</formula>
    </cfRule>
    <cfRule type="cellIs" dxfId="10222" priority="40321" operator="equal">
      <formula>"NO EJECTUTADO"</formula>
    </cfRule>
    <cfRule type="cellIs" dxfId="10221" priority="40322" operator="equal">
      <formula>"FE"</formula>
    </cfRule>
    <cfRule type="cellIs" dxfId="10220" priority="40323" operator="equal">
      <formula>"FE"</formula>
    </cfRule>
  </conditionalFormatting>
  <conditionalFormatting sqref="F277">
    <cfRule type="cellIs" dxfId="10219" priority="40312" operator="equal">
      <formula>"Retirado"</formula>
    </cfRule>
    <cfRule type="cellIs" dxfId="10218" priority="40313" operator="equal">
      <formula>"FSE"</formula>
    </cfRule>
  </conditionalFormatting>
  <conditionalFormatting sqref="F278">
    <cfRule type="cellIs" dxfId="10217" priority="40302" operator="equal">
      <formula>"APLAZADO"</formula>
    </cfRule>
    <cfRule type="cellIs" dxfId="10216" priority="40303" operator="equal">
      <formula>"CANCELADO"</formula>
    </cfRule>
    <cfRule type="cellIs" dxfId="10215" priority="40304" operator="equal">
      <formula>"NO EJECUTADO"</formula>
    </cfRule>
    <cfRule type="cellIs" dxfId="10214" priority="40305" operator="equal">
      <formula>"FPE"</formula>
    </cfRule>
    <cfRule type="cellIs" dxfId="10213" priority="40306" operator="equal">
      <formula>"AMA"</formula>
    </cfRule>
    <cfRule type="cellIs" dxfId="10212" priority="40307" operator="equal">
      <formula>"SIN DATOS"</formula>
    </cfRule>
    <cfRule type="cellIs" dxfId="10211" priority="40308" operator="equal">
      <formula>"SIN DATOS"</formula>
    </cfRule>
    <cfRule type="cellIs" dxfId="10210" priority="40309" operator="equal">
      <formula>"NO EJECTUTADO"</formula>
    </cfRule>
    <cfRule type="cellIs" dxfId="10209" priority="40310" operator="equal">
      <formula>"FE"</formula>
    </cfRule>
    <cfRule type="cellIs" dxfId="10208" priority="40311" operator="equal">
      <formula>"FE"</formula>
    </cfRule>
  </conditionalFormatting>
  <conditionalFormatting sqref="F278">
    <cfRule type="cellIs" dxfId="10207" priority="40300" operator="equal">
      <formula>"Retirado"</formula>
    </cfRule>
    <cfRule type="cellIs" dxfId="10206" priority="40301" operator="equal">
      <formula>"FSE"</formula>
    </cfRule>
  </conditionalFormatting>
  <conditionalFormatting sqref="F280">
    <cfRule type="cellIs" dxfId="10205" priority="40288" operator="equal">
      <formula>"APLAZADO"</formula>
    </cfRule>
    <cfRule type="cellIs" dxfId="10204" priority="40289" operator="equal">
      <formula>"CANCELADO"</formula>
    </cfRule>
    <cfRule type="cellIs" dxfId="10203" priority="40290" operator="equal">
      <formula>"NO EJECUTADO"</formula>
    </cfRule>
    <cfRule type="cellIs" dxfId="10202" priority="40291" operator="equal">
      <formula>"FPE"</formula>
    </cfRule>
    <cfRule type="cellIs" dxfId="10201" priority="40292" operator="equal">
      <formula>"AMA"</formula>
    </cfRule>
    <cfRule type="cellIs" dxfId="10200" priority="40293" operator="equal">
      <formula>"SIN DATOS"</formula>
    </cfRule>
    <cfRule type="cellIs" dxfId="10199" priority="40294" operator="equal">
      <formula>"SIN DATOS"</formula>
    </cfRule>
    <cfRule type="cellIs" dxfId="10198" priority="40295" operator="equal">
      <formula>"NO EJECTUTADO"</formula>
    </cfRule>
    <cfRule type="cellIs" dxfId="10197" priority="40296" operator="equal">
      <formula>"FE"</formula>
    </cfRule>
    <cfRule type="cellIs" dxfId="10196" priority="40297" operator="equal">
      <formula>"FE"</formula>
    </cfRule>
  </conditionalFormatting>
  <conditionalFormatting sqref="F280">
    <cfRule type="cellIs" dxfId="10195" priority="40286" operator="equal">
      <formula>"Retirado"</formula>
    </cfRule>
    <cfRule type="cellIs" dxfId="10194" priority="40287" operator="equal">
      <formula>"FSE"</formula>
    </cfRule>
  </conditionalFormatting>
  <conditionalFormatting sqref="H282">
    <cfRule type="duplicateValues" dxfId="10193" priority="40264"/>
  </conditionalFormatting>
  <conditionalFormatting sqref="F283">
    <cfRule type="cellIs" dxfId="10192" priority="40253" operator="equal">
      <formula>"APLAZADO"</formula>
    </cfRule>
    <cfRule type="cellIs" dxfId="10191" priority="40254" operator="equal">
      <formula>"CANCELADO"</formula>
    </cfRule>
    <cfRule type="cellIs" dxfId="10190" priority="40255" operator="equal">
      <formula>"NO EJECUTADO"</formula>
    </cfRule>
    <cfRule type="cellIs" dxfId="10189" priority="40256" operator="equal">
      <formula>"FPE"</formula>
    </cfRule>
    <cfRule type="cellIs" dxfId="10188" priority="40257" operator="equal">
      <formula>"AMA"</formula>
    </cfRule>
    <cfRule type="cellIs" dxfId="10187" priority="40258" operator="equal">
      <formula>"SIN DATOS"</formula>
    </cfRule>
    <cfRule type="cellIs" dxfId="10186" priority="40259" operator="equal">
      <formula>"SIN DATOS"</formula>
    </cfRule>
    <cfRule type="cellIs" dxfId="10185" priority="40260" operator="equal">
      <formula>"NO EJECTUTADO"</formula>
    </cfRule>
    <cfRule type="cellIs" dxfId="10184" priority="40261" operator="equal">
      <formula>"FE"</formula>
    </cfRule>
    <cfRule type="cellIs" dxfId="10183" priority="40262" operator="equal">
      <formula>"FE"</formula>
    </cfRule>
  </conditionalFormatting>
  <conditionalFormatting sqref="F283">
    <cfRule type="cellIs" dxfId="10182" priority="40251" operator="equal">
      <formula>"Retirado"</formula>
    </cfRule>
    <cfRule type="cellIs" dxfId="10181" priority="40252" operator="equal">
      <formula>"FSE"</formula>
    </cfRule>
  </conditionalFormatting>
  <conditionalFormatting sqref="A283">
    <cfRule type="cellIs" dxfId="10180" priority="40241" operator="equal">
      <formula>"APLAZADO"</formula>
    </cfRule>
    <cfRule type="cellIs" dxfId="10179" priority="40242" operator="equal">
      <formula>"CANCELADO"</formula>
    </cfRule>
    <cfRule type="cellIs" dxfId="10178" priority="40243" operator="equal">
      <formula>"NO EJECUTADO"</formula>
    </cfRule>
    <cfRule type="cellIs" dxfId="10177" priority="40244" operator="equal">
      <formula>"FPE"</formula>
    </cfRule>
    <cfRule type="cellIs" dxfId="10176" priority="40245" operator="equal">
      <formula>"AMA"</formula>
    </cfRule>
    <cfRule type="cellIs" dxfId="10175" priority="40246" operator="equal">
      <formula>"SIN DATOS"</formula>
    </cfRule>
    <cfRule type="cellIs" dxfId="10174" priority="40247" operator="equal">
      <formula>"SIN DATOS"</formula>
    </cfRule>
    <cfRule type="cellIs" dxfId="10173" priority="40248" operator="equal">
      <formula>"NO EJECTUTADO"</formula>
    </cfRule>
    <cfRule type="cellIs" dxfId="10172" priority="40249" operator="equal">
      <formula>"FE"</formula>
    </cfRule>
    <cfRule type="cellIs" dxfId="10171" priority="40250" operator="equal">
      <formula>"FE"</formula>
    </cfRule>
  </conditionalFormatting>
  <conditionalFormatting sqref="A283">
    <cfRule type="cellIs" dxfId="10170" priority="40239" operator="equal">
      <formula>"Retirado"</formula>
    </cfRule>
    <cfRule type="cellIs" dxfId="10169" priority="40240" operator="equal">
      <formula>"FSE"</formula>
    </cfRule>
  </conditionalFormatting>
  <conditionalFormatting sqref="F284">
    <cfRule type="cellIs" dxfId="10168" priority="40229" operator="equal">
      <formula>"APLAZADO"</formula>
    </cfRule>
    <cfRule type="cellIs" dxfId="10167" priority="40230" operator="equal">
      <formula>"CANCELADO"</formula>
    </cfRule>
    <cfRule type="cellIs" dxfId="10166" priority="40231" operator="equal">
      <formula>"NO EJECUTADO"</formula>
    </cfRule>
    <cfRule type="cellIs" dxfId="10165" priority="40232" operator="equal">
      <formula>"FPE"</formula>
    </cfRule>
    <cfRule type="cellIs" dxfId="10164" priority="40233" operator="equal">
      <formula>"AMA"</formula>
    </cfRule>
    <cfRule type="cellIs" dxfId="10163" priority="40234" operator="equal">
      <formula>"SIN DATOS"</formula>
    </cfRule>
    <cfRule type="cellIs" dxfId="10162" priority="40235" operator="equal">
      <formula>"SIN DATOS"</formula>
    </cfRule>
    <cfRule type="cellIs" dxfId="10161" priority="40236" operator="equal">
      <formula>"NO EJECTUTADO"</formula>
    </cfRule>
    <cfRule type="cellIs" dxfId="10160" priority="40237" operator="equal">
      <formula>"FE"</formula>
    </cfRule>
    <cfRule type="cellIs" dxfId="10159" priority="40238" operator="equal">
      <formula>"FE"</formula>
    </cfRule>
  </conditionalFormatting>
  <conditionalFormatting sqref="F284">
    <cfRule type="cellIs" dxfId="10158" priority="40227" operator="equal">
      <formula>"Retirado"</formula>
    </cfRule>
    <cfRule type="cellIs" dxfId="10157" priority="40228" operator="equal">
      <formula>"FSE"</formula>
    </cfRule>
  </conditionalFormatting>
  <conditionalFormatting sqref="F285">
    <cfRule type="cellIs" dxfId="10156" priority="40217" operator="equal">
      <formula>"APLAZADO"</formula>
    </cfRule>
    <cfRule type="cellIs" dxfId="10155" priority="40218" operator="equal">
      <formula>"CANCELADO"</formula>
    </cfRule>
    <cfRule type="cellIs" dxfId="10154" priority="40219" operator="equal">
      <formula>"NO EJECUTADO"</formula>
    </cfRule>
    <cfRule type="cellIs" dxfId="10153" priority="40220" operator="equal">
      <formula>"FPE"</formula>
    </cfRule>
    <cfRule type="cellIs" dxfId="10152" priority="40221" operator="equal">
      <formula>"AMA"</formula>
    </cfRule>
    <cfRule type="cellIs" dxfId="10151" priority="40222" operator="equal">
      <formula>"SIN DATOS"</formula>
    </cfRule>
    <cfRule type="cellIs" dxfId="10150" priority="40223" operator="equal">
      <formula>"SIN DATOS"</formula>
    </cfRule>
    <cfRule type="cellIs" dxfId="10149" priority="40224" operator="equal">
      <formula>"NO EJECTUTADO"</formula>
    </cfRule>
    <cfRule type="cellIs" dxfId="10148" priority="40225" operator="equal">
      <formula>"FE"</formula>
    </cfRule>
    <cfRule type="cellIs" dxfId="10147" priority="40226" operator="equal">
      <formula>"FE"</formula>
    </cfRule>
  </conditionalFormatting>
  <conditionalFormatting sqref="F285">
    <cfRule type="cellIs" dxfId="10146" priority="40215" operator="equal">
      <formula>"Retirado"</formula>
    </cfRule>
    <cfRule type="cellIs" dxfId="10145" priority="40216" operator="equal">
      <formula>"FSE"</formula>
    </cfRule>
  </conditionalFormatting>
  <conditionalFormatting sqref="F286">
    <cfRule type="cellIs" dxfId="10144" priority="40203" operator="equal">
      <formula>"APLAZADO"</formula>
    </cfRule>
    <cfRule type="cellIs" dxfId="10143" priority="40204" operator="equal">
      <formula>"CANCELADO"</formula>
    </cfRule>
    <cfRule type="cellIs" dxfId="10142" priority="40205" operator="equal">
      <formula>"NO EJECUTADO"</formula>
    </cfRule>
    <cfRule type="cellIs" dxfId="10141" priority="40206" operator="equal">
      <formula>"FPE"</formula>
    </cfRule>
    <cfRule type="cellIs" dxfId="10140" priority="40207" operator="equal">
      <formula>"AMA"</formula>
    </cfRule>
    <cfRule type="cellIs" dxfId="10139" priority="40208" operator="equal">
      <formula>"SIN DATOS"</formula>
    </cfRule>
    <cfRule type="cellIs" dxfId="10138" priority="40209" operator="equal">
      <formula>"SIN DATOS"</formula>
    </cfRule>
    <cfRule type="cellIs" dxfId="10137" priority="40210" operator="equal">
      <formula>"NO EJECTUTADO"</formula>
    </cfRule>
    <cfRule type="cellIs" dxfId="10136" priority="40211" operator="equal">
      <formula>"FE"</formula>
    </cfRule>
    <cfRule type="cellIs" dxfId="10135" priority="40212" operator="equal">
      <formula>"FE"</formula>
    </cfRule>
  </conditionalFormatting>
  <conditionalFormatting sqref="F286">
    <cfRule type="cellIs" dxfId="10134" priority="40201" operator="equal">
      <formula>"Retirado"</formula>
    </cfRule>
    <cfRule type="cellIs" dxfId="10133" priority="40202" operator="equal">
      <formula>"FSE"</formula>
    </cfRule>
  </conditionalFormatting>
  <conditionalFormatting sqref="A287">
    <cfRule type="cellIs" dxfId="10132" priority="40191" operator="equal">
      <formula>"APLAZADO"</formula>
    </cfRule>
    <cfRule type="cellIs" dxfId="10131" priority="40192" operator="equal">
      <formula>"CANCELADO"</formula>
    </cfRule>
    <cfRule type="cellIs" dxfId="10130" priority="40193" operator="equal">
      <formula>"NO EJECUTADO"</formula>
    </cfRule>
    <cfRule type="cellIs" dxfId="10129" priority="40194" operator="equal">
      <formula>"FPE"</formula>
    </cfRule>
    <cfRule type="cellIs" dxfId="10128" priority="40195" operator="equal">
      <formula>"AMA"</formula>
    </cfRule>
    <cfRule type="cellIs" dxfId="10127" priority="40196" operator="equal">
      <formula>"SIN DATOS"</formula>
    </cfRule>
    <cfRule type="cellIs" dxfId="10126" priority="40197" operator="equal">
      <formula>"SIN DATOS"</formula>
    </cfRule>
    <cfRule type="cellIs" dxfId="10125" priority="40198" operator="equal">
      <formula>"NO EJECTUTADO"</formula>
    </cfRule>
    <cfRule type="cellIs" dxfId="10124" priority="40199" operator="equal">
      <formula>"FE"</formula>
    </cfRule>
    <cfRule type="cellIs" dxfId="10123" priority="40200" operator="equal">
      <formula>"FE"</formula>
    </cfRule>
  </conditionalFormatting>
  <conditionalFormatting sqref="A287">
    <cfRule type="cellIs" dxfId="10122" priority="40189" operator="equal">
      <formula>"Retirado"</formula>
    </cfRule>
    <cfRule type="cellIs" dxfId="10121" priority="40190" operator="equal">
      <formula>"FSE"</formula>
    </cfRule>
  </conditionalFormatting>
  <conditionalFormatting sqref="F287">
    <cfRule type="cellIs" dxfId="10120" priority="40179" operator="equal">
      <formula>"APLAZADO"</formula>
    </cfRule>
    <cfRule type="cellIs" dxfId="10119" priority="40180" operator="equal">
      <formula>"CANCELADO"</formula>
    </cfRule>
    <cfRule type="cellIs" dxfId="10118" priority="40181" operator="equal">
      <formula>"NO EJECUTADO"</formula>
    </cfRule>
    <cfRule type="cellIs" dxfId="10117" priority="40182" operator="equal">
      <formula>"FPE"</formula>
    </cfRule>
    <cfRule type="cellIs" dxfId="10116" priority="40183" operator="equal">
      <formula>"AMA"</formula>
    </cfRule>
    <cfRule type="cellIs" dxfId="10115" priority="40184" operator="equal">
      <formula>"SIN DATOS"</formula>
    </cfRule>
    <cfRule type="cellIs" dxfId="10114" priority="40185" operator="equal">
      <formula>"SIN DATOS"</formula>
    </cfRule>
    <cfRule type="cellIs" dxfId="10113" priority="40186" operator="equal">
      <formula>"NO EJECTUTADO"</formula>
    </cfRule>
    <cfRule type="cellIs" dxfId="10112" priority="40187" operator="equal">
      <formula>"FE"</formula>
    </cfRule>
    <cfRule type="cellIs" dxfId="10111" priority="40188" operator="equal">
      <formula>"FE"</formula>
    </cfRule>
  </conditionalFormatting>
  <conditionalFormatting sqref="F287">
    <cfRule type="cellIs" dxfId="10110" priority="40177" operator="equal">
      <formula>"Retirado"</formula>
    </cfRule>
    <cfRule type="cellIs" dxfId="10109" priority="40178" operator="equal">
      <formula>"FSE"</formula>
    </cfRule>
  </conditionalFormatting>
  <conditionalFormatting sqref="F288">
    <cfRule type="cellIs" dxfId="10108" priority="40165" operator="equal">
      <formula>"APLAZADO"</formula>
    </cfRule>
    <cfRule type="cellIs" dxfId="10107" priority="40166" operator="equal">
      <formula>"CANCELADO"</formula>
    </cfRule>
    <cfRule type="cellIs" dxfId="10106" priority="40167" operator="equal">
      <formula>"NO EJECUTADO"</formula>
    </cfRule>
    <cfRule type="cellIs" dxfId="10105" priority="40168" operator="equal">
      <formula>"FPE"</formula>
    </cfRule>
    <cfRule type="cellIs" dxfId="10104" priority="40169" operator="equal">
      <formula>"AMA"</formula>
    </cfRule>
    <cfRule type="cellIs" dxfId="10103" priority="40170" operator="equal">
      <formula>"SIN DATOS"</formula>
    </cfRule>
    <cfRule type="cellIs" dxfId="10102" priority="40171" operator="equal">
      <formula>"SIN DATOS"</formula>
    </cfRule>
    <cfRule type="cellIs" dxfId="10101" priority="40172" operator="equal">
      <formula>"NO EJECTUTADO"</formula>
    </cfRule>
    <cfRule type="cellIs" dxfId="10100" priority="40173" operator="equal">
      <formula>"FE"</formula>
    </cfRule>
    <cfRule type="cellIs" dxfId="10099" priority="40174" operator="equal">
      <formula>"FE"</formula>
    </cfRule>
  </conditionalFormatting>
  <conditionalFormatting sqref="F288">
    <cfRule type="cellIs" dxfId="10098" priority="40163" operator="equal">
      <formula>"Retirado"</formula>
    </cfRule>
    <cfRule type="cellIs" dxfId="10097" priority="40164" operator="equal">
      <formula>"FSE"</formula>
    </cfRule>
  </conditionalFormatting>
  <conditionalFormatting sqref="F289">
    <cfRule type="cellIs" dxfId="10096" priority="40153" operator="equal">
      <formula>"APLAZADO"</formula>
    </cfRule>
    <cfRule type="cellIs" dxfId="10095" priority="40154" operator="equal">
      <formula>"CANCELADO"</formula>
    </cfRule>
    <cfRule type="cellIs" dxfId="10094" priority="40155" operator="equal">
      <formula>"NO EJECUTADO"</formula>
    </cfRule>
    <cfRule type="cellIs" dxfId="10093" priority="40156" operator="equal">
      <formula>"FPE"</formula>
    </cfRule>
    <cfRule type="cellIs" dxfId="10092" priority="40157" operator="equal">
      <formula>"AMA"</formula>
    </cfRule>
    <cfRule type="cellIs" dxfId="10091" priority="40158" operator="equal">
      <formula>"SIN DATOS"</formula>
    </cfRule>
    <cfRule type="cellIs" dxfId="10090" priority="40159" operator="equal">
      <formula>"SIN DATOS"</formula>
    </cfRule>
    <cfRule type="cellIs" dxfId="10089" priority="40160" operator="equal">
      <formula>"NO EJECTUTADO"</formula>
    </cfRule>
    <cfRule type="cellIs" dxfId="10088" priority="40161" operator="equal">
      <formula>"FE"</formula>
    </cfRule>
    <cfRule type="cellIs" dxfId="10087" priority="40162" operator="equal">
      <formula>"FE"</formula>
    </cfRule>
  </conditionalFormatting>
  <conditionalFormatting sqref="F289">
    <cfRule type="cellIs" dxfId="10086" priority="40151" operator="equal">
      <formula>"Retirado"</formula>
    </cfRule>
    <cfRule type="cellIs" dxfId="10085" priority="40152" operator="equal">
      <formula>"FSE"</formula>
    </cfRule>
  </conditionalFormatting>
  <conditionalFormatting sqref="F291">
    <cfRule type="cellIs" dxfId="10084" priority="40134" operator="equal">
      <formula>"APLAZADO"</formula>
    </cfRule>
    <cfRule type="cellIs" dxfId="10083" priority="40135" operator="equal">
      <formula>"CANCELADO"</formula>
    </cfRule>
    <cfRule type="cellIs" dxfId="10082" priority="40136" operator="equal">
      <formula>"NO EJECUTADO"</formula>
    </cfRule>
    <cfRule type="cellIs" dxfId="10081" priority="40137" operator="equal">
      <formula>"FPE"</formula>
    </cfRule>
    <cfRule type="cellIs" dxfId="10080" priority="40138" operator="equal">
      <formula>"AMA"</formula>
    </cfRule>
    <cfRule type="cellIs" dxfId="10079" priority="40139" operator="equal">
      <formula>"SIN DATOS"</formula>
    </cfRule>
    <cfRule type="cellIs" dxfId="10078" priority="40140" operator="equal">
      <formula>"SIN DATOS"</formula>
    </cfRule>
    <cfRule type="cellIs" dxfId="10077" priority="40141" operator="equal">
      <formula>"NO EJECTUTADO"</formula>
    </cfRule>
    <cfRule type="cellIs" dxfId="10076" priority="40142" operator="equal">
      <formula>"FE"</formula>
    </cfRule>
    <cfRule type="cellIs" dxfId="10075" priority="40143" operator="equal">
      <formula>"FE"</formula>
    </cfRule>
  </conditionalFormatting>
  <conditionalFormatting sqref="F291">
    <cfRule type="cellIs" dxfId="10074" priority="40132" operator="equal">
      <formula>"Retirado"</formula>
    </cfRule>
    <cfRule type="cellIs" dxfId="10073" priority="40133" operator="equal">
      <formula>"FSE"</formula>
    </cfRule>
  </conditionalFormatting>
  <conditionalFormatting sqref="F292">
    <cfRule type="cellIs" dxfId="10072" priority="40117" operator="equal">
      <formula>"APLAZADO"</formula>
    </cfRule>
    <cfRule type="cellIs" dxfId="10071" priority="40118" operator="equal">
      <formula>"CANCELADO"</formula>
    </cfRule>
    <cfRule type="cellIs" dxfId="10070" priority="40119" operator="equal">
      <formula>"NO EJECUTADO"</formula>
    </cfRule>
    <cfRule type="cellIs" dxfId="10069" priority="40120" operator="equal">
      <formula>"FPE"</formula>
    </cfRule>
    <cfRule type="cellIs" dxfId="10068" priority="40121" operator="equal">
      <formula>"AMA"</formula>
    </cfRule>
    <cfRule type="cellIs" dxfId="10067" priority="40122" operator="equal">
      <formula>"SIN DATOS"</formula>
    </cfRule>
    <cfRule type="cellIs" dxfId="10066" priority="40123" operator="equal">
      <formula>"SIN DATOS"</formula>
    </cfRule>
    <cfRule type="cellIs" dxfId="10065" priority="40124" operator="equal">
      <formula>"NO EJECTUTADO"</formula>
    </cfRule>
    <cfRule type="cellIs" dxfId="10064" priority="40125" operator="equal">
      <formula>"FE"</formula>
    </cfRule>
    <cfRule type="cellIs" dxfId="10063" priority="40126" operator="equal">
      <formula>"FE"</formula>
    </cfRule>
  </conditionalFormatting>
  <conditionalFormatting sqref="F292">
    <cfRule type="cellIs" dxfId="10062" priority="40115" operator="equal">
      <formula>"Retirado"</formula>
    </cfRule>
    <cfRule type="cellIs" dxfId="10061" priority="40116" operator="equal">
      <formula>"FSE"</formula>
    </cfRule>
  </conditionalFormatting>
  <conditionalFormatting sqref="F293">
    <cfRule type="cellIs" dxfId="10060" priority="40105" operator="equal">
      <formula>"APLAZADO"</formula>
    </cfRule>
    <cfRule type="cellIs" dxfId="10059" priority="40106" operator="equal">
      <formula>"CANCELADO"</formula>
    </cfRule>
    <cfRule type="cellIs" dxfId="10058" priority="40107" operator="equal">
      <formula>"NO EJECUTADO"</formula>
    </cfRule>
    <cfRule type="cellIs" dxfId="10057" priority="40108" operator="equal">
      <formula>"FPE"</formula>
    </cfRule>
    <cfRule type="cellIs" dxfId="10056" priority="40109" operator="equal">
      <formula>"AMA"</formula>
    </cfRule>
    <cfRule type="cellIs" dxfId="10055" priority="40110" operator="equal">
      <formula>"SIN DATOS"</formula>
    </cfRule>
    <cfRule type="cellIs" dxfId="10054" priority="40111" operator="equal">
      <formula>"SIN DATOS"</formula>
    </cfRule>
    <cfRule type="cellIs" dxfId="10053" priority="40112" operator="equal">
      <formula>"NO EJECTUTADO"</formula>
    </cfRule>
    <cfRule type="cellIs" dxfId="10052" priority="40113" operator="equal">
      <formula>"FE"</formula>
    </cfRule>
    <cfRule type="cellIs" dxfId="10051" priority="40114" operator="equal">
      <formula>"FE"</formula>
    </cfRule>
  </conditionalFormatting>
  <conditionalFormatting sqref="F293">
    <cfRule type="cellIs" dxfId="10050" priority="40103" operator="equal">
      <formula>"Retirado"</formula>
    </cfRule>
    <cfRule type="cellIs" dxfId="10049" priority="40104" operator="equal">
      <formula>"FSE"</formula>
    </cfRule>
  </conditionalFormatting>
  <conditionalFormatting sqref="A294">
    <cfRule type="cellIs" dxfId="10048" priority="40092" operator="equal">
      <formula>"APLAZADO"</formula>
    </cfRule>
    <cfRule type="cellIs" dxfId="10047" priority="40093" operator="equal">
      <formula>"CANCELADO"</formula>
    </cfRule>
    <cfRule type="cellIs" dxfId="10046" priority="40094" operator="equal">
      <formula>"NO EJECUTADO"</formula>
    </cfRule>
    <cfRule type="cellIs" dxfId="10045" priority="40095" operator="equal">
      <formula>"FPE"</formula>
    </cfRule>
    <cfRule type="cellIs" dxfId="10044" priority="40096" operator="equal">
      <formula>"AMA"</formula>
    </cfRule>
    <cfRule type="cellIs" dxfId="10043" priority="40097" operator="equal">
      <formula>"SIN DATOS"</formula>
    </cfRule>
    <cfRule type="cellIs" dxfId="10042" priority="40098" operator="equal">
      <formula>"SIN DATOS"</formula>
    </cfRule>
    <cfRule type="cellIs" dxfId="10041" priority="40099" operator="equal">
      <formula>"NO EJECTUTADO"</formula>
    </cfRule>
    <cfRule type="cellIs" dxfId="10040" priority="40100" operator="equal">
      <formula>"FE"</formula>
    </cfRule>
    <cfRule type="cellIs" dxfId="10039" priority="40101" operator="equal">
      <formula>"FE"</formula>
    </cfRule>
  </conditionalFormatting>
  <conditionalFormatting sqref="A294">
    <cfRule type="cellIs" dxfId="10038" priority="40090" operator="equal">
      <formula>"Retirado"</formula>
    </cfRule>
    <cfRule type="cellIs" dxfId="10037" priority="40091" operator="equal">
      <formula>"FSE"</formula>
    </cfRule>
  </conditionalFormatting>
  <conditionalFormatting sqref="H294">
    <cfRule type="duplicateValues" dxfId="10036" priority="40089"/>
  </conditionalFormatting>
  <conditionalFormatting sqref="F294">
    <cfRule type="cellIs" dxfId="10035" priority="40079" operator="equal">
      <formula>"APLAZADO"</formula>
    </cfRule>
    <cfRule type="cellIs" dxfId="10034" priority="40080" operator="equal">
      <formula>"CANCELADO"</formula>
    </cfRule>
    <cfRule type="cellIs" dxfId="10033" priority="40081" operator="equal">
      <formula>"NO EJECUTADO"</formula>
    </cfRule>
    <cfRule type="cellIs" dxfId="10032" priority="40082" operator="equal">
      <formula>"FPE"</formula>
    </cfRule>
    <cfRule type="cellIs" dxfId="10031" priority="40083" operator="equal">
      <formula>"AMA"</formula>
    </cfRule>
    <cfRule type="cellIs" dxfId="10030" priority="40084" operator="equal">
      <formula>"SIN DATOS"</formula>
    </cfRule>
    <cfRule type="cellIs" dxfId="10029" priority="40085" operator="equal">
      <formula>"SIN DATOS"</formula>
    </cfRule>
    <cfRule type="cellIs" dxfId="10028" priority="40086" operator="equal">
      <formula>"NO EJECTUTADO"</formula>
    </cfRule>
    <cfRule type="cellIs" dxfId="10027" priority="40087" operator="equal">
      <formula>"FE"</formula>
    </cfRule>
    <cfRule type="cellIs" dxfId="10026" priority="40088" operator="equal">
      <formula>"FE"</formula>
    </cfRule>
  </conditionalFormatting>
  <conditionalFormatting sqref="F294">
    <cfRule type="cellIs" dxfId="10025" priority="40077" operator="equal">
      <formula>"Retirado"</formula>
    </cfRule>
    <cfRule type="cellIs" dxfId="10024" priority="40078" operator="equal">
      <formula>"FSE"</formula>
    </cfRule>
  </conditionalFormatting>
  <conditionalFormatting sqref="F296">
    <cfRule type="cellIs" dxfId="10023" priority="40065" operator="equal">
      <formula>"APLAZADO"</formula>
    </cfRule>
    <cfRule type="cellIs" dxfId="10022" priority="40066" operator="equal">
      <formula>"CANCELADO"</formula>
    </cfRule>
    <cfRule type="cellIs" dxfId="10021" priority="40067" operator="equal">
      <formula>"NO EJECUTADO"</formula>
    </cfRule>
    <cfRule type="cellIs" dxfId="10020" priority="40068" operator="equal">
      <formula>"FPE"</formula>
    </cfRule>
    <cfRule type="cellIs" dxfId="10019" priority="40069" operator="equal">
      <formula>"AMA"</formula>
    </cfRule>
    <cfRule type="cellIs" dxfId="10018" priority="40070" operator="equal">
      <formula>"SIN DATOS"</formula>
    </cfRule>
    <cfRule type="cellIs" dxfId="10017" priority="40071" operator="equal">
      <formula>"SIN DATOS"</formula>
    </cfRule>
    <cfRule type="cellIs" dxfId="10016" priority="40072" operator="equal">
      <formula>"NO EJECTUTADO"</formula>
    </cfRule>
    <cfRule type="cellIs" dxfId="10015" priority="40073" operator="equal">
      <formula>"FE"</formula>
    </cfRule>
    <cfRule type="cellIs" dxfId="10014" priority="40074" operator="equal">
      <formula>"FE"</formula>
    </cfRule>
  </conditionalFormatting>
  <conditionalFormatting sqref="F296">
    <cfRule type="cellIs" dxfId="10013" priority="40063" operator="equal">
      <formula>"Retirado"</formula>
    </cfRule>
    <cfRule type="cellIs" dxfId="10012" priority="40064" operator="equal">
      <formula>"FSE"</formula>
    </cfRule>
  </conditionalFormatting>
  <conditionalFormatting sqref="F297">
    <cfRule type="cellIs" dxfId="10011" priority="40053" operator="equal">
      <formula>"APLAZADO"</formula>
    </cfRule>
    <cfRule type="cellIs" dxfId="10010" priority="40054" operator="equal">
      <formula>"CANCELADO"</formula>
    </cfRule>
    <cfRule type="cellIs" dxfId="10009" priority="40055" operator="equal">
      <formula>"NO EJECUTADO"</formula>
    </cfRule>
    <cfRule type="cellIs" dxfId="10008" priority="40056" operator="equal">
      <formula>"FPE"</formula>
    </cfRule>
    <cfRule type="cellIs" dxfId="10007" priority="40057" operator="equal">
      <formula>"AMA"</formula>
    </cfRule>
    <cfRule type="cellIs" dxfId="10006" priority="40058" operator="equal">
      <formula>"SIN DATOS"</formula>
    </cfRule>
    <cfRule type="cellIs" dxfId="10005" priority="40059" operator="equal">
      <formula>"SIN DATOS"</formula>
    </cfRule>
    <cfRule type="cellIs" dxfId="10004" priority="40060" operator="equal">
      <formula>"NO EJECTUTADO"</formula>
    </cfRule>
    <cfRule type="cellIs" dxfId="10003" priority="40061" operator="equal">
      <formula>"FE"</formula>
    </cfRule>
    <cfRule type="cellIs" dxfId="10002" priority="40062" operator="equal">
      <formula>"FE"</formula>
    </cfRule>
  </conditionalFormatting>
  <conditionalFormatting sqref="F297">
    <cfRule type="cellIs" dxfId="10001" priority="40051" operator="equal">
      <formula>"Retirado"</formula>
    </cfRule>
    <cfRule type="cellIs" dxfId="10000" priority="40052" operator="equal">
      <formula>"FSE"</formula>
    </cfRule>
  </conditionalFormatting>
  <conditionalFormatting sqref="F298">
    <cfRule type="cellIs" dxfId="9999" priority="40041" operator="equal">
      <formula>"APLAZADO"</formula>
    </cfRule>
    <cfRule type="cellIs" dxfId="9998" priority="40042" operator="equal">
      <formula>"CANCELADO"</formula>
    </cfRule>
    <cfRule type="cellIs" dxfId="9997" priority="40043" operator="equal">
      <formula>"NO EJECUTADO"</formula>
    </cfRule>
    <cfRule type="cellIs" dxfId="9996" priority="40044" operator="equal">
      <formula>"FPE"</formula>
    </cfRule>
    <cfRule type="cellIs" dxfId="9995" priority="40045" operator="equal">
      <formula>"AMA"</formula>
    </cfRule>
    <cfRule type="cellIs" dxfId="9994" priority="40046" operator="equal">
      <formula>"SIN DATOS"</formula>
    </cfRule>
    <cfRule type="cellIs" dxfId="9993" priority="40047" operator="equal">
      <formula>"SIN DATOS"</formula>
    </cfRule>
    <cfRule type="cellIs" dxfId="9992" priority="40048" operator="equal">
      <formula>"NO EJECTUTADO"</formula>
    </cfRule>
    <cfRule type="cellIs" dxfId="9991" priority="40049" operator="equal">
      <formula>"FE"</formula>
    </cfRule>
    <cfRule type="cellIs" dxfId="9990" priority="40050" operator="equal">
      <formula>"FE"</formula>
    </cfRule>
  </conditionalFormatting>
  <conditionalFormatting sqref="F298">
    <cfRule type="cellIs" dxfId="9989" priority="40039" operator="equal">
      <formula>"Retirado"</formula>
    </cfRule>
    <cfRule type="cellIs" dxfId="9988" priority="40040" operator="equal">
      <formula>"FSE"</formula>
    </cfRule>
  </conditionalFormatting>
  <conditionalFormatting sqref="F299">
    <cfRule type="cellIs" dxfId="9987" priority="40029" operator="equal">
      <formula>"APLAZADO"</formula>
    </cfRule>
    <cfRule type="cellIs" dxfId="9986" priority="40030" operator="equal">
      <formula>"CANCELADO"</formula>
    </cfRule>
    <cfRule type="cellIs" dxfId="9985" priority="40031" operator="equal">
      <formula>"NO EJECUTADO"</formula>
    </cfRule>
    <cfRule type="cellIs" dxfId="9984" priority="40032" operator="equal">
      <formula>"FPE"</formula>
    </cfRule>
    <cfRule type="cellIs" dxfId="9983" priority="40033" operator="equal">
      <formula>"AMA"</formula>
    </cfRule>
    <cfRule type="cellIs" dxfId="9982" priority="40034" operator="equal">
      <formula>"SIN DATOS"</formula>
    </cfRule>
    <cfRule type="cellIs" dxfId="9981" priority="40035" operator="equal">
      <formula>"SIN DATOS"</formula>
    </cfRule>
    <cfRule type="cellIs" dxfId="9980" priority="40036" operator="equal">
      <formula>"NO EJECTUTADO"</formula>
    </cfRule>
    <cfRule type="cellIs" dxfId="9979" priority="40037" operator="equal">
      <formula>"FE"</formula>
    </cfRule>
    <cfRule type="cellIs" dxfId="9978" priority="40038" operator="equal">
      <formula>"FE"</formula>
    </cfRule>
  </conditionalFormatting>
  <conditionalFormatting sqref="F299">
    <cfRule type="cellIs" dxfId="9977" priority="40027" operator="equal">
      <formula>"Retirado"</formula>
    </cfRule>
    <cfRule type="cellIs" dxfId="9976" priority="40028" operator="equal">
      <formula>"FSE"</formula>
    </cfRule>
  </conditionalFormatting>
  <conditionalFormatting sqref="F300">
    <cfRule type="cellIs" dxfId="9975" priority="40005" operator="equal">
      <formula>"APLAZADO"</formula>
    </cfRule>
    <cfRule type="cellIs" dxfId="9974" priority="40006" operator="equal">
      <formula>"CANCELADO"</formula>
    </cfRule>
    <cfRule type="cellIs" dxfId="9973" priority="40007" operator="equal">
      <formula>"NO EJECUTADO"</formula>
    </cfRule>
    <cfRule type="cellIs" dxfId="9972" priority="40008" operator="equal">
      <formula>"FPE"</formula>
    </cfRule>
    <cfRule type="cellIs" dxfId="9971" priority="40009" operator="equal">
      <formula>"AMA"</formula>
    </cfRule>
    <cfRule type="cellIs" dxfId="9970" priority="40010" operator="equal">
      <formula>"SIN DATOS"</formula>
    </cfRule>
    <cfRule type="cellIs" dxfId="9969" priority="40011" operator="equal">
      <formula>"SIN DATOS"</formula>
    </cfRule>
    <cfRule type="cellIs" dxfId="9968" priority="40012" operator="equal">
      <formula>"NO EJECTUTADO"</formula>
    </cfRule>
    <cfRule type="cellIs" dxfId="9967" priority="40013" operator="equal">
      <formula>"FE"</formula>
    </cfRule>
    <cfRule type="cellIs" dxfId="9966" priority="40014" operator="equal">
      <formula>"FE"</formula>
    </cfRule>
  </conditionalFormatting>
  <conditionalFormatting sqref="F300">
    <cfRule type="cellIs" dxfId="9965" priority="40003" operator="equal">
      <formula>"Retirado"</formula>
    </cfRule>
    <cfRule type="cellIs" dxfId="9964" priority="40004" operator="equal">
      <formula>"FSE"</formula>
    </cfRule>
  </conditionalFormatting>
  <conditionalFormatting sqref="H248:H281 H283:H293 H295:H333 H335:H339">
    <cfRule type="duplicateValues" dxfId="9963" priority="136899"/>
  </conditionalFormatting>
  <conditionalFormatting sqref="F301">
    <cfRule type="cellIs" dxfId="9962" priority="39993" operator="equal">
      <formula>"APLAZADO"</formula>
    </cfRule>
    <cfRule type="cellIs" dxfId="9961" priority="39994" operator="equal">
      <formula>"CANCELADO"</formula>
    </cfRule>
    <cfRule type="cellIs" dxfId="9960" priority="39995" operator="equal">
      <formula>"NO EJECUTADO"</formula>
    </cfRule>
    <cfRule type="cellIs" dxfId="9959" priority="39996" operator="equal">
      <formula>"FPE"</formula>
    </cfRule>
    <cfRule type="cellIs" dxfId="9958" priority="39997" operator="equal">
      <formula>"AMA"</formula>
    </cfRule>
    <cfRule type="cellIs" dxfId="9957" priority="39998" operator="equal">
      <formula>"SIN DATOS"</formula>
    </cfRule>
    <cfRule type="cellIs" dxfId="9956" priority="39999" operator="equal">
      <formula>"SIN DATOS"</formula>
    </cfRule>
    <cfRule type="cellIs" dxfId="9955" priority="40000" operator="equal">
      <formula>"NO EJECTUTADO"</formula>
    </cfRule>
    <cfRule type="cellIs" dxfId="9954" priority="40001" operator="equal">
      <formula>"FE"</formula>
    </cfRule>
    <cfRule type="cellIs" dxfId="9953" priority="40002" operator="equal">
      <formula>"FE"</formula>
    </cfRule>
  </conditionalFormatting>
  <conditionalFormatting sqref="F301">
    <cfRule type="cellIs" dxfId="9952" priority="39991" operator="equal">
      <formula>"Retirado"</formula>
    </cfRule>
    <cfRule type="cellIs" dxfId="9951" priority="39992" operator="equal">
      <formula>"FSE"</formula>
    </cfRule>
  </conditionalFormatting>
  <conditionalFormatting sqref="F302">
    <cfRule type="cellIs" dxfId="9950" priority="39981" operator="equal">
      <formula>"APLAZADO"</formula>
    </cfRule>
    <cfRule type="cellIs" dxfId="9949" priority="39982" operator="equal">
      <formula>"CANCELADO"</formula>
    </cfRule>
    <cfRule type="cellIs" dxfId="9948" priority="39983" operator="equal">
      <formula>"NO EJECUTADO"</formula>
    </cfRule>
    <cfRule type="cellIs" dxfId="9947" priority="39984" operator="equal">
      <formula>"FPE"</formula>
    </cfRule>
    <cfRule type="cellIs" dxfId="9946" priority="39985" operator="equal">
      <formula>"AMA"</formula>
    </cfRule>
    <cfRule type="cellIs" dxfId="9945" priority="39986" operator="equal">
      <formula>"SIN DATOS"</formula>
    </cfRule>
    <cfRule type="cellIs" dxfId="9944" priority="39987" operator="equal">
      <formula>"SIN DATOS"</formula>
    </cfRule>
    <cfRule type="cellIs" dxfId="9943" priority="39988" operator="equal">
      <formula>"NO EJECTUTADO"</formula>
    </cfRule>
    <cfRule type="cellIs" dxfId="9942" priority="39989" operator="equal">
      <formula>"FE"</formula>
    </cfRule>
    <cfRule type="cellIs" dxfId="9941" priority="39990" operator="equal">
      <formula>"FE"</formula>
    </cfRule>
  </conditionalFormatting>
  <conditionalFormatting sqref="F302">
    <cfRule type="cellIs" dxfId="9940" priority="39979" operator="equal">
      <formula>"Retirado"</formula>
    </cfRule>
    <cfRule type="cellIs" dxfId="9939" priority="39980" operator="equal">
      <formula>"FSE"</formula>
    </cfRule>
  </conditionalFormatting>
  <conditionalFormatting sqref="A302">
    <cfRule type="cellIs" dxfId="9938" priority="39969" operator="equal">
      <formula>"APLAZADO"</formula>
    </cfRule>
    <cfRule type="cellIs" dxfId="9937" priority="39970" operator="equal">
      <formula>"CANCELADO"</formula>
    </cfRule>
    <cfRule type="cellIs" dxfId="9936" priority="39971" operator="equal">
      <formula>"NO EJECUTADO"</formula>
    </cfRule>
    <cfRule type="cellIs" dxfId="9935" priority="39972" operator="equal">
      <formula>"FPE"</formula>
    </cfRule>
    <cfRule type="cellIs" dxfId="9934" priority="39973" operator="equal">
      <formula>"AMA"</formula>
    </cfRule>
    <cfRule type="cellIs" dxfId="9933" priority="39974" operator="equal">
      <formula>"SIN DATOS"</formula>
    </cfRule>
    <cfRule type="cellIs" dxfId="9932" priority="39975" operator="equal">
      <formula>"SIN DATOS"</formula>
    </cfRule>
    <cfRule type="cellIs" dxfId="9931" priority="39976" operator="equal">
      <formula>"NO EJECTUTADO"</formula>
    </cfRule>
    <cfRule type="cellIs" dxfId="9930" priority="39977" operator="equal">
      <formula>"FE"</formula>
    </cfRule>
    <cfRule type="cellIs" dxfId="9929" priority="39978" operator="equal">
      <formula>"FE"</formula>
    </cfRule>
  </conditionalFormatting>
  <conditionalFormatting sqref="A302">
    <cfRule type="cellIs" dxfId="9928" priority="39967" operator="equal">
      <formula>"Retirado"</formula>
    </cfRule>
    <cfRule type="cellIs" dxfId="9927" priority="39968" operator="equal">
      <formula>"FSE"</formula>
    </cfRule>
  </conditionalFormatting>
  <conditionalFormatting sqref="F303">
    <cfRule type="cellIs" dxfId="9926" priority="39955" operator="equal">
      <formula>"APLAZADO"</formula>
    </cfRule>
    <cfRule type="cellIs" dxfId="9925" priority="39956" operator="equal">
      <formula>"CANCELADO"</formula>
    </cfRule>
    <cfRule type="cellIs" dxfId="9924" priority="39957" operator="equal">
      <formula>"NO EJECUTADO"</formula>
    </cfRule>
    <cfRule type="cellIs" dxfId="9923" priority="39958" operator="equal">
      <formula>"FPE"</formula>
    </cfRule>
    <cfRule type="cellIs" dxfId="9922" priority="39959" operator="equal">
      <formula>"AMA"</formula>
    </cfRule>
    <cfRule type="cellIs" dxfId="9921" priority="39960" operator="equal">
      <formula>"SIN DATOS"</formula>
    </cfRule>
    <cfRule type="cellIs" dxfId="9920" priority="39961" operator="equal">
      <formula>"SIN DATOS"</formula>
    </cfRule>
    <cfRule type="cellIs" dxfId="9919" priority="39962" operator="equal">
      <formula>"NO EJECTUTADO"</formula>
    </cfRule>
    <cfRule type="cellIs" dxfId="9918" priority="39963" operator="equal">
      <formula>"FE"</formula>
    </cfRule>
    <cfRule type="cellIs" dxfId="9917" priority="39964" operator="equal">
      <formula>"FE"</formula>
    </cfRule>
  </conditionalFormatting>
  <conditionalFormatting sqref="F303">
    <cfRule type="cellIs" dxfId="9916" priority="39953" operator="equal">
      <formula>"Retirado"</formula>
    </cfRule>
    <cfRule type="cellIs" dxfId="9915" priority="39954" operator="equal">
      <formula>"FSE"</formula>
    </cfRule>
  </conditionalFormatting>
  <conditionalFormatting sqref="F305">
    <cfRule type="cellIs" dxfId="9914" priority="39940" operator="equal">
      <formula>"APLAZADO"</formula>
    </cfRule>
    <cfRule type="cellIs" dxfId="9913" priority="39941" operator="equal">
      <formula>"CANCELADO"</formula>
    </cfRule>
    <cfRule type="cellIs" dxfId="9912" priority="39942" operator="equal">
      <formula>"NO EJECUTADO"</formula>
    </cfRule>
    <cfRule type="cellIs" dxfId="9911" priority="39943" operator="equal">
      <formula>"FPE"</formula>
    </cfRule>
    <cfRule type="cellIs" dxfId="9910" priority="39944" operator="equal">
      <formula>"AMA"</formula>
    </cfRule>
    <cfRule type="cellIs" dxfId="9909" priority="39945" operator="equal">
      <formula>"SIN DATOS"</formula>
    </cfRule>
    <cfRule type="cellIs" dxfId="9908" priority="39946" operator="equal">
      <formula>"SIN DATOS"</formula>
    </cfRule>
    <cfRule type="cellIs" dxfId="9907" priority="39947" operator="equal">
      <formula>"NO EJECTUTADO"</formula>
    </cfRule>
    <cfRule type="cellIs" dxfId="9906" priority="39948" operator="equal">
      <formula>"FE"</formula>
    </cfRule>
    <cfRule type="cellIs" dxfId="9905" priority="39949" operator="equal">
      <formula>"FE"</formula>
    </cfRule>
  </conditionalFormatting>
  <conditionalFormatting sqref="F305">
    <cfRule type="cellIs" dxfId="9904" priority="39938" operator="equal">
      <formula>"Retirado"</formula>
    </cfRule>
    <cfRule type="cellIs" dxfId="9903" priority="39939" operator="equal">
      <formula>"FSE"</formula>
    </cfRule>
  </conditionalFormatting>
  <conditionalFormatting sqref="A306">
    <cfRule type="cellIs" dxfId="9902" priority="39928" operator="equal">
      <formula>"APLAZADO"</formula>
    </cfRule>
    <cfRule type="cellIs" dxfId="9901" priority="39929" operator="equal">
      <formula>"CANCELADO"</formula>
    </cfRule>
    <cfRule type="cellIs" dxfId="9900" priority="39930" operator="equal">
      <formula>"NO EJECUTADO"</formula>
    </cfRule>
    <cfRule type="cellIs" dxfId="9899" priority="39931" operator="equal">
      <formula>"FPE"</formula>
    </cfRule>
    <cfRule type="cellIs" dxfId="9898" priority="39932" operator="equal">
      <formula>"AMA"</formula>
    </cfRule>
    <cfRule type="cellIs" dxfId="9897" priority="39933" operator="equal">
      <formula>"SIN DATOS"</formula>
    </cfRule>
    <cfRule type="cellIs" dxfId="9896" priority="39934" operator="equal">
      <formula>"SIN DATOS"</formula>
    </cfRule>
    <cfRule type="cellIs" dxfId="9895" priority="39935" operator="equal">
      <formula>"NO EJECTUTADO"</formula>
    </cfRule>
    <cfRule type="cellIs" dxfId="9894" priority="39936" operator="equal">
      <formula>"FE"</formula>
    </cfRule>
    <cfRule type="cellIs" dxfId="9893" priority="39937" operator="equal">
      <formula>"FE"</formula>
    </cfRule>
  </conditionalFormatting>
  <conditionalFormatting sqref="A306">
    <cfRule type="cellIs" dxfId="9892" priority="39926" operator="equal">
      <formula>"Retirado"</formula>
    </cfRule>
    <cfRule type="cellIs" dxfId="9891" priority="39927" operator="equal">
      <formula>"FSE"</formula>
    </cfRule>
  </conditionalFormatting>
  <conditionalFormatting sqref="F306">
    <cfRule type="cellIs" dxfId="9890" priority="39916" operator="equal">
      <formula>"APLAZADO"</formula>
    </cfRule>
    <cfRule type="cellIs" dxfId="9889" priority="39917" operator="equal">
      <formula>"CANCELADO"</formula>
    </cfRule>
    <cfRule type="cellIs" dxfId="9888" priority="39918" operator="equal">
      <formula>"NO EJECUTADO"</formula>
    </cfRule>
    <cfRule type="cellIs" dxfId="9887" priority="39919" operator="equal">
      <formula>"FPE"</formula>
    </cfRule>
    <cfRule type="cellIs" dxfId="9886" priority="39920" operator="equal">
      <formula>"AMA"</formula>
    </cfRule>
    <cfRule type="cellIs" dxfId="9885" priority="39921" operator="equal">
      <formula>"SIN DATOS"</formula>
    </cfRule>
    <cfRule type="cellIs" dxfId="9884" priority="39922" operator="equal">
      <formula>"SIN DATOS"</formula>
    </cfRule>
    <cfRule type="cellIs" dxfId="9883" priority="39923" operator="equal">
      <formula>"NO EJECTUTADO"</formula>
    </cfRule>
    <cfRule type="cellIs" dxfId="9882" priority="39924" operator="equal">
      <formula>"FE"</formula>
    </cfRule>
    <cfRule type="cellIs" dxfId="9881" priority="39925" operator="equal">
      <formula>"FE"</formula>
    </cfRule>
  </conditionalFormatting>
  <conditionalFormatting sqref="F306">
    <cfRule type="cellIs" dxfId="9880" priority="39914" operator="equal">
      <formula>"Retirado"</formula>
    </cfRule>
    <cfRule type="cellIs" dxfId="9879" priority="39915" operator="equal">
      <formula>"FSE"</formula>
    </cfRule>
  </conditionalFormatting>
  <conditionalFormatting sqref="F307">
    <cfRule type="cellIs" dxfId="9878" priority="39904" operator="equal">
      <formula>"APLAZADO"</formula>
    </cfRule>
    <cfRule type="cellIs" dxfId="9877" priority="39905" operator="equal">
      <formula>"CANCELADO"</formula>
    </cfRule>
    <cfRule type="cellIs" dxfId="9876" priority="39906" operator="equal">
      <formula>"NO EJECUTADO"</formula>
    </cfRule>
    <cfRule type="cellIs" dxfId="9875" priority="39907" operator="equal">
      <formula>"FPE"</formula>
    </cfRule>
    <cfRule type="cellIs" dxfId="9874" priority="39908" operator="equal">
      <formula>"AMA"</formula>
    </cfRule>
    <cfRule type="cellIs" dxfId="9873" priority="39909" operator="equal">
      <formula>"SIN DATOS"</formula>
    </cfRule>
    <cfRule type="cellIs" dxfId="9872" priority="39910" operator="equal">
      <formula>"SIN DATOS"</formula>
    </cfRule>
    <cfRule type="cellIs" dxfId="9871" priority="39911" operator="equal">
      <formula>"NO EJECTUTADO"</formula>
    </cfRule>
    <cfRule type="cellIs" dxfId="9870" priority="39912" operator="equal">
      <formula>"FE"</formula>
    </cfRule>
    <cfRule type="cellIs" dxfId="9869" priority="39913" operator="equal">
      <formula>"FE"</formula>
    </cfRule>
  </conditionalFormatting>
  <conditionalFormatting sqref="F307">
    <cfRule type="cellIs" dxfId="9868" priority="39902" operator="equal">
      <formula>"Retirado"</formula>
    </cfRule>
    <cfRule type="cellIs" dxfId="9867" priority="39903" operator="equal">
      <formula>"FSE"</formula>
    </cfRule>
  </conditionalFormatting>
  <conditionalFormatting sqref="F308">
    <cfRule type="cellIs" dxfId="9866" priority="39892" operator="equal">
      <formula>"APLAZADO"</formula>
    </cfRule>
    <cfRule type="cellIs" dxfId="9865" priority="39893" operator="equal">
      <formula>"CANCELADO"</formula>
    </cfRule>
    <cfRule type="cellIs" dxfId="9864" priority="39894" operator="equal">
      <formula>"NO EJECUTADO"</formula>
    </cfRule>
    <cfRule type="cellIs" dxfId="9863" priority="39895" operator="equal">
      <formula>"FPE"</formula>
    </cfRule>
    <cfRule type="cellIs" dxfId="9862" priority="39896" operator="equal">
      <formula>"AMA"</formula>
    </cfRule>
    <cfRule type="cellIs" dxfId="9861" priority="39897" operator="equal">
      <formula>"SIN DATOS"</formula>
    </cfRule>
    <cfRule type="cellIs" dxfId="9860" priority="39898" operator="equal">
      <formula>"SIN DATOS"</formula>
    </cfRule>
    <cfRule type="cellIs" dxfId="9859" priority="39899" operator="equal">
      <formula>"NO EJECTUTADO"</formula>
    </cfRule>
    <cfRule type="cellIs" dxfId="9858" priority="39900" operator="equal">
      <formula>"FE"</formula>
    </cfRule>
    <cfRule type="cellIs" dxfId="9857" priority="39901" operator="equal">
      <formula>"FE"</formula>
    </cfRule>
  </conditionalFormatting>
  <conditionalFormatting sqref="F308">
    <cfRule type="cellIs" dxfId="9856" priority="39890" operator="equal">
      <formula>"Retirado"</formula>
    </cfRule>
    <cfRule type="cellIs" dxfId="9855" priority="39891" operator="equal">
      <formula>"FSE"</formula>
    </cfRule>
  </conditionalFormatting>
  <conditionalFormatting sqref="F310">
    <cfRule type="cellIs" dxfId="9854" priority="39880" operator="equal">
      <formula>"APLAZADO"</formula>
    </cfRule>
    <cfRule type="cellIs" dxfId="9853" priority="39881" operator="equal">
      <formula>"CANCELADO"</formula>
    </cfRule>
    <cfRule type="cellIs" dxfId="9852" priority="39882" operator="equal">
      <formula>"NO EJECUTADO"</formula>
    </cfRule>
    <cfRule type="cellIs" dxfId="9851" priority="39883" operator="equal">
      <formula>"FPE"</formula>
    </cfRule>
    <cfRule type="cellIs" dxfId="9850" priority="39884" operator="equal">
      <formula>"AMA"</formula>
    </cfRule>
    <cfRule type="cellIs" dxfId="9849" priority="39885" operator="equal">
      <formula>"SIN DATOS"</formula>
    </cfRule>
    <cfRule type="cellIs" dxfId="9848" priority="39886" operator="equal">
      <formula>"SIN DATOS"</formula>
    </cfRule>
    <cfRule type="cellIs" dxfId="9847" priority="39887" operator="equal">
      <formula>"NO EJECTUTADO"</formula>
    </cfRule>
    <cfRule type="cellIs" dxfId="9846" priority="39888" operator="equal">
      <formula>"FE"</formula>
    </cfRule>
    <cfRule type="cellIs" dxfId="9845" priority="39889" operator="equal">
      <formula>"FE"</formula>
    </cfRule>
  </conditionalFormatting>
  <conditionalFormatting sqref="F310">
    <cfRule type="cellIs" dxfId="9844" priority="39878" operator="equal">
      <formula>"Retirado"</formula>
    </cfRule>
    <cfRule type="cellIs" dxfId="9843" priority="39879" operator="equal">
      <formula>"FSE"</formula>
    </cfRule>
  </conditionalFormatting>
  <conditionalFormatting sqref="F311">
    <cfRule type="cellIs" dxfId="9842" priority="39861" operator="equal">
      <formula>"APLAZADO"</formula>
    </cfRule>
    <cfRule type="cellIs" dxfId="9841" priority="39862" operator="equal">
      <formula>"CANCELADO"</formula>
    </cfRule>
    <cfRule type="cellIs" dxfId="9840" priority="39863" operator="equal">
      <formula>"NO EJECUTADO"</formula>
    </cfRule>
    <cfRule type="cellIs" dxfId="9839" priority="39864" operator="equal">
      <formula>"FPE"</formula>
    </cfRule>
    <cfRule type="cellIs" dxfId="9838" priority="39865" operator="equal">
      <formula>"AMA"</formula>
    </cfRule>
    <cfRule type="cellIs" dxfId="9837" priority="39866" operator="equal">
      <formula>"SIN DATOS"</formula>
    </cfRule>
    <cfRule type="cellIs" dxfId="9836" priority="39867" operator="equal">
      <formula>"SIN DATOS"</formula>
    </cfRule>
    <cfRule type="cellIs" dxfId="9835" priority="39868" operator="equal">
      <formula>"NO EJECTUTADO"</formula>
    </cfRule>
    <cfRule type="cellIs" dxfId="9834" priority="39869" operator="equal">
      <formula>"FE"</formula>
    </cfRule>
    <cfRule type="cellIs" dxfId="9833" priority="39870" operator="equal">
      <formula>"FE"</formula>
    </cfRule>
  </conditionalFormatting>
  <conditionalFormatting sqref="F311">
    <cfRule type="cellIs" dxfId="9832" priority="39859" operator="equal">
      <formula>"Retirado"</formula>
    </cfRule>
    <cfRule type="cellIs" dxfId="9831" priority="39860" operator="equal">
      <formula>"FSE"</formula>
    </cfRule>
  </conditionalFormatting>
  <conditionalFormatting sqref="F312">
    <cfRule type="cellIs" dxfId="9830" priority="39848" operator="equal">
      <formula>"APLAZADO"</formula>
    </cfRule>
    <cfRule type="cellIs" dxfId="9829" priority="39849" operator="equal">
      <formula>"CANCELADO"</formula>
    </cfRule>
    <cfRule type="cellIs" dxfId="9828" priority="39850" operator="equal">
      <formula>"NO EJECUTADO"</formula>
    </cfRule>
    <cfRule type="cellIs" dxfId="9827" priority="39851" operator="equal">
      <formula>"FPE"</formula>
    </cfRule>
    <cfRule type="cellIs" dxfId="9826" priority="39852" operator="equal">
      <formula>"AMA"</formula>
    </cfRule>
    <cfRule type="cellIs" dxfId="9825" priority="39853" operator="equal">
      <formula>"SIN DATOS"</formula>
    </cfRule>
    <cfRule type="cellIs" dxfId="9824" priority="39854" operator="equal">
      <formula>"SIN DATOS"</formula>
    </cfRule>
    <cfRule type="cellIs" dxfId="9823" priority="39855" operator="equal">
      <formula>"NO EJECTUTADO"</formula>
    </cfRule>
    <cfRule type="cellIs" dxfId="9822" priority="39856" operator="equal">
      <formula>"FE"</formula>
    </cfRule>
    <cfRule type="cellIs" dxfId="9821" priority="39857" operator="equal">
      <formula>"FE"</formula>
    </cfRule>
  </conditionalFormatting>
  <conditionalFormatting sqref="F312">
    <cfRule type="cellIs" dxfId="9820" priority="39846" operator="equal">
      <formula>"Retirado"</formula>
    </cfRule>
    <cfRule type="cellIs" dxfId="9819" priority="39847" operator="equal">
      <formula>"FSE"</formula>
    </cfRule>
  </conditionalFormatting>
  <conditionalFormatting sqref="F313">
    <cfRule type="cellIs" dxfId="9818" priority="39835" operator="equal">
      <formula>"APLAZADO"</formula>
    </cfRule>
    <cfRule type="cellIs" dxfId="9817" priority="39836" operator="equal">
      <formula>"CANCELADO"</formula>
    </cfRule>
    <cfRule type="cellIs" dxfId="9816" priority="39837" operator="equal">
      <formula>"NO EJECUTADO"</formula>
    </cfRule>
    <cfRule type="cellIs" dxfId="9815" priority="39838" operator="equal">
      <formula>"FPE"</formula>
    </cfRule>
    <cfRule type="cellIs" dxfId="9814" priority="39839" operator="equal">
      <formula>"AMA"</formula>
    </cfRule>
    <cfRule type="cellIs" dxfId="9813" priority="39840" operator="equal">
      <formula>"SIN DATOS"</formula>
    </cfRule>
    <cfRule type="cellIs" dxfId="9812" priority="39841" operator="equal">
      <formula>"SIN DATOS"</formula>
    </cfRule>
    <cfRule type="cellIs" dxfId="9811" priority="39842" operator="equal">
      <formula>"NO EJECTUTADO"</formula>
    </cfRule>
    <cfRule type="cellIs" dxfId="9810" priority="39843" operator="equal">
      <formula>"FE"</formula>
    </cfRule>
    <cfRule type="cellIs" dxfId="9809" priority="39844" operator="equal">
      <formula>"FE"</formula>
    </cfRule>
  </conditionalFormatting>
  <conditionalFormatting sqref="F313">
    <cfRule type="cellIs" dxfId="9808" priority="39833" operator="equal">
      <formula>"Retirado"</formula>
    </cfRule>
    <cfRule type="cellIs" dxfId="9807" priority="39834" operator="equal">
      <formula>"FSE"</formula>
    </cfRule>
  </conditionalFormatting>
  <conditionalFormatting sqref="F314">
    <cfRule type="cellIs" dxfId="9806" priority="39823" operator="equal">
      <formula>"APLAZADO"</formula>
    </cfRule>
    <cfRule type="cellIs" dxfId="9805" priority="39824" operator="equal">
      <formula>"CANCELADO"</formula>
    </cfRule>
    <cfRule type="cellIs" dxfId="9804" priority="39825" operator="equal">
      <formula>"NO EJECUTADO"</formula>
    </cfRule>
    <cfRule type="cellIs" dxfId="9803" priority="39826" operator="equal">
      <formula>"FPE"</formula>
    </cfRule>
    <cfRule type="cellIs" dxfId="9802" priority="39827" operator="equal">
      <formula>"AMA"</formula>
    </cfRule>
    <cfRule type="cellIs" dxfId="9801" priority="39828" operator="equal">
      <formula>"SIN DATOS"</formula>
    </cfRule>
    <cfRule type="cellIs" dxfId="9800" priority="39829" operator="equal">
      <formula>"SIN DATOS"</formula>
    </cfRule>
    <cfRule type="cellIs" dxfId="9799" priority="39830" operator="equal">
      <formula>"NO EJECTUTADO"</formula>
    </cfRule>
    <cfRule type="cellIs" dxfId="9798" priority="39831" operator="equal">
      <formula>"FE"</formula>
    </cfRule>
    <cfRule type="cellIs" dxfId="9797" priority="39832" operator="equal">
      <formula>"FE"</formula>
    </cfRule>
  </conditionalFormatting>
  <conditionalFormatting sqref="F314">
    <cfRule type="cellIs" dxfId="9796" priority="39821" operator="equal">
      <formula>"Retirado"</formula>
    </cfRule>
    <cfRule type="cellIs" dxfId="9795" priority="39822" operator="equal">
      <formula>"FSE"</formula>
    </cfRule>
  </conditionalFormatting>
  <conditionalFormatting sqref="A315">
    <cfRule type="cellIs" dxfId="9794" priority="39811" operator="equal">
      <formula>"APLAZADO"</formula>
    </cfRule>
    <cfRule type="cellIs" dxfId="9793" priority="39812" operator="equal">
      <formula>"CANCELADO"</formula>
    </cfRule>
    <cfRule type="cellIs" dxfId="9792" priority="39813" operator="equal">
      <formula>"NO EJECUTADO"</formula>
    </cfRule>
    <cfRule type="cellIs" dxfId="9791" priority="39814" operator="equal">
      <formula>"FPE"</formula>
    </cfRule>
    <cfRule type="cellIs" dxfId="9790" priority="39815" operator="equal">
      <formula>"AMA"</formula>
    </cfRule>
    <cfRule type="cellIs" dxfId="9789" priority="39816" operator="equal">
      <formula>"SIN DATOS"</formula>
    </cfRule>
    <cfRule type="cellIs" dxfId="9788" priority="39817" operator="equal">
      <formula>"SIN DATOS"</formula>
    </cfRule>
    <cfRule type="cellIs" dxfId="9787" priority="39818" operator="equal">
      <formula>"NO EJECTUTADO"</formula>
    </cfRule>
    <cfRule type="cellIs" dxfId="9786" priority="39819" operator="equal">
      <formula>"FE"</formula>
    </cfRule>
    <cfRule type="cellIs" dxfId="9785" priority="39820" operator="equal">
      <formula>"FE"</formula>
    </cfRule>
  </conditionalFormatting>
  <conditionalFormatting sqref="A315">
    <cfRule type="cellIs" dxfId="9784" priority="39809" operator="equal">
      <formula>"Retirado"</formula>
    </cfRule>
    <cfRule type="cellIs" dxfId="9783" priority="39810" operator="equal">
      <formula>"FSE"</formula>
    </cfRule>
  </conditionalFormatting>
  <conditionalFormatting sqref="F315">
    <cfRule type="cellIs" dxfId="9782" priority="39799" operator="equal">
      <formula>"APLAZADO"</formula>
    </cfRule>
    <cfRule type="cellIs" dxfId="9781" priority="39800" operator="equal">
      <formula>"CANCELADO"</formula>
    </cfRule>
    <cfRule type="cellIs" dxfId="9780" priority="39801" operator="equal">
      <formula>"NO EJECUTADO"</formula>
    </cfRule>
    <cfRule type="cellIs" dxfId="9779" priority="39802" operator="equal">
      <formula>"FPE"</formula>
    </cfRule>
    <cfRule type="cellIs" dxfId="9778" priority="39803" operator="equal">
      <formula>"AMA"</formula>
    </cfRule>
    <cfRule type="cellIs" dxfId="9777" priority="39804" operator="equal">
      <formula>"SIN DATOS"</formula>
    </cfRule>
    <cfRule type="cellIs" dxfId="9776" priority="39805" operator="equal">
      <formula>"SIN DATOS"</formula>
    </cfRule>
    <cfRule type="cellIs" dxfId="9775" priority="39806" operator="equal">
      <formula>"NO EJECTUTADO"</formula>
    </cfRule>
    <cfRule type="cellIs" dxfId="9774" priority="39807" operator="equal">
      <formula>"FE"</formula>
    </cfRule>
    <cfRule type="cellIs" dxfId="9773" priority="39808" operator="equal">
      <formula>"FE"</formula>
    </cfRule>
  </conditionalFormatting>
  <conditionalFormatting sqref="F315">
    <cfRule type="cellIs" dxfId="9772" priority="39797" operator="equal">
      <formula>"Retirado"</formula>
    </cfRule>
    <cfRule type="cellIs" dxfId="9771" priority="39798" operator="equal">
      <formula>"FSE"</formula>
    </cfRule>
  </conditionalFormatting>
  <conditionalFormatting sqref="F316">
    <cfRule type="cellIs" dxfId="9770" priority="39787" operator="equal">
      <formula>"APLAZADO"</formula>
    </cfRule>
    <cfRule type="cellIs" dxfId="9769" priority="39788" operator="equal">
      <formula>"CANCELADO"</formula>
    </cfRule>
    <cfRule type="cellIs" dxfId="9768" priority="39789" operator="equal">
      <formula>"NO EJECUTADO"</formula>
    </cfRule>
    <cfRule type="cellIs" dxfId="9767" priority="39790" operator="equal">
      <formula>"FPE"</formula>
    </cfRule>
    <cfRule type="cellIs" dxfId="9766" priority="39791" operator="equal">
      <formula>"AMA"</formula>
    </cfRule>
    <cfRule type="cellIs" dxfId="9765" priority="39792" operator="equal">
      <formula>"SIN DATOS"</formula>
    </cfRule>
    <cfRule type="cellIs" dxfId="9764" priority="39793" operator="equal">
      <formula>"SIN DATOS"</formula>
    </cfRule>
    <cfRule type="cellIs" dxfId="9763" priority="39794" operator="equal">
      <formula>"NO EJECTUTADO"</formula>
    </cfRule>
    <cfRule type="cellIs" dxfId="9762" priority="39795" operator="equal">
      <formula>"FE"</formula>
    </cfRule>
    <cfRule type="cellIs" dxfId="9761" priority="39796" operator="equal">
      <formula>"FE"</formula>
    </cfRule>
  </conditionalFormatting>
  <conditionalFormatting sqref="F316">
    <cfRule type="cellIs" dxfId="9760" priority="39785" operator="equal">
      <formula>"Retirado"</formula>
    </cfRule>
    <cfRule type="cellIs" dxfId="9759" priority="39786" operator="equal">
      <formula>"FSE"</formula>
    </cfRule>
  </conditionalFormatting>
  <conditionalFormatting sqref="F317">
    <cfRule type="cellIs" dxfId="9758" priority="39774" operator="equal">
      <formula>"APLAZADO"</formula>
    </cfRule>
    <cfRule type="cellIs" dxfId="9757" priority="39775" operator="equal">
      <formula>"CANCELADO"</formula>
    </cfRule>
    <cfRule type="cellIs" dxfId="9756" priority="39776" operator="equal">
      <formula>"NO EJECUTADO"</formula>
    </cfRule>
    <cfRule type="cellIs" dxfId="9755" priority="39777" operator="equal">
      <formula>"FPE"</formula>
    </cfRule>
    <cfRule type="cellIs" dxfId="9754" priority="39778" operator="equal">
      <formula>"AMA"</formula>
    </cfRule>
    <cfRule type="cellIs" dxfId="9753" priority="39779" operator="equal">
      <formula>"SIN DATOS"</formula>
    </cfRule>
    <cfRule type="cellIs" dxfId="9752" priority="39780" operator="equal">
      <formula>"SIN DATOS"</formula>
    </cfRule>
    <cfRule type="cellIs" dxfId="9751" priority="39781" operator="equal">
      <formula>"NO EJECTUTADO"</formula>
    </cfRule>
    <cfRule type="cellIs" dxfId="9750" priority="39782" operator="equal">
      <formula>"FE"</formula>
    </cfRule>
    <cfRule type="cellIs" dxfId="9749" priority="39783" operator="equal">
      <formula>"FE"</formula>
    </cfRule>
  </conditionalFormatting>
  <conditionalFormatting sqref="F317">
    <cfRule type="cellIs" dxfId="9748" priority="39772" operator="equal">
      <formula>"Retirado"</formula>
    </cfRule>
    <cfRule type="cellIs" dxfId="9747" priority="39773" operator="equal">
      <formula>"FSE"</formula>
    </cfRule>
  </conditionalFormatting>
  <conditionalFormatting sqref="F318">
    <cfRule type="cellIs" dxfId="9746" priority="39762" operator="equal">
      <formula>"APLAZADO"</formula>
    </cfRule>
    <cfRule type="cellIs" dxfId="9745" priority="39763" operator="equal">
      <formula>"CANCELADO"</formula>
    </cfRule>
    <cfRule type="cellIs" dxfId="9744" priority="39764" operator="equal">
      <formula>"NO EJECUTADO"</formula>
    </cfRule>
    <cfRule type="cellIs" dxfId="9743" priority="39765" operator="equal">
      <formula>"FPE"</formula>
    </cfRule>
    <cfRule type="cellIs" dxfId="9742" priority="39766" operator="equal">
      <formula>"AMA"</formula>
    </cfRule>
    <cfRule type="cellIs" dxfId="9741" priority="39767" operator="equal">
      <formula>"SIN DATOS"</formula>
    </cfRule>
    <cfRule type="cellIs" dxfId="9740" priority="39768" operator="equal">
      <formula>"SIN DATOS"</formula>
    </cfRule>
    <cfRule type="cellIs" dxfId="9739" priority="39769" operator="equal">
      <formula>"NO EJECTUTADO"</formula>
    </cfRule>
    <cfRule type="cellIs" dxfId="9738" priority="39770" operator="equal">
      <formula>"FE"</formula>
    </cfRule>
    <cfRule type="cellIs" dxfId="9737" priority="39771" operator="equal">
      <formula>"FE"</formula>
    </cfRule>
  </conditionalFormatting>
  <conditionalFormatting sqref="F318">
    <cfRule type="cellIs" dxfId="9736" priority="39760" operator="equal">
      <formula>"Retirado"</formula>
    </cfRule>
    <cfRule type="cellIs" dxfId="9735" priority="39761" operator="equal">
      <formula>"FSE"</formula>
    </cfRule>
  </conditionalFormatting>
  <conditionalFormatting sqref="F319">
    <cfRule type="cellIs" dxfId="9734" priority="39750" operator="equal">
      <formula>"APLAZADO"</formula>
    </cfRule>
    <cfRule type="cellIs" dxfId="9733" priority="39751" operator="equal">
      <formula>"CANCELADO"</formula>
    </cfRule>
    <cfRule type="cellIs" dxfId="9732" priority="39752" operator="equal">
      <formula>"NO EJECUTADO"</formula>
    </cfRule>
    <cfRule type="cellIs" dxfId="9731" priority="39753" operator="equal">
      <formula>"FPE"</formula>
    </cfRule>
    <cfRule type="cellIs" dxfId="9730" priority="39754" operator="equal">
      <formula>"AMA"</formula>
    </cfRule>
    <cfRule type="cellIs" dxfId="9729" priority="39755" operator="equal">
      <formula>"SIN DATOS"</formula>
    </cfRule>
    <cfRule type="cellIs" dxfId="9728" priority="39756" operator="equal">
      <formula>"SIN DATOS"</formula>
    </cfRule>
    <cfRule type="cellIs" dxfId="9727" priority="39757" operator="equal">
      <formula>"NO EJECTUTADO"</formula>
    </cfRule>
    <cfRule type="cellIs" dxfId="9726" priority="39758" operator="equal">
      <formula>"FE"</formula>
    </cfRule>
    <cfRule type="cellIs" dxfId="9725" priority="39759" operator="equal">
      <formula>"FE"</formula>
    </cfRule>
  </conditionalFormatting>
  <conditionalFormatting sqref="F319">
    <cfRule type="cellIs" dxfId="9724" priority="39748" operator="equal">
      <formula>"Retirado"</formula>
    </cfRule>
    <cfRule type="cellIs" dxfId="9723" priority="39749" operator="equal">
      <formula>"FSE"</formula>
    </cfRule>
  </conditionalFormatting>
  <conditionalFormatting sqref="F320">
    <cfRule type="cellIs" dxfId="9722" priority="39738" operator="equal">
      <formula>"APLAZADO"</formula>
    </cfRule>
    <cfRule type="cellIs" dxfId="9721" priority="39739" operator="equal">
      <formula>"CANCELADO"</formula>
    </cfRule>
    <cfRule type="cellIs" dxfId="9720" priority="39740" operator="equal">
      <formula>"NO EJECUTADO"</formula>
    </cfRule>
    <cfRule type="cellIs" dxfId="9719" priority="39741" operator="equal">
      <formula>"FPE"</formula>
    </cfRule>
    <cfRule type="cellIs" dxfId="9718" priority="39742" operator="equal">
      <formula>"AMA"</formula>
    </cfRule>
    <cfRule type="cellIs" dxfId="9717" priority="39743" operator="equal">
      <formula>"SIN DATOS"</formula>
    </cfRule>
    <cfRule type="cellIs" dxfId="9716" priority="39744" operator="equal">
      <formula>"SIN DATOS"</formula>
    </cfRule>
    <cfRule type="cellIs" dxfId="9715" priority="39745" operator="equal">
      <formula>"NO EJECTUTADO"</formula>
    </cfRule>
    <cfRule type="cellIs" dxfId="9714" priority="39746" operator="equal">
      <formula>"FE"</formula>
    </cfRule>
    <cfRule type="cellIs" dxfId="9713" priority="39747" operator="equal">
      <formula>"FE"</formula>
    </cfRule>
  </conditionalFormatting>
  <conditionalFormatting sqref="F320">
    <cfRule type="cellIs" dxfId="9712" priority="39736" operator="equal">
      <formula>"Retirado"</formula>
    </cfRule>
    <cfRule type="cellIs" dxfId="9711" priority="39737" operator="equal">
      <formula>"FSE"</formula>
    </cfRule>
  </conditionalFormatting>
  <conditionalFormatting sqref="F321">
    <cfRule type="cellIs" dxfId="9710" priority="39726" operator="equal">
      <formula>"APLAZADO"</formula>
    </cfRule>
    <cfRule type="cellIs" dxfId="9709" priority="39727" operator="equal">
      <formula>"CANCELADO"</formula>
    </cfRule>
    <cfRule type="cellIs" dxfId="9708" priority="39728" operator="equal">
      <formula>"NO EJECUTADO"</formula>
    </cfRule>
    <cfRule type="cellIs" dxfId="9707" priority="39729" operator="equal">
      <formula>"FPE"</formula>
    </cfRule>
    <cfRule type="cellIs" dxfId="9706" priority="39730" operator="equal">
      <formula>"AMA"</formula>
    </cfRule>
    <cfRule type="cellIs" dxfId="9705" priority="39731" operator="equal">
      <formula>"SIN DATOS"</formula>
    </cfRule>
    <cfRule type="cellIs" dxfId="9704" priority="39732" operator="equal">
      <formula>"SIN DATOS"</formula>
    </cfRule>
    <cfRule type="cellIs" dxfId="9703" priority="39733" operator="equal">
      <formula>"NO EJECTUTADO"</formula>
    </cfRule>
    <cfRule type="cellIs" dxfId="9702" priority="39734" operator="equal">
      <formula>"FE"</formula>
    </cfRule>
    <cfRule type="cellIs" dxfId="9701" priority="39735" operator="equal">
      <formula>"FE"</formula>
    </cfRule>
  </conditionalFormatting>
  <conditionalFormatting sqref="F321">
    <cfRule type="cellIs" dxfId="9700" priority="39724" operator="equal">
      <formula>"Retirado"</formula>
    </cfRule>
    <cfRule type="cellIs" dxfId="9699" priority="39725" operator="equal">
      <formula>"FSE"</formula>
    </cfRule>
  </conditionalFormatting>
  <conditionalFormatting sqref="F322">
    <cfRule type="cellIs" dxfId="9698" priority="39714" operator="equal">
      <formula>"APLAZADO"</formula>
    </cfRule>
    <cfRule type="cellIs" dxfId="9697" priority="39715" operator="equal">
      <formula>"CANCELADO"</formula>
    </cfRule>
    <cfRule type="cellIs" dxfId="9696" priority="39716" operator="equal">
      <formula>"NO EJECUTADO"</formula>
    </cfRule>
    <cfRule type="cellIs" dxfId="9695" priority="39717" operator="equal">
      <formula>"FPE"</formula>
    </cfRule>
    <cfRule type="cellIs" dxfId="9694" priority="39718" operator="equal">
      <formula>"AMA"</formula>
    </cfRule>
    <cfRule type="cellIs" dxfId="9693" priority="39719" operator="equal">
      <formula>"SIN DATOS"</formula>
    </cfRule>
    <cfRule type="cellIs" dxfId="9692" priority="39720" operator="equal">
      <formula>"SIN DATOS"</formula>
    </cfRule>
    <cfRule type="cellIs" dxfId="9691" priority="39721" operator="equal">
      <formula>"NO EJECTUTADO"</formula>
    </cfRule>
    <cfRule type="cellIs" dxfId="9690" priority="39722" operator="equal">
      <formula>"FE"</formula>
    </cfRule>
    <cfRule type="cellIs" dxfId="9689" priority="39723" operator="equal">
      <formula>"FE"</formula>
    </cfRule>
  </conditionalFormatting>
  <conditionalFormatting sqref="F322">
    <cfRule type="cellIs" dxfId="9688" priority="39712" operator="equal">
      <formula>"Retirado"</formula>
    </cfRule>
    <cfRule type="cellIs" dxfId="9687" priority="39713" operator="equal">
      <formula>"FSE"</formula>
    </cfRule>
  </conditionalFormatting>
  <conditionalFormatting sqref="F323">
    <cfRule type="cellIs" dxfId="9686" priority="39699" operator="equal">
      <formula>"APLAZADO"</formula>
    </cfRule>
    <cfRule type="cellIs" dxfId="9685" priority="39700" operator="equal">
      <formula>"CANCELADO"</formula>
    </cfRule>
    <cfRule type="cellIs" dxfId="9684" priority="39701" operator="equal">
      <formula>"NO EJECUTADO"</formula>
    </cfRule>
    <cfRule type="cellIs" dxfId="9683" priority="39702" operator="equal">
      <formula>"FPE"</formula>
    </cfRule>
    <cfRule type="cellIs" dxfId="9682" priority="39703" operator="equal">
      <formula>"AMA"</formula>
    </cfRule>
    <cfRule type="cellIs" dxfId="9681" priority="39704" operator="equal">
      <formula>"SIN DATOS"</formula>
    </cfRule>
    <cfRule type="cellIs" dxfId="9680" priority="39705" operator="equal">
      <formula>"SIN DATOS"</formula>
    </cfRule>
    <cfRule type="cellIs" dxfId="9679" priority="39706" operator="equal">
      <formula>"NO EJECTUTADO"</formula>
    </cfRule>
    <cfRule type="cellIs" dxfId="9678" priority="39707" operator="equal">
      <formula>"FE"</formula>
    </cfRule>
    <cfRule type="cellIs" dxfId="9677" priority="39708" operator="equal">
      <formula>"FE"</formula>
    </cfRule>
  </conditionalFormatting>
  <conditionalFormatting sqref="F323">
    <cfRule type="cellIs" dxfId="9676" priority="39697" operator="equal">
      <formula>"Retirado"</formula>
    </cfRule>
    <cfRule type="cellIs" dxfId="9675" priority="39698" operator="equal">
      <formula>"FSE"</formula>
    </cfRule>
  </conditionalFormatting>
  <conditionalFormatting sqref="A326">
    <cfRule type="cellIs" dxfId="9674" priority="39675" operator="equal">
      <formula>"APLAZADO"</formula>
    </cfRule>
    <cfRule type="cellIs" dxfId="9673" priority="39676" operator="equal">
      <formula>"CANCELADO"</formula>
    </cfRule>
    <cfRule type="cellIs" dxfId="9672" priority="39677" operator="equal">
      <formula>"NO EJECUTADO"</formula>
    </cfRule>
    <cfRule type="cellIs" dxfId="9671" priority="39678" operator="equal">
      <formula>"FPE"</formula>
    </cfRule>
    <cfRule type="cellIs" dxfId="9670" priority="39679" operator="equal">
      <formula>"AMA"</formula>
    </cfRule>
    <cfRule type="cellIs" dxfId="9669" priority="39680" operator="equal">
      <formula>"SIN DATOS"</formula>
    </cfRule>
    <cfRule type="cellIs" dxfId="9668" priority="39681" operator="equal">
      <formula>"SIN DATOS"</formula>
    </cfRule>
    <cfRule type="cellIs" dxfId="9667" priority="39682" operator="equal">
      <formula>"NO EJECTUTADO"</formula>
    </cfRule>
    <cfRule type="cellIs" dxfId="9666" priority="39683" operator="equal">
      <formula>"FE"</formula>
    </cfRule>
    <cfRule type="cellIs" dxfId="9665" priority="39684" operator="equal">
      <formula>"FE"</formula>
    </cfRule>
  </conditionalFormatting>
  <conditionalFormatting sqref="A326">
    <cfRule type="cellIs" dxfId="9664" priority="39673" operator="equal">
      <formula>"Retirado"</formula>
    </cfRule>
    <cfRule type="cellIs" dxfId="9663" priority="39674" operator="equal">
      <formula>"FSE"</formula>
    </cfRule>
  </conditionalFormatting>
  <conditionalFormatting sqref="F326">
    <cfRule type="cellIs" dxfId="9662" priority="39663" operator="equal">
      <formula>"APLAZADO"</formula>
    </cfRule>
    <cfRule type="cellIs" dxfId="9661" priority="39664" operator="equal">
      <formula>"CANCELADO"</formula>
    </cfRule>
    <cfRule type="cellIs" dxfId="9660" priority="39665" operator="equal">
      <formula>"NO EJECUTADO"</formula>
    </cfRule>
    <cfRule type="cellIs" dxfId="9659" priority="39666" operator="equal">
      <formula>"FPE"</formula>
    </cfRule>
    <cfRule type="cellIs" dxfId="9658" priority="39667" operator="equal">
      <formula>"AMA"</formula>
    </cfRule>
    <cfRule type="cellIs" dxfId="9657" priority="39668" operator="equal">
      <formula>"SIN DATOS"</formula>
    </cfRule>
    <cfRule type="cellIs" dxfId="9656" priority="39669" operator="equal">
      <formula>"SIN DATOS"</formula>
    </cfRule>
    <cfRule type="cellIs" dxfId="9655" priority="39670" operator="equal">
      <formula>"NO EJECTUTADO"</formula>
    </cfRule>
    <cfRule type="cellIs" dxfId="9654" priority="39671" operator="equal">
      <formula>"FE"</formula>
    </cfRule>
    <cfRule type="cellIs" dxfId="9653" priority="39672" operator="equal">
      <formula>"FE"</formula>
    </cfRule>
  </conditionalFormatting>
  <conditionalFormatting sqref="F326">
    <cfRule type="cellIs" dxfId="9652" priority="39661" operator="equal">
      <formula>"Retirado"</formula>
    </cfRule>
    <cfRule type="cellIs" dxfId="9651" priority="39662" operator="equal">
      <formula>"FSE"</formula>
    </cfRule>
  </conditionalFormatting>
  <conditionalFormatting sqref="A327">
    <cfRule type="cellIs" dxfId="9650" priority="39649" operator="equal">
      <formula>"APLAZADO"</formula>
    </cfRule>
    <cfRule type="cellIs" dxfId="9649" priority="39650" operator="equal">
      <formula>"CANCELADO"</formula>
    </cfRule>
    <cfRule type="cellIs" dxfId="9648" priority="39651" operator="equal">
      <formula>"NO EJECUTADO"</formula>
    </cfRule>
    <cfRule type="cellIs" dxfId="9647" priority="39652" operator="equal">
      <formula>"FPE"</formula>
    </cfRule>
    <cfRule type="cellIs" dxfId="9646" priority="39653" operator="equal">
      <formula>"AMA"</formula>
    </cfRule>
    <cfRule type="cellIs" dxfId="9645" priority="39654" operator="equal">
      <formula>"SIN DATOS"</formula>
    </cfRule>
    <cfRule type="cellIs" dxfId="9644" priority="39655" operator="equal">
      <formula>"SIN DATOS"</formula>
    </cfRule>
    <cfRule type="cellIs" dxfId="9643" priority="39656" operator="equal">
      <formula>"NO EJECTUTADO"</formula>
    </cfRule>
    <cfRule type="cellIs" dxfId="9642" priority="39657" operator="equal">
      <formula>"FE"</formula>
    </cfRule>
    <cfRule type="cellIs" dxfId="9641" priority="39658" operator="equal">
      <formula>"FE"</formula>
    </cfRule>
  </conditionalFormatting>
  <conditionalFormatting sqref="A327">
    <cfRule type="cellIs" dxfId="9640" priority="39647" operator="equal">
      <formula>"Retirado"</formula>
    </cfRule>
    <cfRule type="cellIs" dxfId="9639" priority="39648" operator="equal">
      <formula>"FSE"</formula>
    </cfRule>
  </conditionalFormatting>
  <conditionalFormatting sqref="F327">
    <cfRule type="cellIs" dxfId="9638" priority="39637" operator="equal">
      <formula>"APLAZADO"</formula>
    </cfRule>
    <cfRule type="cellIs" dxfId="9637" priority="39638" operator="equal">
      <formula>"CANCELADO"</formula>
    </cfRule>
    <cfRule type="cellIs" dxfId="9636" priority="39639" operator="equal">
      <formula>"NO EJECUTADO"</formula>
    </cfRule>
    <cfRule type="cellIs" dxfId="9635" priority="39640" operator="equal">
      <formula>"FPE"</formula>
    </cfRule>
    <cfRule type="cellIs" dxfId="9634" priority="39641" operator="equal">
      <formula>"AMA"</formula>
    </cfRule>
    <cfRule type="cellIs" dxfId="9633" priority="39642" operator="equal">
      <formula>"SIN DATOS"</formula>
    </cfRule>
    <cfRule type="cellIs" dxfId="9632" priority="39643" operator="equal">
      <formula>"SIN DATOS"</formula>
    </cfRule>
    <cfRule type="cellIs" dxfId="9631" priority="39644" operator="equal">
      <formula>"NO EJECTUTADO"</formula>
    </cfRule>
    <cfRule type="cellIs" dxfId="9630" priority="39645" operator="equal">
      <formula>"FE"</formula>
    </cfRule>
    <cfRule type="cellIs" dxfId="9629" priority="39646" operator="equal">
      <formula>"FE"</formula>
    </cfRule>
  </conditionalFormatting>
  <conditionalFormatting sqref="F327">
    <cfRule type="cellIs" dxfId="9628" priority="39635" operator="equal">
      <formula>"Retirado"</formula>
    </cfRule>
    <cfRule type="cellIs" dxfId="9627" priority="39636" operator="equal">
      <formula>"FSE"</formula>
    </cfRule>
  </conditionalFormatting>
  <conditionalFormatting sqref="F328">
    <cfRule type="cellIs" dxfId="9626" priority="39625" operator="equal">
      <formula>"APLAZADO"</formula>
    </cfRule>
    <cfRule type="cellIs" dxfId="9625" priority="39626" operator="equal">
      <formula>"CANCELADO"</formula>
    </cfRule>
    <cfRule type="cellIs" dxfId="9624" priority="39627" operator="equal">
      <formula>"NO EJECUTADO"</formula>
    </cfRule>
    <cfRule type="cellIs" dxfId="9623" priority="39628" operator="equal">
      <formula>"FPE"</formula>
    </cfRule>
    <cfRule type="cellIs" dxfId="9622" priority="39629" operator="equal">
      <formula>"AMA"</formula>
    </cfRule>
    <cfRule type="cellIs" dxfId="9621" priority="39630" operator="equal">
      <formula>"SIN DATOS"</formula>
    </cfRule>
    <cfRule type="cellIs" dxfId="9620" priority="39631" operator="equal">
      <formula>"SIN DATOS"</formula>
    </cfRule>
    <cfRule type="cellIs" dxfId="9619" priority="39632" operator="equal">
      <formula>"NO EJECTUTADO"</formula>
    </cfRule>
    <cfRule type="cellIs" dxfId="9618" priority="39633" operator="equal">
      <formula>"FE"</formula>
    </cfRule>
    <cfRule type="cellIs" dxfId="9617" priority="39634" operator="equal">
      <formula>"FE"</formula>
    </cfRule>
  </conditionalFormatting>
  <conditionalFormatting sqref="F328">
    <cfRule type="cellIs" dxfId="9616" priority="39623" operator="equal">
      <formula>"Retirado"</formula>
    </cfRule>
    <cfRule type="cellIs" dxfId="9615" priority="39624" operator="equal">
      <formula>"FSE"</formula>
    </cfRule>
  </conditionalFormatting>
  <conditionalFormatting sqref="A328">
    <cfRule type="cellIs" dxfId="9614" priority="39613" operator="equal">
      <formula>"APLAZADO"</formula>
    </cfRule>
    <cfRule type="cellIs" dxfId="9613" priority="39614" operator="equal">
      <formula>"CANCELADO"</formula>
    </cfRule>
    <cfRule type="cellIs" dxfId="9612" priority="39615" operator="equal">
      <formula>"NO EJECUTADO"</formula>
    </cfRule>
    <cfRule type="cellIs" dxfId="9611" priority="39616" operator="equal">
      <formula>"FPE"</formula>
    </cfRule>
    <cfRule type="cellIs" dxfId="9610" priority="39617" operator="equal">
      <formula>"AMA"</formula>
    </cfRule>
    <cfRule type="cellIs" dxfId="9609" priority="39618" operator="equal">
      <formula>"SIN DATOS"</formula>
    </cfRule>
    <cfRule type="cellIs" dxfId="9608" priority="39619" operator="equal">
      <formula>"SIN DATOS"</formula>
    </cfRule>
    <cfRule type="cellIs" dxfId="9607" priority="39620" operator="equal">
      <formula>"NO EJECTUTADO"</formula>
    </cfRule>
    <cfRule type="cellIs" dxfId="9606" priority="39621" operator="equal">
      <formula>"FE"</formula>
    </cfRule>
    <cfRule type="cellIs" dxfId="9605" priority="39622" operator="equal">
      <formula>"FE"</formula>
    </cfRule>
  </conditionalFormatting>
  <conditionalFormatting sqref="A328">
    <cfRule type="cellIs" dxfId="9604" priority="39611" operator="equal">
      <formula>"Retirado"</formula>
    </cfRule>
    <cfRule type="cellIs" dxfId="9603" priority="39612" operator="equal">
      <formula>"FSE"</formula>
    </cfRule>
  </conditionalFormatting>
  <conditionalFormatting sqref="F330">
    <cfRule type="cellIs" dxfId="9602" priority="39601" operator="equal">
      <formula>"APLAZADO"</formula>
    </cfRule>
    <cfRule type="cellIs" dxfId="9601" priority="39602" operator="equal">
      <formula>"CANCELADO"</formula>
    </cfRule>
    <cfRule type="cellIs" dxfId="9600" priority="39603" operator="equal">
      <formula>"NO EJECUTADO"</formula>
    </cfRule>
    <cfRule type="cellIs" dxfId="9599" priority="39604" operator="equal">
      <formula>"FPE"</formula>
    </cfRule>
    <cfRule type="cellIs" dxfId="9598" priority="39605" operator="equal">
      <formula>"AMA"</formula>
    </cfRule>
    <cfRule type="cellIs" dxfId="9597" priority="39606" operator="equal">
      <formula>"SIN DATOS"</formula>
    </cfRule>
    <cfRule type="cellIs" dxfId="9596" priority="39607" operator="equal">
      <formula>"SIN DATOS"</formula>
    </cfRule>
    <cfRule type="cellIs" dxfId="9595" priority="39608" operator="equal">
      <formula>"NO EJECTUTADO"</formula>
    </cfRule>
    <cfRule type="cellIs" dxfId="9594" priority="39609" operator="equal">
      <formula>"FE"</formula>
    </cfRule>
    <cfRule type="cellIs" dxfId="9593" priority="39610" operator="equal">
      <formula>"FE"</formula>
    </cfRule>
  </conditionalFormatting>
  <conditionalFormatting sqref="F330">
    <cfRule type="cellIs" dxfId="9592" priority="39599" operator="equal">
      <formula>"Retirado"</formula>
    </cfRule>
    <cfRule type="cellIs" dxfId="9591" priority="39600" operator="equal">
      <formula>"FSE"</formula>
    </cfRule>
  </conditionalFormatting>
  <conditionalFormatting sqref="F331">
    <cfRule type="cellIs" dxfId="9590" priority="39588" operator="equal">
      <formula>"APLAZADO"</formula>
    </cfRule>
    <cfRule type="cellIs" dxfId="9589" priority="39589" operator="equal">
      <formula>"CANCELADO"</formula>
    </cfRule>
    <cfRule type="cellIs" dxfId="9588" priority="39590" operator="equal">
      <formula>"NO EJECUTADO"</formula>
    </cfRule>
    <cfRule type="cellIs" dxfId="9587" priority="39591" operator="equal">
      <formula>"FPE"</formula>
    </cfRule>
    <cfRule type="cellIs" dxfId="9586" priority="39592" operator="equal">
      <formula>"AMA"</formula>
    </cfRule>
    <cfRule type="cellIs" dxfId="9585" priority="39593" operator="equal">
      <formula>"SIN DATOS"</formula>
    </cfRule>
    <cfRule type="cellIs" dxfId="9584" priority="39594" operator="equal">
      <formula>"SIN DATOS"</formula>
    </cfRule>
    <cfRule type="cellIs" dxfId="9583" priority="39595" operator="equal">
      <formula>"NO EJECTUTADO"</formula>
    </cfRule>
    <cfRule type="cellIs" dxfId="9582" priority="39596" operator="equal">
      <formula>"FE"</formula>
    </cfRule>
    <cfRule type="cellIs" dxfId="9581" priority="39597" operator="equal">
      <formula>"FE"</formula>
    </cfRule>
  </conditionalFormatting>
  <conditionalFormatting sqref="F331">
    <cfRule type="cellIs" dxfId="9580" priority="39586" operator="equal">
      <formula>"Retirado"</formula>
    </cfRule>
    <cfRule type="cellIs" dxfId="9579" priority="39587" operator="equal">
      <formula>"FSE"</formula>
    </cfRule>
  </conditionalFormatting>
  <conditionalFormatting sqref="A332">
    <cfRule type="cellIs" dxfId="9578" priority="39576" operator="equal">
      <formula>"APLAZADO"</formula>
    </cfRule>
    <cfRule type="cellIs" dxfId="9577" priority="39577" operator="equal">
      <formula>"CANCELADO"</formula>
    </cfRule>
    <cfRule type="cellIs" dxfId="9576" priority="39578" operator="equal">
      <formula>"NO EJECUTADO"</formula>
    </cfRule>
    <cfRule type="cellIs" dxfId="9575" priority="39579" operator="equal">
      <formula>"FPE"</formula>
    </cfRule>
    <cfRule type="cellIs" dxfId="9574" priority="39580" operator="equal">
      <formula>"AMA"</formula>
    </cfRule>
    <cfRule type="cellIs" dxfId="9573" priority="39581" operator="equal">
      <formula>"SIN DATOS"</formula>
    </cfRule>
    <cfRule type="cellIs" dxfId="9572" priority="39582" operator="equal">
      <formula>"SIN DATOS"</formula>
    </cfRule>
    <cfRule type="cellIs" dxfId="9571" priority="39583" operator="equal">
      <formula>"NO EJECTUTADO"</formula>
    </cfRule>
    <cfRule type="cellIs" dxfId="9570" priority="39584" operator="equal">
      <formula>"FE"</formula>
    </cfRule>
    <cfRule type="cellIs" dxfId="9569" priority="39585" operator="equal">
      <formula>"FE"</formula>
    </cfRule>
  </conditionalFormatting>
  <conditionalFormatting sqref="A332">
    <cfRule type="cellIs" dxfId="9568" priority="39574" operator="equal">
      <formula>"Retirado"</formula>
    </cfRule>
    <cfRule type="cellIs" dxfId="9567" priority="39575" operator="equal">
      <formula>"FSE"</formula>
    </cfRule>
  </conditionalFormatting>
  <conditionalFormatting sqref="F332">
    <cfRule type="cellIs" dxfId="9566" priority="39564" operator="equal">
      <formula>"APLAZADO"</formula>
    </cfRule>
    <cfRule type="cellIs" dxfId="9565" priority="39565" operator="equal">
      <formula>"CANCELADO"</formula>
    </cfRule>
    <cfRule type="cellIs" dxfId="9564" priority="39566" operator="equal">
      <formula>"NO EJECUTADO"</formula>
    </cfRule>
    <cfRule type="cellIs" dxfId="9563" priority="39567" operator="equal">
      <formula>"FPE"</formula>
    </cfRule>
    <cfRule type="cellIs" dxfId="9562" priority="39568" operator="equal">
      <formula>"AMA"</formula>
    </cfRule>
    <cfRule type="cellIs" dxfId="9561" priority="39569" operator="equal">
      <formula>"SIN DATOS"</formula>
    </cfRule>
    <cfRule type="cellIs" dxfId="9560" priority="39570" operator="equal">
      <formula>"SIN DATOS"</formula>
    </cfRule>
    <cfRule type="cellIs" dxfId="9559" priority="39571" operator="equal">
      <formula>"NO EJECTUTADO"</formula>
    </cfRule>
    <cfRule type="cellIs" dxfId="9558" priority="39572" operator="equal">
      <formula>"FE"</formula>
    </cfRule>
    <cfRule type="cellIs" dxfId="9557" priority="39573" operator="equal">
      <formula>"FE"</formula>
    </cfRule>
  </conditionalFormatting>
  <conditionalFormatting sqref="F332">
    <cfRule type="cellIs" dxfId="9556" priority="39562" operator="equal">
      <formula>"Retirado"</formula>
    </cfRule>
    <cfRule type="cellIs" dxfId="9555" priority="39563" operator="equal">
      <formula>"FSE"</formula>
    </cfRule>
  </conditionalFormatting>
  <conditionalFormatting sqref="F333">
    <cfRule type="cellIs" dxfId="9554" priority="39552" operator="equal">
      <formula>"APLAZADO"</formula>
    </cfRule>
    <cfRule type="cellIs" dxfId="9553" priority="39553" operator="equal">
      <formula>"CANCELADO"</formula>
    </cfRule>
    <cfRule type="cellIs" dxfId="9552" priority="39554" operator="equal">
      <formula>"NO EJECUTADO"</formula>
    </cfRule>
    <cfRule type="cellIs" dxfId="9551" priority="39555" operator="equal">
      <formula>"FPE"</formula>
    </cfRule>
    <cfRule type="cellIs" dxfId="9550" priority="39556" operator="equal">
      <formula>"AMA"</formula>
    </cfRule>
    <cfRule type="cellIs" dxfId="9549" priority="39557" operator="equal">
      <formula>"SIN DATOS"</formula>
    </cfRule>
    <cfRule type="cellIs" dxfId="9548" priority="39558" operator="equal">
      <formula>"SIN DATOS"</formula>
    </cfRule>
    <cfRule type="cellIs" dxfId="9547" priority="39559" operator="equal">
      <formula>"NO EJECTUTADO"</formula>
    </cfRule>
    <cfRule type="cellIs" dxfId="9546" priority="39560" operator="equal">
      <formula>"FE"</formula>
    </cfRule>
    <cfRule type="cellIs" dxfId="9545" priority="39561" operator="equal">
      <formula>"FE"</formula>
    </cfRule>
  </conditionalFormatting>
  <conditionalFormatting sqref="F333">
    <cfRule type="cellIs" dxfId="9544" priority="39550" operator="equal">
      <formula>"Retirado"</formula>
    </cfRule>
    <cfRule type="cellIs" dxfId="9543" priority="39551" operator="equal">
      <formula>"FSE"</formula>
    </cfRule>
  </conditionalFormatting>
  <conditionalFormatting sqref="A334">
    <cfRule type="cellIs" dxfId="9542" priority="39539" operator="equal">
      <formula>"APLAZADO"</formula>
    </cfRule>
    <cfRule type="cellIs" dxfId="9541" priority="39540" operator="equal">
      <formula>"CANCELADO"</formula>
    </cfRule>
    <cfRule type="cellIs" dxfId="9540" priority="39541" operator="equal">
      <formula>"NO EJECUTADO"</formula>
    </cfRule>
    <cfRule type="cellIs" dxfId="9539" priority="39542" operator="equal">
      <formula>"FPE"</formula>
    </cfRule>
    <cfRule type="cellIs" dxfId="9538" priority="39543" operator="equal">
      <formula>"AMA"</formula>
    </cfRule>
    <cfRule type="cellIs" dxfId="9537" priority="39544" operator="equal">
      <formula>"SIN DATOS"</formula>
    </cfRule>
    <cfRule type="cellIs" dxfId="9536" priority="39545" operator="equal">
      <formula>"SIN DATOS"</formula>
    </cfRule>
    <cfRule type="cellIs" dxfId="9535" priority="39546" operator="equal">
      <formula>"NO EJECTUTADO"</formula>
    </cfRule>
    <cfRule type="cellIs" dxfId="9534" priority="39547" operator="equal">
      <formula>"FE"</formula>
    </cfRule>
    <cfRule type="cellIs" dxfId="9533" priority="39548" operator="equal">
      <formula>"FE"</formula>
    </cfRule>
  </conditionalFormatting>
  <conditionalFormatting sqref="A334">
    <cfRule type="cellIs" dxfId="9532" priority="39537" operator="equal">
      <formula>"Retirado"</formula>
    </cfRule>
    <cfRule type="cellIs" dxfId="9531" priority="39538" operator="equal">
      <formula>"FSE"</formula>
    </cfRule>
  </conditionalFormatting>
  <conditionalFormatting sqref="H334">
    <cfRule type="duplicateValues" dxfId="9530" priority="39536"/>
  </conditionalFormatting>
  <conditionalFormatting sqref="F334">
    <cfRule type="cellIs" dxfId="9529" priority="39526" operator="equal">
      <formula>"APLAZADO"</formula>
    </cfRule>
    <cfRule type="cellIs" dxfId="9528" priority="39527" operator="equal">
      <formula>"CANCELADO"</formula>
    </cfRule>
    <cfRule type="cellIs" dxfId="9527" priority="39528" operator="equal">
      <formula>"NO EJECUTADO"</formula>
    </cfRule>
    <cfRule type="cellIs" dxfId="9526" priority="39529" operator="equal">
      <formula>"FPE"</formula>
    </cfRule>
    <cfRule type="cellIs" dxfId="9525" priority="39530" operator="equal">
      <formula>"AMA"</formula>
    </cfRule>
    <cfRule type="cellIs" dxfId="9524" priority="39531" operator="equal">
      <formula>"SIN DATOS"</formula>
    </cfRule>
    <cfRule type="cellIs" dxfId="9523" priority="39532" operator="equal">
      <formula>"SIN DATOS"</formula>
    </cfRule>
    <cfRule type="cellIs" dxfId="9522" priority="39533" operator="equal">
      <formula>"NO EJECTUTADO"</formula>
    </cfRule>
    <cfRule type="cellIs" dxfId="9521" priority="39534" operator="equal">
      <formula>"FE"</formula>
    </cfRule>
    <cfRule type="cellIs" dxfId="9520" priority="39535" operator="equal">
      <formula>"FE"</formula>
    </cfRule>
  </conditionalFormatting>
  <conditionalFormatting sqref="F334">
    <cfRule type="cellIs" dxfId="9519" priority="39524" operator="equal">
      <formula>"Retirado"</formula>
    </cfRule>
    <cfRule type="cellIs" dxfId="9518" priority="39525" operator="equal">
      <formula>"FSE"</formula>
    </cfRule>
  </conditionalFormatting>
  <conditionalFormatting sqref="F335">
    <cfRule type="cellIs" dxfId="9517" priority="39512" operator="equal">
      <formula>"APLAZADO"</formula>
    </cfRule>
    <cfRule type="cellIs" dxfId="9516" priority="39513" operator="equal">
      <formula>"CANCELADO"</formula>
    </cfRule>
    <cfRule type="cellIs" dxfId="9515" priority="39514" operator="equal">
      <formula>"NO EJECUTADO"</formula>
    </cfRule>
    <cfRule type="cellIs" dxfId="9514" priority="39515" operator="equal">
      <formula>"FPE"</formula>
    </cfRule>
    <cfRule type="cellIs" dxfId="9513" priority="39516" operator="equal">
      <formula>"AMA"</formula>
    </cfRule>
    <cfRule type="cellIs" dxfId="9512" priority="39517" operator="equal">
      <formula>"SIN DATOS"</formula>
    </cfRule>
    <cfRule type="cellIs" dxfId="9511" priority="39518" operator="equal">
      <formula>"SIN DATOS"</formula>
    </cfRule>
    <cfRule type="cellIs" dxfId="9510" priority="39519" operator="equal">
      <formula>"NO EJECTUTADO"</formula>
    </cfRule>
    <cfRule type="cellIs" dxfId="9509" priority="39520" operator="equal">
      <formula>"FE"</formula>
    </cfRule>
    <cfRule type="cellIs" dxfId="9508" priority="39521" operator="equal">
      <formula>"FE"</formula>
    </cfRule>
  </conditionalFormatting>
  <conditionalFormatting sqref="F335">
    <cfRule type="cellIs" dxfId="9507" priority="39510" operator="equal">
      <formula>"Retirado"</formula>
    </cfRule>
    <cfRule type="cellIs" dxfId="9506" priority="39511" operator="equal">
      <formula>"FSE"</formula>
    </cfRule>
  </conditionalFormatting>
  <conditionalFormatting sqref="F336">
    <cfRule type="cellIs" dxfId="9505" priority="39500" operator="equal">
      <formula>"APLAZADO"</formula>
    </cfRule>
    <cfRule type="cellIs" dxfId="9504" priority="39501" operator="equal">
      <formula>"CANCELADO"</formula>
    </cfRule>
    <cfRule type="cellIs" dxfId="9503" priority="39502" operator="equal">
      <formula>"NO EJECUTADO"</formula>
    </cfRule>
    <cfRule type="cellIs" dxfId="9502" priority="39503" operator="equal">
      <formula>"FPE"</formula>
    </cfRule>
    <cfRule type="cellIs" dxfId="9501" priority="39504" operator="equal">
      <formula>"AMA"</formula>
    </cfRule>
    <cfRule type="cellIs" dxfId="9500" priority="39505" operator="equal">
      <formula>"SIN DATOS"</formula>
    </cfRule>
    <cfRule type="cellIs" dxfId="9499" priority="39506" operator="equal">
      <formula>"SIN DATOS"</formula>
    </cfRule>
    <cfRule type="cellIs" dxfId="9498" priority="39507" operator="equal">
      <formula>"NO EJECTUTADO"</formula>
    </cfRule>
    <cfRule type="cellIs" dxfId="9497" priority="39508" operator="equal">
      <formula>"FE"</formula>
    </cfRule>
    <cfRule type="cellIs" dxfId="9496" priority="39509" operator="equal">
      <formula>"FE"</formula>
    </cfRule>
  </conditionalFormatting>
  <conditionalFormatting sqref="F336">
    <cfRule type="cellIs" dxfId="9495" priority="39498" operator="equal">
      <formula>"Retirado"</formula>
    </cfRule>
    <cfRule type="cellIs" dxfId="9494" priority="39499" operator="equal">
      <formula>"FSE"</formula>
    </cfRule>
  </conditionalFormatting>
  <conditionalFormatting sqref="F337">
    <cfRule type="cellIs" dxfId="9493" priority="39488" operator="equal">
      <formula>"APLAZADO"</formula>
    </cfRule>
    <cfRule type="cellIs" dxfId="9492" priority="39489" operator="equal">
      <formula>"CANCELADO"</formula>
    </cfRule>
    <cfRule type="cellIs" dxfId="9491" priority="39490" operator="equal">
      <formula>"NO EJECUTADO"</formula>
    </cfRule>
    <cfRule type="cellIs" dxfId="9490" priority="39491" operator="equal">
      <formula>"FPE"</formula>
    </cfRule>
    <cfRule type="cellIs" dxfId="9489" priority="39492" operator="equal">
      <formula>"AMA"</formula>
    </cfRule>
    <cfRule type="cellIs" dxfId="9488" priority="39493" operator="equal">
      <formula>"SIN DATOS"</formula>
    </cfRule>
    <cfRule type="cellIs" dxfId="9487" priority="39494" operator="equal">
      <formula>"SIN DATOS"</formula>
    </cfRule>
    <cfRule type="cellIs" dxfId="9486" priority="39495" operator="equal">
      <formula>"NO EJECTUTADO"</formula>
    </cfRule>
    <cfRule type="cellIs" dxfId="9485" priority="39496" operator="equal">
      <formula>"FE"</formula>
    </cfRule>
    <cfRule type="cellIs" dxfId="9484" priority="39497" operator="equal">
      <formula>"FE"</formula>
    </cfRule>
  </conditionalFormatting>
  <conditionalFormatting sqref="F337">
    <cfRule type="cellIs" dxfId="9483" priority="39486" operator="equal">
      <formula>"Retirado"</formula>
    </cfRule>
    <cfRule type="cellIs" dxfId="9482" priority="39487" operator="equal">
      <formula>"FSE"</formula>
    </cfRule>
  </conditionalFormatting>
  <conditionalFormatting sqref="F338">
    <cfRule type="cellIs" dxfId="9481" priority="39476" operator="equal">
      <formula>"APLAZADO"</formula>
    </cfRule>
    <cfRule type="cellIs" dxfId="9480" priority="39477" operator="equal">
      <formula>"CANCELADO"</formula>
    </cfRule>
    <cfRule type="cellIs" dxfId="9479" priority="39478" operator="equal">
      <formula>"NO EJECUTADO"</formula>
    </cfRule>
    <cfRule type="cellIs" dxfId="9478" priority="39479" operator="equal">
      <formula>"FPE"</formula>
    </cfRule>
    <cfRule type="cellIs" dxfId="9477" priority="39480" operator="equal">
      <formula>"AMA"</formula>
    </cfRule>
    <cfRule type="cellIs" dxfId="9476" priority="39481" operator="equal">
      <formula>"SIN DATOS"</formula>
    </cfRule>
    <cfRule type="cellIs" dxfId="9475" priority="39482" operator="equal">
      <formula>"SIN DATOS"</formula>
    </cfRule>
    <cfRule type="cellIs" dxfId="9474" priority="39483" operator="equal">
      <formula>"NO EJECTUTADO"</formula>
    </cfRule>
    <cfRule type="cellIs" dxfId="9473" priority="39484" operator="equal">
      <formula>"FE"</formula>
    </cfRule>
    <cfRule type="cellIs" dxfId="9472" priority="39485" operator="equal">
      <formula>"FE"</formula>
    </cfRule>
  </conditionalFormatting>
  <conditionalFormatting sqref="F338">
    <cfRule type="cellIs" dxfId="9471" priority="39474" operator="equal">
      <formula>"Retirado"</formula>
    </cfRule>
    <cfRule type="cellIs" dxfId="9470" priority="39475" operator="equal">
      <formula>"FSE"</formula>
    </cfRule>
  </conditionalFormatting>
  <conditionalFormatting sqref="F339">
    <cfRule type="cellIs" dxfId="9469" priority="39464" operator="equal">
      <formula>"APLAZADO"</formula>
    </cfRule>
    <cfRule type="cellIs" dxfId="9468" priority="39465" operator="equal">
      <formula>"CANCELADO"</formula>
    </cfRule>
    <cfRule type="cellIs" dxfId="9467" priority="39466" operator="equal">
      <formula>"NO EJECUTADO"</formula>
    </cfRule>
    <cfRule type="cellIs" dxfId="9466" priority="39467" operator="equal">
      <formula>"FPE"</formula>
    </cfRule>
    <cfRule type="cellIs" dxfId="9465" priority="39468" operator="equal">
      <formula>"AMA"</formula>
    </cfRule>
    <cfRule type="cellIs" dxfId="9464" priority="39469" operator="equal">
      <formula>"SIN DATOS"</formula>
    </cfRule>
    <cfRule type="cellIs" dxfId="9463" priority="39470" operator="equal">
      <formula>"SIN DATOS"</formula>
    </cfRule>
    <cfRule type="cellIs" dxfId="9462" priority="39471" operator="equal">
      <formula>"NO EJECTUTADO"</formula>
    </cfRule>
    <cfRule type="cellIs" dxfId="9461" priority="39472" operator="equal">
      <formula>"FE"</formula>
    </cfRule>
    <cfRule type="cellIs" dxfId="9460" priority="39473" operator="equal">
      <formula>"FE"</formula>
    </cfRule>
  </conditionalFormatting>
  <conditionalFormatting sqref="F339">
    <cfRule type="cellIs" dxfId="9459" priority="39462" operator="equal">
      <formula>"Retirado"</formula>
    </cfRule>
    <cfRule type="cellIs" dxfId="9458" priority="39463" operator="equal">
      <formula>"FSE"</formula>
    </cfRule>
  </conditionalFormatting>
  <conditionalFormatting sqref="A340:A343 A348 A350:A354 A358:A364 A368:A369 A375:A381 A383 A386:A393 A395:A403">
    <cfRule type="cellIs" dxfId="9457" priority="39451" operator="equal">
      <formula>"APLAZADO"</formula>
    </cfRule>
    <cfRule type="cellIs" dxfId="9456" priority="39452" operator="equal">
      <formula>"CANCELADO"</formula>
    </cfRule>
    <cfRule type="cellIs" dxfId="9455" priority="39453" operator="equal">
      <formula>"NO EJECUTADO"</formula>
    </cfRule>
    <cfRule type="cellIs" dxfId="9454" priority="39454" operator="equal">
      <formula>"FPE"</formula>
    </cfRule>
    <cfRule type="cellIs" dxfId="9453" priority="39455" operator="equal">
      <formula>"AMA"</formula>
    </cfRule>
    <cfRule type="cellIs" dxfId="9452" priority="39456" operator="equal">
      <formula>"SIN DATOS"</formula>
    </cfRule>
    <cfRule type="cellIs" dxfId="9451" priority="39457" operator="equal">
      <formula>"SIN DATOS"</formula>
    </cfRule>
    <cfRule type="cellIs" dxfId="9450" priority="39458" operator="equal">
      <formula>"NO EJECTUTADO"</formula>
    </cfRule>
    <cfRule type="cellIs" dxfId="9449" priority="39459" operator="equal">
      <formula>"FE"</formula>
    </cfRule>
    <cfRule type="cellIs" dxfId="9448" priority="39460" operator="equal">
      <formula>"FE"</formula>
    </cfRule>
  </conditionalFormatting>
  <conditionalFormatting sqref="A340:A343 A348 A350:A354 A358:A364 A368:A369 A375:A381 A383 A386:A393 A395:A403">
    <cfRule type="cellIs" dxfId="9447" priority="39449" operator="equal">
      <formula>"Retirado"</formula>
    </cfRule>
    <cfRule type="cellIs" dxfId="9446" priority="39450" operator="equal">
      <formula>"FSE"</formula>
    </cfRule>
  </conditionalFormatting>
  <conditionalFormatting sqref="H341:H343 H345:H354 H358:H365 H367:H370 H374:H403">
    <cfRule type="duplicateValues" dxfId="9445" priority="39448"/>
  </conditionalFormatting>
  <conditionalFormatting sqref="F362 F364:F365 F369 F376 F379:F380 F387 F390 F392:F393">
    <cfRule type="cellIs" dxfId="9444" priority="39438" operator="equal">
      <formula>"APLAZADO"</formula>
    </cfRule>
    <cfRule type="cellIs" dxfId="9443" priority="39439" operator="equal">
      <formula>"CANCELADO"</formula>
    </cfRule>
    <cfRule type="cellIs" dxfId="9442" priority="39440" operator="equal">
      <formula>"NO EJECUTADO"</formula>
    </cfRule>
    <cfRule type="cellIs" dxfId="9441" priority="39441" operator="equal">
      <formula>"FPE"</formula>
    </cfRule>
    <cfRule type="cellIs" dxfId="9440" priority="39442" operator="equal">
      <formula>"AMA"</formula>
    </cfRule>
    <cfRule type="cellIs" dxfId="9439" priority="39443" operator="equal">
      <formula>"SIN DATOS"</formula>
    </cfRule>
    <cfRule type="cellIs" dxfId="9438" priority="39444" operator="equal">
      <formula>"SIN DATOS"</formula>
    </cfRule>
    <cfRule type="cellIs" dxfId="9437" priority="39445" operator="equal">
      <formula>"NO EJECTUTADO"</formula>
    </cfRule>
    <cfRule type="cellIs" dxfId="9436" priority="39446" operator="equal">
      <formula>"FE"</formula>
    </cfRule>
    <cfRule type="cellIs" dxfId="9435" priority="39447" operator="equal">
      <formula>"FE"</formula>
    </cfRule>
  </conditionalFormatting>
  <conditionalFormatting sqref="F362 F364:F365 F369 F376 F379:F380 F387 F390 F392:F393">
    <cfRule type="cellIs" dxfId="9434" priority="39436" operator="equal">
      <formula>"Retirado"</formula>
    </cfRule>
    <cfRule type="cellIs" dxfId="9433" priority="39437" operator="equal">
      <formula>"FSE"</formula>
    </cfRule>
  </conditionalFormatting>
  <conditionalFormatting sqref="F340">
    <cfRule type="cellIs" dxfId="9432" priority="39426" operator="equal">
      <formula>"APLAZADO"</formula>
    </cfRule>
    <cfRule type="cellIs" dxfId="9431" priority="39427" operator="equal">
      <formula>"CANCELADO"</formula>
    </cfRule>
    <cfRule type="cellIs" dxfId="9430" priority="39428" operator="equal">
      <formula>"NO EJECUTADO"</formula>
    </cfRule>
    <cfRule type="cellIs" dxfId="9429" priority="39429" operator="equal">
      <formula>"FPE"</formula>
    </cfRule>
    <cfRule type="cellIs" dxfId="9428" priority="39430" operator="equal">
      <formula>"AMA"</formula>
    </cfRule>
    <cfRule type="cellIs" dxfId="9427" priority="39431" operator="equal">
      <formula>"SIN DATOS"</formula>
    </cfRule>
    <cfRule type="cellIs" dxfId="9426" priority="39432" operator="equal">
      <formula>"SIN DATOS"</formula>
    </cfRule>
    <cfRule type="cellIs" dxfId="9425" priority="39433" operator="equal">
      <formula>"NO EJECTUTADO"</formula>
    </cfRule>
    <cfRule type="cellIs" dxfId="9424" priority="39434" operator="equal">
      <formula>"FE"</formula>
    </cfRule>
    <cfRule type="cellIs" dxfId="9423" priority="39435" operator="equal">
      <formula>"FE"</formula>
    </cfRule>
  </conditionalFormatting>
  <conditionalFormatting sqref="F340">
    <cfRule type="cellIs" dxfId="9422" priority="39424" operator="equal">
      <formula>"Retirado"</formula>
    </cfRule>
    <cfRule type="cellIs" dxfId="9421" priority="39425" operator="equal">
      <formula>"FSE"</formula>
    </cfRule>
  </conditionalFormatting>
  <conditionalFormatting sqref="H340">
    <cfRule type="duplicateValues" dxfId="9420" priority="39423"/>
  </conditionalFormatting>
  <conditionalFormatting sqref="F341">
    <cfRule type="cellIs" dxfId="9419" priority="39409" operator="equal">
      <formula>"APLAZADO"</formula>
    </cfRule>
    <cfRule type="cellIs" dxfId="9418" priority="39410" operator="equal">
      <formula>"CANCELADO"</formula>
    </cfRule>
    <cfRule type="cellIs" dxfId="9417" priority="39411" operator="equal">
      <formula>"NO EJECUTADO"</formula>
    </cfRule>
    <cfRule type="cellIs" dxfId="9416" priority="39412" operator="equal">
      <formula>"FPE"</formula>
    </cfRule>
    <cfRule type="cellIs" dxfId="9415" priority="39413" operator="equal">
      <formula>"AMA"</formula>
    </cfRule>
    <cfRule type="cellIs" dxfId="9414" priority="39414" operator="equal">
      <formula>"SIN DATOS"</formula>
    </cfRule>
    <cfRule type="cellIs" dxfId="9413" priority="39415" operator="equal">
      <formula>"SIN DATOS"</formula>
    </cfRule>
    <cfRule type="cellIs" dxfId="9412" priority="39416" operator="equal">
      <formula>"NO EJECTUTADO"</formula>
    </cfRule>
    <cfRule type="cellIs" dxfId="9411" priority="39417" operator="equal">
      <formula>"FE"</formula>
    </cfRule>
    <cfRule type="cellIs" dxfId="9410" priority="39418" operator="equal">
      <formula>"FE"</formula>
    </cfRule>
  </conditionalFormatting>
  <conditionalFormatting sqref="F341">
    <cfRule type="cellIs" dxfId="9409" priority="39407" operator="equal">
      <formula>"Retirado"</formula>
    </cfRule>
    <cfRule type="cellIs" dxfId="9408" priority="39408" operator="equal">
      <formula>"FSE"</formula>
    </cfRule>
  </conditionalFormatting>
  <conditionalFormatting sqref="F342">
    <cfRule type="cellIs" dxfId="9407" priority="39397" operator="equal">
      <formula>"APLAZADO"</formula>
    </cfRule>
    <cfRule type="cellIs" dxfId="9406" priority="39398" operator="equal">
      <formula>"CANCELADO"</formula>
    </cfRule>
    <cfRule type="cellIs" dxfId="9405" priority="39399" operator="equal">
      <formula>"NO EJECUTADO"</formula>
    </cfRule>
    <cfRule type="cellIs" dxfId="9404" priority="39400" operator="equal">
      <formula>"FPE"</formula>
    </cfRule>
    <cfRule type="cellIs" dxfId="9403" priority="39401" operator="equal">
      <formula>"AMA"</formula>
    </cfRule>
    <cfRule type="cellIs" dxfId="9402" priority="39402" operator="equal">
      <formula>"SIN DATOS"</formula>
    </cfRule>
    <cfRule type="cellIs" dxfId="9401" priority="39403" operator="equal">
      <formula>"SIN DATOS"</formula>
    </cfRule>
    <cfRule type="cellIs" dxfId="9400" priority="39404" operator="equal">
      <formula>"NO EJECTUTADO"</formula>
    </cfRule>
    <cfRule type="cellIs" dxfId="9399" priority="39405" operator="equal">
      <formula>"FE"</formula>
    </cfRule>
    <cfRule type="cellIs" dxfId="9398" priority="39406" operator="equal">
      <formula>"FE"</formula>
    </cfRule>
  </conditionalFormatting>
  <conditionalFormatting sqref="F342">
    <cfRule type="cellIs" dxfId="9397" priority="39395" operator="equal">
      <formula>"Retirado"</formula>
    </cfRule>
    <cfRule type="cellIs" dxfId="9396" priority="39396" operator="equal">
      <formula>"FSE"</formula>
    </cfRule>
  </conditionalFormatting>
  <conditionalFormatting sqref="F343">
    <cfRule type="cellIs" dxfId="9395" priority="39385" operator="equal">
      <formula>"APLAZADO"</formula>
    </cfRule>
    <cfRule type="cellIs" dxfId="9394" priority="39386" operator="equal">
      <formula>"CANCELADO"</formula>
    </cfRule>
    <cfRule type="cellIs" dxfId="9393" priority="39387" operator="equal">
      <formula>"NO EJECUTADO"</formula>
    </cfRule>
    <cfRule type="cellIs" dxfId="9392" priority="39388" operator="equal">
      <formula>"FPE"</formula>
    </cfRule>
    <cfRule type="cellIs" dxfId="9391" priority="39389" operator="equal">
      <formula>"AMA"</formula>
    </cfRule>
    <cfRule type="cellIs" dxfId="9390" priority="39390" operator="equal">
      <formula>"SIN DATOS"</formula>
    </cfRule>
    <cfRule type="cellIs" dxfId="9389" priority="39391" operator="equal">
      <formula>"SIN DATOS"</formula>
    </cfRule>
    <cfRule type="cellIs" dxfId="9388" priority="39392" operator="equal">
      <formula>"NO EJECTUTADO"</formula>
    </cfRule>
    <cfRule type="cellIs" dxfId="9387" priority="39393" operator="equal">
      <formula>"FE"</formula>
    </cfRule>
    <cfRule type="cellIs" dxfId="9386" priority="39394" operator="equal">
      <formula>"FE"</formula>
    </cfRule>
  </conditionalFormatting>
  <conditionalFormatting sqref="F343">
    <cfRule type="cellIs" dxfId="9385" priority="39383" operator="equal">
      <formula>"Retirado"</formula>
    </cfRule>
    <cfRule type="cellIs" dxfId="9384" priority="39384" operator="equal">
      <formula>"FSE"</formula>
    </cfRule>
  </conditionalFormatting>
  <conditionalFormatting sqref="A344">
    <cfRule type="cellIs" dxfId="9383" priority="39372" operator="equal">
      <formula>"APLAZADO"</formula>
    </cfRule>
    <cfRule type="cellIs" dxfId="9382" priority="39373" operator="equal">
      <formula>"CANCELADO"</formula>
    </cfRule>
    <cfRule type="cellIs" dxfId="9381" priority="39374" operator="equal">
      <formula>"NO EJECUTADO"</formula>
    </cfRule>
    <cfRule type="cellIs" dxfId="9380" priority="39375" operator="equal">
      <formula>"FPE"</formula>
    </cfRule>
    <cfRule type="cellIs" dxfId="9379" priority="39376" operator="equal">
      <formula>"AMA"</formula>
    </cfRule>
    <cfRule type="cellIs" dxfId="9378" priority="39377" operator="equal">
      <formula>"SIN DATOS"</formula>
    </cfRule>
    <cfRule type="cellIs" dxfId="9377" priority="39378" operator="equal">
      <formula>"SIN DATOS"</formula>
    </cfRule>
    <cfRule type="cellIs" dxfId="9376" priority="39379" operator="equal">
      <formula>"NO EJECTUTADO"</formula>
    </cfRule>
    <cfRule type="cellIs" dxfId="9375" priority="39380" operator="equal">
      <formula>"FE"</formula>
    </cfRule>
    <cfRule type="cellIs" dxfId="9374" priority="39381" operator="equal">
      <formula>"FE"</formula>
    </cfRule>
  </conditionalFormatting>
  <conditionalFormatting sqref="A344">
    <cfRule type="cellIs" dxfId="9373" priority="39370" operator="equal">
      <formula>"Retirado"</formula>
    </cfRule>
    <cfRule type="cellIs" dxfId="9372" priority="39371" operator="equal">
      <formula>"FSE"</formula>
    </cfRule>
  </conditionalFormatting>
  <conditionalFormatting sqref="H344">
    <cfRule type="duplicateValues" dxfId="9371" priority="39369"/>
  </conditionalFormatting>
  <conditionalFormatting sqref="F344">
    <cfRule type="cellIs" dxfId="9370" priority="39359" operator="equal">
      <formula>"APLAZADO"</formula>
    </cfRule>
    <cfRule type="cellIs" dxfId="9369" priority="39360" operator="equal">
      <formula>"CANCELADO"</formula>
    </cfRule>
    <cfRule type="cellIs" dxfId="9368" priority="39361" operator="equal">
      <formula>"NO EJECUTADO"</formula>
    </cfRule>
    <cfRule type="cellIs" dxfId="9367" priority="39362" operator="equal">
      <formula>"FPE"</formula>
    </cfRule>
    <cfRule type="cellIs" dxfId="9366" priority="39363" operator="equal">
      <formula>"AMA"</formula>
    </cfRule>
    <cfRule type="cellIs" dxfId="9365" priority="39364" operator="equal">
      <formula>"SIN DATOS"</formula>
    </cfRule>
    <cfRule type="cellIs" dxfId="9364" priority="39365" operator="equal">
      <formula>"SIN DATOS"</formula>
    </cfRule>
    <cfRule type="cellIs" dxfId="9363" priority="39366" operator="equal">
      <formula>"NO EJECTUTADO"</formula>
    </cfRule>
    <cfRule type="cellIs" dxfId="9362" priority="39367" operator="equal">
      <formula>"FE"</formula>
    </cfRule>
    <cfRule type="cellIs" dxfId="9361" priority="39368" operator="equal">
      <formula>"FE"</formula>
    </cfRule>
  </conditionalFormatting>
  <conditionalFormatting sqref="F344">
    <cfRule type="cellIs" dxfId="9360" priority="39357" operator="equal">
      <formula>"Retirado"</formula>
    </cfRule>
    <cfRule type="cellIs" dxfId="9359" priority="39358" operator="equal">
      <formula>"FSE"</formula>
    </cfRule>
  </conditionalFormatting>
  <conditionalFormatting sqref="A345">
    <cfRule type="cellIs" dxfId="9358" priority="39346" operator="equal">
      <formula>"APLAZADO"</formula>
    </cfRule>
    <cfRule type="cellIs" dxfId="9357" priority="39347" operator="equal">
      <formula>"CANCELADO"</formula>
    </cfRule>
    <cfRule type="cellIs" dxfId="9356" priority="39348" operator="equal">
      <formula>"NO EJECUTADO"</formula>
    </cfRule>
    <cfRule type="cellIs" dxfId="9355" priority="39349" operator="equal">
      <formula>"FPE"</formula>
    </cfRule>
    <cfRule type="cellIs" dxfId="9354" priority="39350" operator="equal">
      <formula>"AMA"</formula>
    </cfRule>
    <cfRule type="cellIs" dxfId="9353" priority="39351" operator="equal">
      <formula>"SIN DATOS"</formula>
    </cfRule>
    <cfRule type="cellIs" dxfId="9352" priority="39352" operator="equal">
      <formula>"SIN DATOS"</formula>
    </cfRule>
    <cfRule type="cellIs" dxfId="9351" priority="39353" operator="equal">
      <formula>"NO EJECTUTADO"</formula>
    </cfRule>
    <cfRule type="cellIs" dxfId="9350" priority="39354" operator="equal">
      <formula>"FE"</formula>
    </cfRule>
    <cfRule type="cellIs" dxfId="9349" priority="39355" operator="equal">
      <formula>"FE"</formula>
    </cfRule>
  </conditionalFormatting>
  <conditionalFormatting sqref="A345">
    <cfRule type="cellIs" dxfId="9348" priority="39344" operator="equal">
      <formula>"Retirado"</formula>
    </cfRule>
    <cfRule type="cellIs" dxfId="9347" priority="39345" operator="equal">
      <formula>"FSE"</formula>
    </cfRule>
  </conditionalFormatting>
  <conditionalFormatting sqref="F345">
    <cfRule type="cellIs" dxfId="9346" priority="39334" operator="equal">
      <formula>"APLAZADO"</formula>
    </cfRule>
    <cfRule type="cellIs" dxfId="9345" priority="39335" operator="equal">
      <formula>"CANCELADO"</formula>
    </cfRule>
    <cfRule type="cellIs" dxfId="9344" priority="39336" operator="equal">
      <formula>"NO EJECUTADO"</formula>
    </cfRule>
    <cfRule type="cellIs" dxfId="9343" priority="39337" operator="equal">
      <formula>"FPE"</formula>
    </cfRule>
    <cfRule type="cellIs" dxfId="9342" priority="39338" operator="equal">
      <formula>"AMA"</formula>
    </cfRule>
    <cfRule type="cellIs" dxfId="9341" priority="39339" operator="equal">
      <formula>"SIN DATOS"</formula>
    </cfRule>
    <cfRule type="cellIs" dxfId="9340" priority="39340" operator="equal">
      <formula>"SIN DATOS"</formula>
    </cfRule>
    <cfRule type="cellIs" dxfId="9339" priority="39341" operator="equal">
      <formula>"NO EJECTUTADO"</formula>
    </cfRule>
    <cfRule type="cellIs" dxfId="9338" priority="39342" operator="equal">
      <formula>"FE"</formula>
    </cfRule>
    <cfRule type="cellIs" dxfId="9337" priority="39343" operator="equal">
      <formula>"FE"</formula>
    </cfRule>
  </conditionalFormatting>
  <conditionalFormatting sqref="F345">
    <cfRule type="cellIs" dxfId="9336" priority="39332" operator="equal">
      <formula>"Retirado"</formula>
    </cfRule>
    <cfRule type="cellIs" dxfId="9335" priority="39333" operator="equal">
      <formula>"FSE"</formula>
    </cfRule>
  </conditionalFormatting>
  <conditionalFormatting sqref="A346">
    <cfRule type="cellIs" dxfId="9334" priority="39321" operator="equal">
      <formula>"APLAZADO"</formula>
    </cfRule>
    <cfRule type="cellIs" dxfId="9333" priority="39322" operator="equal">
      <formula>"CANCELADO"</formula>
    </cfRule>
    <cfRule type="cellIs" dxfId="9332" priority="39323" operator="equal">
      <formula>"NO EJECUTADO"</formula>
    </cfRule>
    <cfRule type="cellIs" dxfId="9331" priority="39324" operator="equal">
      <formula>"FPE"</formula>
    </cfRule>
    <cfRule type="cellIs" dxfId="9330" priority="39325" operator="equal">
      <formula>"AMA"</formula>
    </cfRule>
    <cfRule type="cellIs" dxfId="9329" priority="39326" operator="equal">
      <formula>"SIN DATOS"</formula>
    </cfRule>
    <cfRule type="cellIs" dxfId="9328" priority="39327" operator="equal">
      <formula>"SIN DATOS"</formula>
    </cfRule>
    <cfRule type="cellIs" dxfId="9327" priority="39328" operator="equal">
      <formula>"NO EJECTUTADO"</formula>
    </cfRule>
    <cfRule type="cellIs" dxfId="9326" priority="39329" operator="equal">
      <formula>"FE"</formula>
    </cfRule>
    <cfRule type="cellIs" dxfId="9325" priority="39330" operator="equal">
      <formula>"FE"</formula>
    </cfRule>
  </conditionalFormatting>
  <conditionalFormatting sqref="A346">
    <cfRule type="cellIs" dxfId="9324" priority="39319" operator="equal">
      <formula>"Retirado"</formula>
    </cfRule>
    <cfRule type="cellIs" dxfId="9323" priority="39320" operator="equal">
      <formula>"FSE"</formula>
    </cfRule>
  </conditionalFormatting>
  <conditionalFormatting sqref="F346">
    <cfRule type="cellIs" dxfId="9322" priority="39309" operator="equal">
      <formula>"APLAZADO"</formula>
    </cfRule>
    <cfRule type="cellIs" dxfId="9321" priority="39310" operator="equal">
      <formula>"CANCELADO"</formula>
    </cfRule>
    <cfRule type="cellIs" dxfId="9320" priority="39311" operator="equal">
      <formula>"NO EJECUTADO"</formula>
    </cfRule>
    <cfRule type="cellIs" dxfId="9319" priority="39312" operator="equal">
      <formula>"FPE"</formula>
    </cfRule>
    <cfRule type="cellIs" dxfId="9318" priority="39313" operator="equal">
      <formula>"AMA"</formula>
    </cfRule>
    <cfRule type="cellIs" dxfId="9317" priority="39314" operator="equal">
      <formula>"SIN DATOS"</formula>
    </cfRule>
    <cfRule type="cellIs" dxfId="9316" priority="39315" operator="equal">
      <formula>"SIN DATOS"</formula>
    </cfRule>
    <cfRule type="cellIs" dxfId="9315" priority="39316" operator="equal">
      <formula>"NO EJECTUTADO"</formula>
    </cfRule>
    <cfRule type="cellIs" dxfId="9314" priority="39317" operator="equal">
      <formula>"FE"</formula>
    </cfRule>
    <cfRule type="cellIs" dxfId="9313" priority="39318" operator="equal">
      <formula>"FE"</formula>
    </cfRule>
  </conditionalFormatting>
  <conditionalFormatting sqref="F346">
    <cfRule type="cellIs" dxfId="9312" priority="39307" operator="equal">
      <formula>"Retirado"</formula>
    </cfRule>
    <cfRule type="cellIs" dxfId="9311" priority="39308" operator="equal">
      <formula>"FSE"</formula>
    </cfRule>
  </conditionalFormatting>
  <conditionalFormatting sqref="A347">
    <cfRule type="cellIs" dxfId="9310" priority="39297" operator="equal">
      <formula>"APLAZADO"</formula>
    </cfRule>
    <cfRule type="cellIs" dxfId="9309" priority="39298" operator="equal">
      <formula>"CANCELADO"</formula>
    </cfRule>
    <cfRule type="cellIs" dxfId="9308" priority="39299" operator="equal">
      <formula>"NO EJECUTADO"</formula>
    </cfRule>
    <cfRule type="cellIs" dxfId="9307" priority="39300" operator="equal">
      <formula>"FPE"</formula>
    </cfRule>
    <cfRule type="cellIs" dxfId="9306" priority="39301" operator="equal">
      <formula>"AMA"</formula>
    </cfRule>
    <cfRule type="cellIs" dxfId="9305" priority="39302" operator="equal">
      <formula>"SIN DATOS"</formula>
    </cfRule>
    <cfRule type="cellIs" dxfId="9304" priority="39303" operator="equal">
      <formula>"SIN DATOS"</formula>
    </cfRule>
    <cfRule type="cellIs" dxfId="9303" priority="39304" operator="equal">
      <formula>"NO EJECTUTADO"</formula>
    </cfRule>
    <cfRule type="cellIs" dxfId="9302" priority="39305" operator="equal">
      <formula>"FE"</formula>
    </cfRule>
    <cfRule type="cellIs" dxfId="9301" priority="39306" operator="equal">
      <formula>"FE"</formula>
    </cfRule>
  </conditionalFormatting>
  <conditionalFormatting sqref="A347">
    <cfRule type="cellIs" dxfId="9300" priority="39295" operator="equal">
      <formula>"Retirado"</formula>
    </cfRule>
    <cfRule type="cellIs" dxfId="9299" priority="39296" operator="equal">
      <formula>"FSE"</formula>
    </cfRule>
  </conditionalFormatting>
  <conditionalFormatting sqref="F347">
    <cfRule type="cellIs" dxfId="9298" priority="39285" operator="equal">
      <formula>"APLAZADO"</formula>
    </cfRule>
    <cfRule type="cellIs" dxfId="9297" priority="39286" operator="equal">
      <formula>"CANCELADO"</formula>
    </cfRule>
    <cfRule type="cellIs" dxfId="9296" priority="39287" operator="equal">
      <formula>"NO EJECUTADO"</formula>
    </cfRule>
    <cfRule type="cellIs" dxfId="9295" priority="39288" operator="equal">
      <formula>"FPE"</formula>
    </cfRule>
    <cfRule type="cellIs" dxfId="9294" priority="39289" operator="equal">
      <formula>"AMA"</formula>
    </cfRule>
    <cfRule type="cellIs" dxfId="9293" priority="39290" operator="equal">
      <formula>"SIN DATOS"</formula>
    </cfRule>
    <cfRule type="cellIs" dxfId="9292" priority="39291" operator="equal">
      <formula>"SIN DATOS"</formula>
    </cfRule>
    <cfRule type="cellIs" dxfId="9291" priority="39292" operator="equal">
      <formula>"NO EJECTUTADO"</formula>
    </cfRule>
    <cfRule type="cellIs" dxfId="9290" priority="39293" operator="equal">
      <formula>"FE"</formula>
    </cfRule>
    <cfRule type="cellIs" dxfId="9289" priority="39294" operator="equal">
      <formula>"FE"</formula>
    </cfRule>
  </conditionalFormatting>
  <conditionalFormatting sqref="F347">
    <cfRule type="cellIs" dxfId="9288" priority="39283" operator="equal">
      <formula>"Retirado"</formula>
    </cfRule>
    <cfRule type="cellIs" dxfId="9287" priority="39284" operator="equal">
      <formula>"FSE"</formula>
    </cfRule>
  </conditionalFormatting>
  <conditionalFormatting sqref="F348">
    <cfRule type="cellIs" dxfId="9286" priority="39266" operator="equal">
      <formula>"APLAZADO"</formula>
    </cfRule>
    <cfRule type="cellIs" dxfId="9285" priority="39267" operator="equal">
      <formula>"CANCELADO"</formula>
    </cfRule>
    <cfRule type="cellIs" dxfId="9284" priority="39268" operator="equal">
      <formula>"NO EJECUTADO"</formula>
    </cfRule>
    <cfRule type="cellIs" dxfId="9283" priority="39269" operator="equal">
      <formula>"FPE"</formula>
    </cfRule>
    <cfRule type="cellIs" dxfId="9282" priority="39270" operator="equal">
      <formula>"AMA"</formula>
    </cfRule>
    <cfRule type="cellIs" dxfId="9281" priority="39271" operator="equal">
      <formula>"SIN DATOS"</formula>
    </cfRule>
    <cfRule type="cellIs" dxfId="9280" priority="39272" operator="equal">
      <formula>"SIN DATOS"</formula>
    </cfRule>
    <cfRule type="cellIs" dxfId="9279" priority="39273" operator="equal">
      <formula>"NO EJECTUTADO"</formula>
    </cfRule>
    <cfRule type="cellIs" dxfId="9278" priority="39274" operator="equal">
      <formula>"FE"</formula>
    </cfRule>
    <cfRule type="cellIs" dxfId="9277" priority="39275" operator="equal">
      <formula>"FE"</formula>
    </cfRule>
  </conditionalFormatting>
  <conditionalFormatting sqref="F348">
    <cfRule type="cellIs" dxfId="9276" priority="39264" operator="equal">
      <formula>"Retirado"</formula>
    </cfRule>
    <cfRule type="cellIs" dxfId="9275" priority="39265" operator="equal">
      <formula>"FSE"</formula>
    </cfRule>
  </conditionalFormatting>
  <conditionalFormatting sqref="A349">
    <cfRule type="cellIs" dxfId="9274" priority="39254" operator="equal">
      <formula>"APLAZADO"</formula>
    </cfRule>
    <cfRule type="cellIs" dxfId="9273" priority="39255" operator="equal">
      <formula>"CANCELADO"</formula>
    </cfRule>
    <cfRule type="cellIs" dxfId="9272" priority="39256" operator="equal">
      <formula>"NO EJECUTADO"</formula>
    </cfRule>
    <cfRule type="cellIs" dxfId="9271" priority="39257" operator="equal">
      <formula>"FPE"</formula>
    </cfRule>
    <cfRule type="cellIs" dxfId="9270" priority="39258" operator="equal">
      <formula>"AMA"</formula>
    </cfRule>
    <cfRule type="cellIs" dxfId="9269" priority="39259" operator="equal">
      <formula>"SIN DATOS"</formula>
    </cfRule>
    <cfRule type="cellIs" dxfId="9268" priority="39260" operator="equal">
      <formula>"SIN DATOS"</formula>
    </cfRule>
    <cfRule type="cellIs" dxfId="9267" priority="39261" operator="equal">
      <formula>"NO EJECTUTADO"</formula>
    </cfRule>
    <cfRule type="cellIs" dxfId="9266" priority="39262" operator="equal">
      <formula>"FE"</formula>
    </cfRule>
    <cfRule type="cellIs" dxfId="9265" priority="39263" operator="equal">
      <formula>"FE"</formula>
    </cfRule>
  </conditionalFormatting>
  <conditionalFormatting sqref="A349">
    <cfRule type="cellIs" dxfId="9264" priority="39252" operator="equal">
      <formula>"Retirado"</formula>
    </cfRule>
    <cfRule type="cellIs" dxfId="9263" priority="39253" operator="equal">
      <formula>"FSE"</formula>
    </cfRule>
  </conditionalFormatting>
  <conditionalFormatting sqref="F349">
    <cfRule type="cellIs" dxfId="9262" priority="39242" operator="equal">
      <formula>"APLAZADO"</formula>
    </cfRule>
    <cfRule type="cellIs" dxfId="9261" priority="39243" operator="equal">
      <formula>"CANCELADO"</formula>
    </cfRule>
    <cfRule type="cellIs" dxfId="9260" priority="39244" operator="equal">
      <formula>"NO EJECUTADO"</formula>
    </cfRule>
    <cfRule type="cellIs" dxfId="9259" priority="39245" operator="equal">
      <formula>"FPE"</formula>
    </cfRule>
    <cfRule type="cellIs" dxfId="9258" priority="39246" operator="equal">
      <formula>"AMA"</formula>
    </cfRule>
    <cfRule type="cellIs" dxfId="9257" priority="39247" operator="equal">
      <formula>"SIN DATOS"</formula>
    </cfRule>
    <cfRule type="cellIs" dxfId="9256" priority="39248" operator="equal">
      <formula>"SIN DATOS"</formula>
    </cfRule>
    <cfRule type="cellIs" dxfId="9255" priority="39249" operator="equal">
      <formula>"NO EJECTUTADO"</formula>
    </cfRule>
    <cfRule type="cellIs" dxfId="9254" priority="39250" operator="equal">
      <formula>"FE"</formula>
    </cfRule>
    <cfRule type="cellIs" dxfId="9253" priority="39251" operator="equal">
      <formula>"FE"</formula>
    </cfRule>
  </conditionalFormatting>
  <conditionalFormatting sqref="F349">
    <cfRule type="cellIs" dxfId="9252" priority="39240" operator="equal">
      <formula>"Retirado"</formula>
    </cfRule>
    <cfRule type="cellIs" dxfId="9251" priority="39241" operator="equal">
      <formula>"FSE"</formula>
    </cfRule>
  </conditionalFormatting>
  <conditionalFormatting sqref="F350">
    <cfRule type="cellIs" dxfId="9250" priority="39225" operator="equal">
      <formula>"APLAZADO"</formula>
    </cfRule>
    <cfRule type="cellIs" dxfId="9249" priority="39226" operator="equal">
      <formula>"CANCELADO"</formula>
    </cfRule>
    <cfRule type="cellIs" dxfId="9248" priority="39227" operator="equal">
      <formula>"NO EJECUTADO"</formula>
    </cfRule>
    <cfRule type="cellIs" dxfId="9247" priority="39228" operator="equal">
      <formula>"FPE"</formula>
    </cfRule>
    <cfRule type="cellIs" dxfId="9246" priority="39229" operator="equal">
      <formula>"AMA"</formula>
    </cfRule>
    <cfRule type="cellIs" dxfId="9245" priority="39230" operator="equal">
      <formula>"SIN DATOS"</formula>
    </cfRule>
    <cfRule type="cellIs" dxfId="9244" priority="39231" operator="equal">
      <formula>"SIN DATOS"</formula>
    </cfRule>
    <cfRule type="cellIs" dxfId="9243" priority="39232" operator="equal">
      <formula>"NO EJECTUTADO"</formula>
    </cfRule>
    <cfRule type="cellIs" dxfId="9242" priority="39233" operator="equal">
      <formula>"FE"</formula>
    </cfRule>
    <cfRule type="cellIs" dxfId="9241" priority="39234" operator="equal">
      <formula>"FE"</formula>
    </cfRule>
  </conditionalFormatting>
  <conditionalFormatting sqref="F350">
    <cfRule type="cellIs" dxfId="9240" priority="39223" operator="equal">
      <formula>"Retirado"</formula>
    </cfRule>
    <cfRule type="cellIs" dxfId="9239" priority="39224" operator="equal">
      <formula>"FSE"</formula>
    </cfRule>
  </conditionalFormatting>
  <conditionalFormatting sqref="F351">
    <cfRule type="cellIs" dxfId="9238" priority="39213" operator="equal">
      <formula>"APLAZADO"</formula>
    </cfRule>
    <cfRule type="cellIs" dxfId="9237" priority="39214" operator="equal">
      <formula>"CANCELADO"</formula>
    </cfRule>
    <cfRule type="cellIs" dxfId="9236" priority="39215" operator="equal">
      <formula>"NO EJECUTADO"</formula>
    </cfRule>
    <cfRule type="cellIs" dxfId="9235" priority="39216" operator="equal">
      <formula>"FPE"</formula>
    </cfRule>
    <cfRule type="cellIs" dxfId="9234" priority="39217" operator="equal">
      <formula>"AMA"</formula>
    </cfRule>
    <cfRule type="cellIs" dxfId="9233" priority="39218" operator="equal">
      <formula>"SIN DATOS"</formula>
    </cfRule>
    <cfRule type="cellIs" dxfId="9232" priority="39219" operator="equal">
      <formula>"SIN DATOS"</formula>
    </cfRule>
    <cfRule type="cellIs" dxfId="9231" priority="39220" operator="equal">
      <formula>"NO EJECTUTADO"</formula>
    </cfRule>
    <cfRule type="cellIs" dxfId="9230" priority="39221" operator="equal">
      <formula>"FE"</formula>
    </cfRule>
    <cfRule type="cellIs" dxfId="9229" priority="39222" operator="equal">
      <formula>"FE"</formula>
    </cfRule>
  </conditionalFormatting>
  <conditionalFormatting sqref="F351">
    <cfRule type="cellIs" dxfId="9228" priority="39211" operator="equal">
      <formula>"Retirado"</formula>
    </cfRule>
    <cfRule type="cellIs" dxfId="9227" priority="39212" operator="equal">
      <formula>"FSE"</formula>
    </cfRule>
  </conditionalFormatting>
  <conditionalFormatting sqref="F352">
    <cfRule type="cellIs" dxfId="9226" priority="39200" operator="equal">
      <formula>"APLAZADO"</formula>
    </cfRule>
    <cfRule type="cellIs" dxfId="9225" priority="39201" operator="equal">
      <formula>"CANCELADO"</formula>
    </cfRule>
    <cfRule type="cellIs" dxfId="9224" priority="39202" operator="equal">
      <formula>"NO EJECUTADO"</formula>
    </cfRule>
    <cfRule type="cellIs" dxfId="9223" priority="39203" operator="equal">
      <formula>"FPE"</formula>
    </cfRule>
    <cfRule type="cellIs" dxfId="9222" priority="39204" operator="equal">
      <formula>"AMA"</formula>
    </cfRule>
    <cfRule type="cellIs" dxfId="9221" priority="39205" operator="equal">
      <formula>"SIN DATOS"</formula>
    </cfRule>
    <cfRule type="cellIs" dxfId="9220" priority="39206" operator="equal">
      <formula>"SIN DATOS"</formula>
    </cfRule>
    <cfRule type="cellIs" dxfId="9219" priority="39207" operator="equal">
      <formula>"NO EJECTUTADO"</formula>
    </cfRule>
    <cfRule type="cellIs" dxfId="9218" priority="39208" operator="equal">
      <formula>"FE"</formula>
    </cfRule>
    <cfRule type="cellIs" dxfId="9217" priority="39209" operator="equal">
      <formula>"FE"</formula>
    </cfRule>
  </conditionalFormatting>
  <conditionalFormatting sqref="F352">
    <cfRule type="cellIs" dxfId="9216" priority="39198" operator="equal">
      <formula>"Retirado"</formula>
    </cfRule>
    <cfRule type="cellIs" dxfId="9215" priority="39199" operator="equal">
      <formula>"FSE"</formula>
    </cfRule>
  </conditionalFormatting>
  <conditionalFormatting sqref="F353">
    <cfRule type="cellIs" dxfId="9214" priority="39183" operator="equal">
      <formula>"APLAZADO"</formula>
    </cfRule>
    <cfRule type="cellIs" dxfId="9213" priority="39184" operator="equal">
      <formula>"CANCELADO"</formula>
    </cfRule>
    <cfRule type="cellIs" dxfId="9212" priority="39185" operator="equal">
      <formula>"NO EJECUTADO"</formula>
    </cfRule>
    <cfRule type="cellIs" dxfId="9211" priority="39186" operator="equal">
      <formula>"FPE"</formula>
    </cfRule>
    <cfRule type="cellIs" dxfId="9210" priority="39187" operator="equal">
      <formula>"AMA"</formula>
    </cfRule>
    <cfRule type="cellIs" dxfId="9209" priority="39188" operator="equal">
      <formula>"SIN DATOS"</formula>
    </cfRule>
    <cfRule type="cellIs" dxfId="9208" priority="39189" operator="equal">
      <formula>"SIN DATOS"</formula>
    </cfRule>
    <cfRule type="cellIs" dxfId="9207" priority="39190" operator="equal">
      <formula>"NO EJECTUTADO"</formula>
    </cfRule>
    <cfRule type="cellIs" dxfId="9206" priority="39191" operator="equal">
      <formula>"FE"</formula>
    </cfRule>
    <cfRule type="cellIs" dxfId="9205" priority="39192" operator="equal">
      <formula>"FE"</formula>
    </cfRule>
  </conditionalFormatting>
  <conditionalFormatting sqref="F353">
    <cfRule type="cellIs" dxfId="9204" priority="39181" operator="equal">
      <formula>"Retirado"</formula>
    </cfRule>
    <cfRule type="cellIs" dxfId="9203" priority="39182" operator="equal">
      <formula>"FSE"</formula>
    </cfRule>
  </conditionalFormatting>
  <conditionalFormatting sqref="F354">
    <cfRule type="cellIs" dxfId="9202" priority="39170" operator="equal">
      <formula>"APLAZADO"</formula>
    </cfRule>
    <cfRule type="cellIs" dxfId="9201" priority="39171" operator="equal">
      <formula>"CANCELADO"</formula>
    </cfRule>
    <cfRule type="cellIs" dxfId="9200" priority="39172" operator="equal">
      <formula>"NO EJECUTADO"</formula>
    </cfRule>
    <cfRule type="cellIs" dxfId="9199" priority="39173" operator="equal">
      <formula>"FPE"</formula>
    </cfRule>
    <cfRule type="cellIs" dxfId="9198" priority="39174" operator="equal">
      <formula>"AMA"</formula>
    </cfRule>
    <cfRule type="cellIs" dxfId="9197" priority="39175" operator="equal">
      <formula>"SIN DATOS"</formula>
    </cfRule>
    <cfRule type="cellIs" dxfId="9196" priority="39176" operator="equal">
      <formula>"SIN DATOS"</formula>
    </cfRule>
    <cfRule type="cellIs" dxfId="9195" priority="39177" operator="equal">
      <formula>"NO EJECTUTADO"</formula>
    </cfRule>
    <cfRule type="cellIs" dxfId="9194" priority="39178" operator="equal">
      <formula>"FE"</formula>
    </cfRule>
    <cfRule type="cellIs" dxfId="9193" priority="39179" operator="equal">
      <formula>"FE"</formula>
    </cfRule>
  </conditionalFormatting>
  <conditionalFormatting sqref="F354">
    <cfRule type="cellIs" dxfId="9192" priority="39168" operator="equal">
      <formula>"Retirado"</formula>
    </cfRule>
    <cfRule type="cellIs" dxfId="9191" priority="39169" operator="equal">
      <formula>"FSE"</formula>
    </cfRule>
  </conditionalFormatting>
  <conditionalFormatting sqref="A355">
    <cfRule type="cellIs" dxfId="9190" priority="39157" operator="equal">
      <formula>"APLAZADO"</formula>
    </cfRule>
    <cfRule type="cellIs" dxfId="9189" priority="39158" operator="equal">
      <formula>"CANCELADO"</formula>
    </cfRule>
    <cfRule type="cellIs" dxfId="9188" priority="39159" operator="equal">
      <formula>"NO EJECUTADO"</formula>
    </cfRule>
    <cfRule type="cellIs" dxfId="9187" priority="39160" operator="equal">
      <formula>"FPE"</formula>
    </cfRule>
    <cfRule type="cellIs" dxfId="9186" priority="39161" operator="equal">
      <formula>"AMA"</formula>
    </cfRule>
    <cfRule type="cellIs" dxfId="9185" priority="39162" operator="equal">
      <formula>"SIN DATOS"</formula>
    </cfRule>
    <cfRule type="cellIs" dxfId="9184" priority="39163" operator="equal">
      <formula>"SIN DATOS"</formula>
    </cfRule>
    <cfRule type="cellIs" dxfId="9183" priority="39164" operator="equal">
      <formula>"NO EJECTUTADO"</formula>
    </cfRule>
    <cfRule type="cellIs" dxfId="9182" priority="39165" operator="equal">
      <formula>"FE"</formula>
    </cfRule>
    <cfRule type="cellIs" dxfId="9181" priority="39166" operator="equal">
      <formula>"FE"</formula>
    </cfRule>
  </conditionalFormatting>
  <conditionalFormatting sqref="A355">
    <cfRule type="cellIs" dxfId="9180" priority="39155" operator="equal">
      <formula>"Retirado"</formula>
    </cfRule>
    <cfRule type="cellIs" dxfId="9179" priority="39156" operator="equal">
      <formula>"FSE"</formula>
    </cfRule>
  </conditionalFormatting>
  <conditionalFormatting sqref="H355">
    <cfRule type="duplicateValues" dxfId="9178" priority="39154"/>
  </conditionalFormatting>
  <conditionalFormatting sqref="F355">
    <cfRule type="cellIs" dxfId="9177" priority="39144" operator="equal">
      <formula>"APLAZADO"</formula>
    </cfRule>
    <cfRule type="cellIs" dxfId="9176" priority="39145" operator="equal">
      <formula>"CANCELADO"</formula>
    </cfRule>
    <cfRule type="cellIs" dxfId="9175" priority="39146" operator="equal">
      <formula>"NO EJECUTADO"</formula>
    </cfRule>
    <cfRule type="cellIs" dxfId="9174" priority="39147" operator="equal">
      <formula>"FPE"</formula>
    </cfRule>
    <cfRule type="cellIs" dxfId="9173" priority="39148" operator="equal">
      <formula>"AMA"</formula>
    </cfRule>
    <cfRule type="cellIs" dxfId="9172" priority="39149" operator="equal">
      <formula>"SIN DATOS"</formula>
    </cfRule>
    <cfRule type="cellIs" dxfId="9171" priority="39150" operator="equal">
      <formula>"SIN DATOS"</formula>
    </cfRule>
    <cfRule type="cellIs" dxfId="9170" priority="39151" operator="equal">
      <formula>"NO EJECTUTADO"</formula>
    </cfRule>
    <cfRule type="cellIs" dxfId="9169" priority="39152" operator="equal">
      <formula>"FE"</formula>
    </cfRule>
    <cfRule type="cellIs" dxfId="9168" priority="39153" operator="equal">
      <formula>"FE"</formula>
    </cfRule>
  </conditionalFormatting>
  <conditionalFormatting sqref="F355">
    <cfRule type="cellIs" dxfId="9167" priority="39142" operator="equal">
      <formula>"Retirado"</formula>
    </cfRule>
    <cfRule type="cellIs" dxfId="9166" priority="39143" operator="equal">
      <formula>"FSE"</formula>
    </cfRule>
  </conditionalFormatting>
  <conditionalFormatting sqref="A356">
    <cfRule type="cellIs" dxfId="9165" priority="39131" operator="equal">
      <formula>"APLAZADO"</formula>
    </cfRule>
    <cfRule type="cellIs" dxfId="9164" priority="39132" operator="equal">
      <formula>"CANCELADO"</formula>
    </cfRule>
    <cfRule type="cellIs" dxfId="9163" priority="39133" operator="equal">
      <formula>"NO EJECUTADO"</formula>
    </cfRule>
    <cfRule type="cellIs" dxfId="9162" priority="39134" operator="equal">
      <formula>"FPE"</formula>
    </cfRule>
    <cfRule type="cellIs" dxfId="9161" priority="39135" operator="equal">
      <formula>"AMA"</formula>
    </cfRule>
    <cfRule type="cellIs" dxfId="9160" priority="39136" operator="equal">
      <formula>"SIN DATOS"</formula>
    </cfRule>
    <cfRule type="cellIs" dxfId="9159" priority="39137" operator="equal">
      <formula>"SIN DATOS"</formula>
    </cfRule>
    <cfRule type="cellIs" dxfId="9158" priority="39138" operator="equal">
      <formula>"NO EJECTUTADO"</formula>
    </cfRule>
    <cfRule type="cellIs" dxfId="9157" priority="39139" operator="equal">
      <formula>"FE"</formula>
    </cfRule>
    <cfRule type="cellIs" dxfId="9156" priority="39140" operator="equal">
      <formula>"FE"</formula>
    </cfRule>
  </conditionalFormatting>
  <conditionalFormatting sqref="A356">
    <cfRule type="cellIs" dxfId="9155" priority="39129" operator="equal">
      <formula>"Retirado"</formula>
    </cfRule>
    <cfRule type="cellIs" dxfId="9154" priority="39130" operator="equal">
      <formula>"FSE"</formula>
    </cfRule>
  </conditionalFormatting>
  <conditionalFormatting sqref="H356">
    <cfRule type="duplicateValues" dxfId="9153" priority="39128"/>
  </conditionalFormatting>
  <conditionalFormatting sqref="F356">
    <cfRule type="cellIs" dxfId="9152" priority="39118" operator="equal">
      <formula>"APLAZADO"</formula>
    </cfRule>
    <cfRule type="cellIs" dxfId="9151" priority="39119" operator="equal">
      <formula>"CANCELADO"</formula>
    </cfRule>
    <cfRule type="cellIs" dxfId="9150" priority="39120" operator="equal">
      <formula>"NO EJECUTADO"</formula>
    </cfRule>
    <cfRule type="cellIs" dxfId="9149" priority="39121" operator="equal">
      <formula>"FPE"</formula>
    </cfRule>
    <cfRule type="cellIs" dxfId="9148" priority="39122" operator="equal">
      <formula>"AMA"</formula>
    </cfRule>
    <cfRule type="cellIs" dxfId="9147" priority="39123" operator="equal">
      <formula>"SIN DATOS"</formula>
    </cfRule>
    <cfRule type="cellIs" dxfId="9146" priority="39124" operator="equal">
      <formula>"SIN DATOS"</formula>
    </cfRule>
    <cfRule type="cellIs" dxfId="9145" priority="39125" operator="equal">
      <formula>"NO EJECTUTADO"</formula>
    </cfRule>
    <cfRule type="cellIs" dxfId="9144" priority="39126" operator="equal">
      <formula>"FE"</formula>
    </cfRule>
    <cfRule type="cellIs" dxfId="9143" priority="39127" operator="equal">
      <formula>"FE"</formula>
    </cfRule>
  </conditionalFormatting>
  <conditionalFormatting sqref="F356">
    <cfRule type="cellIs" dxfId="9142" priority="39116" operator="equal">
      <formula>"Retirado"</formula>
    </cfRule>
    <cfRule type="cellIs" dxfId="9141" priority="39117" operator="equal">
      <formula>"FSE"</formula>
    </cfRule>
  </conditionalFormatting>
  <conditionalFormatting sqref="A357">
    <cfRule type="cellIs" dxfId="9140" priority="39105" operator="equal">
      <formula>"APLAZADO"</formula>
    </cfRule>
    <cfRule type="cellIs" dxfId="9139" priority="39106" operator="equal">
      <formula>"CANCELADO"</formula>
    </cfRule>
    <cfRule type="cellIs" dxfId="9138" priority="39107" operator="equal">
      <formula>"NO EJECUTADO"</formula>
    </cfRule>
    <cfRule type="cellIs" dxfId="9137" priority="39108" operator="equal">
      <formula>"FPE"</formula>
    </cfRule>
    <cfRule type="cellIs" dxfId="9136" priority="39109" operator="equal">
      <formula>"AMA"</formula>
    </cfRule>
    <cfRule type="cellIs" dxfId="9135" priority="39110" operator="equal">
      <formula>"SIN DATOS"</formula>
    </cfRule>
    <cfRule type="cellIs" dxfId="9134" priority="39111" operator="equal">
      <formula>"SIN DATOS"</formula>
    </cfRule>
    <cfRule type="cellIs" dxfId="9133" priority="39112" operator="equal">
      <formula>"NO EJECTUTADO"</formula>
    </cfRule>
    <cfRule type="cellIs" dxfId="9132" priority="39113" operator="equal">
      <formula>"FE"</formula>
    </cfRule>
    <cfRule type="cellIs" dxfId="9131" priority="39114" operator="equal">
      <formula>"FE"</formula>
    </cfRule>
  </conditionalFormatting>
  <conditionalFormatting sqref="A357">
    <cfRule type="cellIs" dxfId="9130" priority="39103" operator="equal">
      <formula>"Retirado"</formula>
    </cfRule>
    <cfRule type="cellIs" dxfId="9129" priority="39104" operator="equal">
      <formula>"FSE"</formula>
    </cfRule>
  </conditionalFormatting>
  <conditionalFormatting sqref="H357">
    <cfRule type="duplicateValues" dxfId="9128" priority="39102"/>
  </conditionalFormatting>
  <conditionalFormatting sqref="F357">
    <cfRule type="cellIs" dxfId="9127" priority="39092" operator="equal">
      <formula>"APLAZADO"</formula>
    </cfRule>
    <cfRule type="cellIs" dxfId="9126" priority="39093" operator="equal">
      <formula>"CANCELADO"</formula>
    </cfRule>
    <cfRule type="cellIs" dxfId="9125" priority="39094" operator="equal">
      <formula>"NO EJECUTADO"</formula>
    </cfRule>
    <cfRule type="cellIs" dxfId="9124" priority="39095" operator="equal">
      <formula>"FPE"</formula>
    </cfRule>
    <cfRule type="cellIs" dxfId="9123" priority="39096" operator="equal">
      <formula>"AMA"</formula>
    </cfRule>
    <cfRule type="cellIs" dxfId="9122" priority="39097" operator="equal">
      <formula>"SIN DATOS"</formula>
    </cfRule>
    <cfRule type="cellIs" dxfId="9121" priority="39098" operator="equal">
      <formula>"SIN DATOS"</formula>
    </cfRule>
    <cfRule type="cellIs" dxfId="9120" priority="39099" operator="equal">
      <formula>"NO EJECTUTADO"</formula>
    </cfRule>
    <cfRule type="cellIs" dxfId="9119" priority="39100" operator="equal">
      <formula>"FE"</formula>
    </cfRule>
    <cfRule type="cellIs" dxfId="9118" priority="39101" operator="equal">
      <formula>"FE"</formula>
    </cfRule>
  </conditionalFormatting>
  <conditionalFormatting sqref="F357">
    <cfRule type="cellIs" dxfId="9117" priority="39090" operator="equal">
      <formula>"Retirado"</formula>
    </cfRule>
    <cfRule type="cellIs" dxfId="9116" priority="39091" operator="equal">
      <formula>"FSE"</formula>
    </cfRule>
  </conditionalFormatting>
  <conditionalFormatting sqref="F358">
    <cfRule type="cellIs" dxfId="9115" priority="39076" operator="equal">
      <formula>"APLAZADO"</formula>
    </cfRule>
    <cfRule type="cellIs" dxfId="9114" priority="39077" operator="equal">
      <formula>"CANCELADO"</formula>
    </cfRule>
    <cfRule type="cellIs" dxfId="9113" priority="39078" operator="equal">
      <formula>"NO EJECUTADO"</formula>
    </cfRule>
    <cfRule type="cellIs" dxfId="9112" priority="39079" operator="equal">
      <formula>"FPE"</formula>
    </cfRule>
    <cfRule type="cellIs" dxfId="9111" priority="39080" operator="equal">
      <formula>"AMA"</formula>
    </cfRule>
    <cfRule type="cellIs" dxfId="9110" priority="39081" operator="equal">
      <formula>"SIN DATOS"</formula>
    </cfRule>
    <cfRule type="cellIs" dxfId="9109" priority="39082" operator="equal">
      <formula>"SIN DATOS"</formula>
    </cfRule>
    <cfRule type="cellIs" dxfId="9108" priority="39083" operator="equal">
      <formula>"NO EJECTUTADO"</formula>
    </cfRule>
    <cfRule type="cellIs" dxfId="9107" priority="39084" operator="equal">
      <formula>"FE"</formula>
    </cfRule>
    <cfRule type="cellIs" dxfId="9106" priority="39085" operator="equal">
      <formula>"FE"</formula>
    </cfRule>
  </conditionalFormatting>
  <conditionalFormatting sqref="F358">
    <cfRule type="cellIs" dxfId="9105" priority="39074" operator="equal">
      <formula>"Retirado"</formula>
    </cfRule>
    <cfRule type="cellIs" dxfId="9104" priority="39075" operator="equal">
      <formula>"FSE"</formula>
    </cfRule>
  </conditionalFormatting>
  <conditionalFormatting sqref="F359">
    <cfRule type="cellIs" dxfId="9103" priority="39064" operator="equal">
      <formula>"APLAZADO"</formula>
    </cfRule>
    <cfRule type="cellIs" dxfId="9102" priority="39065" operator="equal">
      <formula>"CANCELADO"</formula>
    </cfRule>
    <cfRule type="cellIs" dxfId="9101" priority="39066" operator="equal">
      <formula>"NO EJECUTADO"</formula>
    </cfRule>
    <cfRule type="cellIs" dxfId="9100" priority="39067" operator="equal">
      <formula>"FPE"</formula>
    </cfRule>
    <cfRule type="cellIs" dxfId="9099" priority="39068" operator="equal">
      <formula>"AMA"</formula>
    </cfRule>
    <cfRule type="cellIs" dxfId="9098" priority="39069" operator="equal">
      <formula>"SIN DATOS"</formula>
    </cfRule>
    <cfRule type="cellIs" dxfId="9097" priority="39070" operator="equal">
      <formula>"SIN DATOS"</formula>
    </cfRule>
    <cfRule type="cellIs" dxfId="9096" priority="39071" operator="equal">
      <formula>"NO EJECTUTADO"</formula>
    </cfRule>
    <cfRule type="cellIs" dxfId="9095" priority="39072" operator="equal">
      <formula>"FE"</formula>
    </cfRule>
    <cfRule type="cellIs" dxfId="9094" priority="39073" operator="equal">
      <formula>"FE"</formula>
    </cfRule>
  </conditionalFormatting>
  <conditionalFormatting sqref="F359">
    <cfRule type="cellIs" dxfId="9093" priority="39062" operator="equal">
      <formula>"Retirado"</formula>
    </cfRule>
    <cfRule type="cellIs" dxfId="9092" priority="39063" operator="equal">
      <formula>"FSE"</formula>
    </cfRule>
  </conditionalFormatting>
  <conditionalFormatting sqref="F360">
    <cfRule type="cellIs" dxfId="9091" priority="39050" operator="equal">
      <formula>"APLAZADO"</formula>
    </cfRule>
    <cfRule type="cellIs" dxfId="9090" priority="39051" operator="equal">
      <formula>"CANCELADO"</formula>
    </cfRule>
    <cfRule type="cellIs" dxfId="9089" priority="39052" operator="equal">
      <formula>"NO EJECUTADO"</formula>
    </cfRule>
    <cfRule type="cellIs" dxfId="9088" priority="39053" operator="equal">
      <formula>"FPE"</formula>
    </cfRule>
    <cfRule type="cellIs" dxfId="9087" priority="39054" operator="equal">
      <formula>"AMA"</formula>
    </cfRule>
    <cfRule type="cellIs" dxfId="9086" priority="39055" operator="equal">
      <formula>"SIN DATOS"</formula>
    </cfRule>
    <cfRule type="cellIs" dxfId="9085" priority="39056" operator="equal">
      <formula>"SIN DATOS"</formula>
    </cfRule>
    <cfRule type="cellIs" dxfId="9084" priority="39057" operator="equal">
      <formula>"NO EJECTUTADO"</formula>
    </cfRule>
    <cfRule type="cellIs" dxfId="9083" priority="39058" operator="equal">
      <formula>"FE"</formula>
    </cfRule>
    <cfRule type="cellIs" dxfId="9082" priority="39059" operator="equal">
      <formula>"FE"</formula>
    </cfRule>
  </conditionalFormatting>
  <conditionalFormatting sqref="F360">
    <cfRule type="cellIs" dxfId="9081" priority="39048" operator="equal">
      <formula>"Retirado"</formula>
    </cfRule>
    <cfRule type="cellIs" dxfId="9080" priority="39049" operator="equal">
      <formula>"FSE"</formula>
    </cfRule>
  </conditionalFormatting>
  <conditionalFormatting sqref="F361">
    <cfRule type="cellIs" dxfId="9079" priority="39038" operator="equal">
      <formula>"APLAZADO"</formula>
    </cfRule>
    <cfRule type="cellIs" dxfId="9078" priority="39039" operator="equal">
      <formula>"CANCELADO"</formula>
    </cfRule>
    <cfRule type="cellIs" dxfId="9077" priority="39040" operator="equal">
      <formula>"NO EJECUTADO"</formula>
    </cfRule>
    <cfRule type="cellIs" dxfId="9076" priority="39041" operator="equal">
      <formula>"FPE"</formula>
    </cfRule>
    <cfRule type="cellIs" dxfId="9075" priority="39042" operator="equal">
      <formula>"AMA"</formula>
    </cfRule>
    <cfRule type="cellIs" dxfId="9074" priority="39043" operator="equal">
      <formula>"SIN DATOS"</formula>
    </cfRule>
    <cfRule type="cellIs" dxfId="9073" priority="39044" operator="equal">
      <formula>"SIN DATOS"</formula>
    </cfRule>
    <cfRule type="cellIs" dxfId="9072" priority="39045" operator="equal">
      <formula>"NO EJECTUTADO"</formula>
    </cfRule>
    <cfRule type="cellIs" dxfId="9071" priority="39046" operator="equal">
      <formula>"FE"</formula>
    </cfRule>
    <cfRule type="cellIs" dxfId="9070" priority="39047" operator="equal">
      <formula>"FE"</formula>
    </cfRule>
  </conditionalFormatting>
  <conditionalFormatting sqref="F361">
    <cfRule type="cellIs" dxfId="9069" priority="39036" operator="equal">
      <formula>"Retirado"</formula>
    </cfRule>
    <cfRule type="cellIs" dxfId="9068" priority="39037" operator="equal">
      <formula>"FSE"</formula>
    </cfRule>
  </conditionalFormatting>
  <conditionalFormatting sqref="F363">
    <cfRule type="cellIs" dxfId="9067" priority="39024" operator="equal">
      <formula>"APLAZADO"</formula>
    </cfRule>
    <cfRule type="cellIs" dxfId="9066" priority="39025" operator="equal">
      <formula>"CANCELADO"</formula>
    </cfRule>
    <cfRule type="cellIs" dxfId="9065" priority="39026" operator="equal">
      <formula>"NO EJECUTADO"</formula>
    </cfRule>
    <cfRule type="cellIs" dxfId="9064" priority="39027" operator="equal">
      <formula>"FPE"</formula>
    </cfRule>
    <cfRule type="cellIs" dxfId="9063" priority="39028" operator="equal">
      <formula>"AMA"</formula>
    </cfRule>
    <cfRule type="cellIs" dxfId="9062" priority="39029" operator="equal">
      <formula>"SIN DATOS"</formula>
    </cfRule>
    <cfRule type="cellIs" dxfId="9061" priority="39030" operator="equal">
      <formula>"SIN DATOS"</formula>
    </cfRule>
    <cfRule type="cellIs" dxfId="9060" priority="39031" operator="equal">
      <formula>"NO EJECTUTADO"</formula>
    </cfRule>
    <cfRule type="cellIs" dxfId="9059" priority="39032" operator="equal">
      <formula>"FE"</formula>
    </cfRule>
    <cfRule type="cellIs" dxfId="9058" priority="39033" operator="equal">
      <formula>"FE"</formula>
    </cfRule>
  </conditionalFormatting>
  <conditionalFormatting sqref="F363">
    <cfRule type="cellIs" dxfId="9057" priority="39022" operator="equal">
      <formula>"Retirado"</formula>
    </cfRule>
    <cfRule type="cellIs" dxfId="9056" priority="39023" operator="equal">
      <formula>"FSE"</formula>
    </cfRule>
  </conditionalFormatting>
  <conditionalFormatting sqref="A365">
    <cfRule type="cellIs" dxfId="9055" priority="39012" operator="equal">
      <formula>"APLAZADO"</formula>
    </cfRule>
    <cfRule type="cellIs" dxfId="9054" priority="39013" operator="equal">
      <formula>"CANCELADO"</formula>
    </cfRule>
    <cfRule type="cellIs" dxfId="9053" priority="39014" operator="equal">
      <formula>"NO EJECUTADO"</formula>
    </cfRule>
    <cfRule type="cellIs" dxfId="9052" priority="39015" operator="equal">
      <formula>"FPE"</formula>
    </cfRule>
    <cfRule type="cellIs" dxfId="9051" priority="39016" operator="equal">
      <formula>"AMA"</formula>
    </cfRule>
    <cfRule type="cellIs" dxfId="9050" priority="39017" operator="equal">
      <formula>"SIN DATOS"</formula>
    </cfRule>
    <cfRule type="cellIs" dxfId="9049" priority="39018" operator="equal">
      <formula>"SIN DATOS"</formula>
    </cfRule>
    <cfRule type="cellIs" dxfId="9048" priority="39019" operator="equal">
      <formula>"NO EJECTUTADO"</formula>
    </cfRule>
    <cfRule type="cellIs" dxfId="9047" priority="39020" operator="equal">
      <formula>"FE"</formula>
    </cfRule>
    <cfRule type="cellIs" dxfId="9046" priority="39021" operator="equal">
      <formula>"FE"</formula>
    </cfRule>
  </conditionalFormatting>
  <conditionalFormatting sqref="A365">
    <cfRule type="cellIs" dxfId="9045" priority="39010" operator="equal">
      <formula>"Retirado"</formula>
    </cfRule>
    <cfRule type="cellIs" dxfId="9044" priority="39011" operator="equal">
      <formula>"FSE"</formula>
    </cfRule>
  </conditionalFormatting>
  <conditionalFormatting sqref="H366">
    <cfRule type="duplicateValues" dxfId="9043" priority="39008"/>
  </conditionalFormatting>
  <conditionalFormatting sqref="F366">
    <cfRule type="cellIs" dxfId="9042" priority="38998" operator="equal">
      <formula>"APLAZADO"</formula>
    </cfRule>
    <cfRule type="cellIs" dxfId="9041" priority="38999" operator="equal">
      <formula>"CANCELADO"</formula>
    </cfRule>
    <cfRule type="cellIs" dxfId="9040" priority="39000" operator="equal">
      <formula>"NO EJECUTADO"</formula>
    </cfRule>
    <cfRule type="cellIs" dxfId="9039" priority="39001" operator="equal">
      <formula>"FPE"</formula>
    </cfRule>
    <cfRule type="cellIs" dxfId="9038" priority="39002" operator="equal">
      <formula>"AMA"</formula>
    </cfRule>
    <cfRule type="cellIs" dxfId="9037" priority="39003" operator="equal">
      <formula>"SIN DATOS"</formula>
    </cfRule>
    <cfRule type="cellIs" dxfId="9036" priority="39004" operator="equal">
      <formula>"SIN DATOS"</formula>
    </cfRule>
    <cfRule type="cellIs" dxfId="9035" priority="39005" operator="equal">
      <formula>"NO EJECTUTADO"</formula>
    </cfRule>
    <cfRule type="cellIs" dxfId="9034" priority="39006" operator="equal">
      <formula>"FE"</formula>
    </cfRule>
    <cfRule type="cellIs" dxfId="9033" priority="39007" operator="equal">
      <formula>"FE"</formula>
    </cfRule>
  </conditionalFormatting>
  <conditionalFormatting sqref="F366">
    <cfRule type="cellIs" dxfId="9032" priority="38996" operator="equal">
      <formula>"Retirado"</formula>
    </cfRule>
    <cfRule type="cellIs" dxfId="9031" priority="38997" operator="equal">
      <formula>"FSE"</formula>
    </cfRule>
  </conditionalFormatting>
  <conditionalFormatting sqref="A366">
    <cfRule type="cellIs" dxfId="9030" priority="38986" operator="equal">
      <formula>"APLAZADO"</formula>
    </cfRule>
    <cfRule type="cellIs" dxfId="9029" priority="38987" operator="equal">
      <formula>"CANCELADO"</formula>
    </cfRule>
    <cfRule type="cellIs" dxfId="9028" priority="38988" operator="equal">
      <formula>"NO EJECUTADO"</formula>
    </cfRule>
    <cfRule type="cellIs" dxfId="9027" priority="38989" operator="equal">
      <formula>"FPE"</formula>
    </cfRule>
    <cfRule type="cellIs" dxfId="9026" priority="38990" operator="equal">
      <formula>"AMA"</formula>
    </cfRule>
    <cfRule type="cellIs" dxfId="9025" priority="38991" operator="equal">
      <formula>"SIN DATOS"</formula>
    </cfRule>
    <cfRule type="cellIs" dxfId="9024" priority="38992" operator="equal">
      <formula>"SIN DATOS"</formula>
    </cfRule>
    <cfRule type="cellIs" dxfId="9023" priority="38993" operator="equal">
      <formula>"NO EJECTUTADO"</formula>
    </cfRule>
    <cfRule type="cellIs" dxfId="9022" priority="38994" operator="equal">
      <formula>"FE"</formula>
    </cfRule>
    <cfRule type="cellIs" dxfId="9021" priority="38995" operator="equal">
      <formula>"FE"</formula>
    </cfRule>
  </conditionalFormatting>
  <conditionalFormatting sqref="A366">
    <cfRule type="cellIs" dxfId="9020" priority="38984" operator="equal">
      <formula>"Retirado"</formula>
    </cfRule>
    <cfRule type="cellIs" dxfId="9019" priority="38985" operator="equal">
      <formula>"FSE"</formula>
    </cfRule>
  </conditionalFormatting>
  <conditionalFormatting sqref="A367">
    <cfRule type="cellIs" dxfId="9018" priority="38971" operator="equal">
      <formula>"APLAZADO"</formula>
    </cfRule>
    <cfRule type="cellIs" dxfId="9017" priority="38972" operator="equal">
      <formula>"CANCELADO"</formula>
    </cfRule>
    <cfRule type="cellIs" dxfId="9016" priority="38973" operator="equal">
      <formula>"NO EJECUTADO"</formula>
    </cfRule>
    <cfRule type="cellIs" dxfId="9015" priority="38974" operator="equal">
      <formula>"FPE"</formula>
    </cfRule>
    <cfRule type="cellIs" dxfId="9014" priority="38975" operator="equal">
      <formula>"AMA"</formula>
    </cfRule>
    <cfRule type="cellIs" dxfId="9013" priority="38976" operator="equal">
      <formula>"SIN DATOS"</formula>
    </cfRule>
    <cfRule type="cellIs" dxfId="9012" priority="38977" operator="equal">
      <formula>"SIN DATOS"</formula>
    </cfRule>
    <cfRule type="cellIs" dxfId="9011" priority="38978" operator="equal">
      <formula>"NO EJECTUTADO"</formula>
    </cfRule>
    <cfRule type="cellIs" dxfId="9010" priority="38979" operator="equal">
      <formula>"FE"</formula>
    </cfRule>
    <cfRule type="cellIs" dxfId="9009" priority="38980" operator="equal">
      <formula>"FE"</formula>
    </cfRule>
  </conditionalFormatting>
  <conditionalFormatting sqref="A367">
    <cfRule type="cellIs" dxfId="9008" priority="38969" operator="equal">
      <formula>"Retirado"</formula>
    </cfRule>
    <cfRule type="cellIs" dxfId="9007" priority="38970" operator="equal">
      <formula>"FSE"</formula>
    </cfRule>
  </conditionalFormatting>
  <conditionalFormatting sqref="F367">
    <cfRule type="cellIs" dxfId="9006" priority="38959" operator="equal">
      <formula>"APLAZADO"</formula>
    </cfRule>
    <cfRule type="cellIs" dxfId="9005" priority="38960" operator="equal">
      <formula>"CANCELADO"</formula>
    </cfRule>
    <cfRule type="cellIs" dxfId="9004" priority="38961" operator="equal">
      <formula>"NO EJECUTADO"</formula>
    </cfRule>
    <cfRule type="cellIs" dxfId="9003" priority="38962" operator="equal">
      <formula>"FPE"</formula>
    </cfRule>
    <cfRule type="cellIs" dxfId="9002" priority="38963" operator="equal">
      <formula>"AMA"</formula>
    </cfRule>
    <cfRule type="cellIs" dxfId="9001" priority="38964" operator="equal">
      <formula>"SIN DATOS"</formula>
    </cfRule>
    <cfRule type="cellIs" dxfId="9000" priority="38965" operator="equal">
      <formula>"SIN DATOS"</formula>
    </cfRule>
    <cfRule type="cellIs" dxfId="8999" priority="38966" operator="equal">
      <formula>"NO EJECTUTADO"</formula>
    </cfRule>
    <cfRule type="cellIs" dxfId="8998" priority="38967" operator="equal">
      <formula>"FE"</formula>
    </cfRule>
    <cfRule type="cellIs" dxfId="8997" priority="38968" operator="equal">
      <formula>"FE"</formula>
    </cfRule>
  </conditionalFormatting>
  <conditionalFormatting sqref="F367">
    <cfRule type="cellIs" dxfId="8996" priority="38957" operator="equal">
      <formula>"Retirado"</formula>
    </cfRule>
    <cfRule type="cellIs" dxfId="8995" priority="38958" operator="equal">
      <formula>"FSE"</formula>
    </cfRule>
  </conditionalFormatting>
  <conditionalFormatting sqref="F368">
    <cfRule type="cellIs" dxfId="8994" priority="38933" operator="equal">
      <formula>"APLAZADO"</formula>
    </cfRule>
    <cfRule type="cellIs" dxfId="8993" priority="38934" operator="equal">
      <formula>"CANCELADO"</formula>
    </cfRule>
    <cfRule type="cellIs" dxfId="8992" priority="38935" operator="equal">
      <formula>"NO EJECUTADO"</formula>
    </cfRule>
    <cfRule type="cellIs" dxfId="8991" priority="38936" operator="equal">
      <formula>"FPE"</formula>
    </cfRule>
    <cfRule type="cellIs" dxfId="8990" priority="38937" operator="equal">
      <formula>"AMA"</formula>
    </cfRule>
    <cfRule type="cellIs" dxfId="8989" priority="38938" operator="equal">
      <formula>"SIN DATOS"</formula>
    </cfRule>
    <cfRule type="cellIs" dxfId="8988" priority="38939" operator="equal">
      <formula>"SIN DATOS"</formula>
    </cfRule>
    <cfRule type="cellIs" dxfId="8987" priority="38940" operator="equal">
      <formula>"NO EJECTUTADO"</formula>
    </cfRule>
    <cfRule type="cellIs" dxfId="8986" priority="38941" operator="equal">
      <formula>"FE"</formula>
    </cfRule>
    <cfRule type="cellIs" dxfId="8985" priority="38942" operator="equal">
      <formula>"FE"</formula>
    </cfRule>
  </conditionalFormatting>
  <conditionalFormatting sqref="F368">
    <cfRule type="cellIs" dxfId="8984" priority="38931" operator="equal">
      <formula>"Retirado"</formula>
    </cfRule>
    <cfRule type="cellIs" dxfId="8983" priority="38932" operator="equal">
      <formula>"FSE"</formula>
    </cfRule>
  </conditionalFormatting>
  <conditionalFormatting sqref="F370">
    <cfRule type="cellIs" dxfId="8982" priority="38918" operator="equal">
      <formula>"APLAZADO"</formula>
    </cfRule>
    <cfRule type="cellIs" dxfId="8981" priority="38919" operator="equal">
      <formula>"CANCELADO"</formula>
    </cfRule>
    <cfRule type="cellIs" dxfId="8980" priority="38920" operator="equal">
      <formula>"NO EJECUTADO"</formula>
    </cfRule>
    <cfRule type="cellIs" dxfId="8979" priority="38921" operator="equal">
      <formula>"FPE"</formula>
    </cfRule>
    <cfRule type="cellIs" dxfId="8978" priority="38922" operator="equal">
      <formula>"AMA"</formula>
    </cfRule>
    <cfRule type="cellIs" dxfId="8977" priority="38923" operator="equal">
      <formula>"SIN DATOS"</formula>
    </cfRule>
    <cfRule type="cellIs" dxfId="8976" priority="38924" operator="equal">
      <formula>"SIN DATOS"</formula>
    </cfRule>
    <cfRule type="cellIs" dxfId="8975" priority="38925" operator="equal">
      <formula>"NO EJECTUTADO"</formula>
    </cfRule>
    <cfRule type="cellIs" dxfId="8974" priority="38926" operator="equal">
      <formula>"FE"</formula>
    </cfRule>
    <cfRule type="cellIs" dxfId="8973" priority="38927" operator="equal">
      <formula>"FE"</formula>
    </cfRule>
  </conditionalFormatting>
  <conditionalFormatting sqref="F370">
    <cfRule type="cellIs" dxfId="8972" priority="38916" operator="equal">
      <formula>"Retirado"</formula>
    </cfRule>
    <cfRule type="cellIs" dxfId="8971" priority="38917" operator="equal">
      <formula>"FSE"</formula>
    </cfRule>
  </conditionalFormatting>
  <conditionalFormatting sqref="A370">
    <cfRule type="cellIs" dxfId="8970" priority="38906" operator="equal">
      <formula>"APLAZADO"</formula>
    </cfRule>
    <cfRule type="cellIs" dxfId="8969" priority="38907" operator="equal">
      <formula>"CANCELADO"</formula>
    </cfRule>
    <cfRule type="cellIs" dxfId="8968" priority="38908" operator="equal">
      <formula>"NO EJECUTADO"</formula>
    </cfRule>
    <cfRule type="cellIs" dxfId="8967" priority="38909" operator="equal">
      <formula>"FPE"</formula>
    </cfRule>
    <cfRule type="cellIs" dxfId="8966" priority="38910" operator="equal">
      <formula>"AMA"</formula>
    </cfRule>
    <cfRule type="cellIs" dxfId="8965" priority="38911" operator="equal">
      <formula>"SIN DATOS"</formula>
    </cfRule>
    <cfRule type="cellIs" dxfId="8964" priority="38912" operator="equal">
      <formula>"SIN DATOS"</formula>
    </cfRule>
    <cfRule type="cellIs" dxfId="8963" priority="38913" operator="equal">
      <formula>"NO EJECTUTADO"</formula>
    </cfRule>
    <cfRule type="cellIs" dxfId="8962" priority="38914" operator="equal">
      <formula>"FE"</formula>
    </cfRule>
    <cfRule type="cellIs" dxfId="8961" priority="38915" operator="equal">
      <formula>"FE"</formula>
    </cfRule>
  </conditionalFormatting>
  <conditionalFormatting sqref="A370">
    <cfRule type="cellIs" dxfId="8960" priority="38904" operator="equal">
      <formula>"Retirado"</formula>
    </cfRule>
    <cfRule type="cellIs" dxfId="8959" priority="38905" operator="equal">
      <formula>"FSE"</formula>
    </cfRule>
  </conditionalFormatting>
  <conditionalFormatting sqref="H371">
    <cfRule type="duplicateValues" dxfId="8958" priority="38902"/>
  </conditionalFormatting>
  <conditionalFormatting sqref="F371">
    <cfRule type="cellIs" dxfId="8957" priority="38892" operator="equal">
      <formula>"APLAZADO"</formula>
    </cfRule>
    <cfRule type="cellIs" dxfId="8956" priority="38893" operator="equal">
      <formula>"CANCELADO"</formula>
    </cfRule>
    <cfRule type="cellIs" dxfId="8955" priority="38894" operator="equal">
      <formula>"NO EJECUTADO"</formula>
    </cfRule>
    <cfRule type="cellIs" dxfId="8954" priority="38895" operator="equal">
      <formula>"FPE"</formula>
    </cfRule>
    <cfRule type="cellIs" dxfId="8953" priority="38896" operator="equal">
      <formula>"AMA"</formula>
    </cfRule>
    <cfRule type="cellIs" dxfId="8952" priority="38897" operator="equal">
      <formula>"SIN DATOS"</formula>
    </cfRule>
    <cfRule type="cellIs" dxfId="8951" priority="38898" operator="equal">
      <formula>"SIN DATOS"</formula>
    </cfRule>
    <cfRule type="cellIs" dxfId="8950" priority="38899" operator="equal">
      <formula>"NO EJECTUTADO"</formula>
    </cfRule>
    <cfRule type="cellIs" dxfId="8949" priority="38900" operator="equal">
      <formula>"FE"</formula>
    </cfRule>
    <cfRule type="cellIs" dxfId="8948" priority="38901" operator="equal">
      <formula>"FE"</formula>
    </cfRule>
  </conditionalFormatting>
  <conditionalFormatting sqref="F371">
    <cfRule type="cellIs" dxfId="8947" priority="38890" operator="equal">
      <formula>"Retirado"</formula>
    </cfRule>
    <cfRule type="cellIs" dxfId="8946" priority="38891" operator="equal">
      <formula>"FSE"</formula>
    </cfRule>
  </conditionalFormatting>
  <conditionalFormatting sqref="A371">
    <cfRule type="cellIs" dxfId="8945" priority="38880" operator="equal">
      <formula>"APLAZADO"</formula>
    </cfRule>
    <cfRule type="cellIs" dxfId="8944" priority="38881" operator="equal">
      <formula>"CANCELADO"</formula>
    </cfRule>
    <cfRule type="cellIs" dxfId="8943" priority="38882" operator="equal">
      <formula>"NO EJECUTADO"</formula>
    </cfRule>
    <cfRule type="cellIs" dxfId="8942" priority="38883" operator="equal">
      <formula>"FPE"</formula>
    </cfRule>
    <cfRule type="cellIs" dxfId="8941" priority="38884" operator="equal">
      <formula>"AMA"</formula>
    </cfRule>
    <cfRule type="cellIs" dxfId="8940" priority="38885" operator="equal">
      <formula>"SIN DATOS"</formula>
    </cfRule>
    <cfRule type="cellIs" dxfId="8939" priority="38886" operator="equal">
      <formula>"SIN DATOS"</formula>
    </cfRule>
    <cfRule type="cellIs" dxfId="8938" priority="38887" operator="equal">
      <formula>"NO EJECTUTADO"</formula>
    </cfRule>
    <cfRule type="cellIs" dxfId="8937" priority="38888" operator="equal">
      <formula>"FE"</formula>
    </cfRule>
    <cfRule type="cellIs" dxfId="8936" priority="38889" operator="equal">
      <formula>"FE"</formula>
    </cfRule>
  </conditionalFormatting>
  <conditionalFormatting sqref="A371">
    <cfRule type="cellIs" dxfId="8935" priority="38878" operator="equal">
      <formula>"Retirado"</formula>
    </cfRule>
    <cfRule type="cellIs" dxfId="8934" priority="38879" operator="equal">
      <formula>"FSE"</formula>
    </cfRule>
  </conditionalFormatting>
  <conditionalFormatting sqref="H372">
    <cfRule type="duplicateValues" dxfId="8933" priority="38876"/>
  </conditionalFormatting>
  <conditionalFormatting sqref="F372">
    <cfRule type="cellIs" dxfId="8932" priority="38866" operator="equal">
      <formula>"APLAZADO"</formula>
    </cfRule>
    <cfRule type="cellIs" dxfId="8931" priority="38867" operator="equal">
      <formula>"CANCELADO"</formula>
    </cfRule>
    <cfRule type="cellIs" dxfId="8930" priority="38868" operator="equal">
      <formula>"NO EJECUTADO"</formula>
    </cfRule>
    <cfRule type="cellIs" dxfId="8929" priority="38869" operator="equal">
      <formula>"FPE"</formula>
    </cfRule>
    <cfRule type="cellIs" dxfId="8928" priority="38870" operator="equal">
      <formula>"AMA"</formula>
    </cfRule>
    <cfRule type="cellIs" dxfId="8927" priority="38871" operator="equal">
      <formula>"SIN DATOS"</formula>
    </cfRule>
    <cfRule type="cellIs" dxfId="8926" priority="38872" operator="equal">
      <formula>"SIN DATOS"</formula>
    </cfRule>
    <cfRule type="cellIs" dxfId="8925" priority="38873" operator="equal">
      <formula>"NO EJECTUTADO"</formula>
    </cfRule>
    <cfRule type="cellIs" dxfId="8924" priority="38874" operator="equal">
      <formula>"FE"</formula>
    </cfRule>
    <cfRule type="cellIs" dxfId="8923" priority="38875" operator="equal">
      <formula>"FE"</formula>
    </cfRule>
  </conditionalFormatting>
  <conditionalFormatting sqref="F372">
    <cfRule type="cellIs" dxfId="8922" priority="38864" operator="equal">
      <formula>"Retirado"</formula>
    </cfRule>
    <cfRule type="cellIs" dxfId="8921" priority="38865" operator="equal">
      <formula>"FSE"</formula>
    </cfRule>
  </conditionalFormatting>
  <conditionalFormatting sqref="A372">
    <cfRule type="cellIs" dxfId="8920" priority="38854" operator="equal">
      <formula>"APLAZADO"</formula>
    </cfRule>
    <cfRule type="cellIs" dxfId="8919" priority="38855" operator="equal">
      <formula>"CANCELADO"</formula>
    </cfRule>
    <cfRule type="cellIs" dxfId="8918" priority="38856" operator="equal">
      <formula>"NO EJECUTADO"</formula>
    </cfRule>
    <cfRule type="cellIs" dxfId="8917" priority="38857" operator="equal">
      <formula>"FPE"</formula>
    </cfRule>
    <cfRule type="cellIs" dxfId="8916" priority="38858" operator="equal">
      <formula>"AMA"</formula>
    </cfRule>
    <cfRule type="cellIs" dxfId="8915" priority="38859" operator="equal">
      <formula>"SIN DATOS"</formula>
    </cfRule>
    <cfRule type="cellIs" dxfId="8914" priority="38860" operator="equal">
      <formula>"SIN DATOS"</formula>
    </cfRule>
    <cfRule type="cellIs" dxfId="8913" priority="38861" operator="equal">
      <formula>"NO EJECTUTADO"</formula>
    </cfRule>
    <cfRule type="cellIs" dxfId="8912" priority="38862" operator="equal">
      <formula>"FE"</formula>
    </cfRule>
    <cfRule type="cellIs" dxfId="8911" priority="38863" operator="equal">
      <formula>"FE"</formula>
    </cfRule>
  </conditionalFormatting>
  <conditionalFormatting sqref="A372">
    <cfRule type="cellIs" dxfId="8910" priority="38852" operator="equal">
      <formula>"Retirado"</formula>
    </cfRule>
    <cfRule type="cellIs" dxfId="8909" priority="38853" operator="equal">
      <formula>"FSE"</formula>
    </cfRule>
  </conditionalFormatting>
  <conditionalFormatting sqref="H373">
    <cfRule type="duplicateValues" dxfId="8908" priority="38850"/>
  </conditionalFormatting>
  <conditionalFormatting sqref="F373">
    <cfRule type="cellIs" dxfId="8907" priority="38840" operator="equal">
      <formula>"APLAZADO"</formula>
    </cfRule>
    <cfRule type="cellIs" dxfId="8906" priority="38841" operator="equal">
      <formula>"CANCELADO"</formula>
    </cfRule>
    <cfRule type="cellIs" dxfId="8905" priority="38842" operator="equal">
      <formula>"NO EJECUTADO"</formula>
    </cfRule>
    <cfRule type="cellIs" dxfId="8904" priority="38843" operator="equal">
      <formula>"FPE"</formula>
    </cfRule>
    <cfRule type="cellIs" dxfId="8903" priority="38844" operator="equal">
      <formula>"AMA"</formula>
    </cfRule>
    <cfRule type="cellIs" dxfId="8902" priority="38845" operator="equal">
      <formula>"SIN DATOS"</formula>
    </cfRule>
    <cfRule type="cellIs" dxfId="8901" priority="38846" operator="equal">
      <formula>"SIN DATOS"</formula>
    </cfRule>
    <cfRule type="cellIs" dxfId="8900" priority="38847" operator="equal">
      <formula>"NO EJECTUTADO"</formula>
    </cfRule>
    <cfRule type="cellIs" dxfId="8899" priority="38848" operator="equal">
      <formula>"FE"</formula>
    </cfRule>
    <cfRule type="cellIs" dxfId="8898" priority="38849" operator="equal">
      <formula>"FE"</formula>
    </cfRule>
  </conditionalFormatting>
  <conditionalFormatting sqref="F373">
    <cfRule type="cellIs" dxfId="8897" priority="38838" operator="equal">
      <formula>"Retirado"</formula>
    </cfRule>
    <cfRule type="cellIs" dxfId="8896" priority="38839" operator="equal">
      <formula>"FSE"</formula>
    </cfRule>
  </conditionalFormatting>
  <conditionalFormatting sqref="A373">
    <cfRule type="cellIs" dxfId="8895" priority="38828" operator="equal">
      <formula>"APLAZADO"</formula>
    </cfRule>
    <cfRule type="cellIs" dxfId="8894" priority="38829" operator="equal">
      <formula>"CANCELADO"</formula>
    </cfRule>
    <cfRule type="cellIs" dxfId="8893" priority="38830" operator="equal">
      <formula>"NO EJECUTADO"</formula>
    </cfRule>
    <cfRule type="cellIs" dxfId="8892" priority="38831" operator="equal">
      <formula>"FPE"</formula>
    </cfRule>
    <cfRule type="cellIs" dxfId="8891" priority="38832" operator="equal">
      <formula>"AMA"</formula>
    </cfRule>
    <cfRule type="cellIs" dxfId="8890" priority="38833" operator="equal">
      <formula>"SIN DATOS"</formula>
    </cfRule>
    <cfRule type="cellIs" dxfId="8889" priority="38834" operator="equal">
      <formula>"SIN DATOS"</formula>
    </cfRule>
    <cfRule type="cellIs" dxfId="8888" priority="38835" operator="equal">
      <formula>"NO EJECTUTADO"</formula>
    </cfRule>
    <cfRule type="cellIs" dxfId="8887" priority="38836" operator="equal">
      <formula>"FE"</formula>
    </cfRule>
    <cfRule type="cellIs" dxfId="8886" priority="38837" operator="equal">
      <formula>"FE"</formula>
    </cfRule>
  </conditionalFormatting>
  <conditionalFormatting sqref="A373">
    <cfRule type="cellIs" dxfId="8885" priority="38826" operator="equal">
      <formula>"Retirado"</formula>
    </cfRule>
    <cfRule type="cellIs" dxfId="8884" priority="38827" operator="equal">
      <formula>"FSE"</formula>
    </cfRule>
  </conditionalFormatting>
  <conditionalFormatting sqref="A374">
    <cfRule type="cellIs" dxfId="8883" priority="38807" operator="equal">
      <formula>"APLAZADO"</formula>
    </cfRule>
    <cfRule type="cellIs" dxfId="8882" priority="38808" operator="equal">
      <formula>"CANCELADO"</formula>
    </cfRule>
    <cfRule type="cellIs" dxfId="8881" priority="38809" operator="equal">
      <formula>"NO EJECUTADO"</formula>
    </cfRule>
    <cfRule type="cellIs" dxfId="8880" priority="38810" operator="equal">
      <formula>"FPE"</formula>
    </cfRule>
    <cfRule type="cellIs" dxfId="8879" priority="38811" operator="equal">
      <formula>"AMA"</formula>
    </cfRule>
    <cfRule type="cellIs" dxfId="8878" priority="38812" operator="equal">
      <formula>"SIN DATOS"</formula>
    </cfRule>
    <cfRule type="cellIs" dxfId="8877" priority="38813" operator="equal">
      <formula>"SIN DATOS"</formula>
    </cfRule>
    <cfRule type="cellIs" dxfId="8876" priority="38814" operator="equal">
      <formula>"NO EJECTUTADO"</formula>
    </cfRule>
    <cfRule type="cellIs" dxfId="8875" priority="38815" operator="equal">
      <formula>"FE"</formula>
    </cfRule>
    <cfRule type="cellIs" dxfId="8874" priority="38816" operator="equal">
      <formula>"FE"</formula>
    </cfRule>
  </conditionalFormatting>
  <conditionalFormatting sqref="A374">
    <cfRule type="cellIs" dxfId="8873" priority="38805" operator="equal">
      <formula>"Retirado"</formula>
    </cfRule>
    <cfRule type="cellIs" dxfId="8872" priority="38806" operator="equal">
      <formula>"FSE"</formula>
    </cfRule>
  </conditionalFormatting>
  <conditionalFormatting sqref="F374">
    <cfRule type="cellIs" dxfId="8871" priority="38795" operator="equal">
      <formula>"APLAZADO"</formula>
    </cfRule>
    <cfRule type="cellIs" dxfId="8870" priority="38796" operator="equal">
      <formula>"CANCELADO"</formula>
    </cfRule>
    <cfRule type="cellIs" dxfId="8869" priority="38797" operator="equal">
      <formula>"NO EJECUTADO"</formula>
    </cfRule>
    <cfRule type="cellIs" dxfId="8868" priority="38798" operator="equal">
      <formula>"FPE"</formula>
    </cfRule>
    <cfRule type="cellIs" dxfId="8867" priority="38799" operator="equal">
      <formula>"AMA"</formula>
    </cfRule>
    <cfRule type="cellIs" dxfId="8866" priority="38800" operator="equal">
      <formula>"SIN DATOS"</formula>
    </cfRule>
    <cfRule type="cellIs" dxfId="8865" priority="38801" operator="equal">
      <formula>"SIN DATOS"</formula>
    </cfRule>
    <cfRule type="cellIs" dxfId="8864" priority="38802" operator="equal">
      <formula>"NO EJECTUTADO"</formula>
    </cfRule>
    <cfRule type="cellIs" dxfId="8863" priority="38803" operator="equal">
      <formula>"FE"</formula>
    </cfRule>
    <cfRule type="cellIs" dxfId="8862" priority="38804" operator="equal">
      <formula>"FE"</formula>
    </cfRule>
  </conditionalFormatting>
  <conditionalFormatting sqref="F374">
    <cfRule type="cellIs" dxfId="8861" priority="38793" operator="equal">
      <formula>"Retirado"</formula>
    </cfRule>
    <cfRule type="cellIs" dxfId="8860" priority="38794" operator="equal">
      <formula>"FSE"</formula>
    </cfRule>
  </conditionalFormatting>
  <conditionalFormatting sqref="F375">
    <cfRule type="cellIs" dxfId="8859" priority="38777" operator="equal">
      <formula>"APLAZADO"</formula>
    </cfRule>
    <cfRule type="cellIs" dxfId="8858" priority="38778" operator="equal">
      <formula>"CANCELADO"</formula>
    </cfRule>
    <cfRule type="cellIs" dxfId="8857" priority="38779" operator="equal">
      <formula>"NO EJECUTADO"</formula>
    </cfRule>
    <cfRule type="cellIs" dxfId="8856" priority="38780" operator="equal">
      <formula>"FPE"</formula>
    </cfRule>
    <cfRule type="cellIs" dxfId="8855" priority="38781" operator="equal">
      <formula>"AMA"</formula>
    </cfRule>
    <cfRule type="cellIs" dxfId="8854" priority="38782" operator="equal">
      <formula>"SIN DATOS"</formula>
    </cfRule>
    <cfRule type="cellIs" dxfId="8853" priority="38783" operator="equal">
      <formula>"SIN DATOS"</formula>
    </cfRule>
    <cfRule type="cellIs" dxfId="8852" priority="38784" operator="equal">
      <formula>"NO EJECTUTADO"</formula>
    </cfRule>
    <cfRule type="cellIs" dxfId="8851" priority="38785" operator="equal">
      <formula>"FE"</formula>
    </cfRule>
    <cfRule type="cellIs" dxfId="8850" priority="38786" operator="equal">
      <formula>"FE"</formula>
    </cfRule>
  </conditionalFormatting>
  <conditionalFormatting sqref="F375">
    <cfRule type="cellIs" dxfId="8849" priority="38775" operator="equal">
      <formula>"Retirado"</formula>
    </cfRule>
    <cfRule type="cellIs" dxfId="8848" priority="38776" operator="equal">
      <formula>"FSE"</formula>
    </cfRule>
  </conditionalFormatting>
  <conditionalFormatting sqref="F377">
    <cfRule type="cellIs" dxfId="8847" priority="38737" operator="equal">
      <formula>"APLAZADO"</formula>
    </cfRule>
    <cfRule type="cellIs" dxfId="8846" priority="38738" operator="equal">
      <formula>"CANCELADO"</formula>
    </cfRule>
    <cfRule type="cellIs" dxfId="8845" priority="38739" operator="equal">
      <formula>"NO EJECUTADO"</formula>
    </cfRule>
    <cfRule type="cellIs" dxfId="8844" priority="38740" operator="equal">
      <formula>"FPE"</formula>
    </cfRule>
    <cfRule type="cellIs" dxfId="8843" priority="38741" operator="equal">
      <formula>"AMA"</formula>
    </cfRule>
    <cfRule type="cellIs" dxfId="8842" priority="38742" operator="equal">
      <formula>"SIN DATOS"</formula>
    </cfRule>
    <cfRule type="cellIs" dxfId="8841" priority="38743" operator="equal">
      <formula>"SIN DATOS"</formula>
    </cfRule>
    <cfRule type="cellIs" dxfId="8840" priority="38744" operator="equal">
      <formula>"NO EJECTUTADO"</formula>
    </cfRule>
    <cfRule type="cellIs" dxfId="8839" priority="38745" operator="equal">
      <formula>"FE"</formula>
    </cfRule>
    <cfRule type="cellIs" dxfId="8838" priority="38746" operator="equal">
      <formula>"FE"</formula>
    </cfRule>
  </conditionalFormatting>
  <conditionalFormatting sqref="F377">
    <cfRule type="cellIs" dxfId="8837" priority="38735" operator="equal">
      <formula>"Retirado"</formula>
    </cfRule>
    <cfRule type="cellIs" dxfId="8836" priority="38736" operator="equal">
      <formula>"FSE"</formula>
    </cfRule>
  </conditionalFormatting>
  <conditionalFormatting sqref="F378">
    <cfRule type="cellIs" dxfId="8835" priority="38725" operator="equal">
      <formula>"APLAZADO"</formula>
    </cfRule>
    <cfRule type="cellIs" dxfId="8834" priority="38726" operator="equal">
      <formula>"CANCELADO"</formula>
    </cfRule>
    <cfRule type="cellIs" dxfId="8833" priority="38727" operator="equal">
      <formula>"NO EJECUTADO"</formula>
    </cfRule>
    <cfRule type="cellIs" dxfId="8832" priority="38728" operator="equal">
      <formula>"FPE"</formula>
    </cfRule>
    <cfRule type="cellIs" dxfId="8831" priority="38729" operator="equal">
      <formula>"AMA"</formula>
    </cfRule>
    <cfRule type="cellIs" dxfId="8830" priority="38730" operator="equal">
      <formula>"SIN DATOS"</formula>
    </cfRule>
    <cfRule type="cellIs" dxfId="8829" priority="38731" operator="equal">
      <formula>"SIN DATOS"</formula>
    </cfRule>
    <cfRule type="cellIs" dxfId="8828" priority="38732" operator="equal">
      <formula>"NO EJECTUTADO"</formula>
    </cfRule>
    <cfRule type="cellIs" dxfId="8827" priority="38733" operator="equal">
      <formula>"FE"</formula>
    </cfRule>
    <cfRule type="cellIs" dxfId="8826" priority="38734" operator="equal">
      <formula>"FE"</formula>
    </cfRule>
  </conditionalFormatting>
  <conditionalFormatting sqref="F378">
    <cfRule type="cellIs" dxfId="8825" priority="38723" operator="equal">
      <formula>"Retirado"</formula>
    </cfRule>
    <cfRule type="cellIs" dxfId="8824" priority="38724" operator="equal">
      <formula>"FSE"</formula>
    </cfRule>
  </conditionalFormatting>
  <conditionalFormatting sqref="F381">
    <cfRule type="cellIs" dxfId="8823" priority="38706" operator="equal">
      <formula>"APLAZADO"</formula>
    </cfRule>
    <cfRule type="cellIs" dxfId="8822" priority="38707" operator="equal">
      <formula>"CANCELADO"</formula>
    </cfRule>
    <cfRule type="cellIs" dxfId="8821" priority="38708" operator="equal">
      <formula>"NO EJECUTADO"</formula>
    </cfRule>
    <cfRule type="cellIs" dxfId="8820" priority="38709" operator="equal">
      <formula>"FPE"</formula>
    </cfRule>
    <cfRule type="cellIs" dxfId="8819" priority="38710" operator="equal">
      <formula>"AMA"</formula>
    </cfRule>
    <cfRule type="cellIs" dxfId="8818" priority="38711" operator="equal">
      <formula>"SIN DATOS"</formula>
    </cfRule>
    <cfRule type="cellIs" dxfId="8817" priority="38712" operator="equal">
      <formula>"SIN DATOS"</formula>
    </cfRule>
    <cfRule type="cellIs" dxfId="8816" priority="38713" operator="equal">
      <formula>"NO EJECTUTADO"</formula>
    </cfRule>
    <cfRule type="cellIs" dxfId="8815" priority="38714" operator="equal">
      <formula>"FE"</formula>
    </cfRule>
    <cfRule type="cellIs" dxfId="8814" priority="38715" operator="equal">
      <formula>"FE"</formula>
    </cfRule>
  </conditionalFormatting>
  <conditionalFormatting sqref="F381">
    <cfRule type="cellIs" dxfId="8813" priority="38704" operator="equal">
      <formula>"Retirado"</formula>
    </cfRule>
    <cfRule type="cellIs" dxfId="8812" priority="38705" operator="equal">
      <formula>"FSE"</formula>
    </cfRule>
  </conditionalFormatting>
  <conditionalFormatting sqref="A382">
    <cfRule type="cellIs" dxfId="8811" priority="38688" operator="equal">
      <formula>"APLAZADO"</formula>
    </cfRule>
    <cfRule type="cellIs" dxfId="8810" priority="38689" operator="equal">
      <formula>"CANCELADO"</formula>
    </cfRule>
    <cfRule type="cellIs" dxfId="8809" priority="38690" operator="equal">
      <formula>"NO EJECUTADO"</formula>
    </cfRule>
    <cfRule type="cellIs" dxfId="8808" priority="38691" operator="equal">
      <formula>"FPE"</formula>
    </cfRule>
    <cfRule type="cellIs" dxfId="8807" priority="38692" operator="equal">
      <formula>"AMA"</formula>
    </cfRule>
    <cfRule type="cellIs" dxfId="8806" priority="38693" operator="equal">
      <formula>"SIN DATOS"</formula>
    </cfRule>
    <cfRule type="cellIs" dxfId="8805" priority="38694" operator="equal">
      <formula>"SIN DATOS"</formula>
    </cfRule>
    <cfRule type="cellIs" dxfId="8804" priority="38695" operator="equal">
      <formula>"NO EJECTUTADO"</formula>
    </cfRule>
    <cfRule type="cellIs" dxfId="8803" priority="38696" operator="equal">
      <formula>"FE"</formula>
    </cfRule>
    <cfRule type="cellIs" dxfId="8802" priority="38697" operator="equal">
      <formula>"FE"</formula>
    </cfRule>
  </conditionalFormatting>
  <conditionalFormatting sqref="A382">
    <cfRule type="cellIs" dxfId="8801" priority="38686" operator="equal">
      <formula>"Retirado"</formula>
    </cfRule>
    <cfRule type="cellIs" dxfId="8800" priority="38687" operator="equal">
      <formula>"FSE"</formula>
    </cfRule>
  </conditionalFormatting>
  <conditionalFormatting sqref="F382">
    <cfRule type="cellIs" dxfId="8799" priority="38676" operator="equal">
      <formula>"APLAZADO"</formula>
    </cfRule>
    <cfRule type="cellIs" dxfId="8798" priority="38677" operator="equal">
      <formula>"CANCELADO"</formula>
    </cfRule>
    <cfRule type="cellIs" dxfId="8797" priority="38678" operator="equal">
      <formula>"NO EJECUTADO"</formula>
    </cfRule>
    <cfRule type="cellIs" dxfId="8796" priority="38679" operator="equal">
      <formula>"FPE"</formula>
    </cfRule>
    <cfRule type="cellIs" dxfId="8795" priority="38680" operator="equal">
      <formula>"AMA"</formula>
    </cfRule>
    <cfRule type="cellIs" dxfId="8794" priority="38681" operator="equal">
      <formula>"SIN DATOS"</formula>
    </cfRule>
    <cfRule type="cellIs" dxfId="8793" priority="38682" operator="equal">
      <formula>"SIN DATOS"</formula>
    </cfRule>
    <cfRule type="cellIs" dxfId="8792" priority="38683" operator="equal">
      <formula>"NO EJECTUTADO"</formula>
    </cfRule>
    <cfRule type="cellIs" dxfId="8791" priority="38684" operator="equal">
      <formula>"FE"</formula>
    </cfRule>
    <cfRule type="cellIs" dxfId="8790" priority="38685" operator="equal">
      <formula>"FE"</formula>
    </cfRule>
  </conditionalFormatting>
  <conditionalFormatting sqref="F382">
    <cfRule type="cellIs" dxfId="8789" priority="38674" operator="equal">
      <formula>"Retirado"</formula>
    </cfRule>
    <cfRule type="cellIs" dxfId="8788" priority="38675" operator="equal">
      <formula>"FSE"</formula>
    </cfRule>
  </conditionalFormatting>
  <conditionalFormatting sqref="F383">
    <cfRule type="cellIs" dxfId="8787" priority="38662" operator="equal">
      <formula>"APLAZADO"</formula>
    </cfRule>
    <cfRule type="cellIs" dxfId="8786" priority="38663" operator="equal">
      <formula>"CANCELADO"</formula>
    </cfRule>
    <cfRule type="cellIs" dxfId="8785" priority="38664" operator="equal">
      <formula>"NO EJECUTADO"</formula>
    </cfRule>
    <cfRule type="cellIs" dxfId="8784" priority="38665" operator="equal">
      <formula>"FPE"</formula>
    </cfRule>
    <cfRule type="cellIs" dxfId="8783" priority="38666" operator="equal">
      <formula>"AMA"</formula>
    </cfRule>
    <cfRule type="cellIs" dxfId="8782" priority="38667" operator="equal">
      <formula>"SIN DATOS"</formula>
    </cfRule>
    <cfRule type="cellIs" dxfId="8781" priority="38668" operator="equal">
      <formula>"SIN DATOS"</formula>
    </cfRule>
    <cfRule type="cellIs" dxfId="8780" priority="38669" operator="equal">
      <formula>"NO EJECTUTADO"</formula>
    </cfRule>
    <cfRule type="cellIs" dxfId="8779" priority="38670" operator="equal">
      <formula>"FE"</formula>
    </cfRule>
    <cfRule type="cellIs" dxfId="8778" priority="38671" operator="equal">
      <formula>"FE"</formula>
    </cfRule>
  </conditionalFormatting>
  <conditionalFormatting sqref="F383">
    <cfRule type="cellIs" dxfId="8777" priority="38660" operator="equal">
      <formula>"Retirado"</formula>
    </cfRule>
    <cfRule type="cellIs" dxfId="8776" priority="38661" operator="equal">
      <formula>"FSE"</formula>
    </cfRule>
  </conditionalFormatting>
  <conditionalFormatting sqref="F384">
    <cfRule type="cellIs" dxfId="8775" priority="38650" operator="equal">
      <formula>"APLAZADO"</formula>
    </cfRule>
    <cfRule type="cellIs" dxfId="8774" priority="38651" operator="equal">
      <formula>"CANCELADO"</formula>
    </cfRule>
    <cfRule type="cellIs" dxfId="8773" priority="38652" operator="equal">
      <formula>"NO EJECUTADO"</formula>
    </cfRule>
    <cfRule type="cellIs" dxfId="8772" priority="38653" operator="equal">
      <formula>"FPE"</formula>
    </cfRule>
    <cfRule type="cellIs" dxfId="8771" priority="38654" operator="equal">
      <formula>"AMA"</formula>
    </cfRule>
    <cfRule type="cellIs" dxfId="8770" priority="38655" operator="equal">
      <formula>"SIN DATOS"</formula>
    </cfRule>
    <cfRule type="cellIs" dxfId="8769" priority="38656" operator="equal">
      <formula>"SIN DATOS"</formula>
    </cfRule>
    <cfRule type="cellIs" dxfId="8768" priority="38657" operator="equal">
      <formula>"NO EJECTUTADO"</formula>
    </cfRule>
    <cfRule type="cellIs" dxfId="8767" priority="38658" operator="equal">
      <formula>"FE"</formula>
    </cfRule>
    <cfRule type="cellIs" dxfId="8766" priority="38659" operator="equal">
      <formula>"FE"</formula>
    </cfRule>
  </conditionalFormatting>
  <conditionalFormatting sqref="F384">
    <cfRule type="cellIs" dxfId="8765" priority="38648" operator="equal">
      <formula>"Retirado"</formula>
    </cfRule>
    <cfRule type="cellIs" dxfId="8764" priority="38649" operator="equal">
      <formula>"FSE"</formula>
    </cfRule>
  </conditionalFormatting>
  <conditionalFormatting sqref="A384">
    <cfRule type="cellIs" dxfId="8763" priority="38638" operator="equal">
      <formula>"APLAZADO"</formula>
    </cfRule>
    <cfRule type="cellIs" dxfId="8762" priority="38639" operator="equal">
      <formula>"CANCELADO"</formula>
    </cfRule>
    <cfRule type="cellIs" dxfId="8761" priority="38640" operator="equal">
      <formula>"NO EJECUTADO"</formula>
    </cfRule>
    <cfRule type="cellIs" dxfId="8760" priority="38641" operator="equal">
      <formula>"FPE"</formula>
    </cfRule>
    <cfRule type="cellIs" dxfId="8759" priority="38642" operator="equal">
      <formula>"AMA"</formula>
    </cfRule>
    <cfRule type="cellIs" dxfId="8758" priority="38643" operator="equal">
      <formula>"SIN DATOS"</formula>
    </cfRule>
    <cfRule type="cellIs" dxfId="8757" priority="38644" operator="equal">
      <formula>"SIN DATOS"</formula>
    </cfRule>
    <cfRule type="cellIs" dxfId="8756" priority="38645" operator="equal">
      <formula>"NO EJECTUTADO"</formula>
    </cfRule>
    <cfRule type="cellIs" dxfId="8755" priority="38646" operator="equal">
      <formula>"FE"</formula>
    </cfRule>
    <cfRule type="cellIs" dxfId="8754" priority="38647" operator="equal">
      <formula>"FE"</formula>
    </cfRule>
  </conditionalFormatting>
  <conditionalFormatting sqref="A384">
    <cfRule type="cellIs" dxfId="8753" priority="38636" operator="equal">
      <formula>"Retirado"</formula>
    </cfRule>
    <cfRule type="cellIs" dxfId="8752" priority="38637" operator="equal">
      <formula>"FSE"</formula>
    </cfRule>
  </conditionalFormatting>
  <conditionalFormatting sqref="F385">
    <cfRule type="cellIs" dxfId="8751" priority="38626" operator="equal">
      <formula>"APLAZADO"</formula>
    </cfRule>
    <cfRule type="cellIs" dxfId="8750" priority="38627" operator="equal">
      <formula>"CANCELADO"</formula>
    </cfRule>
    <cfRule type="cellIs" dxfId="8749" priority="38628" operator="equal">
      <formula>"NO EJECUTADO"</formula>
    </cfRule>
    <cfRule type="cellIs" dxfId="8748" priority="38629" operator="equal">
      <formula>"FPE"</formula>
    </cfRule>
    <cfRule type="cellIs" dxfId="8747" priority="38630" operator="equal">
      <formula>"AMA"</formula>
    </cfRule>
    <cfRule type="cellIs" dxfId="8746" priority="38631" operator="equal">
      <formula>"SIN DATOS"</formula>
    </cfRule>
    <cfRule type="cellIs" dxfId="8745" priority="38632" operator="equal">
      <formula>"SIN DATOS"</formula>
    </cfRule>
    <cfRule type="cellIs" dxfId="8744" priority="38633" operator="equal">
      <formula>"NO EJECTUTADO"</formula>
    </cfRule>
    <cfRule type="cellIs" dxfId="8743" priority="38634" operator="equal">
      <formula>"FE"</formula>
    </cfRule>
    <cfRule type="cellIs" dxfId="8742" priority="38635" operator="equal">
      <formula>"FE"</formula>
    </cfRule>
  </conditionalFormatting>
  <conditionalFormatting sqref="F385">
    <cfRule type="cellIs" dxfId="8741" priority="38624" operator="equal">
      <formula>"Retirado"</formula>
    </cfRule>
    <cfRule type="cellIs" dxfId="8740" priority="38625" operator="equal">
      <formula>"FSE"</formula>
    </cfRule>
  </conditionalFormatting>
  <conditionalFormatting sqref="A385">
    <cfRule type="cellIs" dxfId="8739" priority="38614" operator="equal">
      <formula>"APLAZADO"</formula>
    </cfRule>
    <cfRule type="cellIs" dxfId="8738" priority="38615" operator="equal">
      <formula>"CANCELADO"</formula>
    </cfRule>
    <cfRule type="cellIs" dxfId="8737" priority="38616" operator="equal">
      <formula>"NO EJECUTADO"</formula>
    </cfRule>
    <cfRule type="cellIs" dxfId="8736" priority="38617" operator="equal">
      <formula>"FPE"</formula>
    </cfRule>
    <cfRule type="cellIs" dxfId="8735" priority="38618" operator="equal">
      <formula>"AMA"</formula>
    </cfRule>
    <cfRule type="cellIs" dxfId="8734" priority="38619" operator="equal">
      <formula>"SIN DATOS"</formula>
    </cfRule>
    <cfRule type="cellIs" dxfId="8733" priority="38620" operator="equal">
      <formula>"SIN DATOS"</formula>
    </cfRule>
    <cfRule type="cellIs" dxfId="8732" priority="38621" operator="equal">
      <formula>"NO EJECTUTADO"</formula>
    </cfRule>
    <cfRule type="cellIs" dxfId="8731" priority="38622" operator="equal">
      <formula>"FE"</formula>
    </cfRule>
    <cfRule type="cellIs" dxfId="8730" priority="38623" operator="equal">
      <formula>"FE"</formula>
    </cfRule>
  </conditionalFormatting>
  <conditionalFormatting sqref="A385">
    <cfRule type="cellIs" dxfId="8729" priority="38612" operator="equal">
      <formula>"Retirado"</formula>
    </cfRule>
    <cfRule type="cellIs" dxfId="8728" priority="38613" operator="equal">
      <formula>"FSE"</formula>
    </cfRule>
  </conditionalFormatting>
  <conditionalFormatting sqref="F386">
    <cfRule type="cellIs" dxfId="8727" priority="38597" operator="equal">
      <formula>"APLAZADO"</formula>
    </cfRule>
    <cfRule type="cellIs" dxfId="8726" priority="38598" operator="equal">
      <formula>"CANCELADO"</formula>
    </cfRule>
    <cfRule type="cellIs" dxfId="8725" priority="38599" operator="equal">
      <formula>"NO EJECUTADO"</formula>
    </cfRule>
    <cfRule type="cellIs" dxfId="8724" priority="38600" operator="equal">
      <formula>"FPE"</formula>
    </cfRule>
    <cfRule type="cellIs" dxfId="8723" priority="38601" operator="equal">
      <formula>"AMA"</formula>
    </cfRule>
    <cfRule type="cellIs" dxfId="8722" priority="38602" operator="equal">
      <formula>"SIN DATOS"</formula>
    </cfRule>
    <cfRule type="cellIs" dxfId="8721" priority="38603" operator="equal">
      <formula>"SIN DATOS"</formula>
    </cfRule>
    <cfRule type="cellIs" dxfId="8720" priority="38604" operator="equal">
      <formula>"NO EJECTUTADO"</formula>
    </cfRule>
    <cfRule type="cellIs" dxfId="8719" priority="38605" operator="equal">
      <formula>"FE"</formula>
    </cfRule>
    <cfRule type="cellIs" dxfId="8718" priority="38606" operator="equal">
      <formula>"FE"</formula>
    </cfRule>
  </conditionalFormatting>
  <conditionalFormatting sqref="F386">
    <cfRule type="cellIs" dxfId="8717" priority="38595" operator="equal">
      <formula>"Retirado"</formula>
    </cfRule>
    <cfRule type="cellIs" dxfId="8716" priority="38596" operator="equal">
      <formula>"FSE"</formula>
    </cfRule>
  </conditionalFormatting>
  <conditionalFormatting sqref="F388">
    <cfRule type="cellIs" dxfId="8715" priority="38575" operator="equal">
      <formula>"APLAZADO"</formula>
    </cfRule>
    <cfRule type="cellIs" dxfId="8714" priority="38576" operator="equal">
      <formula>"CANCELADO"</formula>
    </cfRule>
    <cfRule type="cellIs" dxfId="8713" priority="38577" operator="equal">
      <formula>"NO EJECUTADO"</formula>
    </cfRule>
    <cfRule type="cellIs" dxfId="8712" priority="38578" operator="equal">
      <formula>"FPE"</formula>
    </cfRule>
    <cfRule type="cellIs" dxfId="8711" priority="38579" operator="equal">
      <formula>"AMA"</formula>
    </cfRule>
    <cfRule type="cellIs" dxfId="8710" priority="38580" operator="equal">
      <formula>"SIN DATOS"</formula>
    </cfRule>
    <cfRule type="cellIs" dxfId="8709" priority="38581" operator="equal">
      <formula>"SIN DATOS"</formula>
    </cfRule>
    <cfRule type="cellIs" dxfId="8708" priority="38582" operator="equal">
      <formula>"NO EJECTUTADO"</formula>
    </cfRule>
    <cfRule type="cellIs" dxfId="8707" priority="38583" operator="equal">
      <formula>"FE"</formula>
    </cfRule>
    <cfRule type="cellIs" dxfId="8706" priority="38584" operator="equal">
      <formula>"FE"</formula>
    </cfRule>
  </conditionalFormatting>
  <conditionalFormatting sqref="F388">
    <cfRule type="cellIs" dxfId="8705" priority="38573" operator="equal">
      <formula>"Retirado"</formula>
    </cfRule>
    <cfRule type="cellIs" dxfId="8704" priority="38574" operator="equal">
      <formula>"FSE"</formula>
    </cfRule>
  </conditionalFormatting>
  <conditionalFormatting sqref="F389">
    <cfRule type="cellIs" dxfId="8703" priority="38549" operator="equal">
      <formula>"APLAZADO"</formula>
    </cfRule>
    <cfRule type="cellIs" dxfId="8702" priority="38550" operator="equal">
      <formula>"CANCELADO"</formula>
    </cfRule>
    <cfRule type="cellIs" dxfId="8701" priority="38551" operator="equal">
      <formula>"NO EJECUTADO"</formula>
    </cfRule>
    <cfRule type="cellIs" dxfId="8700" priority="38552" operator="equal">
      <formula>"FPE"</formula>
    </cfRule>
    <cfRule type="cellIs" dxfId="8699" priority="38553" operator="equal">
      <formula>"AMA"</formula>
    </cfRule>
    <cfRule type="cellIs" dxfId="8698" priority="38554" operator="equal">
      <formula>"SIN DATOS"</formula>
    </cfRule>
    <cfRule type="cellIs" dxfId="8697" priority="38555" operator="equal">
      <formula>"SIN DATOS"</formula>
    </cfRule>
    <cfRule type="cellIs" dxfId="8696" priority="38556" operator="equal">
      <formula>"NO EJECTUTADO"</formula>
    </cfRule>
    <cfRule type="cellIs" dxfId="8695" priority="38557" operator="equal">
      <formula>"FE"</formula>
    </cfRule>
    <cfRule type="cellIs" dxfId="8694" priority="38558" operator="equal">
      <formula>"FE"</formula>
    </cfRule>
  </conditionalFormatting>
  <conditionalFormatting sqref="F389">
    <cfRule type="cellIs" dxfId="8693" priority="38547" operator="equal">
      <formula>"Retirado"</formula>
    </cfRule>
    <cfRule type="cellIs" dxfId="8692" priority="38548" operator="equal">
      <formula>"FSE"</formula>
    </cfRule>
  </conditionalFormatting>
  <conditionalFormatting sqref="F391">
    <cfRule type="cellIs" dxfId="8691" priority="38536" operator="equal">
      <formula>"APLAZADO"</formula>
    </cfRule>
    <cfRule type="cellIs" dxfId="8690" priority="38537" operator="equal">
      <formula>"CANCELADO"</formula>
    </cfRule>
    <cfRule type="cellIs" dxfId="8689" priority="38538" operator="equal">
      <formula>"NO EJECUTADO"</formula>
    </cfRule>
    <cfRule type="cellIs" dxfId="8688" priority="38539" operator="equal">
      <formula>"FPE"</formula>
    </cfRule>
    <cfRule type="cellIs" dxfId="8687" priority="38540" operator="equal">
      <formula>"AMA"</formula>
    </cfRule>
    <cfRule type="cellIs" dxfId="8686" priority="38541" operator="equal">
      <formula>"SIN DATOS"</formula>
    </cfRule>
    <cfRule type="cellIs" dxfId="8685" priority="38542" operator="equal">
      <formula>"SIN DATOS"</formula>
    </cfRule>
    <cfRule type="cellIs" dxfId="8684" priority="38543" operator="equal">
      <formula>"NO EJECTUTADO"</formula>
    </cfRule>
    <cfRule type="cellIs" dxfId="8683" priority="38544" operator="equal">
      <formula>"FE"</formula>
    </cfRule>
    <cfRule type="cellIs" dxfId="8682" priority="38545" operator="equal">
      <formula>"FE"</formula>
    </cfRule>
  </conditionalFormatting>
  <conditionalFormatting sqref="F391">
    <cfRule type="cellIs" dxfId="8681" priority="38534" operator="equal">
      <formula>"Retirado"</formula>
    </cfRule>
    <cfRule type="cellIs" dxfId="8680" priority="38535" operator="equal">
      <formula>"FSE"</formula>
    </cfRule>
  </conditionalFormatting>
  <conditionalFormatting sqref="A394">
    <cfRule type="cellIs" dxfId="8679" priority="38520" operator="equal">
      <formula>"APLAZADO"</formula>
    </cfRule>
    <cfRule type="cellIs" dxfId="8678" priority="38521" operator="equal">
      <formula>"CANCELADO"</formula>
    </cfRule>
    <cfRule type="cellIs" dxfId="8677" priority="38522" operator="equal">
      <formula>"NO EJECUTADO"</formula>
    </cfRule>
    <cfRule type="cellIs" dxfId="8676" priority="38523" operator="equal">
      <formula>"FPE"</formula>
    </cfRule>
    <cfRule type="cellIs" dxfId="8675" priority="38524" operator="equal">
      <formula>"AMA"</formula>
    </cfRule>
    <cfRule type="cellIs" dxfId="8674" priority="38525" operator="equal">
      <formula>"SIN DATOS"</formula>
    </cfRule>
    <cfRule type="cellIs" dxfId="8673" priority="38526" operator="equal">
      <formula>"SIN DATOS"</formula>
    </cfRule>
    <cfRule type="cellIs" dxfId="8672" priority="38527" operator="equal">
      <formula>"NO EJECTUTADO"</formula>
    </cfRule>
    <cfRule type="cellIs" dxfId="8671" priority="38528" operator="equal">
      <formula>"FE"</formula>
    </cfRule>
    <cfRule type="cellIs" dxfId="8670" priority="38529" operator="equal">
      <formula>"FE"</formula>
    </cfRule>
  </conditionalFormatting>
  <conditionalFormatting sqref="A394">
    <cfRule type="cellIs" dxfId="8669" priority="38518" operator="equal">
      <formula>"Retirado"</formula>
    </cfRule>
    <cfRule type="cellIs" dxfId="8668" priority="38519" operator="equal">
      <formula>"FSE"</formula>
    </cfRule>
  </conditionalFormatting>
  <conditionalFormatting sqref="F394">
    <cfRule type="cellIs" dxfId="8667" priority="38508" operator="equal">
      <formula>"APLAZADO"</formula>
    </cfRule>
    <cfRule type="cellIs" dxfId="8666" priority="38509" operator="equal">
      <formula>"CANCELADO"</formula>
    </cfRule>
    <cfRule type="cellIs" dxfId="8665" priority="38510" operator="equal">
      <formula>"NO EJECUTADO"</formula>
    </cfRule>
    <cfRule type="cellIs" dxfId="8664" priority="38511" operator="equal">
      <formula>"FPE"</formula>
    </cfRule>
    <cfRule type="cellIs" dxfId="8663" priority="38512" operator="equal">
      <formula>"AMA"</formula>
    </cfRule>
    <cfRule type="cellIs" dxfId="8662" priority="38513" operator="equal">
      <formula>"SIN DATOS"</formula>
    </cfRule>
    <cfRule type="cellIs" dxfId="8661" priority="38514" operator="equal">
      <formula>"SIN DATOS"</formula>
    </cfRule>
    <cfRule type="cellIs" dxfId="8660" priority="38515" operator="equal">
      <formula>"NO EJECTUTADO"</formula>
    </cfRule>
    <cfRule type="cellIs" dxfId="8659" priority="38516" operator="equal">
      <formula>"FE"</formula>
    </cfRule>
    <cfRule type="cellIs" dxfId="8658" priority="38517" operator="equal">
      <formula>"FE"</formula>
    </cfRule>
  </conditionalFormatting>
  <conditionalFormatting sqref="F394">
    <cfRule type="cellIs" dxfId="8657" priority="38506" operator="equal">
      <formula>"Retirado"</formula>
    </cfRule>
    <cfRule type="cellIs" dxfId="8656" priority="38507" operator="equal">
      <formula>"FSE"</formula>
    </cfRule>
  </conditionalFormatting>
  <conditionalFormatting sqref="F395">
    <cfRule type="cellIs" dxfId="8655" priority="38495" operator="equal">
      <formula>"APLAZADO"</formula>
    </cfRule>
    <cfRule type="cellIs" dxfId="8654" priority="38496" operator="equal">
      <formula>"CANCELADO"</formula>
    </cfRule>
    <cfRule type="cellIs" dxfId="8653" priority="38497" operator="equal">
      <formula>"NO EJECUTADO"</formula>
    </cfRule>
    <cfRule type="cellIs" dxfId="8652" priority="38498" operator="equal">
      <formula>"FPE"</formula>
    </cfRule>
    <cfRule type="cellIs" dxfId="8651" priority="38499" operator="equal">
      <formula>"AMA"</formula>
    </cfRule>
    <cfRule type="cellIs" dxfId="8650" priority="38500" operator="equal">
      <formula>"SIN DATOS"</formula>
    </cfRule>
    <cfRule type="cellIs" dxfId="8649" priority="38501" operator="equal">
      <formula>"SIN DATOS"</formula>
    </cfRule>
    <cfRule type="cellIs" dxfId="8648" priority="38502" operator="equal">
      <formula>"NO EJECTUTADO"</formula>
    </cfRule>
    <cfRule type="cellIs" dxfId="8647" priority="38503" operator="equal">
      <formula>"FE"</formula>
    </cfRule>
    <cfRule type="cellIs" dxfId="8646" priority="38504" operator="equal">
      <formula>"FE"</formula>
    </cfRule>
  </conditionalFormatting>
  <conditionalFormatting sqref="F395">
    <cfRule type="cellIs" dxfId="8645" priority="38493" operator="equal">
      <formula>"Retirado"</formula>
    </cfRule>
    <cfRule type="cellIs" dxfId="8644" priority="38494" operator="equal">
      <formula>"FSE"</formula>
    </cfRule>
  </conditionalFormatting>
  <conditionalFormatting sqref="F396">
    <cfRule type="cellIs" dxfId="8643" priority="38483" operator="equal">
      <formula>"APLAZADO"</formula>
    </cfRule>
    <cfRule type="cellIs" dxfId="8642" priority="38484" operator="equal">
      <formula>"CANCELADO"</formula>
    </cfRule>
    <cfRule type="cellIs" dxfId="8641" priority="38485" operator="equal">
      <formula>"NO EJECUTADO"</formula>
    </cfRule>
    <cfRule type="cellIs" dxfId="8640" priority="38486" operator="equal">
      <formula>"FPE"</formula>
    </cfRule>
    <cfRule type="cellIs" dxfId="8639" priority="38487" operator="equal">
      <formula>"AMA"</formula>
    </cfRule>
    <cfRule type="cellIs" dxfId="8638" priority="38488" operator="equal">
      <formula>"SIN DATOS"</formula>
    </cfRule>
    <cfRule type="cellIs" dxfId="8637" priority="38489" operator="equal">
      <formula>"SIN DATOS"</formula>
    </cfRule>
    <cfRule type="cellIs" dxfId="8636" priority="38490" operator="equal">
      <formula>"NO EJECTUTADO"</formula>
    </cfRule>
    <cfRule type="cellIs" dxfId="8635" priority="38491" operator="equal">
      <formula>"FE"</formula>
    </cfRule>
    <cfRule type="cellIs" dxfId="8634" priority="38492" operator="equal">
      <formula>"FE"</formula>
    </cfRule>
  </conditionalFormatting>
  <conditionalFormatting sqref="F396">
    <cfRule type="cellIs" dxfId="8633" priority="38481" operator="equal">
      <formula>"Retirado"</formula>
    </cfRule>
    <cfRule type="cellIs" dxfId="8632" priority="38482" operator="equal">
      <formula>"FSE"</formula>
    </cfRule>
  </conditionalFormatting>
  <conditionalFormatting sqref="F397">
    <cfRule type="cellIs" dxfId="8631" priority="38471" operator="equal">
      <formula>"APLAZADO"</formula>
    </cfRule>
    <cfRule type="cellIs" dxfId="8630" priority="38472" operator="equal">
      <formula>"CANCELADO"</formula>
    </cfRule>
    <cfRule type="cellIs" dxfId="8629" priority="38473" operator="equal">
      <formula>"NO EJECUTADO"</formula>
    </cfRule>
    <cfRule type="cellIs" dxfId="8628" priority="38474" operator="equal">
      <formula>"FPE"</formula>
    </cfRule>
    <cfRule type="cellIs" dxfId="8627" priority="38475" operator="equal">
      <formula>"AMA"</formula>
    </cfRule>
    <cfRule type="cellIs" dxfId="8626" priority="38476" operator="equal">
      <formula>"SIN DATOS"</formula>
    </cfRule>
    <cfRule type="cellIs" dxfId="8625" priority="38477" operator="equal">
      <formula>"SIN DATOS"</formula>
    </cfRule>
    <cfRule type="cellIs" dxfId="8624" priority="38478" operator="equal">
      <formula>"NO EJECTUTADO"</formula>
    </cfRule>
    <cfRule type="cellIs" dxfId="8623" priority="38479" operator="equal">
      <formula>"FE"</formula>
    </cfRule>
    <cfRule type="cellIs" dxfId="8622" priority="38480" operator="equal">
      <formula>"FE"</formula>
    </cfRule>
  </conditionalFormatting>
  <conditionalFormatting sqref="F397">
    <cfRule type="cellIs" dxfId="8621" priority="38469" operator="equal">
      <formula>"Retirado"</formula>
    </cfRule>
    <cfRule type="cellIs" dxfId="8620" priority="38470" operator="equal">
      <formula>"FSE"</formula>
    </cfRule>
  </conditionalFormatting>
  <conditionalFormatting sqref="F398">
    <cfRule type="cellIs" dxfId="8619" priority="38440" operator="equal">
      <formula>"APLAZADO"</formula>
    </cfRule>
    <cfRule type="cellIs" dxfId="8618" priority="38441" operator="equal">
      <formula>"CANCELADO"</formula>
    </cfRule>
    <cfRule type="cellIs" dxfId="8617" priority="38442" operator="equal">
      <formula>"NO EJECUTADO"</formula>
    </cfRule>
    <cfRule type="cellIs" dxfId="8616" priority="38443" operator="equal">
      <formula>"FPE"</formula>
    </cfRule>
    <cfRule type="cellIs" dxfId="8615" priority="38444" operator="equal">
      <formula>"AMA"</formula>
    </cfRule>
    <cfRule type="cellIs" dxfId="8614" priority="38445" operator="equal">
      <formula>"SIN DATOS"</formula>
    </cfRule>
    <cfRule type="cellIs" dxfId="8613" priority="38446" operator="equal">
      <formula>"SIN DATOS"</formula>
    </cfRule>
    <cfRule type="cellIs" dxfId="8612" priority="38447" operator="equal">
      <formula>"NO EJECTUTADO"</formula>
    </cfRule>
    <cfRule type="cellIs" dxfId="8611" priority="38448" operator="equal">
      <formula>"FE"</formula>
    </cfRule>
    <cfRule type="cellIs" dxfId="8610" priority="38449" operator="equal">
      <formula>"FE"</formula>
    </cfRule>
  </conditionalFormatting>
  <conditionalFormatting sqref="F398">
    <cfRule type="cellIs" dxfId="8609" priority="38438" operator="equal">
      <formula>"Retirado"</formula>
    </cfRule>
    <cfRule type="cellIs" dxfId="8608" priority="38439" operator="equal">
      <formula>"FSE"</formula>
    </cfRule>
  </conditionalFormatting>
  <conditionalFormatting sqref="F399">
    <cfRule type="cellIs" dxfId="8607" priority="38428" operator="equal">
      <formula>"APLAZADO"</formula>
    </cfRule>
    <cfRule type="cellIs" dxfId="8606" priority="38429" operator="equal">
      <formula>"CANCELADO"</formula>
    </cfRule>
    <cfRule type="cellIs" dxfId="8605" priority="38430" operator="equal">
      <formula>"NO EJECUTADO"</formula>
    </cfRule>
    <cfRule type="cellIs" dxfId="8604" priority="38431" operator="equal">
      <formula>"FPE"</formula>
    </cfRule>
    <cfRule type="cellIs" dxfId="8603" priority="38432" operator="equal">
      <formula>"AMA"</formula>
    </cfRule>
    <cfRule type="cellIs" dxfId="8602" priority="38433" operator="equal">
      <formula>"SIN DATOS"</formula>
    </cfRule>
    <cfRule type="cellIs" dxfId="8601" priority="38434" operator="equal">
      <formula>"SIN DATOS"</formula>
    </cfRule>
    <cfRule type="cellIs" dxfId="8600" priority="38435" operator="equal">
      <formula>"NO EJECTUTADO"</formula>
    </cfRule>
    <cfRule type="cellIs" dxfId="8599" priority="38436" operator="equal">
      <formula>"FE"</formula>
    </cfRule>
    <cfRule type="cellIs" dxfId="8598" priority="38437" operator="equal">
      <formula>"FE"</formula>
    </cfRule>
  </conditionalFormatting>
  <conditionalFormatting sqref="F399">
    <cfRule type="cellIs" dxfId="8597" priority="38426" operator="equal">
      <formula>"Retirado"</formula>
    </cfRule>
    <cfRule type="cellIs" dxfId="8596" priority="38427" operator="equal">
      <formula>"FSE"</formula>
    </cfRule>
  </conditionalFormatting>
  <conditionalFormatting sqref="F400">
    <cfRule type="cellIs" dxfId="8595" priority="38416" operator="equal">
      <formula>"APLAZADO"</formula>
    </cfRule>
    <cfRule type="cellIs" dxfId="8594" priority="38417" operator="equal">
      <formula>"CANCELADO"</formula>
    </cfRule>
    <cfRule type="cellIs" dxfId="8593" priority="38418" operator="equal">
      <formula>"NO EJECUTADO"</formula>
    </cfRule>
    <cfRule type="cellIs" dxfId="8592" priority="38419" operator="equal">
      <formula>"FPE"</formula>
    </cfRule>
    <cfRule type="cellIs" dxfId="8591" priority="38420" operator="equal">
      <formula>"AMA"</formula>
    </cfRule>
    <cfRule type="cellIs" dxfId="8590" priority="38421" operator="equal">
      <formula>"SIN DATOS"</formula>
    </cfRule>
    <cfRule type="cellIs" dxfId="8589" priority="38422" operator="equal">
      <formula>"SIN DATOS"</formula>
    </cfRule>
    <cfRule type="cellIs" dxfId="8588" priority="38423" operator="equal">
      <formula>"NO EJECTUTADO"</formula>
    </cfRule>
    <cfRule type="cellIs" dxfId="8587" priority="38424" operator="equal">
      <formula>"FE"</formula>
    </cfRule>
    <cfRule type="cellIs" dxfId="8586" priority="38425" operator="equal">
      <formula>"FE"</formula>
    </cfRule>
  </conditionalFormatting>
  <conditionalFormatting sqref="F400">
    <cfRule type="cellIs" dxfId="8585" priority="38414" operator="equal">
      <formula>"Retirado"</formula>
    </cfRule>
    <cfRule type="cellIs" dxfId="8584" priority="38415" operator="equal">
      <formula>"FSE"</formula>
    </cfRule>
  </conditionalFormatting>
  <conditionalFormatting sqref="A404:A413 A416 A418:A421 A435:A436 A423:A430">
    <cfRule type="cellIs" dxfId="8583" priority="38403" operator="equal">
      <formula>"APLAZADO"</formula>
    </cfRule>
    <cfRule type="cellIs" dxfId="8582" priority="38404" operator="equal">
      <formula>"CANCELADO"</formula>
    </cfRule>
    <cfRule type="cellIs" dxfId="8581" priority="38405" operator="equal">
      <formula>"NO EJECUTADO"</formula>
    </cfRule>
    <cfRule type="cellIs" dxfId="8580" priority="38406" operator="equal">
      <formula>"FPE"</formula>
    </cfRule>
    <cfRule type="cellIs" dxfId="8579" priority="38407" operator="equal">
      <formula>"AMA"</formula>
    </cfRule>
    <cfRule type="cellIs" dxfId="8578" priority="38408" operator="equal">
      <formula>"SIN DATOS"</formula>
    </cfRule>
    <cfRule type="cellIs" dxfId="8577" priority="38409" operator="equal">
      <formula>"SIN DATOS"</formula>
    </cfRule>
    <cfRule type="cellIs" dxfId="8576" priority="38410" operator="equal">
      <formula>"NO EJECTUTADO"</formula>
    </cfRule>
    <cfRule type="cellIs" dxfId="8575" priority="38411" operator="equal">
      <formula>"FE"</formula>
    </cfRule>
    <cfRule type="cellIs" dxfId="8574" priority="38412" operator="equal">
      <formula>"FE"</formula>
    </cfRule>
  </conditionalFormatting>
  <conditionalFormatting sqref="A404:A413 A416 A418:A421 A435:A436 A423:A430">
    <cfRule type="cellIs" dxfId="8573" priority="38401" operator="equal">
      <formula>"Retirado"</formula>
    </cfRule>
    <cfRule type="cellIs" dxfId="8572" priority="38402" operator="equal">
      <formula>"FSE"</formula>
    </cfRule>
  </conditionalFormatting>
  <conditionalFormatting sqref="H404:H414 H418:H421 H416 H423:H437">
    <cfRule type="duplicateValues" dxfId="8571" priority="38400"/>
  </conditionalFormatting>
  <conditionalFormatting sqref="F424 F426:F428 F435:F436">
    <cfRule type="cellIs" dxfId="8570" priority="38390" operator="equal">
      <formula>"APLAZADO"</formula>
    </cfRule>
    <cfRule type="cellIs" dxfId="8569" priority="38391" operator="equal">
      <formula>"CANCELADO"</formula>
    </cfRule>
    <cfRule type="cellIs" dxfId="8568" priority="38392" operator="equal">
      <formula>"NO EJECUTADO"</formula>
    </cfRule>
    <cfRule type="cellIs" dxfId="8567" priority="38393" operator="equal">
      <formula>"FPE"</formula>
    </cfRule>
    <cfRule type="cellIs" dxfId="8566" priority="38394" operator="equal">
      <formula>"AMA"</formula>
    </cfRule>
    <cfRule type="cellIs" dxfId="8565" priority="38395" operator="equal">
      <formula>"SIN DATOS"</formula>
    </cfRule>
    <cfRule type="cellIs" dxfId="8564" priority="38396" operator="equal">
      <formula>"SIN DATOS"</formula>
    </cfRule>
    <cfRule type="cellIs" dxfId="8563" priority="38397" operator="equal">
      <formula>"NO EJECTUTADO"</formula>
    </cfRule>
    <cfRule type="cellIs" dxfId="8562" priority="38398" operator="equal">
      <formula>"FE"</formula>
    </cfRule>
    <cfRule type="cellIs" dxfId="8561" priority="38399" operator="equal">
      <formula>"FE"</formula>
    </cfRule>
  </conditionalFormatting>
  <conditionalFormatting sqref="F424 F426:F428 F435:F436">
    <cfRule type="cellIs" dxfId="8560" priority="38388" operator="equal">
      <formula>"Retirado"</formula>
    </cfRule>
    <cfRule type="cellIs" dxfId="8559" priority="38389" operator="equal">
      <formula>"FSE"</formula>
    </cfRule>
  </conditionalFormatting>
  <conditionalFormatting sqref="F402">
    <cfRule type="cellIs" dxfId="8558" priority="38378" operator="equal">
      <formula>"APLAZADO"</formula>
    </cfRule>
    <cfRule type="cellIs" dxfId="8557" priority="38379" operator="equal">
      <formula>"CANCELADO"</formula>
    </cfRule>
    <cfRule type="cellIs" dxfId="8556" priority="38380" operator="equal">
      <formula>"NO EJECUTADO"</formula>
    </cfRule>
    <cfRule type="cellIs" dxfId="8555" priority="38381" operator="equal">
      <formula>"FPE"</formula>
    </cfRule>
    <cfRule type="cellIs" dxfId="8554" priority="38382" operator="equal">
      <formula>"AMA"</formula>
    </cfRule>
    <cfRule type="cellIs" dxfId="8553" priority="38383" operator="equal">
      <formula>"SIN DATOS"</formula>
    </cfRule>
    <cfRule type="cellIs" dxfId="8552" priority="38384" operator="equal">
      <formula>"SIN DATOS"</formula>
    </cfRule>
    <cfRule type="cellIs" dxfId="8551" priority="38385" operator="equal">
      <formula>"NO EJECTUTADO"</formula>
    </cfRule>
    <cfRule type="cellIs" dxfId="8550" priority="38386" operator="equal">
      <formula>"FE"</formula>
    </cfRule>
    <cfRule type="cellIs" dxfId="8549" priority="38387" operator="equal">
      <formula>"FE"</formula>
    </cfRule>
  </conditionalFormatting>
  <conditionalFormatting sqref="F402">
    <cfRule type="cellIs" dxfId="8548" priority="38376" operator="equal">
      <formula>"Retirado"</formula>
    </cfRule>
    <cfRule type="cellIs" dxfId="8547" priority="38377" operator="equal">
      <formula>"FSE"</formula>
    </cfRule>
  </conditionalFormatting>
  <conditionalFormatting sqref="F403">
    <cfRule type="cellIs" dxfId="8546" priority="38366" operator="equal">
      <formula>"APLAZADO"</formula>
    </cfRule>
    <cfRule type="cellIs" dxfId="8545" priority="38367" operator="equal">
      <formula>"CANCELADO"</formula>
    </cfRule>
    <cfRule type="cellIs" dxfId="8544" priority="38368" operator="equal">
      <formula>"NO EJECUTADO"</formula>
    </cfRule>
    <cfRule type="cellIs" dxfId="8543" priority="38369" operator="equal">
      <formula>"FPE"</formula>
    </cfRule>
    <cfRule type="cellIs" dxfId="8542" priority="38370" operator="equal">
      <formula>"AMA"</formula>
    </cfRule>
    <cfRule type="cellIs" dxfId="8541" priority="38371" operator="equal">
      <formula>"SIN DATOS"</formula>
    </cfRule>
    <cfRule type="cellIs" dxfId="8540" priority="38372" operator="equal">
      <formula>"SIN DATOS"</formula>
    </cfRule>
    <cfRule type="cellIs" dxfId="8539" priority="38373" operator="equal">
      <formula>"NO EJECTUTADO"</formula>
    </cfRule>
    <cfRule type="cellIs" dxfId="8538" priority="38374" operator="equal">
      <formula>"FE"</formula>
    </cfRule>
    <cfRule type="cellIs" dxfId="8537" priority="38375" operator="equal">
      <formula>"FE"</formula>
    </cfRule>
  </conditionalFormatting>
  <conditionalFormatting sqref="F403">
    <cfRule type="cellIs" dxfId="8536" priority="38364" operator="equal">
      <formula>"Retirado"</formula>
    </cfRule>
    <cfRule type="cellIs" dxfId="8535" priority="38365" operator="equal">
      <formula>"FSE"</formula>
    </cfRule>
  </conditionalFormatting>
  <conditionalFormatting sqref="F404">
    <cfRule type="cellIs" dxfId="8534" priority="38354" operator="equal">
      <formula>"APLAZADO"</formula>
    </cfRule>
    <cfRule type="cellIs" dxfId="8533" priority="38355" operator="equal">
      <formula>"CANCELADO"</formula>
    </cfRule>
    <cfRule type="cellIs" dxfId="8532" priority="38356" operator="equal">
      <formula>"NO EJECUTADO"</formula>
    </cfRule>
    <cfRule type="cellIs" dxfId="8531" priority="38357" operator="equal">
      <formula>"FPE"</formula>
    </cfRule>
    <cfRule type="cellIs" dxfId="8530" priority="38358" operator="equal">
      <formula>"AMA"</formula>
    </cfRule>
    <cfRule type="cellIs" dxfId="8529" priority="38359" operator="equal">
      <formula>"SIN DATOS"</formula>
    </cfRule>
    <cfRule type="cellIs" dxfId="8528" priority="38360" operator="equal">
      <formula>"SIN DATOS"</formula>
    </cfRule>
    <cfRule type="cellIs" dxfId="8527" priority="38361" operator="equal">
      <formula>"NO EJECTUTADO"</formula>
    </cfRule>
    <cfRule type="cellIs" dxfId="8526" priority="38362" operator="equal">
      <formula>"FE"</formula>
    </cfRule>
    <cfRule type="cellIs" dxfId="8525" priority="38363" operator="equal">
      <formula>"FE"</formula>
    </cfRule>
  </conditionalFormatting>
  <conditionalFormatting sqref="F404">
    <cfRule type="cellIs" dxfId="8524" priority="38352" operator="equal">
      <formula>"Retirado"</formula>
    </cfRule>
    <cfRule type="cellIs" dxfId="8523" priority="38353" operator="equal">
      <formula>"FSE"</formula>
    </cfRule>
  </conditionalFormatting>
  <conditionalFormatting sqref="F405">
    <cfRule type="cellIs" dxfId="8522" priority="38342" operator="equal">
      <formula>"APLAZADO"</formula>
    </cfRule>
    <cfRule type="cellIs" dxfId="8521" priority="38343" operator="equal">
      <formula>"CANCELADO"</formula>
    </cfRule>
    <cfRule type="cellIs" dxfId="8520" priority="38344" operator="equal">
      <formula>"NO EJECUTADO"</formula>
    </cfRule>
    <cfRule type="cellIs" dxfId="8519" priority="38345" operator="equal">
      <formula>"FPE"</formula>
    </cfRule>
    <cfRule type="cellIs" dxfId="8518" priority="38346" operator="equal">
      <formula>"AMA"</formula>
    </cfRule>
    <cfRule type="cellIs" dxfId="8517" priority="38347" operator="equal">
      <formula>"SIN DATOS"</formula>
    </cfRule>
    <cfRule type="cellIs" dxfId="8516" priority="38348" operator="equal">
      <formula>"SIN DATOS"</formula>
    </cfRule>
    <cfRule type="cellIs" dxfId="8515" priority="38349" operator="equal">
      <formula>"NO EJECTUTADO"</formula>
    </cfRule>
    <cfRule type="cellIs" dxfId="8514" priority="38350" operator="equal">
      <formula>"FE"</formula>
    </cfRule>
    <cfRule type="cellIs" dxfId="8513" priority="38351" operator="equal">
      <formula>"FE"</formula>
    </cfRule>
  </conditionalFormatting>
  <conditionalFormatting sqref="F405">
    <cfRule type="cellIs" dxfId="8512" priority="38340" operator="equal">
      <formula>"Retirado"</formula>
    </cfRule>
    <cfRule type="cellIs" dxfId="8511" priority="38341" operator="equal">
      <formula>"FSE"</formula>
    </cfRule>
  </conditionalFormatting>
  <conditionalFormatting sqref="F406">
    <cfRule type="cellIs" dxfId="8510" priority="38330" operator="equal">
      <formula>"APLAZADO"</formula>
    </cfRule>
    <cfRule type="cellIs" dxfId="8509" priority="38331" operator="equal">
      <formula>"CANCELADO"</formula>
    </cfRule>
    <cfRule type="cellIs" dxfId="8508" priority="38332" operator="equal">
      <formula>"NO EJECUTADO"</formula>
    </cfRule>
    <cfRule type="cellIs" dxfId="8507" priority="38333" operator="equal">
      <formula>"FPE"</formula>
    </cfRule>
    <cfRule type="cellIs" dxfId="8506" priority="38334" operator="equal">
      <formula>"AMA"</formula>
    </cfRule>
    <cfRule type="cellIs" dxfId="8505" priority="38335" operator="equal">
      <formula>"SIN DATOS"</formula>
    </cfRule>
    <cfRule type="cellIs" dxfId="8504" priority="38336" operator="equal">
      <formula>"SIN DATOS"</formula>
    </cfRule>
    <cfRule type="cellIs" dxfId="8503" priority="38337" operator="equal">
      <formula>"NO EJECTUTADO"</formula>
    </cfRule>
    <cfRule type="cellIs" dxfId="8502" priority="38338" operator="equal">
      <formula>"FE"</formula>
    </cfRule>
    <cfRule type="cellIs" dxfId="8501" priority="38339" operator="equal">
      <formula>"FE"</formula>
    </cfRule>
  </conditionalFormatting>
  <conditionalFormatting sqref="F406">
    <cfRule type="cellIs" dxfId="8500" priority="38328" operator="equal">
      <formula>"Retirado"</formula>
    </cfRule>
    <cfRule type="cellIs" dxfId="8499" priority="38329" operator="equal">
      <formula>"FSE"</formula>
    </cfRule>
  </conditionalFormatting>
  <conditionalFormatting sqref="F407">
    <cfRule type="cellIs" dxfId="8498" priority="38318" operator="equal">
      <formula>"APLAZADO"</formula>
    </cfRule>
    <cfRule type="cellIs" dxfId="8497" priority="38319" operator="equal">
      <formula>"CANCELADO"</formula>
    </cfRule>
    <cfRule type="cellIs" dxfId="8496" priority="38320" operator="equal">
      <formula>"NO EJECUTADO"</formula>
    </cfRule>
    <cfRule type="cellIs" dxfId="8495" priority="38321" operator="equal">
      <formula>"FPE"</formula>
    </cfRule>
    <cfRule type="cellIs" dxfId="8494" priority="38322" operator="equal">
      <formula>"AMA"</formula>
    </cfRule>
    <cfRule type="cellIs" dxfId="8493" priority="38323" operator="equal">
      <formula>"SIN DATOS"</formula>
    </cfRule>
    <cfRule type="cellIs" dxfId="8492" priority="38324" operator="equal">
      <formula>"SIN DATOS"</formula>
    </cfRule>
    <cfRule type="cellIs" dxfId="8491" priority="38325" operator="equal">
      <formula>"NO EJECTUTADO"</formula>
    </cfRule>
    <cfRule type="cellIs" dxfId="8490" priority="38326" operator="equal">
      <formula>"FE"</formula>
    </cfRule>
    <cfRule type="cellIs" dxfId="8489" priority="38327" operator="equal">
      <formula>"FE"</formula>
    </cfRule>
  </conditionalFormatting>
  <conditionalFormatting sqref="F407">
    <cfRule type="cellIs" dxfId="8488" priority="38316" operator="equal">
      <formula>"Retirado"</formula>
    </cfRule>
    <cfRule type="cellIs" dxfId="8487" priority="38317" operator="equal">
      <formula>"FSE"</formula>
    </cfRule>
  </conditionalFormatting>
  <conditionalFormatting sqref="F408">
    <cfRule type="cellIs" dxfId="8486" priority="38306" operator="equal">
      <formula>"APLAZADO"</formula>
    </cfRule>
    <cfRule type="cellIs" dxfId="8485" priority="38307" operator="equal">
      <formula>"CANCELADO"</formula>
    </cfRule>
    <cfRule type="cellIs" dxfId="8484" priority="38308" operator="equal">
      <formula>"NO EJECUTADO"</formula>
    </cfRule>
    <cfRule type="cellIs" dxfId="8483" priority="38309" operator="equal">
      <formula>"FPE"</formula>
    </cfRule>
    <cfRule type="cellIs" dxfId="8482" priority="38310" operator="equal">
      <formula>"AMA"</formula>
    </cfRule>
    <cfRule type="cellIs" dxfId="8481" priority="38311" operator="equal">
      <formula>"SIN DATOS"</formula>
    </cfRule>
    <cfRule type="cellIs" dxfId="8480" priority="38312" operator="equal">
      <formula>"SIN DATOS"</formula>
    </cfRule>
    <cfRule type="cellIs" dxfId="8479" priority="38313" operator="equal">
      <formula>"NO EJECTUTADO"</formula>
    </cfRule>
    <cfRule type="cellIs" dxfId="8478" priority="38314" operator="equal">
      <formula>"FE"</formula>
    </cfRule>
    <cfRule type="cellIs" dxfId="8477" priority="38315" operator="equal">
      <formula>"FE"</formula>
    </cfRule>
  </conditionalFormatting>
  <conditionalFormatting sqref="F408">
    <cfRule type="cellIs" dxfId="8476" priority="38304" operator="equal">
      <formula>"Retirado"</formula>
    </cfRule>
    <cfRule type="cellIs" dxfId="8475" priority="38305" operator="equal">
      <formula>"FSE"</formula>
    </cfRule>
  </conditionalFormatting>
  <conditionalFormatting sqref="F409">
    <cfRule type="cellIs" dxfId="8474" priority="38294" operator="equal">
      <formula>"APLAZADO"</formula>
    </cfRule>
    <cfRule type="cellIs" dxfId="8473" priority="38295" operator="equal">
      <formula>"CANCELADO"</formula>
    </cfRule>
    <cfRule type="cellIs" dxfId="8472" priority="38296" operator="equal">
      <formula>"NO EJECUTADO"</formula>
    </cfRule>
    <cfRule type="cellIs" dxfId="8471" priority="38297" operator="equal">
      <formula>"FPE"</formula>
    </cfRule>
    <cfRule type="cellIs" dxfId="8470" priority="38298" operator="equal">
      <formula>"AMA"</formula>
    </cfRule>
    <cfRule type="cellIs" dxfId="8469" priority="38299" operator="equal">
      <formula>"SIN DATOS"</formula>
    </cfRule>
    <cfRule type="cellIs" dxfId="8468" priority="38300" operator="equal">
      <formula>"SIN DATOS"</formula>
    </cfRule>
    <cfRule type="cellIs" dxfId="8467" priority="38301" operator="equal">
      <formula>"NO EJECTUTADO"</formula>
    </cfRule>
    <cfRule type="cellIs" dxfId="8466" priority="38302" operator="equal">
      <formula>"FE"</formula>
    </cfRule>
    <cfRule type="cellIs" dxfId="8465" priority="38303" operator="equal">
      <formula>"FE"</formula>
    </cfRule>
  </conditionalFormatting>
  <conditionalFormatting sqref="F409">
    <cfRule type="cellIs" dxfId="8464" priority="38292" operator="equal">
      <formula>"Retirado"</formula>
    </cfRule>
    <cfRule type="cellIs" dxfId="8463" priority="38293" operator="equal">
      <formula>"FSE"</formula>
    </cfRule>
  </conditionalFormatting>
  <conditionalFormatting sqref="F410">
    <cfRule type="cellIs" dxfId="8462" priority="38282" operator="equal">
      <formula>"APLAZADO"</formula>
    </cfRule>
    <cfRule type="cellIs" dxfId="8461" priority="38283" operator="equal">
      <formula>"CANCELADO"</formula>
    </cfRule>
    <cfRule type="cellIs" dxfId="8460" priority="38284" operator="equal">
      <formula>"NO EJECUTADO"</formula>
    </cfRule>
    <cfRule type="cellIs" dxfId="8459" priority="38285" operator="equal">
      <formula>"FPE"</formula>
    </cfRule>
    <cfRule type="cellIs" dxfId="8458" priority="38286" operator="equal">
      <formula>"AMA"</formula>
    </cfRule>
    <cfRule type="cellIs" dxfId="8457" priority="38287" operator="equal">
      <formula>"SIN DATOS"</formula>
    </cfRule>
    <cfRule type="cellIs" dxfId="8456" priority="38288" operator="equal">
      <formula>"SIN DATOS"</formula>
    </cfRule>
    <cfRule type="cellIs" dxfId="8455" priority="38289" operator="equal">
      <formula>"NO EJECTUTADO"</formula>
    </cfRule>
    <cfRule type="cellIs" dxfId="8454" priority="38290" operator="equal">
      <formula>"FE"</formula>
    </cfRule>
    <cfRule type="cellIs" dxfId="8453" priority="38291" operator="equal">
      <formula>"FE"</formula>
    </cfRule>
  </conditionalFormatting>
  <conditionalFormatting sqref="F410">
    <cfRule type="cellIs" dxfId="8452" priority="38280" operator="equal">
      <formula>"Retirado"</formula>
    </cfRule>
    <cfRule type="cellIs" dxfId="8451" priority="38281" operator="equal">
      <formula>"FSE"</formula>
    </cfRule>
  </conditionalFormatting>
  <conditionalFormatting sqref="F411">
    <cfRule type="cellIs" dxfId="8450" priority="38269" operator="equal">
      <formula>"APLAZADO"</formula>
    </cfRule>
    <cfRule type="cellIs" dxfId="8449" priority="38270" operator="equal">
      <formula>"CANCELADO"</formula>
    </cfRule>
    <cfRule type="cellIs" dxfId="8448" priority="38271" operator="equal">
      <formula>"NO EJECUTADO"</formula>
    </cfRule>
    <cfRule type="cellIs" dxfId="8447" priority="38272" operator="equal">
      <formula>"FPE"</formula>
    </cfRule>
    <cfRule type="cellIs" dxfId="8446" priority="38273" operator="equal">
      <formula>"AMA"</formula>
    </cfRule>
    <cfRule type="cellIs" dxfId="8445" priority="38274" operator="equal">
      <formula>"SIN DATOS"</formula>
    </cfRule>
    <cfRule type="cellIs" dxfId="8444" priority="38275" operator="equal">
      <formula>"SIN DATOS"</formula>
    </cfRule>
    <cfRule type="cellIs" dxfId="8443" priority="38276" operator="equal">
      <formula>"NO EJECTUTADO"</formula>
    </cfRule>
    <cfRule type="cellIs" dxfId="8442" priority="38277" operator="equal">
      <formula>"FE"</formula>
    </cfRule>
    <cfRule type="cellIs" dxfId="8441" priority="38278" operator="equal">
      <formula>"FE"</formula>
    </cfRule>
  </conditionalFormatting>
  <conditionalFormatting sqref="F411">
    <cfRule type="cellIs" dxfId="8440" priority="38267" operator="equal">
      <formula>"Retirado"</formula>
    </cfRule>
    <cfRule type="cellIs" dxfId="8439" priority="38268" operator="equal">
      <formula>"FSE"</formula>
    </cfRule>
  </conditionalFormatting>
  <conditionalFormatting sqref="F412">
    <cfRule type="cellIs" dxfId="8438" priority="38257" operator="equal">
      <formula>"APLAZADO"</formula>
    </cfRule>
    <cfRule type="cellIs" dxfId="8437" priority="38258" operator="equal">
      <formula>"CANCELADO"</formula>
    </cfRule>
    <cfRule type="cellIs" dxfId="8436" priority="38259" operator="equal">
      <formula>"NO EJECUTADO"</formula>
    </cfRule>
    <cfRule type="cellIs" dxfId="8435" priority="38260" operator="equal">
      <formula>"FPE"</formula>
    </cfRule>
    <cfRule type="cellIs" dxfId="8434" priority="38261" operator="equal">
      <formula>"AMA"</formula>
    </cfRule>
    <cfRule type="cellIs" dxfId="8433" priority="38262" operator="equal">
      <formula>"SIN DATOS"</formula>
    </cfRule>
    <cfRule type="cellIs" dxfId="8432" priority="38263" operator="equal">
      <formula>"SIN DATOS"</formula>
    </cfRule>
    <cfRule type="cellIs" dxfId="8431" priority="38264" operator="equal">
      <formula>"NO EJECTUTADO"</formula>
    </cfRule>
    <cfRule type="cellIs" dxfId="8430" priority="38265" operator="equal">
      <formula>"FE"</formula>
    </cfRule>
    <cfRule type="cellIs" dxfId="8429" priority="38266" operator="equal">
      <formula>"FE"</formula>
    </cfRule>
  </conditionalFormatting>
  <conditionalFormatting sqref="F412">
    <cfRule type="cellIs" dxfId="8428" priority="38255" operator="equal">
      <formula>"Retirado"</formula>
    </cfRule>
    <cfRule type="cellIs" dxfId="8427" priority="38256" operator="equal">
      <formula>"FSE"</formula>
    </cfRule>
  </conditionalFormatting>
  <conditionalFormatting sqref="F413">
    <cfRule type="cellIs" dxfId="8426" priority="38245" operator="equal">
      <formula>"APLAZADO"</formula>
    </cfRule>
    <cfRule type="cellIs" dxfId="8425" priority="38246" operator="equal">
      <formula>"CANCELADO"</formula>
    </cfRule>
    <cfRule type="cellIs" dxfId="8424" priority="38247" operator="equal">
      <formula>"NO EJECUTADO"</formula>
    </cfRule>
    <cfRule type="cellIs" dxfId="8423" priority="38248" operator="equal">
      <formula>"FPE"</formula>
    </cfRule>
    <cfRule type="cellIs" dxfId="8422" priority="38249" operator="equal">
      <formula>"AMA"</formula>
    </cfRule>
    <cfRule type="cellIs" dxfId="8421" priority="38250" operator="equal">
      <formula>"SIN DATOS"</formula>
    </cfRule>
    <cfRule type="cellIs" dxfId="8420" priority="38251" operator="equal">
      <formula>"SIN DATOS"</formula>
    </cfRule>
    <cfRule type="cellIs" dxfId="8419" priority="38252" operator="equal">
      <formula>"NO EJECTUTADO"</formula>
    </cfRule>
    <cfRule type="cellIs" dxfId="8418" priority="38253" operator="equal">
      <formula>"FE"</formula>
    </cfRule>
    <cfRule type="cellIs" dxfId="8417" priority="38254" operator="equal">
      <formula>"FE"</formula>
    </cfRule>
  </conditionalFormatting>
  <conditionalFormatting sqref="F413">
    <cfRule type="cellIs" dxfId="8416" priority="38243" operator="equal">
      <formula>"Retirado"</formula>
    </cfRule>
    <cfRule type="cellIs" dxfId="8415" priority="38244" operator="equal">
      <formula>"FSE"</formula>
    </cfRule>
  </conditionalFormatting>
  <conditionalFormatting sqref="A414">
    <cfRule type="cellIs" dxfId="8414" priority="38233" operator="equal">
      <formula>"APLAZADO"</formula>
    </cfRule>
    <cfRule type="cellIs" dxfId="8413" priority="38234" operator="equal">
      <formula>"CANCELADO"</formula>
    </cfRule>
    <cfRule type="cellIs" dxfId="8412" priority="38235" operator="equal">
      <formula>"NO EJECUTADO"</formula>
    </cfRule>
    <cfRule type="cellIs" dxfId="8411" priority="38236" operator="equal">
      <formula>"FPE"</formula>
    </cfRule>
    <cfRule type="cellIs" dxfId="8410" priority="38237" operator="equal">
      <formula>"AMA"</formula>
    </cfRule>
    <cfRule type="cellIs" dxfId="8409" priority="38238" operator="equal">
      <formula>"SIN DATOS"</formula>
    </cfRule>
    <cfRule type="cellIs" dxfId="8408" priority="38239" operator="equal">
      <formula>"SIN DATOS"</formula>
    </cfRule>
    <cfRule type="cellIs" dxfId="8407" priority="38240" operator="equal">
      <formula>"NO EJECTUTADO"</formula>
    </cfRule>
    <cfRule type="cellIs" dxfId="8406" priority="38241" operator="equal">
      <formula>"FE"</formula>
    </cfRule>
    <cfRule type="cellIs" dxfId="8405" priority="38242" operator="equal">
      <formula>"FE"</formula>
    </cfRule>
  </conditionalFormatting>
  <conditionalFormatting sqref="A414">
    <cfRule type="cellIs" dxfId="8404" priority="38231" operator="equal">
      <formula>"Retirado"</formula>
    </cfRule>
    <cfRule type="cellIs" dxfId="8403" priority="38232" operator="equal">
      <formula>"FSE"</formula>
    </cfRule>
  </conditionalFormatting>
  <conditionalFormatting sqref="F414">
    <cfRule type="cellIs" dxfId="8402" priority="38221" operator="equal">
      <formula>"APLAZADO"</formula>
    </cfRule>
    <cfRule type="cellIs" dxfId="8401" priority="38222" operator="equal">
      <formula>"CANCELADO"</formula>
    </cfRule>
    <cfRule type="cellIs" dxfId="8400" priority="38223" operator="equal">
      <formula>"NO EJECUTADO"</formula>
    </cfRule>
    <cfRule type="cellIs" dxfId="8399" priority="38224" operator="equal">
      <formula>"FPE"</formula>
    </cfRule>
    <cfRule type="cellIs" dxfId="8398" priority="38225" operator="equal">
      <formula>"AMA"</formula>
    </cfRule>
    <cfRule type="cellIs" dxfId="8397" priority="38226" operator="equal">
      <formula>"SIN DATOS"</formula>
    </cfRule>
    <cfRule type="cellIs" dxfId="8396" priority="38227" operator="equal">
      <formula>"SIN DATOS"</formula>
    </cfRule>
    <cfRule type="cellIs" dxfId="8395" priority="38228" operator="equal">
      <formula>"NO EJECTUTADO"</formula>
    </cfRule>
    <cfRule type="cellIs" dxfId="8394" priority="38229" operator="equal">
      <formula>"FE"</formula>
    </cfRule>
    <cfRule type="cellIs" dxfId="8393" priority="38230" operator="equal">
      <formula>"FE"</formula>
    </cfRule>
  </conditionalFormatting>
  <conditionalFormatting sqref="F414">
    <cfRule type="cellIs" dxfId="8392" priority="38219" operator="equal">
      <formula>"Retirado"</formula>
    </cfRule>
    <cfRule type="cellIs" dxfId="8391" priority="38220" operator="equal">
      <formula>"FSE"</formula>
    </cfRule>
  </conditionalFormatting>
  <conditionalFormatting sqref="F416">
    <cfRule type="cellIs" dxfId="8390" priority="38197" operator="equal">
      <formula>"APLAZADO"</formula>
    </cfRule>
    <cfRule type="cellIs" dxfId="8389" priority="38198" operator="equal">
      <formula>"CANCELADO"</formula>
    </cfRule>
    <cfRule type="cellIs" dxfId="8388" priority="38199" operator="equal">
      <formula>"NO EJECUTADO"</formula>
    </cfRule>
    <cfRule type="cellIs" dxfId="8387" priority="38200" operator="equal">
      <formula>"FPE"</formula>
    </cfRule>
    <cfRule type="cellIs" dxfId="8386" priority="38201" operator="equal">
      <formula>"AMA"</formula>
    </cfRule>
    <cfRule type="cellIs" dxfId="8385" priority="38202" operator="equal">
      <formula>"SIN DATOS"</formula>
    </cfRule>
    <cfRule type="cellIs" dxfId="8384" priority="38203" operator="equal">
      <formula>"SIN DATOS"</formula>
    </cfRule>
    <cfRule type="cellIs" dxfId="8383" priority="38204" operator="equal">
      <formula>"NO EJECTUTADO"</formula>
    </cfRule>
    <cfRule type="cellIs" dxfId="8382" priority="38205" operator="equal">
      <formula>"FE"</formula>
    </cfRule>
    <cfRule type="cellIs" dxfId="8381" priority="38206" operator="equal">
      <formula>"FE"</formula>
    </cfRule>
  </conditionalFormatting>
  <conditionalFormatting sqref="F416">
    <cfRule type="cellIs" dxfId="8380" priority="38195" operator="equal">
      <formula>"Retirado"</formula>
    </cfRule>
    <cfRule type="cellIs" dxfId="8379" priority="38196" operator="equal">
      <formula>"FSE"</formula>
    </cfRule>
  </conditionalFormatting>
  <conditionalFormatting sqref="F418">
    <cfRule type="cellIs" dxfId="8378" priority="38173" operator="equal">
      <formula>"APLAZADO"</formula>
    </cfRule>
    <cfRule type="cellIs" dxfId="8377" priority="38174" operator="equal">
      <formula>"CANCELADO"</formula>
    </cfRule>
    <cfRule type="cellIs" dxfId="8376" priority="38175" operator="equal">
      <formula>"NO EJECUTADO"</formula>
    </cfRule>
    <cfRule type="cellIs" dxfId="8375" priority="38176" operator="equal">
      <formula>"FPE"</formula>
    </cfRule>
    <cfRule type="cellIs" dxfId="8374" priority="38177" operator="equal">
      <formula>"AMA"</formula>
    </cfRule>
    <cfRule type="cellIs" dxfId="8373" priority="38178" operator="equal">
      <formula>"SIN DATOS"</formula>
    </cfRule>
    <cfRule type="cellIs" dxfId="8372" priority="38179" operator="equal">
      <formula>"SIN DATOS"</formula>
    </cfRule>
    <cfRule type="cellIs" dxfId="8371" priority="38180" operator="equal">
      <formula>"NO EJECTUTADO"</formula>
    </cfRule>
    <cfRule type="cellIs" dxfId="8370" priority="38181" operator="equal">
      <formula>"FE"</formula>
    </cfRule>
    <cfRule type="cellIs" dxfId="8369" priority="38182" operator="equal">
      <formula>"FE"</formula>
    </cfRule>
  </conditionalFormatting>
  <conditionalFormatting sqref="F418">
    <cfRule type="cellIs" dxfId="8368" priority="38171" operator="equal">
      <formula>"Retirado"</formula>
    </cfRule>
    <cfRule type="cellIs" dxfId="8367" priority="38172" operator="equal">
      <formula>"FSE"</formula>
    </cfRule>
  </conditionalFormatting>
  <conditionalFormatting sqref="F419">
    <cfRule type="cellIs" dxfId="8366" priority="38161" operator="equal">
      <formula>"APLAZADO"</formula>
    </cfRule>
    <cfRule type="cellIs" dxfId="8365" priority="38162" operator="equal">
      <formula>"CANCELADO"</formula>
    </cfRule>
    <cfRule type="cellIs" dxfId="8364" priority="38163" operator="equal">
      <formula>"NO EJECUTADO"</formula>
    </cfRule>
    <cfRule type="cellIs" dxfId="8363" priority="38164" operator="equal">
      <formula>"FPE"</formula>
    </cfRule>
    <cfRule type="cellIs" dxfId="8362" priority="38165" operator="equal">
      <formula>"AMA"</formula>
    </cfRule>
    <cfRule type="cellIs" dxfId="8361" priority="38166" operator="equal">
      <formula>"SIN DATOS"</formula>
    </cfRule>
    <cfRule type="cellIs" dxfId="8360" priority="38167" operator="equal">
      <formula>"SIN DATOS"</formula>
    </cfRule>
    <cfRule type="cellIs" dxfId="8359" priority="38168" operator="equal">
      <formula>"NO EJECTUTADO"</formula>
    </cfRule>
    <cfRule type="cellIs" dxfId="8358" priority="38169" operator="equal">
      <formula>"FE"</formula>
    </cfRule>
    <cfRule type="cellIs" dxfId="8357" priority="38170" operator="equal">
      <formula>"FE"</formula>
    </cfRule>
  </conditionalFormatting>
  <conditionalFormatting sqref="F419">
    <cfRule type="cellIs" dxfId="8356" priority="38159" operator="equal">
      <formula>"Retirado"</formula>
    </cfRule>
    <cfRule type="cellIs" dxfId="8355" priority="38160" operator="equal">
      <formula>"FSE"</formula>
    </cfRule>
  </conditionalFormatting>
  <conditionalFormatting sqref="F420">
    <cfRule type="cellIs" dxfId="8354" priority="38149" operator="equal">
      <formula>"APLAZADO"</formula>
    </cfRule>
    <cfRule type="cellIs" dxfId="8353" priority="38150" operator="equal">
      <formula>"CANCELADO"</formula>
    </cfRule>
    <cfRule type="cellIs" dxfId="8352" priority="38151" operator="equal">
      <formula>"NO EJECUTADO"</formula>
    </cfRule>
    <cfRule type="cellIs" dxfId="8351" priority="38152" operator="equal">
      <formula>"FPE"</formula>
    </cfRule>
    <cfRule type="cellIs" dxfId="8350" priority="38153" operator="equal">
      <formula>"AMA"</formula>
    </cfRule>
    <cfRule type="cellIs" dxfId="8349" priority="38154" operator="equal">
      <formula>"SIN DATOS"</formula>
    </cfRule>
    <cfRule type="cellIs" dxfId="8348" priority="38155" operator="equal">
      <formula>"SIN DATOS"</formula>
    </cfRule>
    <cfRule type="cellIs" dxfId="8347" priority="38156" operator="equal">
      <formula>"NO EJECTUTADO"</formula>
    </cfRule>
    <cfRule type="cellIs" dxfId="8346" priority="38157" operator="equal">
      <formula>"FE"</formula>
    </cfRule>
    <cfRule type="cellIs" dxfId="8345" priority="38158" operator="equal">
      <formula>"FE"</formula>
    </cfRule>
  </conditionalFormatting>
  <conditionalFormatting sqref="F420">
    <cfRule type="cellIs" dxfId="8344" priority="38147" operator="equal">
      <formula>"Retirado"</formula>
    </cfRule>
    <cfRule type="cellIs" dxfId="8343" priority="38148" operator="equal">
      <formula>"FSE"</formula>
    </cfRule>
  </conditionalFormatting>
  <conditionalFormatting sqref="F423">
    <cfRule type="cellIs" dxfId="8342" priority="38137" operator="equal">
      <formula>"APLAZADO"</formula>
    </cfRule>
    <cfRule type="cellIs" dxfId="8341" priority="38138" operator="equal">
      <formula>"CANCELADO"</formula>
    </cfRule>
    <cfRule type="cellIs" dxfId="8340" priority="38139" operator="equal">
      <formula>"NO EJECUTADO"</formula>
    </cfRule>
    <cfRule type="cellIs" dxfId="8339" priority="38140" operator="equal">
      <formula>"FPE"</formula>
    </cfRule>
    <cfRule type="cellIs" dxfId="8338" priority="38141" operator="equal">
      <formula>"AMA"</formula>
    </cfRule>
    <cfRule type="cellIs" dxfId="8337" priority="38142" operator="equal">
      <formula>"SIN DATOS"</formula>
    </cfRule>
    <cfRule type="cellIs" dxfId="8336" priority="38143" operator="equal">
      <formula>"SIN DATOS"</formula>
    </cfRule>
    <cfRule type="cellIs" dxfId="8335" priority="38144" operator="equal">
      <formula>"NO EJECTUTADO"</formula>
    </cfRule>
    <cfRule type="cellIs" dxfId="8334" priority="38145" operator="equal">
      <formula>"FE"</formula>
    </cfRule>
    <cfRule type="cellIs" dxfId="8333" priority="38146" operator="equal">
      <formula>"FE"</formula>
    </cfRule>
  </conditionalFormatting>
  <conditionalFormatting sqref="F423">
    <cfRule type="cellIs" dxfId="8332" priority="38135" operator="equal">
      <formula>"Retirado"</formula>
    </cfRule>
    <cfRule type="cellIs" dxfId="8331" priority="38136" operator="equal">
      <formula>"FSE"</formula>
    </cfRule>
  </conditionalFormatting>
  <conditionalFormatting sqref="B420:B422 B1:B414 B1029 B1034 B620:B1018 B1020:B1026 B1036:B1052 B1054:B1071 B1073:B1048576">
    <cfRule type="cellIs" dxfId="8330" priority="38126" operator="equal">
      <formula>"Sin éxito"</formula>
    </cfRule>
    <cfRule type="cellIs" dxfId="8329" priority="38127" operator="equal">
      <formula>"Éxito con problemas"</formula>
    </cfRule>
    <cfRule type="cellIs" dxfId="8328" priority="38128" operator="equal">
      <formula>"CANCELADO"</formula>
    </cfRule>
    <cfRule type="cellIs" dxfId="8327" priority="38129" operator="equal">
      <formula>"Aplicada marcha atrás"</formula>
    </cfRule>
    <cfRule type="cellIs" dxfId="8326" priority="38130" operator="equal">
      <formula>"CON ÉXITO"</formula>
    </cfRule>
  </conditionalFormatting>
  <conditionalFormatting sqref="G1 H1016 H734:H767 I752:I753 H1018:H1019 H1021:H1029 H1034 H1089:H1048576 G1054:H1071 G1036:G1052 G1073:H1088">
    <cfRule type="cellIs" dxfId="8325" priority="38122" operator="equal">
      <formula>"Programado para aprobación"</formula>
    </cfRule>
    <cfRule type="cellIs" dxfId="8324" priority="38123" operator="equal">
      <formula>"Cerrado"</formula>
    </cfRule>
    <cfRule type="cellIs" dxfId="8323" priority="38124" operator="equal">
      <formula>"Programado"</formula>
    </cfRule>
    <cfRule type="cellIs" dxfId="8322" priority="38125" operator="equal">
      <formula>"Implantación en curso"</formula>
    </cfRule>
  </conditionalFormatting>
  <conditionalFormatting sqref="A417">
    <cfRule type="cellIs" dxfId="8321" priority="38111" operator="equal">
      <formula>"APLAZADO"</formula>
    </cfRule>
    <cfRule type="cellIs" dxfId="8320" priority="38112" operator="equal">
      <formula>"CANCELADO"</formula>
    </cfRule>
    <cfRule type="cellIs" dxfId="8319" priority="38113" operator="equal">
      <formula>"NO EJECUTADO"</formula>
    </cfRule>
    <cfRule type="cellIs" dxfId="8318" priority="38114" operator="equal">
      <formula>"FPE"</formula>
    </cfRule>
    <cfRule type="cellIs" dxfId="8317" priority="38115" operator="equal">
      <formula>"AMA"</formula>
    </cfRule>
    <cfRule type="cellIs" dxfId="8316" priority="38116" operator="equal">
      <formula>"SIN DATOS"</formula>
    </cfRule>
    <cfRule type="cellIs" dxfId="8315" priority="38117" operator="equal">
      <formula>"SIN DATOS"</formula>
    </cfRule>
    <cfRule type="cellIs" dxfId="8314" priority="38118" operator="equal">
      <formula>"NO EJECTUTADO"</formula>
    </cfRule>
    <cfRule type="cellIs" dxfId="8313" priority="38119" operator="equal">
      <formula>"FE"</formula>
    </cfRule>
    <cfRule type="cellIs" dxfId="8312" priority="38120" operator="equal">
      <formula>"FE"</formula>
    </cfRule>
  </conditionalFormatting>
  <conditionalFormatting sqref="A417">
    <cfRule type="cellIs" dxfId="8311" priority="38109" operator="equal">
      <formula>"Retirado"</formula>
    </cfRule>
    <cfRule type="cellIs" dxfId="8310" priority="38110" operator="equal">
      <formula>"FSE"</formula>
    </cfRule>
  </conditionalFormatting>
  <conditionalFormatting sqref="H417">
    <cfRule type="duplicateValues" dxfId="8309" priority="38108"/>
  </conditionalFormatting>
  <conditionalFormatting sqref="F417">
    <cfRule type="cellIs" dxfId="8308" priority="38098" operator="equal">
      <formula>"APLAZADO"</formula>
    </cfRule>
    <cfRule type="cellIs" dxfId="8307" priority="38099" operator="equal">
      <formula>"CANCELADO"</formula>
    </cfRule>
    <cfRule type="cellIs" dxfId="8306" priority="38100" operator="equal">
      <formula>"NO EJECUTADO"</formula>
    </cfRule>
    <cfRule type="cellIs" dxfId="8305" priority="38101" operator="equal">
      <formula>"FPE"</formula>
    </cfRule>
    <cfRule type="cellIs" dxfId="8304" priority="38102" operator="equal">
      <formula>"AMA"</formula>
    </cfRule>
    <cfRule type="cellIs" dxfId="8303" priority="38103" operator="equal">
      <formula>"SIN DATOS"</formula>
    </cfRule>
    <cfRule type="cellIs" dxfId="8302" priority="38104" operator="equal">
      <formula>"SIN DATOS"</formula>
    </cfRule>
    <cfRule type="cellIs" dxfId="8301" priority="38105" operator="equal">
      <formula>"NO EJECTUTADO"</formula>
    </cfRule>
    <cfRule type="cellIs" dxfId="8300" priority="38106" operator="equal">
      <formula>"FE"</formula>
    </cfRule>
    <cfRule type="cellIs" dxfId="8299" priority="38107" operator="equal">
      <formula>"FE"</formula>
    </cfRule>
  </conditionalFormatting>
  <conditionalFormatting sqref="F417">
    <cfRule type="cellIs" dxfId="8298" priority="38096" operator="equal">
      <formula>"Retirado"</formula>
    </cfRule>
    <cfRule type="cellIs" dxfId="8297" priority="38097" operator="equal">
      <formula>"FSE"</formula>
    </cfRule>
  </conditionalFormatting>
  <conditionalFormatting sqref="H415">
    <cfRule type="duplicateValues" dxfId="8296" priority="38085"/>
  </conditionalFormatting>
  <conditionalFormatting sqref="A415">
    <cfRule type="cellIs" dxfId="8295" priority="38075" operator="equal">
      <formula>"APLAZADO"</formula>
    </cfRule>
    <cfRule type="cellIs" dxfId="8294" priority="38076" operator="equal">
      <formula>"CANCELADO"</formula>
    </cfRule>
    <cfRule type="cellIs" dxfId="8293" priority="38077" operator="equal">
      <formula>"NO EJECUTADO"</formula>
    </cfRule>
    <cfRule type="cellIs" dxfId="8292" priority="38078" operator="equal">
      <formula>"FPE"</formula>
    </cfRule>
    <cfRule type="cellIs" dxfId="8291" priority="38079" operator="equal">
      <formula>"AMA"</formula>
    </cfRule>
    <cfRule type="cellIs" dxfId="8290" priority="38080" operator="equal">
      <formula>"SIN DATOS"</formula>
    </cfRule>
    <cfRule type="cellIs" dxfId="8289" priority="38081" operator="equal">
      <formula>"SIN DATOS"</formula>
    </cfRule>
    <cfRule type="cellIs" dxfId="8288" priority="38082" operator="equal">
      <formula>"NO EJECTUTADO"</formula>
    </cfRule>
    <cfRule type="cellIs" dxfId="8287" priority="38083" operator="equal">
      <formula>"FE"</formula>
    </cfRule>
    <cfRule type="cellIs" dxfId="8286" priority="38084" operator="equal">
      <formula>"FE"</formula>
    </cfRule>
  </conditionalFormatting>
  <conditionalFormatting sqref="A415">
    <cfRule type="cellIs" dxfId="8285" priority="38073" operator="equal">
      <formula>"Retirado"</formula>
    </cfRule>
    <cfRule type="cellIs" dxfId="8284" priority="38074" operator="equal">
      <formula>"FSE"</formula>
    </cfRule>
  </conditionalFormatting>
  <conditionalFormatting sqref="F415">
    <cfRule type="cellIs" dxfId="8283" priority="38063" operator="equal">
      <formula>"APLAZADO"</formula>
    </cfRule>
    <cfRule type="cellIs" dxfId="8282" priority="38064" operator="equal">
      <formula>"CANCELADO"</formula>
    </cfRule>
    <cfRule type="cellIs" dxfId="8281" priority="38065" operator="equal">
      <formula>"NO EJECUTADO"</formula>
    </cfRule>
    <cfRule type="cellIs" dxfId="8280" priority="38066" operator="equal">
      <formula>"FPE"</formula>
    </cfRule>
    <cfRule type="cellIs" dxfId="8279" priority="38067" operator="equal">
      <formula>"AMA"</formula>
    </cfRule>
    <cfRule type="cellIs" dxfId="8278" priority="38068" operator="equal">
      <formula>"SIN DATOS"</formula>
    </cfRule>
    <cfRule type="cellIs" dxfId="8277" priority="38069" operator="equal">
      <formula>"SIN DATOS"</formula>
    </cfRule>
    <cfRule type="cellIs" dxfId="8276" priority="38070" operator="equal">
      <formula>"NO EJECTUTADO"</formula>
    </cfRule>
    <cfRule type="cellIs" dxfId="8275" priority="38071" operator="equal">
      <formula>"FE"</formula>
    </cfRule>
    <cfRule type="cellIs" dxfId="8274" priority="38072" operator="equal">
      <formula>"FE"</formula>
    </cfRule>
  </conditionalFormatting>
  <conditionalFormatting sqref="F415">
    <cfRule type="cellIs" dxfId="8273" priority="38061" operator="equal">
      <formula>"Retirado"</formula>
    </cfRule>
    <cfRule type="cellIs" dxfId="8272" priority="38062" operator="equal">
      <formula>"FSE"</formula>
    </cfRule>
  </conditionalFormatting>
  <conditionalFormatting sqref="F425">
    <cfRule type="cellIs" dxfId="8271" priority="38042" operator="equal">
      <formula>"APLAZADO"</formula>
    </cfRule>
    <cfRule type="cellIs" dxfId="8270" priority="38043" operator="equal">
      <formula>"CANCELADO"</formula>
    </cfRule>
    <cfRule type="cellIs" dxfId="8269" priority="38044" operator="equal">
      <formula>"NO EJECUTADO"</formula>
    </cfRule>
    <cfRule type="cellIs" dxfId="8268" priority="38045" operator="equal">
      <formula>"FPE"</formula>
    </cfRule>
    <cfRule type="cellIs" dxfId="8267" priority="38046" operator="equal">
      <formula>"AMA"</formula>
    </cfRule>
    <cfRule type="cellIs" dxfId="8266" priority="38047" operator="equal">
      <formula>"SIN DATOS"</formula>
    </cfRule>
    <cfRule type="cellIs" dxfId="8265" priority="38048" operator="equal">
      <formula>"SIN DATOS"</formula>
    </cfRule>
    <cfRule type="cellIs" dxfId="8264" priority="38049" operator="equal">
      <formula>"NO EJECTUTADO"</formula>
    </cfRule>
    <cfRule type="cellIs" dxfId="8263" priority="38050" operator="equal">
      <formula>"FE"</formula>
    </cfRule>
    <cfRule type="cellIs" dxfId="8262" priority="38051" operator="equal">
      <formula>"FE"</formula>
    </cfRule>
  </conditionalFormatting>
  <conditionalFormatting sqref="F425">
    <cfRule type="cellIs" dxfId="8261" priority="38040" operator="equal">
      <formula>"Retirado"</formula>
    </cfRule>
    <cfRule type="cellIs" dxfId="8260" priority="38041" operator="equal">
      <formula>"FSE"</formula>
    </cfRule>
  </conditionalFormatting>
  <conditionalFormatting sqref="F429">
    <cfRule type="cellIs" dxfId="8259" priority="38025" operator="equal">
      <formula>"APLAZADO"</formula>
    </cfRule>
    <cfRule type="cellIs" dxfId="8258" priority="38026" operator="equal">
      <formula>"CANCELADO"</formula>
    </cfRule>
    <cfRule type="cellIs" dxfId="8257" priority="38027" operator="equal">
      <formula>"NO EJECUTADO"</formula>
    </cfRule>
    <cfRule type="cellIs" dxfId="8256" priority="38028" operator="equal">
      <formula>"FPE"</formula>
    </cfRule>
    <cfRule type="cellIs" dxfId="8255" priority="38029" operator="equal">
      <formula>"AMA"</formula>
    </cfRule>
    <cfRule type="cellIs" dxfId="8254" priority="38030" operator="equal">
      <formula>"SIN DATOS"</formula>
    </cfRule>
    <cfRule type="cellIs" dxfId="8253" priority="38031" operator="equal">
      <formula>"SIN DATOS"</formula>
    </cfRule>
    <cfRule type="cellIs" dxfId="8252" priority="38032" operator="equal">
      <formula>"NO EJECTUTADO"</formula>
    </cfRule>
    <cfRule type="cellIs" dxfId="8251" priority="38033" operator="equal">
      <formula>"FE"</formula>
    </cfRule>
    <cfRule type="cellIs" dxfId="8250" priority="38034" operator="equal">
      <formula>"FE"</formula>
    </cfRule>
  </conditionalFormatting>
  <conditionalFormatting sqref="F429">
    <cfRule type="cellIs" dxfId="8249" priority="38023" operator="equal">
      <formula>"Retirado"</formula>
    </cfRule>
    <cfRule type="cellIs" dxfId="8248" priority="38024" operator="equal">
      <formula>"FSE"</formula>
    </cfRule>
  </conditionalFormatting>
  <conditionalFormatting sqref="F430">
    <cfRule type="cellIs" dxfId="8247" priority="38013" operator="equal">
      <formula>"APLAZADO"</formula>
    </cfRule>
    <cfRule type="cellIs" dxfId="8246" priority="38014" operator="equal">
      <formula>"CANCELADO"</formula>
    </cfRule>
    <cfRule type="cellIs" dxfId="8245" priority="38015" operator="equal">
      <formula>"NO EJECUTADO"</formula>
    </cfRule>
    <cfRule type="cellIs" dxfId="8244" priority="38016" operator="equal">
      <formula>"FPE"</formula>
    </cfRule>
    <cfRule type="cellIs" dxfId="8243" priority="38017" operator="equal">
      <formula>"AMA"</formula>
    </cfRule>
    <cfRule type="cellIs" dxfId="8242" priority="38018" operator="equal">
      <formula>"SIN DATOS"</formula>
    </cfRule>
    <cfRule type="cellIs" dxfId="8241" priority="38019" operator="equal">
      <formula>"SIN DATOS"</formula>
    </cfRule>
    <cfRule type="cellIs" dxfId="8240" priority="38020" operator="equal">
      <formula>"NO EJECTUTADO"</formula>
    </cfRule>
    <cfRule type="cellIs" dxfId="8239" priority="38021" operator="equal">
      <formula>"FE"</formula>
    </cfRule>
    <cfRule type="cellIs" dxfId="8238" priority="38022" operator="equal">
      <formula>"FE"</formula>
    </cfRule>
  </conditionalFormatting>
  <conditionalFormatting sqref="F430">
    <cfRule type="cellIs" dxfId="8237" priority="38011" operator="equal">
      <formula>"Retirado"</formula>
    </cfRule>
    <cfRule type="cellIs" dxfId="8236" priority="38012" operator="equal">
      <formula>"FSE"</formula>
    </cfRule>
  </conditionalFormatting>
  <conditionalFormatting sqref="A431">
    <cfRule type="cellIs" dxfId="8235" priority="37996" operator="equal">
      <formula>"APLAZADO"</formula>
    </cfRule>
    <cfRule type="cellIs" dxfId="8234" priority="37997" operator="equal">
      <formula>"CANCELADO"</formula>
    </cfRule>
    <cfRule type="cellIs" dxfId="8233" priority="37998" operator="equal">
      <formula>"NO EJECUTADO"</formula>
    </cfRule>
    <cfRule type="cellIs" dxfId="8232" priority="37999" operator="equal">
      <formula>"FPE"</formula>
    </cfRule>
    <cfRule type="cellIs" dxfId="8231" priority="38000" operator="equal">
      <formula>"AMA"</formula>
    </cfRule>
    <cfRule type="cellIs" dxfId="8230" priority="38001" operator="equal">
      <formula>"SIN DATOS"</formula>
    </cfRule>
    <cfRule type="cellIs" dxfId="8229" priority="38002" operator="equal">
      <formula>"SIN DATOS"</formula>
    </cfRule>
    <cfRule type="cellIs" dxfId="8228" priority="38003" operator="equal">
      <formula>"NO EJECTUTADO"</formula>
    </cfRule>
    <cfRule type="cellIs" dxfId="8227" priority="38004" operator="equal">
      <formula>"FE"</formula>
    </cfRule>
    <cfRule type="cellIs" dxfId="8226" priority="38005" operator="equal">
      <formula>"FE"</formula>
    </cfRule>
  </conditionalFormatting>
  <conditionalFormatting sqref="A431">
    <cfRule type="cellIs" dxfId="8225" priority="37994" operator="equal">
      <formula>"Retirado"</formula>
    </cfRule>
    <cfRule type="cellIs" dxfId="8224" priority="37995" operator="equal">
      <formula>"FSE"</formula>
    </cfRule>
  </conditionalFormatting>
  <conditionalFormatting sqref="F431">
    <cfRule type="cellIs" dxfId="8223" priority="37984" operator="equal">
      <formula>"APLAZADO"</formula>
    </cfRule>
    <cfRule type="cellIs" dxfId="8222" priority="37985" operator="equal">
      <formula>"CANCELADO"</formula>
    </cfRule>
    <cfRule type="cellIs" dxfId="8221" priority="37986" operator="equal">
      <formula>"NO EJECUTADO"</formula>
    </cfRule>
    <cfRule type="cellIs" dxfId="8220" priority="37987" operator="equal">
      <formula>"FPE"</formula>
    </cfRule>
    <cfRule type="cellIs" dxfId="8219" priority="37988" operator="equal">
      <formula>"AMA"</formula>
    </cfRule>
    <cfRule type="cellIs" dxfId="8218" priority="37989" operator="equal">
      <formula>"SIN DATOS"</formula>
    </cfRule>
    <cfRule type="cellIs" dxfId="8217" priority="37990" operator="equal">
      <formula>"SIN DATOS"</formula>
    </cfRule>
    <cfRule type="cellIs" dxfId="8216" priority="37991" operator="equal">
      <formula>"NO EJECTUTADO"</formula>
    </cfRule>
    <cfRule type="cellIs" dxfId="8215" priority="37992" operator="equal">
      <formula>"FE"</formula>
    </cfRule>
    <cfRule type="cellIs" dxfId="8214" priority="37993" operator="equal">
      <formula>"FE"</formula>
    </cfRule>
  </conditionalFormatting>
  <conditionalFormatting sqref="F431">
    <cfRule type="cellIs" dxfId="8213" priority="37982" operator="equal">
      <formula>"Retirado"</formula>
    </cfRule>
    <cfRule type="cellIs" dxfId="8212" priority="37983" operator="equal">
      <formula>"FSE"</formula>
    </cfRule>
  </conditionalFormatting>
  <conditionalFormatting sqref="A432">
    <cfRule type="cellIs" dxfId="8211" priority="37972" operator="equal">
      <formula>"APLAZADO"</formula>
    </cfRule>
    <cfRule type="cellIs" dxfId="8210" priority="37973" operator="equal">
      <formula>"CANCELADO"</formula>
    </cfRule>
    <cfRule type="cellIs" dxfId="8209" priority="37974" operator="equal">
      <formula>"NO EJECUTADO"</formula>
    </cfRule>
    <cfRule type="cellIs" dxfId="8208" priority="37975" operator="equal">
      <formula>"FPE"</formula>
    </cfRule>
    <cfRule type="cellIs" dxfId="8207" priority="37976" operator="equal">
      <formula>"AMA"</formula>
    </cfRule>
    <cfRule type="cellIs" dxfId="8206" priority="37977" operator="equal">
      <formula>"SIN DATOS"</formula>
    </cfRule>
    <cfRule type="cellIs" dxfId="8205" priority="37978" operator="equal">
      <formula>"SIN DATOS"</formula>
    </cfRule>
    <cfRule type="cellIs" dxfId="8204" priority="37979" operator="equal">
      <formula>"NO EJECTUTADO"</formula>
    </cfRule>
    <cfRule type="cellIs" dxfId="8203" priority="37980" operator="equal">
      <formula>"FE"</formula>
    </cfRule>
    <cfRule type="cellIs" dxfId="8202" priority="37981" operator="equal">
      <formula>"FE"</formula>
    </cfRule>
  </conditionalFormatting>
  <conditionalFormatting sqref="A432">
    <cfRule type="cellIs" dxfId="8201" priority="37970" operator="equal">
      <formula>"Retirado"</formula>
    </cfRule>
    <cfRule type="cellIs" dxfId="8200" priority="37971" operator="equal">
      <formula>"FSE"</formula>
    </cfRule>
  </conditionalFormatting>
  <conditionalFormatting sqref="F432">
    <cfRule type="cellIs" dxfId="8199" priority="37960" operator="equal">
      <formula>"APLAZADO"</formula>
    </cfRule>
    <cfRule type="cellIs" dxfId="8198" priority="37961" operator="equal">
      <formula>"CANCELADO"</formula>
    </cfRule>
    <cfRule type="cellIs" dxfId="8197" priority="37962" operator="equal">
      <formula>"NO EJECUTADO"</formula>
    </cfRule>
    <cfRule type="cellIs" dxfId="8196" priority="37963" operator="equal">
      <formula>"FPE"</formula>
    </cfRule>
    <cfRule type="cellIs" dxfId="8195" priority="37964" operator="equal">
      <formula>"AMA"</formula>
    </cfRule>
    <cfRule type="cellIs" dxfId="8194" priority="37965" operator="equal">
      <formula>"SIN DATOS"</formula>
    </cfRule>
    <cfRule type="cellIs" dxfId="8193" priority="37966" operator="equal">
      <formula>"SIN DATOS"</formula>
    </cfRule>
    <cfRule type="cellIs" dxfId="8192" priority="37967" operator="equal">
      <formula>"NO EJECTUTADO"</formula>
    </cfRule>
    <cfRule type="cellIs" dxfId="8191" priority="37968" operator="equal">
      <formula>"FE"</formula>
    </cfRule>
    <cfRule type="cellIs" dxfId="8190" priority="37969" operator="equal">
      <formula>"FE"</formula>
    </cfRule>
  </conditionalFormatting>
  <conditionalFormatting sqref="F432">
    <cfRule type="cellIs" dxfId="8189" priority="37958" operator="equal">
      <formula>"Retirado"</formula>
    </cfRule>
    <cfRule type="cellIs" dxfId="8188" priority="37959" operator="equal">
      <formula>"FSE"</formula>
    </cfRule>
  </conditionalFormatting>
  <conditionalFormatting sqref="A433">
    <cfRule type="cellIs" dxfId="8187" priority="37948" operator="equal">
      <formula>"APLAZADO"</formula>
    </cfRule>
    <cfRule type="cellIs" dxfId="8186" priority="37949" operator="equal">
      <formula>"CANCELADO"</formula>
    </cfRule>
    <cfRule type="cellIs" dxfId="8185" priority="37950" operator="equal">
      <formula>"NO EJECUTADO"</formula>
    </cfRule>
    <cfRule type="cellIs" dxfId="8184" priority="37951" operator="equal">
      <formula>"FPE"</formula>
    </cfRule>
    <cfRule type="cellIs" dxfId="8183" priority="37952" operator="equal">
      <formula>"AMA"</formula>
    </cfRule>
    <cfRule type="cellIs" dxfId="8182" priority="37953" operator="equal">
      <formula>"SIN DATOS"</formula>
    </cfRule>
    <cfRule type="cellIs" dxfId="8181" priority="37954" operator="equal">
      <formula>"SIN DATOS"</formula>
    </cfRule>
    <cfRule type="cellIs" dxfId="8180" priority="37955" operator="equal">
      <formula>"NO EJECTUTADO"</formula>
    </cfRule>
    <cfRule type="cellIs" dxfId="8179" priority="37956" operator="equal">
      <formula>"FE"</formula>
    </cfRule>
    <cfRule type="cellIs" dxfId="8178" priority="37957" operator="equal">
      <formula>"FE"</formula>
    </cfRule>
  </conditionalFormatting>
  <conditionalFormatting sqref="A433">
    <cfRule type="cellIs" dxfId="8177" priority="37946" operator="equal">
      <formula>"Retirado"</formula>
    </cfRule>
    <cfRule type="cellIs" dxfId="8176" priority="37947" operator="equal">
      <formula>"FSE"</formula>
    </cfRule>
  </conditionalFormatting>
  <conditionalFormatting sqref="F433">
    <cfRule type="cellIs" dxfId="8175" priority="37936" operator="equal">
      <formula>"APLAZADO"</formula>
    </cfRule>
    <cfRule type="cellIs" dxfId="8174" priority="37937" operator="equal">
      <formula>"CANCELADO"</formula>
    </cfRule>
    <cfRule type="cellIs" dxfId="8173" priority="37938" operator="equal">
      <formula>"NO EJECUTADO"</formula>
    </cfRule>
    <cfRule type="cellIs" dxfId="8172" priority="37939" operator="equal">
      <formula>"FPE"</formula>
    </cfRule>
    <cfRule type="cellIs" dxfId="8171" priority="37940" operator="equal">
      <formula>"AMA"</formula>
    </cfRule>
    <cfRule type="cellIs" dxfId="8170" priority="37941" operator="equal">
      <formula>"SIN DATOS"</formula>
    </cfRule>
    <cfRule type="cellIs" dxfId="8169" priority="37942" operator="equal">
      <formula>"SIN DATOS"</formula>
    </cfRule>
    <cfRule type="cellIs" dxfId="8168" priority="37943" operator="equal">
      <formula>"NO EJECTUTADO"</formula>
    </cfRule>
    <cfRule type="cellIs" dxfId="8167" priority="37944" operator="equal">
      <formula>"FE"</formula>
    </cfRule>
    <cfRule type="cellIs" dxfId="8166" priority="37945" operator="equal">
      <formula>"FE"</formula>
    </cfRule>
  </conditionalFormatting>
  <conditionalFormatting sqref="F433">
    <cfRule type="cellIs" dxfId="8165" priority="37934" operator="equal">
      <formula>"Retirado"</formula>
    </cfRule>
    <cfRule type="cellIs" dxfId="8164" priority="37935" operator="equal">
      <formula>"FSE"</formula>
    </cfRule>
  </conditionalFormatting>
  <conditionalFormatting sqref="A434">
    <cfRule type="cellIs" dxfId="8163" priority="37924" operator="equal">
      <formula>"APLAZADO"</formula>
    </cfRule>
    <cfRule type="cellIs" dxfId="8162" priority="37925" operator="equal">
      <formula>"CANCELADO"</formula>
    </cfRule>
    <cfRule type="cellIs" dxfId="8161" priority="37926" operator="equal">
      <formula>"NO EJECUTADO"</formula>
    </cfRule>
    <cfRule type="cellIs" dxfId="8160" priority="37927" operator="equal">
      <formula>"FPE"</formula>
    </cfRule>
    <cfRule type="cellIs" dxfId="8159" priority="37928" operator="equal">
      <formula>"AMA"</formula>
    </cfRule>
    <cfRule type="cellIs" dxfId="8158" priority="37929" operator="equal">
      <formula>"SIN DATOS"</formula>
    </cfRule>
    <cfRule type="cellIs" dxfId="8157" priority="37930" operator="equal">
      <formula>"SIN DATOS"</formula>
    </cfRule>
    <cfRule type="cellIs" dxfId="8156" priority="37931" operator="equal">
      <formula>"NO EJECTUTADO"</formula>
    </cfRule>
    <cfRule type="cellIs" dxfId="8155" priority="37932" operator="equal">
      <formula>"FE"</formula>
    </cfRule>
    <cfRule type="cellIs" dxfId="8154" priority="37933" operator="equal">
      <formula>"FE"</formula>
    </cfRule>
  </conditionalFormatting>
  <conditionalFormatting sqref="A434">
    <cfRule type="cellIs" dxfId="8153" priority="37922" operator="equal">
      <formula>"Retirado"</formula>
    </cfRule>
    <cfRule type="cellIs" dxfId="8152" priority="37923" operator="equal">
      <formula>"FSE"</formula>
    </cfRule>
  </conditionalFormatting>
  <conditionalFormatting sqref="F434">
    <cfRule type="cellIs" dxfId="8151" priority="37912" operator="equal">
      <formula>"APLAZADO"</formula>
    </cfRule>
    <cfRule type="cellIs" dxfId="8150" priority="37913" operator="equal">
      <formula>"CANCELADO"</formula>
    </cfRule>
    <cfRule type="cellIs" dxfId="8149" priority="37914" operator="equal">
      <formula>"NO EJECUTADO"</formula>
    </cfRule>
    <cfRule type="cellIs" dxfId="8148" priority="37915" operator="equal">
      <formula>"FPE"</formula>
    </cfRule>
    <cfRule type="cellIs" dxfId="8147" priority="37916" operator="equal">
      <formula>"AMA"</formula>
    </cfRule>
    <cfRule type="cellIs" dxfId="8146" priority="37917" operator="equal">
      <formula>"SIN DATOS"</formula>
    </cfRule>
    <cfRule type="cellIs" dxfId="8145" priority="37918" operator="equal">
      <formula>"SIN DATOS"</formula>
    </cfRule>
    <cfRule type="cellIs" dxfId="8144" priority="37919" operator="equal">
      <formula>"NO EJECTUTADO"</formula>
    </cfRule>
    <cfRule type="cellIs" dxfId="8143" priority="37920" operator="equal">
      <formula>"FE"</formula>
    </cfRule>
    <cfRule type="cellIs" dxfId="8142" priority="37921" operator="equal">
      <formula>"FE"</formula>
    </cfRule>
  </conditionalFormatting>
  <conditionalFormatting sqref="F434">
    <cfRule type="cellIs" dxfId="8141" priority="37910" operator="equal">
      <formula>"Retirado"</formula>
    </cfRule>
    <cfRule type="cellIs" dxfId="8140" priority="37911" operator="equal">
      <formula>"FSE"</formula>
    </cfRule>
  </conditionalFormatting>
  <conditionalFormatting sqref="F437">
    <cfRule type="cellIs" dxfId="8139" priority="37865" operator="equal">
      <formula>"APLAZADO"</formula>
    </cfRule>
    <cfRule type="cellIs" dxfId="8138" priority="37866" operator="equal">
      <formula>"CANCELADO"</formula>
    </cfRule>
    <cfRule type="cellIs" dxfId="8137" priority="37867" operator="equal">
      <formula>"NO EJECUTADO"</formula>
    </cfRule>
    <cfRule type="cellIs" dxfId="8136" priority="37868" operator="equal">
      <formula>"FPE"</formula>
    </cfRule>
    <cfRule type="cellIs" dxfId="8135" priority="37869" operator="equal">
      <formula>"AMA"</formula>
    </cfRule>
    <cfRule type="cellIs" dxfId="8134" priority="37870" operator="equal">
      <formula>"SIN DATOS"</formula>
    </cfRule>
    <cfRule type="cellIs" dxfId="8133" priority="37871" operator="equal">
      <formula>"SIN DATOS"</formula>
    </cfRule>
    <cfRule type="cellIs" dxfId="8132" priority="37872" operator="equal">
      <formula>"NO EJECTUTADO"</formula>
    </cfRule>
    <cfRule type="cellIs" dxfId="8131" priority="37873" operator="equal">
      <formula>"FE"</formula>
    </cfRule>
    <cfRule type="cellIs" dxfId="8130" priority="37874" operator="equal">
      <formula>"FE"</formula>
    </cfRule>
  </conditionalFormatting>
  <conditionalFormatting sqref="F437">
    <cfRule type="cellIs" dxfId="8129" priority="37863" operator="equal">
      <formula>"Retirado"</formula>
    </cfRule>
    <cfRule type="cellIs" dxfId="8128" priority="37864" operator="equal">
      <formula>"FSE"</formula>
    </cfRule>
  </conditionalFormatting>
  <conditionalFormatting sqref="A437">
    <cfRule type="cellIs" dxfId="8127" priority="37853" operator="equal">
      <formula>"APLAZADO"</formula>
    </cfRule>
    <cfRule type="cellIs" dxfId="8126" priority="37854" operator="equal">
      <formula>"CANCELADO"</formula>
    </cfRule>
    <cfRule type="cellIs" dxfId="8125" priority="37855" operator="equal">
      <formula>"NO EJECUTADO"</formula>
    </cfRule>
    <cfRule type="cellIs" dxfId="8124" priority="37856" operator="equal">
      <formula>"FPE"</formula>
    </cfRule>
    <cfRule type="cellIs" dxfId="8123" priority="37857" operator="equal">
      <formula>"AMA"</formula>
    </cfRule>
    <cfRule type="cellIs" dxfId="8122" priority="37858" operator="equal">
      <formula>"SIN DATOS"</formula>
    </cfRule>
    <cfRule type="cellIs" dxfId="8121" priority="37859" operator="equal">
      <formula>"SIN DATOS"</formula>
    </cfRule>
    <cfRule type="cellIs" dxfId="8120" priority="37860" operator="equal">
      <formula>"NO EJECTUTADO"</formula>
    </cfRule>
    <cfRule type="cellIs" dxfId="8119" priority="37861" operator="equal">
      <formula>"FE"</formula>
    </cfRule>
    <cfRule type="cellIs" dxfId="8118" priority="37862" operator="equal">
      <formula>"FE"</formula>
    </cfRule>
  </conditionalFormatting>
  <conditionalFormatting sqref="A437">
    <cfRule type="cellIs" dxfId="8117" priority="37851" operator="equal">
      <formula>"Retirado"</formula>
    </cfRule>
    <cfRule type="cellIs" dxfId="8116" priority="37852" operator="equal">
      <formula>"FSE"</formula>
    </cfRule>
  </conditionalFormatting>
  <conditionalFormatting sqref="B415">
    <cfRule type="cellIs" dxfId="8115" priority="37824" operator="equal">
      <formula>"Sin éxito"</formula>
    </cfRule>
    <cfRule type="cellIs" dxfId="8114" priority="37825" operator="equal">
      <formula>"Éxito con problemas"</formula>
    </cfRule>
    <cfRule type="cellIs" dxfId="8113" priority="37826" operator="equal">
      <formula>"CANCELADO"</formula>
    </cfRule>
    <cfRule type="cellIs" dxfId="8112" priority="37827" operator="equal">
      <formula>"Aplicada marcha atrás"</formula>
    </cfRule>
    <cfRule type="cellIs" dxfId="8111" priority="37828" operator="equal">
      <formula>"CON ÉXITO"</formula>
    </cfRule>
  </conditionalFormatting>
  <conditionalFormatting sqref="B416">
    <cfRule type="cellIs" dxfId="8110" priority="37813" operator="equal">
      <formula>"Sin éxito"</formula>
    </cfRule>
    <cfRule type="cellIs" dxfId="8109" priority="37814" operator="equal">
      <formula>"Éxito con problemas"</formula>
    </cfRule>
    <cfRule type="cellIs" dxfId="8108" priority="37815" operator="equal">
      <formula>"CANCELADO"</formula>
    </cfRule>
    <cfRule type="cellIs" dxfId="8107" priority="37816" operator="equal">
      <formula>"Aplicada marcha atrás"</formula>
    </cfRule>
    <cfRule type="cellIs" dxfId="8106" priority="37817" operator="equal">
      <formula>"CON ÉXITO"</formula>
    </cfRule>
  </conditionalFormatting>
  <conditionalFormatting sqref="B417">
    <cfRule type="cellIs" dxfId="8105" priority="37802" operator="equal">
      <formula>"Sin éxito"</formula>
    </cfRule>
    <cfRule type="cellIs" dxfId="8104" priority="37803" operator="equal">
      <formula>"Éxito con problemas"</formula>
    </cfRule>
    <cfRule type="cellIs" dxfId="8103" priority="37804" operator="equal">
      <formula>"CANCELADO"</formula>
    </cfRule>
    <cfRule type="cellIs" dxfId="8102" priority="37805" operator="equal">
      <formula>"Aplicada marcha atrás"</formula>
    </cfRule>
    <cfRule type="cellIs" dxfId="8101" priority="37806" operator="equal">
      <formula>"CON ÉXITO"</formula>
    </cfRule>
  </conditionalFormatting>
  <conditionalFormatting sqref="B418">
    <cfRule type="cellIs" dxfId="8100" priority="37791" operator="equal">
      <formula>"Sin éxito"</formula>
    </cfRule>
    <cfRule type="cellIs" dxfId="8099" priority="37792" operator="equal">
      <formula>"Éxito con problemas"</formula>
    </cfRule>
    <cfRule type="cellIs" dxfId="8098" priority="37793" operator="equal">
      <formula>"CANCELADO"</formula>
    </cfRule>
    <cfRule type="cellIs" dxfId="8097" priority="37794" operator="equal">
      <formula>"Aplicada marcha atrás"</formula>
    </cfRule>
    <cfRule type="cellIs" dxfId="8096" priority="37795" operator="equal">
      <formula>"CON ÉXITO"</formula>
    </cfRule>
  </conditionalFormatting>
  <conditionalFormatting sqref="B419">
    <cfRule type="cellIs" dxfId="8095" priority="37780" operator="equal">
      <formula>"Sin éxito"</formula>
    </cfRule>
    <cfRule type="cellIs" dxfId="8094" priority="37781" operator="equal">
      <formula>"Éxito con problemas"</formula>
    </cfRule>
    <cfRule type="cellIs" dxfId="8093" priority="37782" operator="equal">
      <formula>"CANCELADO"</formula>
    </cfRule>
    <cfRule type="cellIs" dxfId="8092" priority="37783" operator="equal">
      <formula>"Aplicada marcha atrás"</formula>
    </cfRule>
    <cfRule type="cellIs" dxfId="8091" priority="37784" operator="equal">
      <formula>"CON ÉXITO"</formula>
    </cfRule>
  </conditionalFormatting>
  <conditionalFormatting sqref="H438:H439">
    <cfRule type="duplicateValues" dxfId="8090" priority="37778"/>
  </conditionalFormatting>
  <conditionalFormatting sqref="A438:A439">
    <cfRule type="cellIs" dxfId="8089" priority="37747" operator="equal">
      <formula>"APLAZADO"</formula>
    </cfRule>
    <cfRule type="cellIs" dxfId="8088" priority="37748" operator="equal">
      <formula>"CANCELADO"</formula>
    </cfRule>
    <cfRule type="cellIs" dxfId="8087" priority="37749" operator="equal">
      <formula>"NO EJECUTADO"</formula>
    </cfRule>
    <cfRule type="cellIs" dxfId="8086" priority="37750" operator="equal">
      <formula>"FPE"</formula>
    </cfRule>
    <cfRule type="cellIs" dxfId="8085" priority="37751" operator="equal">
      <formula>"AMA"</formula>
    </cfRule>
    <cfRule type="cellIs" dxfId="8084" priority="37752" operator="equal">
      <formula>"SIN DATOS"</formula>
    </cfRule>
    <cfRule type="cellIs" dxfId="8083" priority="37753" operator="equal">
      <formula>"SIN DATOS"</formula>
    </cfRule>
    <cfRule type="cellIs" dxfId="8082" priority="37754" operator="equal">
      <formula>"NO EJECTUTADO"</formula>
    </cfRule>
    <cfRule type="cellIs" dxfId="8081" priority="37755" operator="equal">
      <formula>"FE"</formula>
    </cfRule>
    <cfRule type="cellIs" dxfId="8080" priority="37756" operator="equal">
      <formula>"FE"</formula>
    </cfRule>
  </conditionalFormatting>
  <conditionalFormatting sqref="A438:A439">
    <cfRule type="cellIs" dxfId="8079" priority="37745" operator="equal">
      <formula>"Retirado"</formula>
    </cfRule>
    <cfRule type="cellIs" dxfId="8078" priority="37746" operator="equal">
      <formula>"FSE"</formula>
    </cfRule>
  </conditionalFormatting>
  <conditionalFormatting sqref="F438">
    <cfRule type="cellIs" dxfId="8077" priority="37735" operator="equal">
      <formula>"APLAZADO"</formula>
    </cfRule>
    <cfRule type="cellIs" dxfId="8076" priority="37736" operator="equal">
      <formula>"CANCELADO"</formula>
    </cfRule>
    <cfRule type="cellIs" dxfId="8075" priority="37737" operator="equal">
      <formula>"NO EJECUTADO"</formula>
    </cfRule>
    <cfRule type="cellIs" dxfId="8074" priority="37738" operator="equal">
      <formula>"FPE"</formula>
    </cfRule>
    <cfRule type="cellIs" dxfId="8073" priority="37739" operator="equal">
      <formula>"AMA"</formula>
    </cfRule>
    <cfRule type="cellIs" dxfId="8072" priority="37740" operator="equal">
      <formula>"SIN DATOS"</formula>
    </cfRule>
    <cfRule type="cellIs" dxfId="8071" priority="37741" operator="equal">
      <formula>"SIN DATOS"</formula>
    </cfRule>
    <cfRule type="cellIs" dxfId="8070" priority="37742" operator="equal">
      <formula>"NO EJECTUTADO"</formula>
    </cfRule>
    <cfRule type="cellIs" dxfId="8069" priority="37743" operator="equal">
      <formula>"FE"</formula>
    </cfRule>
    <cfRule type="cellIs" dxfId="8068" priority="37744" operator="equal">
      <formula>"FE"</formula>
    </cfRule>
  </conditionalFormatting>
  <conditionalFormatting sqref="F438">
    <cfRule type="cellIs" dxfId="8067" priority="37733" operator="equal">
      <formula>"Retirado"</formula>
    </cfRule>
    <cfRule type="cellIs" dxfId="8066" priority="37734" operator="equal">
      <formula>"FSE"</formula>
    </cfRule>
  </conditionalFormatting>
  <conditionalFormatting sqref="F439">
    <cfRule type="cellIs" dxfId="8065" priority="37723" operator="equal">
      <formula>"APLAZADO"</formula>
    </cfRule>
    <cfRule type="cellIs" dxfId="8064" priority="37724" operator="equal">
      <formula>"CANCELADO"</formula>
    </cfRule>
    <cfRule type="cellIs" dxfId="8063" priority="37725" operator="equal">
      <formula>"NO EJECUTADO"</formula>
    </cfRule>
    <cfRule type="cellIs" dxfId="8062" priority="37726" operator="equal">
      <formula>"FPE"</formula>
    </cfRule>
    <cfRule type="cellIs" dxfId="8061" priority="37727" operator="equal">
      <formula>"AMA"</formula>
    </cfRule>
    <cfRule type="cellIs" dxfId="8060" priority="37728" operator="equal">
      <formula>"SIN DATOS"</formula>
    </cfRule>
    <cfRule type="cellIs" dxfId="8059" priority="37729" operator="equal">
      <formula>"SIN DATOS"</formula>
    </cfRule>
    <cfRule type="cellIs" dxfId="8058" priority="37730" operator="equal">
      <formula>"NO EJECTUTADO"</formula>
    </cfRule>
    <cfRule type="cellIs" dxfId="8057" priority="37731" operator="equal">
      <formula>"FE"</formula>
    </cfRule>
    <cfRule type="cellIs" dxfId="8056" priority="37732" operator="equal">
      <formula>"FE"</formula>
    </cfRule>
  </conditionalFormatting>
  <conditionalFormatting sqref="F439">
    <cfRule type="cellIs" dxfId="8055" priority="37721" operator="equal">
      <formula>"Retirado"</formula>
    </cfRule>
    <cfRule type="cellIs" dxfId="8054" priority="37722" operator="equal">
      <formula>"FSE"</formula>
    </cfRule>
  </conditionalFormatting>
  <conditionalFormatting sqref="B423">
    <cfRule type="cellIs" dxfId="8053" priority="37710" operator="equal">
      <formula>"Sin éxito"</formula>
    </cfRule>
    <cfRule type="cellIs" dxfId="8052" priority="37711" operator="equal">
      <formula>"Éxito con problemas"</formula>
    </cfRule>
    <cfRule type="cellIs" dxfId="8051" priority="37712" operator="equal">
      <formula>"CANCELADO"</formula>
    </cfRule>
    <cfRule type="cellIs" dxfId="8050" priority="37713" operator="equal">
      <formula>"Aplicada marcha atrás"</formula>
    </cfRule>
    <cfRule type="cellIs" dxfId="8049" priority="37714" operator="equal">
      <formula>"CON ÉXITO"</formula>
    </cfRule>
  </conditionalFormatting>
  <conditionalFormatting sqref="H440">
    <cfRule type="duplicateValues" dxfId="8048" priority="37708"/>
  </conditionalFormatting>
  <conditionalFormatting sqref="B440">
    <cfRule type="cellIs" dxfId="8047" priority="37703" operator="equal">
      <formula>"Sin éxito"</formula>
    </cfRule>
    <cfRule type="cellIs" dxfId="8046" priority="37704" operator="equal">
      <formula>"Éxito con problemas"</formula>
    </cfRule>
    <cfRule type="cellIs" dxfId="8045" priority="37705" operator="equal">
      <formula>"CANCELADO"</formula>
    </cfRule>
    <cfRule type="cellIs" dxfId="8044" priority="37706" operator="equal">
      <formula>"Aplicada marcha atrás"</formula>
    </cfRule>
    <cfRule type="cellIs" dxfId="8043" priority="37707" operator="equal">
      <formula>"CON ÉXITO"</formula>
    </cfRule>
  </conditionalFormatting>
  <conditionalFormatting sqref="A440">
    <cfRule type="cellIs" dxfId="8042" priority="37689" operator="equal">
      <formula>"APLAZADO"</formula>
    </cfRule>
    <cfRule type="cellIs" dxfId="8041" priority="37690" operator="equal">
      <formula>"CANCELADO"</formula>
    </cfRule>
    <cfRule type="cellIs" dxfId="8040" priority="37691" operator="equal">
      <formula>"NO EJECUTADO"</formula>
    </cfRule>
    <cfRule type="cellIs" dxfId="8039" priority="37692" operator="equal">
      <formula>"FPE"</formula>
    </cfRule>
    <cfRule type="cellIs" dxfId="8038" priority="37693" operator="equal">
      <formula>"AMA"</formula>
    </cfRule>
    <cfRule type="cellIs" dxfId="8037" priority="37694" operator="equal">
      <formula>"SIN DATOS"</formula>
    </cfRule>
    <cfRule type="cellIs" dxfId="8036" priority="37695" operator="equal">
      <formula>"SIN DATOS"</formula>
    </cfRule>
    <cfRule type="cellIs" dxfId="8035" priority="37696" operator="equal">
      <formula>"NO EJECTUTADO"</formula>
    </cfRule>
    <cfRule type="cellIs" dxfId="8034" priority="37697" operator="equal">
      <formula>"FE"</formula>
    </cfRule>
    <cfRule type="cellIs" dxfId="8033" priority="37698" operator="equal">
      <formula>"FE"</formula>
    </cfRule>
  </conditionalFormatting>
  <conditionalFormatting sqref="A440">
    <cfRule type="cellIs" dxfId="8032" priority="37687" operator="equal">
      <formula>"Retirado"</formula>
    </cfRule>
    <cfRule type="cellIs" dxfId="8031" priority="37688" operator="equal">
      <formula>"FSE"</formula>
    </cfRule>
  </conditionalFormatting>
  <conditionalFormatting sqref="F440">
    <cfRule type="cellIs" dxfId="8030" priority="37677" operator="equal">
      <formula>"APLAZADO"</formula>
    </cfRule>
    <cfRule type="cellIs" dxfId="8029" priority="37678" operator="equal">
      <formula>"CANCELADO"</formula>
    </cfRule>
    <cfRule type="cellIs" dxfId="8028" priority="37679" operator="equal">
      <formula>"NO EJECUTADO"</formula>
    </cfRule>
    <cfRule type="cellIs" dxfId="8027" priority="37680" operator="equal">
      <formula>"FPE"</formula>
    </cfRule>
    <cfRule type="cellIs" dxfId="8026" priority="37681" operator="equal">
      <formula>"AMA"</formula>
    </cfRule>
    <cfRule type="cellIs" dxfId="8025" priority="37682" operator="equal">
      <formula>"SIN DATOS"</formula>
    </cfRule>
    <cfRule type="cellIs" dxfId="8024" priority="37683" operator="equal">
      <formula>"SIN DATOS"</formula>
    </cfRule>
    <cfRule type="cellIs" dxfId="8023" priority="37684" operator="equal">
      <formula>"NO EJECTUTADO"</formula>
    </cfRule>
    <cfRule type="cellIs" dxfId="8022" priority="37685" operator="equal">
      <formula>"FE"</formula>
    </cfRule>
    <cfRule type="cellIs" dxfId="8021" priority="37686" operator="equal">
      <formula>"FE"</formula>
    </cfRule>
  </conditionalFormatting>
  <conditionalFormatting sqref="F440">
    <cfRule type="cellIs" dxfId="8020" priority="37675" operator="equal">
      <formula>"Retirado"</formula>
    </cfRule>
    <cfRule type="cellIs" dxfId="8019" priority="37676" operator="equal">
      <formula>"FSE"</formula>
    </cfRule>
  </conditionalFormatting>
  <conditionalFormatting sqref="B424">
    <cfRule type="cellIs" dxfId="8018" priority="37664" operator="equal">
      <formula>"Sin éxito"</formula>
    </cfRule>
    <cfRule type="cellIs" dxfId="8017" priority="37665" operator="equal">
      <formula>"Éxito con problemas"</formula>
    </cfRule>
    <cfRule type="cellIs" dxfId="8016" priority="37666" operator="equal">
      <formula>"CANCELADO"</formula>
    </cfRule>
    <cfRule type="cellIs" dxfId="8015" priority="37667" operator="equal">
      <formula>"Aplicada marcha atrás"</formula>
    </cfRule>
    <cfRule type="cellIs" dxfId="8014" priority="37668" operator="equal">
      <formula>"CON ÉXITO"</formula>
    </cfRule>
  </conditionalFormatting>
  <conditionalFormatting sqref="B425">
    <cfRule type="cellIs" dxfId="8013" priority="37647" operator="equal">
      <formula>"Sin éxito"</formula>
    </cfRule>
    <cfRule type="cellIs" dxfId="8012" priority="37648" operator="equal">
      <formula>"Éxito con problemas"</formula>
    </cfRule>
    <cfRule type="cellIs" dxfId="8011" priority="37649" operator="equal">
      <formula>"CANCELADO"</formula>
    </cfRule>
    <cfRule type="cellIs" dxfId="8010" priority="37650" operator="equal">
      <formula>"Aplicada marcha atrás"</formula>
    </cfRule>
    <cfRule type="cellIs" dxfId="8009" priority="37651" operator="equal">
      <formula>"CON ÉXITO"</formula>
    </cfRule>
  </conditionalFormatting>
  <conditionalFormatting sqref="H441:H442">
    <cfRule type="duplicateValues" dxfId="8008" priority="37645"/>
  </conditionalFormatting>
  <conditionalFormatting sqref="A441:A442">
    <cfRule type="cellIs" dxfId="8007" priority="37626" operator="equal">
      <formula>"APLAZADO"</formula>
    </cfRule>
    <cfRule type="cellIs" dxfId="8006" priority="37627" operator="equal">
      <formula>"CANCELADO"</formula>
    </cfRule>
    <cfRule type="cellIs" dxfId="8005" priority="37628" operator="equal">
      <formula>"NO EJECUTADO"</formula>
    </cfRule>
    <cfRule type="cellIs" dxfId="8004" priority="37629" operator="equal">
      <formula>"FPE"</formula>
    </cfRule>
    <cfRule type="cellIs" dxfId="8003" priority="37630" operator="equal">
      <formula>"AMA"</formula>
    </cfRule>
    <cfRule type="cellIs" dxfId="8002" priority="37631" operator="equal">
      <formula>"SIN DATOS"</formula>
    </cfRule>
    <cfRule type="cellIs" dxfId="8001" priority="37632" operator="equal">
      <formula>"SIN DATOS"</formula>
    </cfRule>
    <cfRule type="cellIs" dxfId="8000" priority="37633" operator="equal">
      <formula>"NO EJECTUTADO"</formula>
    </cfRule>
    <cfRule type="cellIs" dxfId="7999" priority="37634" operator="equal">
      <formula>"FE"</formula>
    </cfRule>
    <cfRule type="cellIs" dxfId="7998" priority="37635" operator="equal">
      <formula>"FE"</formula>
    </cfRule>
  </conditionalFormatting>
  <conditionalFormatting sqref="A441:A442">
    <cfRule type="cellIs" dxfId="7997" priority="37624" operator="equal">
      <formula>"Retirado"</formula>
    </cfRule>
    <cfRule type="cellIs" dxfId="7996" priority="37625" operator="equal">
      <formula>"FSE"</formula>
    </cfRule>
  </conditionalFormatting>
  <conditionalFormatting sqref="F441">
    <cfRule type="cellIs" dxfId="7995" priority="37602" operator="equal">
      <formula>"APLAZADO"</formula>
    </cfRule>
    <cfRule type="cellIs" dxfId="7994" priority="37603" operator="equal">
      <formula>"CANCELADO"</formula>
    </cfRule>
    <cfRule type="cellIs" dxfId="7993" priority="37604" operator="equal">
      <formula>"NO EJECUTADO"</formula>
    </cfRule>
    <cfRule type="cellIs" dxfId="7992" priority="37605" operator="equal">
      <formula>"FPE"</formula>
    </cfRule>
    <cfRule type="cellIs" dxfId="7991" priority="37606" operator="equal">
      <formula>"AMA"</formula>
    </cfRule>
    <cfRule type="cellIs" dxfId="7990" priority="37607" operator="equal">
      <formula>"SIN DATOS"</formula>
    </cfRule>
    <cfRule type="cellIs" dxfId="7989" priority="37608" operator="equal">
      <formula>"SIN DATOS"</formula>
    </cfRule>
    <cfRule type="cellIs" dxfId="7988" priority="37609" operator="equal">
      <formula>"NO EJECTUTADO"</formula>
    </cfRule>
    <cfRule type="cellIs" dxfId="7987" priority="37610" operator="equal">
      <formula>"FE"</formula>
    </cfRule>
    <cfRule type="cellIs" dxfId="7986" priority="37611" operator="equal">
      <formula>"FE"</formula>
    </cfRule>
  </conditionalFormatting>
  <conditionalFormatting sqref="F441">
    <cfRule type="cellIs" dxfId="7985" priority="37600" operator="equal">
      <formula>"Retirado"</formula>
    </cfRule>
    <cfRule type="cellIs" dxfId="7984" priority="37601" operator="equal">
      <formula>"FSE"</formula>
    </cfRule>
  </conditionalFormatting>
  <conditionalFormatting sqref="F442">
    <cfRule type="cellIs" dxfId="7983" priority="37590" operator="equal">
      <formula>"APLAZADO"</formula>
    </cfRule>
    <cfRule type="cellIs" dxfId="7982" priority="37591" operator="equal">
      <formula>"CANCELADO"</formula>
    </cfRule>
    <cfRule type="cellIs" dxfId="7981" priority="37592" operator="equal">
      <formula>"NO EJECUTADO"</formula>
    </cfRule>
    <cfRule type="cellIs" dxfId="7980" priority="37593" operator="equal">
      <formula>"FPE"</formula>
    </cfRule>
    <cfRule type="cellIs" dxfId="7979" priority="37594" operator="equal">
      <formula>"AMA"</formula>
    </cfRule>
    <cfRule type="cellIs" dxfId="7978" priority="37595" operator="equal">
      <formula>"SIN DATOS"</formula>
    </cfRule>
    <cfRule type="cellIs" dxfId="7977" priority="37596" operator="equal">
      <formula>"SIN DATOS"</formula>
    </cfRule>
    <cfRule type="cellIs" dxfId="7976" priority="37597" operator="equal">
      <formula>"NO EJECTUTADO"</formula>
    </cfRule>
    <cfRule type="cellIs" dxfId="7975" priority="37598" operator="equal">
      <formula>"FE"</formula>
    </cfRule>
    <cfRule type="cellIs" dxfId="7974" priority="37599" operator="equal">
      <formula>"FE"</formula>
    </cfRule>
  </conditionalFormatting>
  <conditionalFormatting sqref="F442">
    <cfRule type="cellIs" dxfId="7973" priority="37588" operator="equal">
      <formula>"Retirado"</formula>
    </cfRule>
    <cfRule type="cellIs" dxfId="7972" priority="37589" operator="equal">
      <formula>"FSE"</formula>
    </cfRule>
  </conditionalFormatting>
  <conditionalFormatting sqref="B426">
    <cfRule type="cellIs" dxfId="7971" priority="37577" operator="equal">
      <formula>"Sin éxito"</formula>
    </cfRule>
    <cfRule type="cellIs" dxfId="7970" priority="37578" operator="equal">
      <formula>"Éxito con problemas"</formula>
    </cfRule>
    <cfRule type="cellIs" dxfId="7969" priority="37579" operator="equal">
      <formula>"CANCELADO"</formula>
    </cfRule>
    <cfRule type="cellIs" dxfId="7968" priority="37580" operator="equal">
      <formula>"Aplicada marcha atrás"</formula>
    </cfRule>
    <cfRule type="cellIs" dxfId="7967" priority="37581" operator="equal">
      <formula>"CON ÉXITO"</formula>
    </cfRule>
  </conditionalFormatting>
  <conditionalFormatting sqref="H443:H446">
    <cfRule type="duplicateValues" dxfId="7966" priority="37575"/>
  </conditionalFormatting>
  <conditionalFormatting sqref="B444">
    <cfRule type="cellIs" dxfId="7965" priority="37570" operator="equal">
      <formula>"Sin éxito"</formula>
    </cfRule>
    <cfRule type="cellIs" dxfId="7964" priority="37571" operator="equal">
      <formula>"Éxito con problemas"</formula>
    </cfRule>
    <cfRule type="cellIs" dxfId="7963" priority="37572" operator="equal">
      <formula>"CANCELADO"</formula>
    </cfRule>
    <cfRule type="cellIs" dxfId="7962" priority="37573" operator="equal">
      <formula>"Aplicada marcha atrás"</formula>
    </cfRule>
    <cfRule type="cellIs" dxfId="7961" priority="37574" operator="equal">
      <formula>"CON ÉXITO"</formula>
    </cfRule>
  </conditionalFormatting>
  <conditionalFormatting sqref="A443">
    <cfRule type="cellIs" dxfId="7960" priority="37556" operator="equal">
      <formula>"APLAZADO"</formula>
    </cfRule>
    <cfRule type="cellIs" dxfId="7959" priority="37557" operator="equal">
      <formula>"CANCELADO"</formula>
    </cfRule>
    <cfRule type="cellIs" dxfId="7958" priority="37558" operator="equal">
      <formula>"NO EJECUTADO"</formula>
    </cfRule>
    <cfRule type="cellIs" dxfId="7957" priority="37559" operator="equal">
      <formula>"FPE"</formula>
    </cfRule>
    <cfRule type="cellIs" dxfId="7956" priority="37560" operator="equal">
      <formula>"AMA"</formula>
    </cfRule>
    <cfRule type="cellIs" dxfId="7955" priority="37561" operator="equal">
      <formula>"SIN DATOS"</formula>
    </cfRule>
    <cfRule type="cellIs" dxfId="7954" priority="37562" operator="equal">
      <formula>"SIN DATOS"</formula>
    </cfRule>
    <cfRule type="cellIs" dxfId="7953" priority="37563" operator="equal">
      <formula>"NO EJECTUTADO"</formula>
    </cfRule>
    <cfRule type="cellIs" dxfId="7952" priority="37564" operator="equal">
      <formula>"FE"</formula>
    </cfRule>
    <cfRule type="cellIs" dxfId="7951" priority="37565" operator="equal">
      <formula>"FE"</formula>
    </cfRule>
  </conditionalFormatting>
  <conditionalFormatting sqref="A443">
    <cfRule type="cellIs" dxfId="7950" priority="37554" operator="equal">
      <formula>"Retirado"</formula>
    </cfRule>
    <cfRule type="cellIs" dxfId="7949" priority="37555" operator="equal">
      <formula>"FSE"</formula>
    </cfRule>
  </conditionalFormatting>
  <conditionalFormatting sqref="F443">
    <cfRule type="cellIs" dxfId="7948" priority="37532" operator="equal">
      <formula>"APLAZADO"</formula>
    </cfRule>
    <cfRule type="cellIs" dxfId="7947" priority="37533" operator="equal">
      <formula>"CANCELADO"</formula>
    </cfRule>
    <cfRule type="cellIs" dxfId="7946" priority="37534" operator="equal">
      <formula>"NO EJECUTADO"</formula>
    </cfRule>
    <cfRule type="cellIs" dxfId="7945" priority="37535" operator="equal">
      <formula>"FPE"</formula>
    </cfRule>
    <cfRule type="cellIs" dxfId="7944" priority="37536" operator="equal">
      <formula>"AMA"</formula>
    </cfRule>
    <cfRule type="cellIs" dxfId="7943" priority="37537" operator="equal">
      <formula>"SIN DATOS"</formula>
    </cfRule>
    <cfRule type="cellIs" dxfId="7942" priority="37538" operator="equal">
      <formula>"SIN DATOS"</formula>
    </cfRule>
    <cfRule type="cellIs" dxfId="7941" priority="37539" operator="equal">
      <formula>"NO EJECTUTADO"</formula>
    </cfRule>
    <cfRule type="cellIs" dxfId="7940" priority="37540" operator="equal">
      <formula>"FE"</formula>
    </cfRule>
    <cfRule type="cellIs" dxfId="7939" priority="37541" operator="equal">
      <formula>"FE"</formula>
    </cfRule>
  </conditionalFormatting>
  <conditionalFormatting sqref="F443">
    <cfRule type="cellIs" dxfId="7938" priority="37530" operator="equal">
      <formula>"Retirado"</formula>
    </cfRule>
    <cfRule type="cellIs" dxfId="7937" priority="37531" operator="equal">
      <formula>"FSE"</formula>
    </cfRule>
  </conditionalFormatting>
  <conditionalFormatting sqref="A444">
    <cfRule type="cellIs" dxfId="7936" priority="37520" operator="equal">
      <formula>"APLAZADO"</formula>
    </cfRule>
    <cfRule type="cellIs" dxfId="7935" priority="37521" operator="equal">
      <formula>"CANCELADO"</formula>
    </cfRule>
    <cfRule type="cellIs" dxfId="7934" priority="37522" operator="equal">
      <formula>"NO EJECUTADO"</formula>
    </cfRule>
    <cfRule type="cellIs" dxfId="7933" priority="37523" operator="equal">
      <formula>"FPE"</formula>
    </cfRule>
    <cfRule type="cellIs" dxfId="7932" priority="37524" operator="equal">
      <formula>"AMA"</formula>
    </cfRule>
    <cfRule type="cellIs" dxfId="7931" priority="37525" operator="equal">
      <formula>"SIN DATOS"</formula>
    </cfRule>
    <cfRule type="cellIs" dxfId="7930" priority="37526" operator="equal">
      <formula>"SIN DATOS"</formula>
    </cfRule>
    <cfRule type="cellIs" dxfId="7929" priority="37527" operator="equal">
      <formula>"NO EJECTUTADO"</formula>
    </cfRule>
    <cfRule type="cellIs" dxfId="7928" priority="37528" operator="equal">
      <formula>"FE"</formula>
    </cfRule>
    <cfRule type="cellIs" dxfId="7927" priority="37529" operator="equal">
      <formula>"FE"</formula>
    </cfRule>
  </conditionalFormatting>
  <conditionalFormatting sqref="A444">
    <cfRule type="cellIs" dxfId="7926" priority="37518" operator="equal">
      <formula>"Retirado"</formula>
    </cfRule>
    <cfRule type="cellIs" dxfId="7925" priority="37519" operator="equal">
      <formula>"FSE"</formula>
    </cfRule>
  </conditionalFormatting>
  <conditionalFormatting sqref="F444">
    <cfRule type="cellIs" dxfId="7924" priority="37508" operator="equal">
      <formula>"APLAZADO"</formula>
    </cfRule>
    <cfRule type="cellIs" dxfId="7923" priority="37509" operator="equal">
      <formula>"CANCELADO"</formula>
    </cfRule>
    <cfRule type="cellIs" dxfId="7922" priority="37510" operator="equal">
      <formula>"NO EJECUTADO"</formula>
    </cfRule>
    <cfRule type="cellIs" dxfId="7921" priority="37511" operator="equal">
      <formula>"FPE"</formula>
    </cfRule>
    <cfRule type="cellIs" dxfId="7920" priority="37512" operator="equal">
      <formula>"AMA"</formula>
    </cfRule>
    <cfRule type="cellIs" dxfId="7919" priority="37513" operator="equal">
      <formula>"SIN DATOS"</formula>
    </cfRule>
    <cfRule type="cellIs" dxfId="7918" priority="37514" operator="equal">
      <formula>"SIN DATOS"</formula>
    </cfRule>
    <cfRule type="cellIs" dxfId="7917" priority="37515" operator="equal">
      <formula>"NO EJECTUTADO"</formula>
    </cfRule>
    <cfRule type="cellIs" dxfId="7916" priority="37516" operator="equal">
      <formula>"FE"</formula>
    </cfRule>
    <cfRule type="cellIs" dxfId="7915" priority="37517" operator="equal">
      <formula>"FE"</formula>
    </cfRule>
  </conditionalFormatting>
  <conditionalFormatting sqref="F444">
    <cfRule type="cellIs" dxfId="7914" priority="37506" operator="equal">
      <formula>"Retirado"</formula>
    </cfRule>
    <cfRule type="cellIs" dxfId="7913" priority="37507" operator="equal">
      <formula>"FSE"</formula>
    </cfRule>
  </conditionalFormatting>
  <conditionalFormatting sqref="A445">
    <cfRule type="cellIs" dxfId="7912" priority="37496" operator="equal">
      <formula>"APLAZADO"</formula>
    </cfRule>
    <cfRule type="cellIs" dxfId="7911" priority="37497" operator="equal">
      <formula>"CANCELADO"</formula>
    </cfRule>
    <cfRule type="cellIs" dxfId="7910" priority="37498" operator="equal">
      <formula>"NO EJECUTADO"</formula>
    </cfRule>
    <cfRule type="cellIs" dxfId="7909" priority="37499" operator="equal">
      <formula>"FPE"</formula>
    </cfRule>
    <cfRule type="cellIs" dxfId="7908" priority="37500" operator="equal">
      <formula>"AMA"</formula>
    </cfRule>
    <cfRule type="cellIs" dxfId="7907" priority="37501" operator="equal">
      <formula>"SIN DATOS"</formula>
    </cfRule>
    <cfRule type="cellIs" dxfId="7906" priority="37502" operator="equal">
      <formula>"SIN DATOS"</formula>
    </cfRule>
    <cfRule type="cellIs" dxfId="7905" priority="37503" operator="equal">
      <formula>"NO EJECTUTADO"</formula>
    </cfRule>
    <cfRule type="cellIs" dxfId="7904" priority="37504" operator="equal">
      <formula>"FE"</formula>
    </cfRule>
    <cfRule type="cellIs" dxfId="7903" priority="37505" operator="equal">
      <formula>"FE"</formula>
    </cfRule>
  </conditionalFormatting>
  <conditionalFormatting sqref="A445">
    <cfRule type="cellIs" dxfId="7902" priority="37494" operator="equal">
      <formula>"Retirado"</formula>
    </cfRule>
    <cfRule type="cellIs" dxfId="7901" priority="37495" operator="equal">
      <formula>"FSE"</formula>
    </cfRule>
  </conditionalFormatting>
  <conditionalFormatting sqref="F445">
    <cfRule type="cellIs" dxfId="7900" priority="37484" operator="equal">
      <formula>"APLAZADO"</formula>
    </cfRule>
    <cfRule type="cellIs" dxfId="7899" priority="37485" operator="equal">
      <formula>"CANCELADO"</formula>
    </cfRule>
    <cfRule type="cellIs" dxfId="7898" priority="37486" operator="equal">
      <formula>"NO EJECUTADO"</formula>
    </cfRule>
    <cfRule type="cellIs" dxfId="7897" priority="37487" operator="equal">
      <formula>"FPE"</formula>
    </cfRule>
    <cfRule type="cellIs" dxfId="7896" priority="37488" operator="equal">
      <formula>"AMA"</formula>
    </cfRule>
    <cfRule type="cellIs" dxfId="7895" priority="37489" operator="equal">
      <formula>"SIN DATOS"</formula>
    </cfRule>
    <cfRule type="cellIs" dxfId="7894" priority="37490" operator="equal">
      <formula>"SIN DATOS"</formula>
    </cfRule>
    <cfRule type="cellIs" dxfId="7893" priority="37491" operator="equal">
      <formula>"NO EJECTUTADO"</formula>
    </cfRule>
    <cfRule type="cellIs" dxfId="7892" priority="37492" operator="equal">
      <formula>"FE"</formula>
    </cfRule>
    <cfRule type="cellIs" dxfId="7891" priority="37493" operator="equal">
      <formula>"FE"</formula>
    </cfRule>
  </conditionalFormatting>
  <conditionalFormatting sqref="F445">
    <cfRule type="cellIs" dxfId="7890" priority="37482" operator="equal">
      <formula>"Retirado"</formula>
    </cfRule>
    <cfRule type="cellIs" dxfId="7889" priority="37483" operator="equal">
      <formula>"FSE"</formula>
    </cfRule>
  </conditionalFormatting>
  <conditionalFormatting sqref="A446">
    <cfRule type="cellIs" dxfId="7888" priority="37472" operator="equal">
      <formula>"APLAZADO"</formula>
    </cfRule>
    <cfRule type="cellIs" dxfId="7887" priority="37473" operator="equal">
      <formula>"CANCELADO"</formula>
    </cfRule>
    <cfRule type="cellIs" dxfId="7886" priority="37474" operator="equal">
      <formula>"NO EJECUTADO"</formula>
    </cfRule>
    <cfRule type="cellIs" dxfId="7885" priority="37475" operator="equal">
      <formula>"FPE"</formula>
    </cfRule>
    <cfRule type="cellIs" dxfId="7884" priority="37476" operator="equal">
      <formula>"AMA"</formula>
    </cfRule>
    <cfRule type="cellIs" dxfId="7883" priority="37477" operator="equal">
      <formula>"SIN DATOS"</formula>
    </cfRule>
    <cfRule type="cellIs" dxfId="7882" priority="37478" operator="equal">
      <formula>"SIN DATOS"</formula>
    </cfRule>
    <cfRule type="cellIs" dxfId="7881" priority="37479" operator="equal">
      <formula>"NO EJECTUTADO"</formula>
    </cfRule>
    <cfRule type="cellIs" dxfId="7880" priority="37480" operator="equal">
      <formula>"FE"</formula>
    </cfRule>
    <cfRule type="cellIs" dxfId="7879" priority="37481" operator="equal">
      <formula>"FE"</formula>
    </cfRule>
  </conditionalFormatting>
  <conditionalFormatting sqref="A446">
    <cfRule type="cellIs" dxfId="7878" priority="37470" operator="equal">
      <formula>"Retirado"</formula>
    </cfRule>
    <cfRule type="cellIs" dxfId="7877" priority="37471" operator="equal">
      <formula>"FSE"</formula>
    </cfRule>
  </conditionalFormatting>
  <conditionalFormatting sqref="F446">
    <cfRule type="cellIs" dxfId="7876" priority="37460" operator="equal">
      <formula>"APLAZADO"</formula>
    </cfRule>
    <cfRule type="cellIs" dxfId="7875" priority="37461" operator="equal">
      <formula>"CANCELADO"</formula>
    </cfRule>
    <cfRule type="cellIs" dxfId="7874" priority="37462" operator="equal">
      <formula>"NO EJECUTADO"</formula>
    </cfRule>
    <cfRule type="cellIs" dxfId="7873" priority="37463" operator="equal">
      <formula>"FPE"</formula>
    </cfRule>
    <cfRule type="cellIs" dxfId="7872" priority="37464" operator="equal">
      <formula>"AMA"</formula>
    </cfRule>
    <cfRule type="cellIs" dxfId="7871" priority="37465" operator="equal">
      <formula>"SIN DATOS"</formula>
    </cfRule>
    <cfRule type="cellIs" dxfId="7870" priority="37466" operator="equal">
      <formula>"SIN DATOS"</formula>
    </cfRule>
    <cfRule type="cellIs" dxfId="7869" priority="37467" operator="equal">
      <formula>"NO EJECTUTADO"</formula>
    </cfRule>
    <cfRule type="cellIs" dxfId="7868" priority="37468" operator="equal">
      <formula>"FE"</formula>
    </cfRule>
    <cfRule type="cellIs" dxfId="7867" priority="37469" operator="equal">
      <formula>"FE"</formula>
    </cfRule>
  </conditionalFormatting>
  <conditionalFormatting sqref="F446">
    <cfRule type="cellIs" dxfId="7866" priority="37458" operator="equal">
      <formula>"Retirado"</formula>
    </cfRule>
    <cfRule type="cellIs" dxfId="7865" priority="37459" operator="equal">
      <formula>"FSE"</formula>
    </cfRule>
  </conditionalFormatting>
  <conditionalFormatting sqref="H447">
    <cfRule type="duplicateValues" dxfId="7864" priority="37441"/>
  </conditionalFormatting>
  <conditionalFormatting sqref="A447">
    <cfRule type="cellIs" dxfId="7863" priority="37422" operator="equal">
      <formula>"APLAZADO"</formula>
    </cfRule>
    <cfRule type="cellIs" dxfId="7862" priority="37423" operator="equal">
      <formula>"CANCELADO"</formula>
    </cfRule>
    <cfRule type="cellIs" dxfId="7861" priority="37424" operator="equal">
      <formula>"NO EJECUTADO"</formula>
    </cfRule>
    <cfRule type="cellIs" dxfId="7860" priority="37425" operator="equal">
      <formula>"FPE"</formula>
    </cfRule>
    <cfRule type="cellIs" dxfId="7859" priority="37426" operator="equal">
      <formula>"AMA"</formula>
    </cfRule>
    <cfRule type="cellIs" dxfId="7858" priority="37427" operator="equal">
      <formula>"SIN DATOS"</formula>
    </cfRule>
    <cfRule type="cellIs" dxfId="7857" priority="37428" operator="equal">
      <formula>"SIN DATOS"</formula>
    </cfRule>
    <cfRule type="cellIs" dxfId="7856" priority="37429" operator="equal">
      <formula>"NO EJECTUTADO"</formula>
    </cfRule>
    <cfRule type="cellIs" dxfId="7855" priority="37430" operator="equal">
      <formula>"FE"</formula>
    </cfRule>
    <cfRule type="cellIs" dxfId="7854" priority="37431" operator="equal">
      <formula>"FE"</formula>
    </cfRule>
  </conditionalFormatting>
  <conditionalFormatting sqref="A447">
    <cfRule type="cellIs" dxfId="7853" priority="37420" operator="equal">
      <formula>"Retirado"</formula>
    </cfRule>
    <cfRule type="cellIs" dxfId="7852" priority="37421" operator="equal">
      <formula>"FSE"</formula>
    </cfRule>
  </conditionalFormatting>
  <conditionalFormatting sqref="F447">
    <cfRule type="cellIs" dxfId="7851" priority="37398" operator="equal">
      <formula>"APLAZADO"</formula>
    </cfRule>
    <cfRule type="cellIs" dxfId="7850" priority="37399" operator="equal">
      <formula>"CANCELADO"</formula>
    </cfRule>
    <cfRule type="cellIs" dxfId="7849" priority="37400" operator="equal">
      <formula>"NO EJECUTADO"</formula>
    </cfRule>
    <cfRule type="cellIs" dxfId="7848" priority="37401" operator="equal">
      <formula>"FPE"</formula>
    </cfRule>
    <cfRule type="cellIs" dxfId="7847" priority="37402" operator="equal">
      <formula>"AMA"</formula>
    </cfRule>
    <cfRule type="cellIs" dxfId="7846" priority="37403" operator="equal">
      <formula>"SIN DATOS"</formula>
    </cfRule>
    <cfRule type="cellIs" dxfId="7845" priority="37404" operator="equal">
      <formula>"SIN DATOS"</formula>
    </cfRule>
    <cfRule type="cellIs" dxfId="7844" priority="37405" operator="equal">
      <formula>"NO EJECTUTADO"</formula>
    </cfRule>
    <cfRule type="cellIs" dxfId="7843" priority="37406" operator="equal">
      <formula>"FE"</formula>
    </cfRule>
    <cfRule type="cellIs" dxfId="7842" priority="37407" operator="equal">
      <formula>"FE"</formula>
    </cfRule>
  </conditionalFormatting>
  <conditionalFormatting sqref="F447">
    <cfRule type="cellIs" dxfId="7841" priority="37396" operator="equal">
      <formula>"Retirado"</formula>
    </cfRule>
    <cfRule type="cellIs" dxfId="7840" priority="37397" operator="equal">
      <formula>"FSE"</formula>
    </cfRule>
  </conditionalFormatting>
  <conditionalFormatting sqref="H448">
    <cfRule type="duplicateValues" dxfId="7839" priority="37394"/>
  </conditionalFormatting>
  <conditionalFormatting sqref="A448">
    <cfRule type="cellIs" dxfId="7838" priority="37375" operator="equal">
      <formula>"APLAZADO"</formula>
    </cfRule>
    <cfRule type="cellIs" dxfId="7837" priority="37376" operator="equal">
      <formula>"CANCELADO"</formula>
    </cfRule>
    <cfRule type="cellIs" dxfId="7836" priority="37377" operator="equal">
      <formula>"NO EJECUTADO"</formula>
    </cfRule>
    <cfRule type="cellIs" dxfId="7835" priority="37378" operator="equal">
      <formula>"FPE"</formula>
    </cfRule>
    <cfRule type="cellIs" dxfId="7834" priority="37379" operator="equal">
      <formula>"AMA"</formula>
    </cfRule>
    <cfRule type="cellIs" dxfId="7833" priority="37380" operator="equal">
      <formula>"SIN DATOS"</formula>
    </cfRule>
    <cfRule type="cellIs" dxfId="7832" priority="37381" operator="equal">
      <formula>"SIN DATOS"</formula>
    </cfRule>
    <cfRule type="cellIs" dxfId="7831" priority="37382" operator="equal">
      <formula>"NO EJECTUTADO"</formula>
    </cfRule>
    <cfRule type="cellIs" dxfId="7830" priority="37383" operator="equal">
      <formula>"FE"</formula>
    </cfRule>
    <cfRule type="cellIs" dxfId="7829" priority="37384" operator="equal">
      <formula>"FE"</formula>
    </cfRule>
  </conditionalFormatting>
  <conditionalFormatting sqref="A448">
    <cfRule type="cellIs" dxfId="7828" priority="37373" operator="equal">
      <formula>"Retirado"</formula>
    </cfRule>
    <cfRule type="cellIs" dxfId="7827" priority="37374" operator="equal">
      <formula>"FSE"</formula>
    </cfRule>
  </conditionalFormatting>
  <conditionalFormatting sqref="F448">
    <cfRule type="cellIs" dxfId="7826" priority="37363" operator="equal">
      <formula>"APLAZADO"</formula>
    </cfRule>
    <cfRule type="cellIs" dxfId="7825" priority="37364" operator="equal">
      <formula>"CANCELADO"</formula>
    </cfRule>
    <cfRule type="cellIs" dxfId="7824" priority="37365" operator="equal">
      <formula>"NO EJECUTADO"</formula>
    </cfRule>
    <cfRule type="cellIs" dxfId="7823" priority="37366" operator="equal">
      <formula>"FPE"</formula>
    </cfRule>
    <cfRule type="cellIs" dxfId="7822" priority="37367" operator="equal">
      <formula>"AMA"</formula>
    </cfRule>
    <cfRule type="cellIs" dxfId="7821" priority="37368" operator="equal">
      <formula>"SIN DATOS"</formula>
    </cfRule>
    <cfRule type="cellIs" dxfId="7820" priority="37369" operator="equal">
      <formula>"SIN DATOS"</formula>
    </cfRule>
    <cfRule type="cellIs" dxfId="7819" priority="37370" operator="equal">
      <formula>"NO EJECTUTADO"</formula>
    </cfRule>
    <cfRule type="cellIs" dxfId="7818" priority="37371" operator="equal">
      <formula>"FE"</formula>
    </cfRule>
    <cfRule type="cellIs" dxfId="7817" priority="37372" operator="equal">
      <formula>"FE"</formula>
    </cfRule>
  </conditionalFormatting>
  <conditionalFormatting sqref="F448">
    <cfRule type="cellIs" dxfId="7816" priority="37361" operator="equal">
      <formula>"Retirado"</formula>
    </cfRule>
    <cfRule type="cellIs" dxfId="7815" priority="37362" operator="equal">
      <formula>"FSE"</formula>
    </cfRule>
  </conditionalFormatting>
  <conditionalFormatting sqref="H449">
    <cfRule type="duplicateValues" dxfId="7814" priority="37359"/>
  </conditionalFormatting>
  <conditionalFormatting sqref="A449">
    <cfRule type="cellIs" dxfId="7813" priority="37340" operator="equal">
      <formula>"APLAZADO"</formula>
    </cfRule>
    <cfRule type="cellIs" dxfId="7812" priority="37341" operator="equal">
      <formula>"CANCELADO"</formula>
    </cfRule>
    <cfRule type="cellIs" dxfId="7811" priority="37342" operator="equal">
      <formula>"NO EJECUTADO"</formula>
    </cfRule>
    <cfRule type="cellIs" dxfId="7810" priority="37343" operator="equal">
      <formula>"FPE"</formula>
    </cfRule>
    <cfRule type="cellIs" dxfId="7809" priority="37344" operator="equal">
      <formula>"AMA"</formula>
    </cfRule>
    <cfRule type="cellIs" dxfId="7808" priority="37345" operator="equal">
      <formula>"SIN DATOS"</formula>
    </cfRule>
    <cfRule type="cellIs" dxfId="7807" priority="37346" operator="equal">
      <formula>"SIN DATOS"</formula>
    </cfRule>
    <cfRule type="cellIs" dxfId="7806" priority="37347" operator="equal">
      <formula>"NO EJECTUTADO"</formula>
    </cfRule>
    <cfRule type="cellIs" dxfId="7805" priority="37348" operator="equal">
      <formula>"FE"</formula>
    </cfRule>
    <cfRule type="cellIs" dxfId="7804" priority="37349" operator="equal">
      <formula>"FE"</formula>
    </cfRule>
  </conditionalFormatting>
  <conditionalFormatting sqref="A449">
    <cfRule type="cellIs" dxfId="7803" priority="37338" operator="equal">
      <formula>"Retirado"</formula>
    </cfRule>
    <cfRule type="cellIs" dxfId="7802" priority="37339" operator="equal">
      <formula>"FSE"</formula>
    </cfRule>
  </conditionalFormatting>
  <conditionalFormatting sqref="F449">
    <cfRule type="cellIs" dxfId="7801" priority="37316" operator="equal">
      <formula>"APLAZADO"</formula>
    </cfRule>
    <cfRule type="cellIs" dxfId="7800" priority="37317" operator="equal">
      <formula>"CANCELADO"</formula>
    </cfRule>
    <cfRule type="cellIs" dxfId="7799" priority="37318" operator="equal">
      <formula>"NO EJECUTADO"</formula>
    </cfRule>
    <cfRule type="cellIs" dxfId="7798" priority="37319" operator="equal">
      <formula>"FPE"</formula>
    </cfRule>
    <cfRule type="cellIs" dxfId="7797" priority="37320" operator="equal">
      <formula>"AMA"</formula>
    </cfRule>
    <cfRule type="cellIs" dxfId="7796" priority="37321" operator="equal">
      <formula>"SIN DATOS"</formula>
    </cfRule>
    <cfRule type="cellIs" dxfId="7795" priority="37322" operator="equal">
      <formula>"SIN DATOS"</formula>
    </cfRule>
    <cfRule type="cellIs" dxfId="7794" priority="37323" operator="equal">
      <formula>"NO EJECTUTADO"</formula>
    </cfRule>
    <cfRule type="cellIs" dxfId="7793" priority="37324" operator="equal">
      <formula>"FE"</formula>
    </cfRule>
    <cfRule type="cellIs" dxfId="7792" priority="37325" operator="equal">
      <formula>"FE"</formula>
    </cfRule>
  </conditionalFormatting>
  <conditionalFormatting sqref="F449">
    <cfRule type="cellIs" dxfId="7791" priority="37314" operator="equal">
      <formula>"Retirado"</formula>
    </cfRule>
    <cfRule type="cellIs" dxfId="7790" priority="37315" operator="equal">
      <formula>"FSE"</formula>
    </cfRule>
  </conditionalFormatting>
  <conditionalFormatting sqref="B430">
    <cfRule type="cellIs" dxfId="7789" priority="37303" operator="equal">
      <formula>"Sin éxito"</formula>
    </cfRule>
    <cfRule type="cellIs" dxfId="7788" priority="37304" operator="equal">
      <formula>"Éxito con problemas"</formula>
    </cfRule>
    <cfRule type="cellIs" dxfId="7787" priority="37305" operator="equal">
      <formula>"CANCELADO"</formula>
    </cfRule>
    <cfRule type="cellIs" dxfId="7786" priority="37306" operator="equal">
      <formula>"Aplicada marcha atrás"</formula>
    </cfRule>
    <cfRule type="cellIs" dxfId="7785" priority="37307" operator="equal">
      <formula>"CON ÉXITO"</formula>
    </cfRule>
  </conditionalFormatting>
  <conditionalFormatting sqref="H450">
    <cfRule type="duplicateValues" dxfId="7784" priority="37301"/>
  </conditionalFormatting>
  <conditionalFormatting sqref="A450">
    <cfRule type="cellIs" dxfId="7783" priority="37282" operator="equal">
      <formula>"APLAZADO"</formula>
    </cfRule>
    <cfRule type="cellIs" dxfId="7782" priority="37283" operator="equal">
      <formula>"CANCELADO"</formula>
    </cfRule>
    <cfRule type="cellIs" dxfId="7781" priority="37284" operator="equal">
      <formula>"NO EJECUTADO"</formula>
    </cfRule>
    <cfRule type="cellIs" dxfId="7780" priority="37285" operator="equal">
      <formula>"FPE"</formula>
    </cfRule>
    <cfRule type="cellIs" dxfId="7779" priority="37286" operator="equal">
      <formula>"AMA"</formula>
    </cfRule>
    <cfRule type="cellIs" dxfId="7778" priority="37287" operator="equal">
      <formula>"SIN DATOS"</formula>
    </cfRule>
    <cfRule type="cellIs" dxfId="7777" priority="37288" operator="equal">
      <formula>"SIN DATOS"</formula>
    </cfRule>
    <cfRule type="cellIs" dxfId="7776" priority="37289" operator="equal">
      <formula>"NO EJECTUTADO"</formula>
    </cfRule>
    <cfRule type="cellIs" dxfId="7775" priority="37290" operator="equal">
      <formula>"FE"</formula>
    </cfRule>
    <cfRule type="cellIs" dxfId="7774" priority="37291" operator="equal">
      <formula>"FE"</formula>
    </cfRule>
  </conditionalFormatting>
  <conditionalFormatting sqref="A450">
    <cfRule type="cellIs" dxfId="7773" priority="37280" operator="equal">
      <formula>"Retirado"</formula>
    </cfRule>
    <cfRule type="cellIs" dxfId="7772" priority="37281" operator="equal">
      <formula>"FSE"</formula>
    </cfRule>
  </conditionalFormatting>
  <conditionalFormatting sqref="F450">
    <cfRule type="cellIs" dxfId="7771" priority="37258" operator="equal">
      <formula>"APLAZADO"</formula>
    </cfRule>
    <cfRule type="cellIs" dxfId="7770" priority="37259" operator="equal">
      <formula>"CANCELADO"</formula>
    </cfRule>
    <cfRule type="cellIs" dxfId="7769" priority="37260" operator="equal">
      <formula>"NO EJECUTADO"</formula>
    </cfRule>
    <cfRule type="cellIs" dxfId="7768" priority="37261" operator="equal">
      <formula>"FPE"</formula>
    </cfRule>
    <cfRule type="cellIs" dxfId="7767" priority="37262" operator="equal">
      <formula>"AMA"</formula>
    </cfRule>
    <cfRule type="cellIs" dxfId="7766" priority="37263" operator="equal">
      <formula>"SIN DATOS"</formula>
    </cfRule>
    <cfRule type="cellIs" dxfId="7765" priority="37264" operator="equal">
      <formula>"SIN DATOS"</formula>
    </cfRule>
    <cfRule type="cellIs" dxfId="7764" priority="37265" operator="equal">
      <formula>"NO EJECTUTADO"</formula>
    </cfRule>
    <cfRule type="cellIs" dxfId="7763" priority="37266" operator="equal">
      <formula>"FE"</formula>
    </cfRule>
    <cfRule type="cellIs" dxfId="7762" priority="37267" operator="equal">
      <formula>"FE"</formula>
    </cfRule>
  </conditionalFormatting>
  <conditionalFormatting sqref="F450">
    <cfRule type="cellIs" dxfId="7761" priority="37256" operator="equal">
      <formula>"Retirado"</formula>
    </cfRule>
    <cfRule type="cellIs" dxfId="7760" priority="37257" operator="equal">
      <formula>"FSE"</formula>
    </cfRule>
  </conditionalFormatting>
  <conditionalFormatting sqref="H451">
    <cfRule type="duplicateValues" dxfId="7759" priority="37254"/>
  </conditionalFormatting>
  <conditionalFormatting sqref="A451">
    <cfRule type="cellIs" dxfId="7758" priority="37235" operator="equal">
      <formula>"APLAZADO"</formula>
    </cfRule>
    <cfRule type="cellIs" dxfId="7757" priority="37236" operator="equal">
      <formula>"CANCELADO"</formula>
    </cfRule>
    <cfRule type="cellIs" dxfId="7756" priority="37237" operator="equal">
      <formula>"NO EJECUTADO"</formula>
    </cfRule>
    <cfRule type="cellIs" dxfId="7755" priority="37238" operator="equal">
      <formula>"FPE"</formula>
    </cfRule>
    <cfRule type="cellIs" dxfId="7754" priority="37239" operator="equal">
      <formula>"AMA"</formula>
    </cfRule>
    <cfRule type="cellIs" dxfId="7753" priority="37240" operator="equal">
      <formula>"SIN DATOS"</formula>
    </cfRule>
    <cfRule type="cellIs" dxfId="7752" priority="37241" operator="equal">
      <formula>"SIN DATOS"</formula>
    </cfRule>
    <cfRule type="cellIs" dxfId="7751" priority="37242" operator="equal">
      <formula>"NO EJECTUTADO"</formula>
    </cfRule>
    <cfRule type="cellIs" dxfId="7750" priority="37243" operator="equal">
      <formula>"FE"</formula>
    </cfRule>
    <cfRule type="cellIs" dxfId="7749" priority="37244" operator="equal">
      <formula>"FE"</formula>
    </cfRule>
  </conditionalFormatting>
  <conditionalFormatting sqref="A451">
    <cfRule type="cellIs" dxfId="7748" priority="37233" operator="equal">
      <formula>"Retirado"</formula>
    </cfRule>
    <cfRule type="cellIs" dxfId="7747" priority="37234" operator="equal">
      <formula>"FSE"</formula>
    </cfRule>
  </conditionalFormatting>
  <conditionalFormatting sqref="F451">
    <cfRule type="cellIs" dxfId="7746" priority="37211" operator="equal">
      <formula>"APLAZADO"</formula>
    </cfRule>
    <cfRule type="cellIs" dxfId="7745" priority="37212" operator="equal">
      <formula>"CANCELADO"</formula>
    </cfRule>
    <cfRule type="cellIs" dxfId="7744" priority="37213" operator="equal">
      <formula>"NO EJECUTADO"</formula>
    </cfRule>
    <cfRule type="cellIs" dxfId="7743" priority="37214" operator="equal">
      <formula>"FPE"</formula>
    </cfRule>
    <cfRule type="cellIs" dxfId="7742" priority="37215" operator="equal">
      <formula>"AMA"</formula>
    </cfRule>
    <cfRule type="cellIs" dxfId="7741" priority="37216" operator="equal">
      <formula>"SIN DATOS"</formula>
    </cfRule>
    <cfRule type="cellIs" dxfId="7740" priority="37217" operator="equal">
      <formula>"SIN DATOS"</formula>
    </cfRule>
    <cfRule type="cellIs" dxfId="7739" priority="37218" operator="equal">
      <formula>"NO EJECTUTADO"</formula>
    </cfRule>
    <cfRule type="cellIs" dxfId="7738" priority="37219" operator="equal">
      <formula>"FE"</formula>
    </cfRule>
    <cfRule type="cellIs" dxfId="7737" priority="37220" operator="equal">
      <formula>"FE"</formula>
    </cfRule>
  </conditionalFormatting>
  <conditionalFormatting sqref="F451">
    <cfRule type="cellIs" dxfId="7736" priority="37209" operator="equal">
      <formula>"Retirado"</formula>
    </cfRule>
    <cfRule type="cellIs" dxfId="7735" priority="37210" operator="equal">
      <formula>"FSE"</formula>
    </cfRule>
  </conditionalFormatting>
  <conditionalFormatting sqref="H452">
    <cfRule type="duplicateValues" dxfId="7734" priority="37207"/>
  </conditionalFormatting>
  <conditionalFormatting sqref="A452">
    <cfRule type="cellIs" dxfId="7733" priority="37188" operator="equal">
      <formula>"APLAZADO"</formula>
    </cfRule>
    <cfRule type="cellIs" dxfId="7732" priority="37189" operator="equal">
      <formula>"CANCELADO"</formula>
    </cfRule>
    <cfRule type="cellIs" dxfId="7731" priority="37190" operator="equal">
      <formula>"NO EJECUTADO"</formula>
    </cfRule>
    <cfRule type="cellIs" dxfId="7730" priority="37191" operator="equal">
      <formula>"FPE"</formula>
    </cfRule>
    <cfRule type="cellIs" dxfId="7729" priority="37192" operator="equal">
      <formula>"AMA"</formula>
    </cfRule>
    <cfRule type="cellIs" dxfId="7728" priority="37193" operator="equal">
      <formula>"SIN DATOS"</formula>
    </cfRule>
    <cfRule type="cellIs" dxfId="7727" priority="37194" operator="equal">
      <formula>"SIN DATOS"</formula>
    </cfRule>
    <cfRule type="cellIs" dxfId="7726" priority="37195" operator="equal">
      <formula>"NO EJECTUTADO"</formula>
    </cfRule>
    <cfRule type="cellIs" dxfId="7725" priority="37196" operator="equal">
      <formula>"FE"</formula>
    </cfRule>
    <cfRule type="cellIs" dxfId="7724" priority="37197" operator="equal">
      <formula>"FE"</formula>
    </cfRule>
  </conditionalFormatting>
  <conditionalFormatting sqref="A452">
    <cfRule type="cellIs" dxfId="7723" priority="37186" operator="equal">
      <formula>"Retirado"</formula>
    </cfRule>
    <cfRule type="cellIs" dxfId="7722" priority="37187" operator="equal">
      <formula>"FSE"</formula>
    </cfRule>
  </conditionalFormatting>
  <conditionalFormatting sqref="F452">
    <cfRule type="cellIs" dxfId="7721" priority="37164" operator="equal">
      <formula>"APLAZADO"</formula>
    </cfRule>
    <cfRule type="cellIs" dxfId="7720" priority="37165" operator="equal">
      <formula>"CANCELADO"</formula>
    </cfRule>
    <cfRule type="cellIs" dxfId="7719" priority="37166" operator="equal">
      <formula>"NO EJECUTADO"</formula>
    </cfRule>
    <cfRule type="cellIs" dxfId="7718" priority="37167" operator="equal">
      <formula>"FPE"</formula>
    </cfRule>
    <cfRule type="cellIs" dxfId="7717" priority="37168" operator="equal">
      <formula>"AMA"</formula>
    </cfRule>
    <cfRule type="cellIs" dxfId="7716" priority="37169" operator="equal">
      <formula>"SIN DATOS"</formula>
    </cfRule>
    <cfRule type="cellIs" dxfId="7715" priority="37170" operator="equal">
      <formula>"SIN DATOS"</formula>
    </cfRule>
    <cfRule type="cellIs" dxfId="7714" priority="37171" operator="equal">
      <formula>"NO EJECTUTADO"</formula>
    </cfRule>
    <cfRule type="cellIs" dxfId="7713" priority="37172" operator="equal">
      <formula>"FE"</formula>
    </cfRule>
    <cfRule type="cellIs" dxfId="7712" priority="37173" operator="equal">
      <formula>"FE"</formula>
    </cfRule>
  </conditionalFormatting>
  <conditionalFormatting sqref="F452">
    <cfRule type="cellIs" dxfId="7711" priority="37162" operator="equal">
      <formula>"Retirado"</formula>
    </cfRule>
    <cfRule type="cellIs" dxfId="7710" priority="37163" operator="equal">
      <formula>"FSE"</formula>
    </cfRule>
  </conditionalFormatting>
  <conditionalFormatting sqref="A453">
    <cfRule type="cellIs" dxfId="7709" priority="37141" operator="equal">
      <formula>"APLAZADO"</formula>
    </cfRule>
    <cfRule type="cellIs" dxfId="7708" priority="37142" operator="equal">
      <formula>"CANCELADO"</formula>
    </cfRule>
    <cfRule type="cellIs" dxfId="7707" priority="37143" operator="equal">
      <formula>"NO EJECUTADO"</formula>
    </cfRule>
    <cfRule type="cellIs" dxfId="7706" priority="37144" operator="equal">
      <formula>"FPE"</formula>
    </cfRule>
    <cfRule type="cellIs" dxfId="7705" priority="37145" operator="equal">
      <formula>"AMA"</formula>
    </cfRule>
    <cfRule type="cellIs" dxfId="7704" priority="37146" operator="equal">
      <formula>"SIN DATOS"</formula>
    </cfRule>
    <cfRule type="cellIs" dxfId="7703" priority="37147" operator="equal">
      <formula>"SIN DATOS"</formula>
    </cfRule>
    <cfRule type="cellIs" dxfId="7702" priority="37148" operator="equal">
      <formula>"NO EJECTUTADO"</formula>
    </cfRule>
    <cfRule type="cellIs" dxfId="7701" priority="37149" operator="equal">
      <formula>"FE"</formula>
    </cfRule>
    <cfRule type="cellIs" dxfId="7700" priority="37150" operator="equal">
      <formula>"FE"</formula>
    </cfRule>
  </conditionalFormatting>
  <conditionalFormatting sqref="A453">
    <cfRule type="cellIs" dxfId="7699" priority="37139" operator="equal">
      <formula>"Retirado"</formula>
    </cfRule>
    <cfRule type="cellIs" dxfId="7698" priority="37140" operator="equal">
      <formula>"FSE"</formula>
    </cfRule>
  </conditionalFormatting>
  <conditionalFormatting sqref="F453">
    <cfRule type="cellIs" dxfId="7697" priority="37117" operator="equal">
      <formula>"APLAZADO"</formula>
    </cfRule>
    <cfRule type="cellIs" dxfId="7696" priority="37118" operator="equal">
      <formula>"CANCELADO"</formula>
    </cfRule>
    <cfRule type="cellIs" dxfId="7695" priority="37119" operator="equal">
      <formula>"NO EJECUTADO"</formula>
    </cfRule>
    <cfRule type="cellIs" dxfId="7694" priority="37120" operator="equal">
      <formula>"FPE"</formula>
    </cfRule>
    <cfRule type="cellIs" dxfId="7693" priority="37121" operator="equal">
      <formula>"AMA"</formula>
    </cfRule>
    <cfRule type="cellIs" dxfId="7692" priority="37122" operator="equal">
      <formula>"SIN DATOS"</formula>
    </cfRule>
    <cfRule type="cellIs" dxfId="7691" priority="37123" operator="equal">
      <formula>"SIN DATOS"</formula>
    </cfRule>
    <cfRule type="cellIs" dxfId="7690" priority="37124" operator="equal">
      <formula>"NO EJECTUTADO"</formula>
    </cfRule>
    <cfRule type="cellIs" dxfId="7689" priority="37125" operator="equal">
      <formula>"FE"</formula>
    </cfRule>
    <cfRule type="cellIs" dxfId="7688" priority="37126" operator="equal">
      <formula>"FE"</formula>
    </cfRule>
  </conditionalFormatting>
  <conditionalFormatting sqref="F453">
    <cfRule type="cellIs" dxfId="7687" priority="37115" operator="equal">
      <formula>"Retirado"</formula>
    </cfRule>
    <cfRule type="cellIs" dxfId="7686" priority="37116" operator="equal">
      <formula>"FSE"</formula>
    </cfRule>
  </conditionalFormatting>
  <conditionalFormatting sqref="H453">
    <cfRule type="duplicateValues" dxfId="7685" priority="37114"/>
  </conditionalFormatting>
  <conditionalFormatting sqref="A454">
    <cfRule type="cellIs" dxfId="7684" priority="37094" operator="equal">
      <formula>"APLAZADO"</formula>
    </cfRule>
    <cfRule type="cellIs" dxfId="7683" priority="37095" operator="equal">
      <formula>"CANCELADO"</formula>
    </cfRule>
    <cfRule type="cellIs" dxfId="7682" priority="37096" operator="equal">
      <formula>"NO EJECUTADO"</formula>
    </cfRule>
    <cfRule type="cellIs" dxfId="7681" priority="37097" operator="equal">
      <formula>"FPE"</formula>
    </cfRule>
    <cfRule type="cellIs" dxfId="7680" priority="37098" operator="equal">
      <formula>"AMA"</formula>
    </cfRule>
    <cfRule type="cellIs" dxfId="7679" priority="37099" operator="equal">
      <formula>"SIN DATOS"</formula>
    </cfRule>
    <cfRule type="cellIs" dxfId="7678" priority="37100" operator="equal">
      <formula>"SIN DATOS"</formula>
    </cfRule>
    <cfRule type="cellIs" dxfId="7677" priority="37101" operator="equal">
      <formula>"NO EJECTUTADO"</formula>
    </cfRule>
    <cfRule type="cellIs" dxfId="7676" priority="37102" operator="equal">
      <formula>"FE"</formula>
    </cfRule>
    <cfRule type="cellIs" dxfId="7675" priority="37103" operator="equal">
      <formula>"FE"</formula>
    </cfRule>
  </conditionalFormatting>
  <conditionalFormatting sqref="A454">
    <cfRule type="cellIs" dxfId="7674" priority="37092" operator="equal">
      <formula>"Retirado"</formula>
    </cfRule>
    <cfRule type="cellIs" dxfId="7673" priority="37093" operator="equal">
      <formula>"FSE"</formula>
    </cfRule>
  </conditionalFormatting>
  <conditionalFormatting sqref="H454">
    <cfRule type="duplicateValues" dxfId="7672" priority="37079"/>
  </conditionalFormatting>
  <conditionalFormatting sqref="F454">
    <cfRule type="cellIs" dxfId="7671" priority="37069" operator="equal">
      <formula>"APLAZADO"</formula>
    </cfRule>
    <cfRule type="cellIs" dxfId="7670" priority="37070" operator="equal">
      <formula>"CANCELADO"</formula>
    </cfRule>
    <cfRule type="cellIs" dxfId="7669" priority="37071" operator="equal">
      <formula>"NO EJECUTADO"</formula>
    </cfRule>
    <cfRule type="cellIs" dxfId="7668" priority="37072" operator="equal">
      <formula>"FPE"</formula>
    </cfRule>
    <cfRule type="cellIs" dxfId="7667" priority="37073" operator="equal">
      <formula>"AMA"</formula>
    </cfRule>
    <cfRule type="cellIs" dxfId="7666" priority="37074" operator="equal">
      <formula>"SIN DATOS"</formula>
    </cfRule>
    <cfRule type="cellIs" dxfId="7665" priority="37075" operator="equal">
      <formula>"SIN DATOS"</formula>
    </cfRule>
    <cfRule type="cellIs" dxfId="7664" priority="37076" operator="equal">
      <formula>"NO EJECTUTADO"</formula>
    </cfRule>
    <cfRule type="cellIs" dxfId="7663" priority="37077" operator="equal">
      <formula>"FE"</formula>
    </cfRule>
    <cfRule type="cellIs" dxfId="7662" priority="37078" operator="equal">
      <formula>"FE"</formula>
    </cfRule>
  </conditionalFormatting>
  <conditionalFormatting sqref="F454">
    <cfRule type="cellIs" dxfId="7661" priority="37067" operator="equal">
      <formula>"Retirado"</formula>
    </cfRule>
    <cfRule type="cellIs" dxfId="7660" priority="37068" operator="equal">
      <formula>"FSE"</formula>
    </cfRule>
  </conditionalFormatting>
  <conditionalFormatting sqref="A455">
    <cfRule type="cellIs" dxfId="7659" priority="37042" operator="equal">
      <formula>"APLAZADO"</formula>
    </cfRule>
    <cfRule type="cellIs" dxfId="7658" priority="37043" operator="equal">
      <formula>"CANCELADO"</formula>
    </cfRule>
    <cfRule type="cellIs" dxfId="7657" priority="37044" operator="equal">
      <formula>"NO EJECUTADO"</formula>
    </cfRule>
    <cfRule type="cellIs" dxfId="7656" priority="37045" operator="equal">
      <formula>"FPE"</formula>
    </cfRule>
    <cfRule type="cellIs" dxfId="7655" priority="37046" operator="equal">
      <formula>"AMA"</formula>
    </cfRule>
    <cfRule type="cellIs" dxfId="7654" priority="37047" operator="equal">
      <formula>"SIN DATOS"</formula>
    </cfRule>
    <cfRule type="cellIs" dxfId="7653" priority="37048" operator="equal">
      <formula>"SIN DATOS"</formula>
    </cfRule>
    <cfRule type="cellIs" dxfId="7652" priority="37049" operator="equal">
      <formula>"NO EJECTUTADO"</formula>
    </cfRule>
    <cfRule type="cellIs" dxfId="7651" priority="37050" operator="equal">
      <formula>"FE"</formula>
    </cfRule>
    <cfRule type="cellIs" dxfId="7650" priority="37051" operator="equal">
      <formula>"FE"</formula>
    </cfRule>
  </conditionalFormatting>
  <conditionalFormatting sqref="A455">
    <cfRule type="cellIs" dxfId="7649" priority="37040" operator="equal">
      <formula>"Retirado"</formula>
    </cfRule>
    <cfRule type="cellIs" dxfId="7648" priority="37041" operator="equal">
      <formula>"FSE"</formula>
    </cfRule>
  </conditionalFormatting>
  <conditionalFormatting sqref="H455">
    <cfRule type="duplicateValues" dxfId="7647" priority="37039"/>
  </conditionalFormatting>
  <conditionalFormatting sqref="F455">
    <cfRule type="cellIs" dxfId="7646" priority="37017" operator="equal">
      <formula>"APLAZADO"</formula>
    </cfRule>
    <cfRule type="cellIs" dxfId="7645" priority="37018" operator="equal">
      <formula>"CANCELADO"</formula>
    </cfRule>
    <cfRule type="cellIs" dxfId="7644" priority="37019" operator="equal">
      <formula>"NO EJECUTADO"</formula>
    </cfRule>
    <cfRule type="cellIs" dxfId="7643" priority="37020" operator="equal">
      <formula>"FPE"</formula>
    </cfRule>
    <cfRule type="cellIs" dxfId="7642" priority="37021" operator="equal">
      <formula>"AMA"</formula>
    </cfRule>
    <cfRule type="cellIs" dxfId="7641" priority="37022" operator="equal">
      <formula>"SIN DATOS"</formula>
    </cfRule>
    <cfRule type="cellIs" dxfId="7640" priority="37023" operator="equal">
      <formula>"SIN DATOS"</formula>
    </cfRule>
    <cfRule type="cellIs" dxfId="7639" priority="37024" operator="equal">
      <formula>"NO EJECTUTADO"</formula>
    </cfRule>
    <cfRule type="cellIs" dxfId="7638" priority="37025" operator="equal">
      <formula>"FE"</formula>
    </cfRule>
    <cfRule type="cellIs" dxfId="7637" priority="37026" operator="equal">
      <formula>"FE"</formula>
    </cfRule>
  </conditionalFormatting>
  <conditionalFormatting sqref="F455">
    <cfRule type="cellIs" dxfId="7636" priority="37015" operator="equal">
      <formula>"Retirado"</formula>
    </cfRule>
    <cfRule type="cellIs" dxfId="7635" priority="37016" operator="equal">
      <formula>"FSE"</formula>
    </cfRule>
  </conditionalFormatting>
  <conditionalFormatting sqref="A456">
    <cfRule type="cellIs" dxfId="7634" priority="36995" operator="equal">
      <formula>"APLAZADO"</formula>
    </cfRule>
    <cfRule type="cellIs" dxfId="7633" priority="36996" operator="equal">
      <formula>"CANCELADO"</formula>
    </cfRule>
    <cfRule type="cellIs" dxfId="7632" priority="36997" operator="equal">
      <formula>"NO EJECUTADO"</formula>
    </cfRule>
    <cfRule type="cellIs" dxfId="7631" priority="36998" operator="equal">
      <formula>"FPE"</formula>
    </cfRule>
    <cfRule type="cellIs" dxfId="7630" priority="36999" operator="equal">
      <formula>"AMA"</formula>
    </cfRule>
    <cfRule type="cellIs" dxfId="7629" priority="37000" operator="equal">
      <formula>"SIN DATOS"</formula>
    </cfRule>
    <cfRule type="cellIs" dxfId="7628" priority="37001" operator="equal">
      <formula>"SIN DATOS"</formula>
    </cfRule>
    <cfRule type="cellIs" dxfId="7627" priority="37002" operator="equal">
      <formula>"NO EJECTUTADO"</formula>
    </cfRule>
    <cfRule type="cellIs" dxfId="7626" priority="37003" operator="equal">
      <formula>"FE"</formula>
    </cfRule>
    <cfRule type="cellIs" dxfId="7625" priority="37004" operator="equal">
      <formula>"FE"</formula>
    </cfRule>
  </conditionalFormatting>
  <conditionalFormatting sqref="A456">
    <cfRule type="cellIs" dxfId="7624" priority="36993" operator="equal">
      <formula>"Retirado"</formula>
    </cfRule>
    <cfRule type="cellIs" dxfId="7623" priority="36994" operator="equal">
      <formula>"FSE"</formula>
    </cfRule>
  </conditionalFormatting>
  <conditionalFormatting sqref="H456">
    <cfRule type="duplicateValues" dxfId="7622" priority="36980"/>
  </conditionalFormatting>
  <conditionalFormatting sqref="F456">
    <cfRule type="cellIs" dxfId="7621" priority="36970" operator="equal">
      <formula>"APLAZADO"</formula>
    </cfRule>
    <cfRule type="cellIs" dxfId="7620" priority="36971" operator="equal">
      <formula>"CANCELADO"</formula>
    </cfRule>
    <cfRule type="cellIs" dxfId="7619" priority="36972" operator="equal">
      <formula>"NO EJECUTADO"</formula>
    </cfRule>
    <cfRule type="cellIs" dxfId="7618" priority="36973" operator="equal">
      <formula>"FPE"</formula>
    </cfRule>
    <cfRule type="cellIs" dxfId="7617" priority="36974" operator="equal">
      <formula>"AMA"</formula>
    </cfRule>
    <cfRule type="cellIs" dxfId="7616" priority="36975" operator="equal">
      <formula>"SIN DATOS"</formula>
    </cfRule>
    <cfRule type="cellIs" dxfId="7615" priority="36976" operator="equal">
      <formula>"SIN DATOS"</formula>
    </cfRule>
    <cfRule type="cellIs" dxfId="7614" priority="36977" operator="equal">
      <formula>"NO EJECTUTADO"</formula>
    </cfRule>
    <cfRule type="cellIs" dxfId="7613" priority="36978" operator="equal">
      <formula>"FE"</formula>
    </cfRule>
    <cfRule type="cellIs" dxfId="7612" priority="36979" operator="equal">
      <formula>"FE"</formula>
    </cfRule>
  </conditionalFormatting>
  <conditionalFormatting sqref="F456">
    <cfRule type="cellIs" dxfId="7611" priority="36968" operator="equal">
      <formula>"Retirado"</formula>
    </cfRule>
    <cfRule type="cellIs" dxfId="7610" priority="36969" operator="equal">
      <formula>"FSE"</formula>
    </cfRule>
  </conditionalFormatting>
  <conditionalFormatting sqref="A457">
    <cfRule type="cellIs" dxfId="7609" priority="36948" operator="equal">
      <formula>"APLAZADO"</formula>
    </cfRule>
    <cfRule type="cellIs" dxfId="7608" priority="36949" operator="equal">
      <formula>"CANCELADO"</formula>
    </cfRule>
    <cfRule type="cellIs" dxfId="7607" priority="36950" operator="equal">
      <formula>"NO EJECUTADO"</formula>
    </cfRule>
    <cfRule type="cellIs" dxfId="7606" priority="36951" operator="equal">
      <formula>"FPE"</formula>
    </cfRule>
    <cfRule type="cellIs" dxfId="7605" priority="36952" operator="equal">
      <formula>"AMA"</formula>
    </cfRule>
    <cfRule type="cellIs" dxfId="7604" priority="36953" operator="equal">
      <formula>"SIN DATOS"</formula>
    </cfRule>
    <cfRule type="cellIs" dxfId="7603" priority="36954" operator="equal">
      <formula>"SIN DATOS"</formula>
    </cfRule>
    <cfRule type="cellIs" dxfId="7602" priority="36955" operator="equal">
      <formula>"NO EJECTUTADO"</formula>
    </cfRule>
    <cfRule type="cellIs" dxfId="7601" priority="36956" operator="equal">
      <formula>"FE"</formula>
    </cfRule>
    <cfRule type="cellIs" dxfId="7600" priority="36957" operator="equal">
      <formula>"FE"</formula>
    </cfRule>
  </conditionalFormatting>
  <conditionalFormatting sqref="A457">
    <cfRule type="cellIs" dxfId="7599" priority="36946" operator="equal">
      <formula>"Retirado"</formula>
    </cfRule>
    <cfRule type="cellIs" dxfId="7598" priority="36947" operator="equal">
      <formula>"FSE"</formula>
    </cfRule>
  </conditionalFormatting>
  <conditionalFormatting sqref="H457">
    <cfRule type="duplicateValues" dxfId="7597" priority="36945"/>
  </conditionalFormatting>
  <conditionalFormatting sqref="F457">
    <cfRule type="cellIs" dxfId="7596" priority="36923" operator="equal">
      <formula>"APLAZADO"</formula>
    </cfRule>
    <cfRule type="cellIs" dxfId="7595" priority="36924" operator="equal">
      <formula>"CANCELADO"</formula>
    </cfRule>
    <cfRule type="cellIs" dxfId="7594" priority="36925" operator="equal">
      <formula>"NO EJECUTADO"</formula>
    </cfRule>
    <cfRule type="cellIs" dxfId="7593" priority="36926" operator="equal">
      <formula>"FPE"</formula>
    </cfRule>
    <cfRule type="cellIs" dxfId="7592" priority="36927" operator="equal">
      <formula>"AMA"</formula>
    </cfRule>
    <cfRule type="cellIs" dxfId="7591" priority="36928" operator="equal">
      <formula>"SIN DATOS"</formula>
    </cfRule>
    <cfRule type="cellIs" dxfId="7590" priority="36929" operator="equal">
      <formula>"SIN DATOS"</formula>
    </cfRule>
    <cfRule type="cellIs" dxfId="7589" priority="36930" operator="equal">
      <formula>"NO EJECTUTADO"</formula>
    </cfRule>
    <cfRule type="cellIs" dxfId="7588" priority="36931" operator="equal">
      <formula>"FE"</formula>
    </cfRule>
    <cfRule type="cellIs" dxfId="7587" priority="36932" operator="equal">
      <formula>"FE"</formula>
    </cfRule>
  </conditionalFormatting>
  <conditionalFormatting sqref="F457">
    <cfRule type="cellIs" dxfId="7586" priority="36921" operator="equal">
      <formula>"Retirado"</formula>
    </cfRule>
    <cfRule type="cellIs" dxfId="7585" priority="36922" operator="equal">
      <formula>"FSE"</formula>
    </cfRule>
  </conditionalFormatting>
  <conditionalFormatting sqref="B427">
    <cfRule type="cellIs" dxfId="7584" priority="36905" operator="equal">
      <formula>"Sin éxito"</formula>
    </cfRule>
    <cfRule type="cellIs" dxfId="7583" priority="36906" operator="equal">
      <formula>"Éxito con problemas"</formula>
    </cfRule>
    <cfRule type="cellIs" dxfId="7582" priority="36907" operator="equal">
      <formula>"CANCELADO"</formula>
    </cfRule>
    <cfRule type="cellIs" dxfId="7581" priority="36908" operator="equal">
      <formula>"Aplicada marcha atrás"</formula>
    </cfRule>
    <cfRule type="cellIs" dxfId="7580" priority="36909" operator="equal">
      <formula>"CON ÉXITO"</formula>
    </cfRule>
  </conditionalFormatting>
  <conditionalFormatting sqref="B429">
    <cfRule type="cellIs" dxfId="7579" priority="36894" operator="equal">
      <formula>"Sin éxito"</formula>
    </cfRule>
    <cfRule type="cellIs" dxfId="7578" priority="36895" operator="equal">
      <formula>"Éxito con problemas"</formula>
    </cfRule>
    <cfRule type="cellIs" dxfId="7577" priority="36896" operator="equal">
      <formula>"CANCELADO"</formula>
    </cfRule>
    <cfRule type="cellIs" dxfId="7576" priority="36897" operator="equal">
      <formula>"Aplicada marcha atrás"</formula>
    </cfRule>
    <cfRule type="cellIs" dxfId="7575" priority="36898" operator="equal">
      <formula>"CON ÉXITO"</formula>
    </cfRule>
  </conditionalFormatting>
  <conditionalFormatting sqref="B431">
    <cfRule type="cellIs" dxfId="7574" priority="36883" operator="equal">
      <formula>"Sin éxito"</formula>
    </cfRule>
    <cfRule type="cellIs" dxfId="7573" priority="36884" operator="equal">
      <formula>"Éxito con problemas"</formula>
    </cfRule>
    <cfRule type="cellIs" dxfId="7572" priority="36885" operator="equal">
      <formula>"CANCELADO"</formula>
    </cfRule>
    <cfRule type="cellIs" dxfId="7571" priority="36886" operator="equal">
      <formula>"Aplicada marcha atrás"</formula>
    </cfRule>
    <cfRule type="cellIs" dxfId="7570" priority="36887" operator="equal">
      <formula>"CON ÉXITO"</formula>
    </cfRule>
  </conditionalFormatting>
  <conditionalFormatting sqref="B432">
    <cfRule type="cellIs" dxfId="7569" priority="36872" operator="equal">
      <formula>"Sin éxito"</formula>
    </cfRule>
    <cfRule type="cellIs" dxfId="7568" priority="36873" operator="equal">
      <formula>"Éxito con problemas"</formula>
    </cfRule>
    <cfRule type="cellIs" dxfId="7567" priority="36874" operator="equal">
      <formula>"CANCELADO"</formula>
    </cfRule>
    <cfRule type="cellIs" dxfId="7566" priority="36875" operator="equal">
      <formula>"Aplicada marcha atrás"</formula>
    </cfRule>
    <cfRule type="cellIs" dxfId="7565" priority="36876" operator="equal">
      <formula>"CON ÉXITO"</formula>
    </cfRule>
  </conditionalFormatting>
  <conditionalFormatting sqref="B433">
    <cfRule type="cellIs" dxfId="7564" priority="36861" operator="equal">
      <formula>"Sin éxito"</formula>
    </cfRule>
    <cfRule type="cellIs" dxfId="7563" priority="36862" operator="equal">
      <formula>"Éxito con problemas"</formula>
    </cfRule>
    <cfRule type="cellIs" dxfId="7562" priority="36863" operator="equal">
      <formula>"CANCELADO"</formula>
    </cfRule>
    <cfRule type="cellIs" dxfId="7561" priority="36864" operator="equal">
      <formula>"Aplicada marcha atrás"</formula>
    </cfRule>
    <cfRule type="cellIs" dxfId="7560" priority="36865" operator="equal">
      <formula>"CON ÉXITO"</formula>
    </cfRule>
  </conditionalFormatting>
  <conditionalFormatting sqref="B458">
    <cfRule type="cellIs" dxfId="7559" priority="36855" operator="equal">
      <formula>"Sin éxito"</formula>
    </cfRule>
    <cfRule type="cellIs" dxfId="7558" priority="36856" operator="equal">
      <formula>"Éxito con problemas"</formula>
    </cfRule>
    <cfRule type="cellIs" dxfId="7557" priority="36857" operator="equal">
      <formula>"CANCELADO"</formula>
    </cfRule>
    <cfRule type="cellIs" dxfId="7556" priority="36858" operator="equal">
      <formula>"Aplicada marcha atrás"</formula>
    </cfRule>
    <cfRule type="cellIs" dxfId="7555" priority="36859" operator="equal">
      <formula>"CON ÉXITO"</formula>
    </cfRule>
  </conditionalFormatting>
  <conditionalFormatting sqref="A458">
    <cfRule type="cellIs" dxfId="7554" priority="36841" operator="equal">
      <formula>"APLAZADO"</formula>
    </cfRule>
    <cfRule type="cellIs" dxfId="7553" priority="36842" operator="equal">
      <formula>"CANCELADO"</formula>
    </cfRule>
    <cfRule type="cellIs" dxfId="7552" priority="36843" operator="equal">
      <formula>"NO EJECUTADO"</formula>
    </cfRule>
    <cfRule type="cellIs" dxfId="7551" priority="36844" operator="equal">
      <formula>"FPE"</formula>
    </cfRule>
    <cfRule type="cellIs" dxfId="7550" priority="36845" operator="equal">
      <formula>"AMA"</formula>
    </cfRule>
    <cfRule type="cellIs" dxfId="7549" priority="36846" operator="equal">
      <formula>"SIN DATOS"</formula>
    </cfRule>
    <cfRule type="cellIs" dxfId="7548" priority="36847" operator="equal">
      <formula>"SIN DATOS"</formula>
    </cfRule>
    <cfRule type="cellIs" dxfId="7547" priority="36848" operator="equal">
      <formula>"NO EJECTUTADO"</formula>
    </cfRule>
    <cfRule type="cellIs" dxfId="7546" priority="36849" operator="equal">
      <formula>"FE"</formula>
    </cfRule>
    <cfRule type="cellIs" dxfId="7545" priority="36850" operator="equal">
      <formula>"FE"</formula>
    </cfRule>
  </conditionalFormatting>
  <conditionalFormatting sqref="A458">
    <cfRule type="cellIs" dxfId="7544" priority="36839" operator="equal">
      <formula>"Retirado"</formula>
    </cfRule>
    <cfRule type="cellIs" dxfId="7543" priority="36840" operator="equal">
      <formula>"FSE"</formula>
    </cfRule>
  </conditionalFormatting>
  <conditionalFormatting sqref="H458">
    <cfRule type="duplicateValues" dxfId="7542" priority="36838"/>
  </conditionalFormatting>
  <conditionalFormatting sqref="F458">
    <cfRule type="cellIs" dxfId="7541" priority="36816" operator="equal">
      <formula>"APLAZADO"</formula>
    </cfRule>
    <cfRule type="cellIs" dxfId="7540" priority="36817" operator="equal">
      <formula>"CANCELADO"</formula>
    </cfRule>
    <cfRule type="cellIs" dxfId="7539" priority="36818" operator="equal">
      <formula>"NO EJECUTADO"</formula>
    </cfRule>
    <cfRule type="cellIs" dxfId="7538" priority="36819" operator="equal">
      <formula>"FPE"</formula>
    </cfRule>
    <cfRule type="cellIs" dxfId="7537" priority="36820" operator="equal">
      <formula>"AMA"</formula>
    </cfRule>
    <cfRule type="cellIs" dxfId="7536" priority="36821" operator="equal">
      <formula>"SIN DATOS"</formula>
    </cfRule>
    <cfRule type="cellIs" dxfId="7535" priority="36822" operator="equal">
      <formula>"SIN DATOS"</formula>
    </cfRule>
    <cfRule type="cellIs" dxfId="7534" priority="36823" operator="equal">
      <formula>"NO EJECTUTADO"</formula>
    </cfRule>
    <cfRule type="cellIs" dxfId="7533" priority="36824" operator="equal">
      <formula>"FE"</formula>
    </cfRule>
    <cfRule type="cellIs" dxfId="7532" priority="36825" operator="equal">
      <formula>"FE"</formula>
    </cfRule>
  </conditionalFormatting>
  <conditionalFormatting sqref="F458">
    <cfRule type="cellIs" dxfId="7531" priority="36814" operator="equal">
      <formula>"Retirado"</formula>
    </cfRule>
    <cfRule type="cellIs" dxfId="7530" priority="36815" operator="equal">
      <formula>"FSE"</formula>
    </cfRule>
  </conditionalFormatting>
  <conditionalFormatting sqref="B428">
    <cfRule type="cellIs" dxfId="7529" priority="36803" operator="equal">
      <formula>"Sin éxito"</formula>
    </cfRule>
    <cfRule type="cellIs" dxfId="7528" priority="36804" operator="equal">
      <formula>"Éxito con problemas"</formula>
    </cfRule>
    <cfRule type="cellIs" dxfId="7527" priority="36805" operator="equal">
      <formula>"CANCELADO"</formula>
    </cfRule>
    <cfRule type="cellIs" dxfId="7526" priority="36806" operator="equal">
      <formula>"Aplicada marcha atrás"</formula>
    </cfRule>
    <cfRule type="cellIs" dxfId="7525" priority="36807" operator="equal">
      <formula>"CON ÉXITO"</formula>
    </cfRule>
  </conditionalFormatting>
  <conditionalFormatting sqref="A459">
    <cfRule type="cellIs" dxfId="7524" priority="36783" operator="equal">
      <formula>"APLAZADO"</formula>
    </cfRule>
    <cfRule type="cellIs" dxfId="7523" priority="36784" operator="equal">
      <formula>"CANCELADO"</formula>
    </cfRule>
    <cfRule type="cellIs" dxfId="7522" priority="36785" operator="equal">
      <formula>"NO EJECUTADO"</formula>
    </cfRule>
    <cfRule type="cellIs" dxfId="7521" priority="36786" operator="equal">
      <formula>"FPE"</formula>
    </cfRule>
    <cfRule type="cellIs" dxfId="7520" priority="36787" operator="equal">
      <formula>"AMA"</formula>
    </cfRule>
    <cfRule type="cellIs" dxfId="7519" priority="36788" operator="equal">
      <formula>"SIN DATOS"</formula>
    </cfRule>
    <cfRule type="cellIs" dxfId="7518" priority="36789" operator="equal">
      <formula>"SIN DATOS"</formula>
    </cfRule>
    <cfRule type="cellIs" dxfId="7517" priority="36790" operator="equal">
      <formula>"NO EJECTUTADO"</formula>
    </cfRule>
    <cfRule type="cellIs" dxfId="7516" priority="36791" operator="equal">
      <formula>"FE"</formula>
    </cfRule>
    <cfRule type="cellIs" dxfId="7515" priority="36792" operator="equal">
      <formula>"FE"</formula>
    </cfRule>
  </conditionalFormatting>
  <conditionalFormatting sqref="A459">
    <cfRule type="cellIs" dxfId="7514" priority="36781" operator="equal">
      <formula>"Retirado"</formula>
    </cfRule>
    <cfRule type="cellIs" dxfId="7513" priority="36782" operator="equal">
      <formula>"FSE"</formula>
    </cfRule>
  </conditionalFormatting>
  <conditionalFormatting sqref="H459">
    <cfRule type="duplicateValues" dxfId="7512" priority="36780"/>
  </conditionalFormatting>
  <conditionalFormatting sqref="F459">
    <cfRule type="cellIs" dxfId="7511" priority="36758" operator="equal">
      <formula>"APLAZADO"</formula>
    </cfRule>
    <cfRule type="cellIs" dxfId="7510" priority="36759" operator="equal">
      <formula>"CANCELADO"</formula>
    </cfRule>
    <cfRule type="cellIs" dxfId="7509" priority="36760" operator="equal">
      <formula>"NO EJECUTADO"</formula>
    </cfRule>
    <cfRule type="cellIs" dxfId="7508" priority="36761" operator="equal">
      <formula>"FPE"</formula>
    </cfRule>
    <cfRule type="cellIs" dxfId="7507" priority="36762" operator="equal">
      <formula>"AMA"</formula>
    </cfRule>
    <cfRule type="cellIs" dxfId="7506" priority="36763" operator="equal">
      <formula>"SIN DATOS"</formula>
    </cfRule>
    <cfRule type="cellIs" dxfId="7505" priority="36764" operator="equal">
      <formula>"SIN DATOS"</formula>
    </cfRule>
    <cfRule type="cellIs" dxfId="7504" priority="36765" operator="equal">
      <formula>"NO EJECTUTADO"</formula>
    </cfRule>
    <cfRule type="cellIs" dxfId="7503" priority="36766" operator="equal">
      <formula>"FE"</formula>
    </cfRule>
    <cfRule type="cellIs" dxfId="7502" priority="36767" operator="equal">
      <formula>"FE"</formula>
    </cfRule>
  </conditionalFormatting>
  <conditionalFormatting sqref="F459">
    <cfRule type="cellIs" dxfId="7501" priority="36756" operator="equal">
      <formula>"Retirado"</formula>
    </cfRule>
    <cfRule type="cellIs" dxfId="7500" priority="36757" operator="equal">
      <formula>"FSE"</formula>
    </cfRule>
  </conditionalFormatting>
  <conditionalFormatting sqref="A460:A461">
    <cfRule type="cellIs" dxfId="7499" priority="36736" operator="equal">
      <formula>"APLAZADO"</formula>
    </cfRule>
    <cfRule type="cellIs" dxfId="7498" priority="36737" operator="equal">
      <formula>"CANCELADO"</formula>
    </cfRule>
    <cfRule type="cellIs" dxfId="7497" priority="36738" operator="equal">
      <formula>"NO EJECUTADO"</formula>
    </cfRule>
    <cfRule type="cellIs" dxfId="7496" priority="36739" operator="equal">
      <formula>"FPE"</formula>
    </cfRule>
    <cfRule type="cellIs" dxfId="7495" priority="36740" operator="equal">
      <formula>"AMA"</formula>
    </cfRule>
    <cfRule type="cellIs" dxfId="7494" priority="36741" operator="equal">
      <formula>"SIN DATOS"</formula>
    </cfRule>
    <cfRule type="cellIs" dxfId="7493" priority="36742" operator="equal">
      <formula>"SIN DATOS"</formula>
    </cfRule>
    <cfRule type="cellIs" dxfId="7492" priority="36743" operator="equal">
      <formula>"NO EJECTUTADO"</formula>
    </cfRule>
    <cfRule type="cellIs" dxfId="7491" priority="36744" operator="equal">
      <formula>"FE"</formula>
    </cfRule>
    <cfRule type="cellIs" dxfId="7490" priority="36745" operator="equal">
      <formula>"FE"</formula>
    </cfRule>
  </conditionalFormatting>
  <conditionalFormatting sqref="A460:A461">
    <cfRule type="cellIs" dxfId="7489" priority="36734" operator="equal">
      <formula>"Retirado"</formula>
    </cfRule>
    <cfRule type="cellIs" dxfId="7488" priority="36735" operator="equal">
      <formula>"FSE"</formula>
    </cfRule>
  </conditionalFormatting>
  <conditionalFormatting sqref="H460">
    <cfRule type="duplicateValues" dxfId="7487" priority="36733"/>
  </conditionalFormatting>
  <conditionalFormatting sqref="F460">
    <cfRule type="cellIs" dxfId="7486" priority="36711" operator="equal">
      <formula>"APLAZADO"</formula>
    </cfRule>
    <cfRule type="cellIs" dxfId="7485" priority="36712" operator="equal">
      <formula>"CANCELADO"</formula>
    </cfRule>
    <cfRule type="cellIs" dxfId="7484" priority="36713" operator="equal">
      <formula>"NO EJECUTADO"</formula>
    </cfRule>
    <cfRule type="cellIs" dxfId="7483" priority="36714" operator="equal">
      <formula>"FPE"</formula>
    </cfRule>
    <cfRule type="cellIs" dxfId="7482" priority="36715" operator="equal">
      <formula>"AMA"</formula>
    </cfRule>
    <cfRule type="cellIs" dxfId="7481" priority="36716" operator="equal">
      <formula>"SIN DATOS"</formula>
    </cfRule>
    <cfRule type="cellIs" dxfId="7480" priority="36717" operator="equal">
      <formula>"SIN DATOS"</formula>
    </cfRule>
    <cfRule type="cellIs" dxfId="7479" priority="36718" operator="equal">
      <formula>"NO EJECTUTADO"</formula>
    </cfRule>
    <cfRule type="cellIs" dxfId="7478" priority="36719" operator="equal">
      <formula>"FE"</formula>
    </cfRule>
    <cfRule type="cellIs" dxfId="7477" priority="36720" operator="equal">
      <formula>"FE"</formula>
    </cfRule>
  </conditionalFormatting>
  <conditionalFormatting sqref="F460">
    <cfRule type="cellIs" dxfId="7476" priority="36709" operator="equal">
      <formula>"Retirado"</formula>
    </cfRule>
    <cfRule type="cellIs" dxfId="7475" priority="36710" operator="equal">
      <formula>"FSE"</formula>
    </cfRule>
  </conditionalFormatting>
  <conditionalFormatting sqref="A463">
    <cfRule type="cellIs" dxfId="7474" priority="36642" operator="equal">
      <formula>"APLAZADO"</formula>
    </cfRule>
    <cfRule type="cellIs" dxfId="7473" priority="36643" operator="equal">
      <formula>"CANCELADO"</formula>
    </cfRule>
    <cfRule type="cellIs" dxfId="7472" priority="36644" operator="equal">
      <formula>"NO EJECUTADO"</formula>
    </cfRule>
    <cfRule type="cellIs" dxfId="7471" priority="36645" operator="equal">
      <formula>"FPE"</formula>
    </cfRule>
    <cfRule type="cellIs" dxfId="7470" priority="36646" operator="equal">
      <formula>"AMA"</formula>
    </cfRule>
    <cfRule type="cellIs" dxfId="7469" priority="36647" operator="equal">
      <formula>"SIN DATOS"</formula>
    </cfRule>
    <cfRule type="cellIs" dxfId="7468" priority="36648" operator="equal">
      <formula>"SIN DATOS"</formula>
    </cfRule>
    <cfRule type="cellIs" dxfId="7467" priority="36649" operator="equal">
      <formula>"NO EJECTUTADO"</formula>
    </cfRule>
    <cfRule type="cellIs" dxfId="7466" priority="36650" operator="equal">
      <formula>"FE"</formula>
    </cfRule>
    <cfRule type="cellIs" dxfId="7465" priority="36651" operator="equal">
      <formula>"FE"</formula>
    </cfRule>
  </conditionalFormatting>
  <conditionalFormatting sqref="A463">
    <cfRule type="cellIs" dxfId="7464" priority="36640" operator="equal">
      <formula>"Retirado"</formula>
    </cfRule>
    <cfRule type="cellIs" dxfId="7463" priority="36641" operator="equal">
      <formula>"FSE"</formula>
    </cfRule>
  </conditionalFormatting>
  <conditionalFormatting sqref="H463">
    <cfRule type="duplicateValues" dxfId="7462" priority="36639"/>
  </conditionalFormatting>
  <conditionalFormatting sqref="F463">
    <cfRule type="cellIs" dxfId="7461" priority="36617" operator="equal">
      <formula>"APLAZADO"</formula>
    </cfRule>
    <cfRule type="cellIs" dxfId="7460" priority="36618" operator="equal">
      <formula>"CANCELADO"</formula>
    </cfRule>
    <cfRule type="cellIs" dxfId="7459" priority="36619" operator="equal">
      <formula>"NO EJECUTADO"</formula>
    </cfRule>
    <cfRule type="cellIs" dxfId="7458" priority="36620" operator="equal">
      <formula>"FPE"</formula>
    </cfRule>
    <cfRule type="cellIs" dxfId="7457" priority="36621" operator="equal">
      <formula>"AMA"</formula>
    </cfRule>
    <cfRule type="cellIs" dxfId="7456" priority="36622" operator="equal">
      <formula>"SIN DATOS"</formula>
    </cfRule>
    <cfRule type="cellIs" dxfId="7455" priority="36623" operator="equal">
      <formula>"SIN DATOS"</formula>
    </cfRule>
    <cfRule type="cellIs" dxfId="7454" priority="36624" operator="equal">
      <formula>"NO EJECTUTADO"</formula>
    </cfRule>
    <cfRule type="cellIs" dxfId="7453" priority="36625" operator="equal">
      <formula>"FE"</formula>
    </cfRule>
    <cfRule type="cellIs" dxfId="7452" priority="36626" operator="equal">
      <formula>"FE"</formula>
    </cfRule>
  </conditionalFormatting>
  <conditionalFormatting sqref="F463">
    <cfRule type="cellIs" dxfId="7451" priority="36615" operator="equal">
      <formula>"Retirado"</formula>
    </cfRule>
    <cfRule type="cellIs" dxfId="7450" priority="36616" operator="equal">
      <formula>"FSE"</formula>
    </cfRule>
  </conditionalFormatting>
  <conditionalFormatting sqref="A464">
    <cfRule type="cellIs" dxfId="7449" priority="36595" operator="equal">
      <formula>"APLAZADO"</formula>
    </cfRule>
    <cfRule type="cellIs" dxfId="7448" priority="36596" operator="equal">
      <formula>"CANCELADO"</formula>
    </cfRule>
    <cfRule type="cellIs" dxfId="7447" priority="36597" operator="equal">
      <formula>"NO EJECUTADO"</formula>
    </cfRule>
    <cfRule type="cellIs" dxfId="7446" priority="36598" operator="equal">
      <formula>"FPE"</formula>
    </cfRule>
    <cfRule type="cellIs" dxfId="7445" priority="36599" operator="equal">
      <formula>"AMA"</formula>
    </cfRule>
    <cfRule type="cellIs" dxfId="7444" priority="36600" operator="equal">
      <formula>"SIN DATOS"</formula>
    </cfRule>
    <cfRule type="cellIs" dxfId="7443" priority="36601" operator="equal">
      <formula>"SIN DATOS"</formula>
    </cfRule>
    <cfRule type="cellIs" dxfId="7442" priority="36602" operator="equal">
      <formula>"NO EJECTUTADO"</formula>
    </cfRule>
    <cfRule type="cellIs" dxfId="7441" priority="36603" operator="equal">
      <formula>"FE"</formula>
    </cfRule>
    <cfRule type="cellIs" dxfId="7440" priority="36604" operator="equal">
      <formula>"FE"</formula>
    </cfRule>
  </conditionalFormatting>
  <conditionalFormatting sqref="A464">
    <cfRule type="cellIs" dxfId="7439" priority="36593" operator="equal">
      <formula>"Retirado"</formula>
    </cfRule>
    <cfRule type="cellIs" dxfId="7438" priority="36594" operator="equal">
      <formula>"FSE"</formula>
    </cfRule>
  </conditionalFormatting>
  <conditionalFormatting sqref="H464">
    <cfRule type="duplicateValues" dxfId="7437" priority="36592"/>
  </conditionalFormatting>
  <conditionalFormatting sqref="F464">
    <cfRule type="cellIs" dxfId="7436" priority="36570" operator="equal">
      <formula>"APLAZADO"</formula>
    </cfRule>
    <cfRule type="cellIs" dxfId="7435" priority="36571" operator="equal">
      <formula>"CANCELADO"</formula>
    </cfRule>
    <cfRule type="cellIs" dxfId="7434" priority="36572" operator="equal">
      <formula>"NO EJECUTADO"</formula>
    </cfRule>
    <cfRule type="cellIs" dxfId="7433" priority="36573" operator="equal">
      <formula>"FPE"</formula>
    </cfRule>
    <cfRule type="cellIs" dxfId="7432" priority="36574" operator="equal">
      <formula>"AMA"</formula>
    </cfRule>
    <cfRule type="cellIs" dxfId="7431" priority="36575" operator="equal">
      <formula>"SIN DATOS"</formula>
    </cfRule>
    <cfRule type="cellIs" dxfId="7430" priority="36576" operator="equal">
      <formula>"SIN DATOS"</formula>
    </cfRule>
    <cfRule type="cellIs" dxfId="7429" priority="36577" operator="equal">
      <formula>"NO EJECTUTADO"</formula>
    </cfRule>
    <cfRule type="cellIs" dxfId="7428" priority="36578" operator="equal">
      <formula>"FE"</formula>
    </cfRule>
    <cfRule type="cellIs" dxfId="7427" priority="36579" operator="equal">
      <formula>"FE"</formula>
    </cfRule>
  </conditionalFormatting>
  <conditionalFormatting sqref="F464">
    <cfRule type="cellIs" dxfId="7426" priority="36568" operator="equal">
      <formula>"Retirado"</formula>
    </cfRule>
    <cfRule type="cellIs" dxfId="7425" priority="36569" operator="equal">
      <formula>"FSE"</formula>
    </cfRule>
  </conditionalFormatting>
  <conditionalFormatting sqref="A465">
    <cfRule type="cellIs" dxfId="7424" priority="36548" operator="equal">
      <formula>"APLAZADO"</formula>
    </cfRule>
    <cfRule type="cellIs" dxfId="7423" priority="36549" operator="equal">
      <formula>"CANCELADO"</formula>
    </cfRule>
    <cfRule type="cellIs" dxfId="7422" priority="36550" operator="equal">
      <formula>"NO EJECUTADO"</formula>
    </cfRule>
    <cfRule type="cellIs" dxfId="7421" priority="36551" operator="equal">
      <formula>"FPE"</formula>
    </cfRule>
    <cfRule type="cellIs" dxfId="7420" priority="36552" operator="equal">
      <formula>"AMA"</formula>
    </cfRule>
    <cfRule type="cellIs" dxfId="7419" priority="36553" operator="equal">
      <formula>"SIN DATOS"</formula>
    </cfRule>
    <cfRule type="cellIs" dxfId="7418" priority="36554" operator="equal">
      <formula>"SIN DATOS"</formula>
    </cfRule>
    <cfRule type="cellIs" dxfId="7417" priority="36555" operator="equal">
      <formula>"NO EJECTUTADO"</formula>
    </cfRule>
    <cfRule type="cellIs" dxfId="7416" priority="36556" operator="equal">
      <formula>"FE"</formula>
    </cfRule>
    <cfRule type="cellIs" dxfId="7415" priority="36557" operator="equal">
      <formula>"FE"</formula>
    </cfRule>
  </conditionalFormatting>
  <conditionalFormatting sqref="A465">
    <cfRule type="cellIs" dxfId="7414" priority="36546" operator="equal">
      <formula>"Retirado"</formula>
    </cfRule>
    <cfRule type="cellIs" dxfId="7413" priority="36547" operator="equal">
      <formula>"FSE"</formula>
    </cfRule>
  </conditionalFormatting>
  <conditionalFormatting sqref="H465">
    <cfRule type="duplicateValues" dxfId="7412" priority="36545"/>
  </conditionalFormatting>
  <conditionalFormatting sqref="F465">
    <cfRule type="cellIs" dxfId="7411" priority="36523" operator="equal">
      <formula>"APLAZADO"</formula>
    </cfRule>
    <cfRule type="cellIs" dxfId="7410" priority="36524" operator="equal">
      <formula>"CANCELADO"</formula>
    </cfRule>
    <cfRule type="cellIs" dxfId="7409" priority="36525" operator="equal">
      <formula>"NO EJECUTADO"</formula>
    </cfRule>
    <cfRule type="cellIs" dxfId="7408" priority="36526" operator="equal">
      <formula>"FPE"</formula>
    </cfRule>
    <cfRule type="cellIs" dxfId="7407" priority="36527" operator="equal">
      <formula>"AMA"</formula>
    </cfRule>
    <cfRule type="cellIs" dxfId="7406" priority="36528" operator="equal">
      <formula>"SIN DATOS"</formula>
    </cfRule>
    <cfRule type="cellIs" dxfId="7405" priority="36529" operator="equal">
      <formula>"SIN DATOS"</formula>
    </cfRule>
    <cfRule type="cellIs" dxfId="7404" priority="36530" operator="equal">
      <formula>"NO EJECTUTADO"</formula>
    </cfRule>
    <cfRule type="cellIs" dxfId="7403" priority="36531" operator="equal">
      <formula>"FE"</formula>
    </cfRule>
    <cfRule type="cellIs" dxfId="7402" priority="36532" operator="equal">
      <formula>"FE"</formula>
    </cfRule>
  </conditionalFormatting>
  <conditionalFormatting sqref="F465">
    <cfRule type="cellIs" dxfId="7401" priority="36521" operator="equal">
      <formula>"Retirado"</formula>
    </cfRule>
    <cfRule type="cellIs" dxfId="7400" priority="36522" operator="equal">
      <formula>"FSE"</formula>
    </cfRule>
  </conditionalFormatting>
  <conditionalFormatting sqref="A466">
    <cfRule type="cellIs" dxfId="7399" priority="36501" operator="equal">
      <formula>"APLAZADO"</formula>
    </cfRule>
    <cfRule type="cellIs" dxfId="7398" priority="36502" operator="equal">
      <formula>"CANCELADO"</formula>
    </cfRule>
    <cfRule type="cellIs" dxfId="7397" priority="36503" operator="equal">
      <formula>"NO EJECUTADO"</formula>
    </cfRule>
    <cfRule type="cellIs" dxfId="7396" priority="36504" operator="equal">
      <formula>"FPE"</formula>
    </cfRule>
    <cfRule type="cellIs" dxfId="7395" priority="36505" operator="equal">
      <formula>"AMA"</formula>
    </cfRule>
    <cfRule type="cellIs" dxfId="7394" priority="36506" operator="equal">
      <formula>"SIN DATOS"</formula>
    </cfRule>
    <cfRule type="cellIs" dxfId="7393" priority="36507" operator="equal">
      <formula>"SIN DATOS"</formula>
    </cfRule>
    <cfRule type="cellIs" dxfId="7392" priority="36508" operator="equal">
      <formula>"NO EJECTUTADO"</formula>
    </cfRule>
    <cfRule type="cellIs" dxfId="7391" priority="36509" operator="equal">
      <formula>"FE"</formula>
    </cfRule>
    <cfRule type="cellIs" dxfId="7390" priority="36510" operator="equal">
      <formula>"FE"</formula>
    </cfRule>
  </conditionalFormatting>
  <conditionalFormatting sqref="A466">
    <cfRule type="cellIs" dxfId="7389" priority="36499" operator="equal">
      <formula>"Retirado"</formula>
    </cfRule>
    <cfRule type="cellIs" dxfId="7388" priority="36500" operator="equal">
      <formula>"FSE"</formula>
    </cfRule>
  </conditionalFormatting>
  <conditionalFormatting sqref="H466">
    <cfRule type="duplicateValues" dxfId="7387" priority="36498"/>
  </conditionalFormatting>
  <conditionalFormatting sqref="F466">
    <cfRule type="cellIs" dxfId="7386" priority="36476" operator="equal">
      <formula>"APLAZADO"</formula>
    </cfRule>
    <cfRule type="cellIs" dxfId="7385" priority="36477" operator="equal">
      <formula>"CANCELADO"</formula>
    </cfRule>
    <cfRule type="cellIs" dxfId="7384" priority="36478" operator="equal">
      <formula>"NO EJECUTADO"</formula>
    </cfRule>
    <cfRule type="cellIs" dxfId="7383" priority="36479" operator="equal">
      <formula>"FPE"</formula>
    </cfRule>
    <cfRule type="cellIs" dxfId="7382" priority="36480" operator="equal">
      <formula>"AMA"</formula>
    </cfRule>
    <cfRule type="cellIs" dxfId="7381" priority="36481" operator="equal">
      <formula>"SIN DATOS"</formula>
    </cfRule>
    <cfRule type="cellIs" dxfId="7380" priority="36482" operator="equal">
      <formula>"SIN DATOS"</formula>
    </cfRule>
    <cfRule type="cellIs" dxfId="7379" priority="36483" operator="equal">
      <formula>"NO EJECTUTADO"</formula>
    </cfRule>
    <cfRule type="cellIs" dxfId="7378" priority="36484" operator="equal">
      <formula>"FE"</formula>
    </cfRule>
    <cfRule type="cellIs" dxfId="7377" priority="36485" operator="equal">
      <formula>"FE"</formula>
    </cfRule>
  </conditionalFormatting>
  <conditionalFormatting sqref="F466">
    <cfRule type="cellIs" dxfId="7376" priority="36474" operator="equal">
      <formula>"Retirado"</formula>
    </cfRule>
    <cfRule type="cellIs" dxfId="7375" priority="36475" operator="equal">
      <formula>"FSE"</formula>
    </cfRule>
  </conditionalFormatting>
  <conditionalFormatting sqref="A467:A468">
    <cfRule type="cellIs" dxfId="7374" priority="36454" operator="equal">
      <formula>"APLAZADO"</formula>
    </cfRule>
    <cfRule type="cellIs" dxfId="7373" priority="36455" operator="equal">
      <formula>"CANCELADO"</formula>
    </cfRule>
    <cfRule type="cellIs" dxfId="7372" priority="36456" operator="equal">
      <formula>"NO EJECUTADO"</formula>
    </cfRule>
    <cfRule type="cellIs" dxfId="7371" priority="36457" operator="equal">
      <formula>"FPE"</formula>
    </cfRule>
    <cfRule type="cellIs" dxfId="7370" priority="36458" operator="equal">
      <formula>"AMA"</formula>
    </cfRule>
    <cfRule type="cellIs" dxfId="7369" priority="36459" operator="equal">
      <formula>"SIN DATOS"</formula>
    </cfRule>
    <cfRule type="cellIs" dxfId="7368" priority="36460" operator="equal">
      <formula>"SIN DATOS"</formula>
    </cfRule>
    <cfRule type="cellIs" dxfId="7367" priority="36461" operator="equal">
      <formula>"NO EJECTUTADO"</formula>
    </cfRule>
    <cfRule type="cellIs" dxfId="7366" priority="36462" operator="equal">
      <formula>"FE"</formula>
    </cfRule>
    <cfRule type="cellIs" dxfId="7365" priority="36463" operator="equal">
      <formula>"FE"</formula>
    </cfRule>
  </conditionalFormatting>
  <conditionalFormatting sqref="A467:A468">
    <cfRule type="cellIs" dxfId="7364" priority="36452" operator="equal">
      <formula>"Retirado"</formula>
    </cfRule>
    <cfRule type="cellIs" dxfId="7363" priority="36453" operator="equal">
      <formula>"FSE"</formula>
    </cfRule>
  </conditionalFormatting>
  <conditionalFormatting sqref="H467:H468">
    <cfRule type="duplicateValues" dxfId="7362" priority="36451"/>
  </conditionalFormatting>
  <conditionalFormatting sqref="F467">
    <cfRule type="cellIs" dxfId="7361" priority="36429" operator="equal">
      <formula>"APLAZADO"</formula>
    </cfRule>
    <cfRule type="cellIs" dxfId="7360" priority="36430" operator="equal">
      <formula>"CANCELADO"</formula>
    </cfRule>
    <cfRule type="cellIs" dxfId="7359" priority="36431" operator="equal">
      <formula>"NO EJECUTADO"</formula>
    </cfRule>
    <cfRule type="cellIs" dxfId="7358" priority="36432" operator="equal">
      <formula>"FPE"</formula>
    </cfRule>
    <cfRule type="cellIs" dxfId="7357" priority="36433" operator="equal">
      <formula>"AMA"</formula>
    </cfRule>
    <cfRule type="cellIs" dxfId="7356" priority="36434" operator="equal">
      <formula>"SIN DATOS"</formula>
    </cfRule>
    <cfRule type="cellIs" dxfId="7355" priority="36435" operator="equal">
      <formula>"SIN DATOS"</formula>
    </cfRule>
    <cfRule type="cellIs" dxfId="7354" priority="36436" operator="equal">
      <formula>"NO EJECTUTADO"</formula>
    </cfRule>
    <cfRule type="cellIs" dxfId="7353" priority="36437" operator="equal">
      <formula>"FE"</formula>
    </cfRule>
    <cfRule type="cellIs" dxfId="7352" priority="36438" operator="equal">
      <formula>"FE"</formula>
    </cfRule>
  </conditionalFormatting>
  <conditionalFormatting sqref="F467">
    <cfRule type="cellIs" dxfId="7351" priority="36427" operator="equal">
      <formula>"Retirado"</formula>
    </cfRule>
    <cfRule type="cellIs" dxfId="7350" priority="36428" operator="equal">
      <formula>"FSE"</formula>
    </cfRule>
  </conditionalFormatting>
  <conditionalFormatting sqref="F468">
    <cfRule type="cellIs" dxfId="7349" priority="36417" operator="equal">
      <formula>"APLAZADO"</formula>
    </cfRule>
    <cfRule type="cellIs" dxfId="7348" priority="36418" operator="equal">
      <formula>"CANCELADO"</formula>
    </cfRule>
    <cfRule type="cellIs" dxfId="7347" priority="36419" operator="equal">
      <formula>"NO EJECUTADO"</formula>
    </cfRule>
    <cfRule type="cellIs" dxfId="7346" priority="36420" operator="equal">
      <formula>"FPE"</formula>
    </cfRule>
    <cfRule type="cellIs" dxfId="7345" priority="36421" operator="equal">
      <formula>"AMA"</formula>
    </cfRule>
    <cfRule type="cellIs" dxfId="7344" priority="36422" operator="equal">
      <formula>"SIN DATOS"</formula>
    </cfRule>
    <cfRule type="cellIs" dxfId="7343" priority="36423" operator="equal">
      <formula>"SIN DATOS"</formula>
    </cfRule>
    <cfRule type="cellIs" dxfId="7342" priority="36424" operator="equal">
      <formula>"NO EJECTUTADO"</formula>
    </cfRule>
    <cfRule type="cellIs" dxfId="7341" priority="36425" operator="equal">
      <formula>"FE"</formula>
    </cfRule>
    <cfRule type="cellIs" dxfId="7340" priority="36426" operator="equal">
      <formula>"FE"</formula>
    </cfRule>
  </conditionalFormatting>
  <conditionalFormatting sqref="F468">
    <cfRule type="cellIs" dxfId="7339" priority="36415" operator="equal">
      <formula>"Retirado"</formula>
    </cfRule>
    <cfRule type="cellIs" dxfId="7338" priority="36416" operator="equal">
      <formula>"FSE"</formula>
    </cfRule>
  </conditionalFormatting>
  <conditionalFormatting sqref="A469">
    <cfRule type="cellIs" dxfId="7337" priority="36395" operator="equal">
      <formula>"APLAZADO"</formula>
    </cfRule>
    <cfRule type="cellIs" dxfId="7336" priority="36396" operator="equal">
      <formula>"CANCELADO"</formula>
    </cfRule>
    <cfRule type="cellIs" dxfId="7335" priority="36397" operator="equal">
      <formula>"NO EJECUTADO"</formula>
    </cfRule>
    <cfRule type="cellIs" dxfId="7334" priority="36398" operator="equal">
      <formula>"FPE"</formula>
    </cfRule>
    <cfRule type="cellIs" dxfId="7333" priority="36399" operator="equal">
      <formula>"AMA"</formula>
    </cfRule>
    <cfRule type="cellIs" dxfId="7332" priority="36400" operator="equal">
      <formula>"SIN DATOS"</formula>
    </cfRule>
    <cfRule type="cellIs" dxfId="7331" priority="36401" operator="equal">
      <formula>"SIN DATOS"</formula>
    </cfRule>
    <cfRule type="cellIs" dxfId="7330" priority="36402" operator="equal">
      <formula>"NO EJECTUTADO"</formula>
    </cfRule>
    <cfRule type="cellIs" dxfId="7329" priority="36403" operator="equal">
      <formula>"FE"</formula>
    </cfRule>
    <cfRule type="cellIs" dxfId="7328" priority="36404" operator="equal">
      <formula>"FE"</formula>
    </cfRule>
  </conditionalFormatting>
  <conditionalFormatting sqref="A469">
    <cfRule type="cellIs" dxfId="7327" priority="36393" operator="equal">
      <formula>"Retirado"</formula>
    </cfRule>
    <cfRule type="cellIs" dxfId="7326" priority="36394" operator="equal">
      <formula>"FSE"</formula>
    </cfRule>
  </conditionalFormatting>
  <conditionalFormatting sqref="H469">
    <cfRule type="duplicateValues" dxfId="7325" priority="36392"/>
  </conditionalFormatting>
  <conditionalFormatting sqref="F469">
    <cfRule type="cellIs" dxfId="7324" priority="36370" operator="equal">
      <formula>"APLAZADO"</formula>
    </cfRule>
    <cfRule type="cellIs" dxfId="7323" priority="36371" operator="equal">
      <formula>"CANCELADO"</formula>
    </cfRule>
    <cfRule type="cellIs" dxfId="7322" priority="36372" operator="equal">
      <formula>"NO EJECUTADO"</formula>
    </cfRule>
    <cfRule type="cellIs" dxfId="7321" priority="36373" operator="equal">
      <formula>"FPE"</formula>
    </cfRule>
    <cfRule type="cellIs" dxfId="7320" priority="36374" operator="equal">
      <formula>"AMA"</formula>
    </cfRule>
    <cfRule type="cellIs" dxfId="7319" priority="36375" operator="equal">
      <formula>"SIN DATOS"</formula>
    </cfRule>
    <cfRule type="cellIs" dxfId="7318" priority="36376" operator="equal">
      <formula>"SIN DATOS"</formula>
    </cfRule>
    <cfRule type="cellIs" dxfId="7317" priority="36377" operator="equal">
      <formula>"NO EJECTUTADO"</formula>
    </cfRule>
    <cfRule type="cellIs" dxfId="7316" priority="36378" operator="equal">
      <formula>"FE"</formula>
    </cfRule>
    <cfRule type="cellIs" dxfId="7315" priority="36379" operator="equal">
      <formula>"FE"</formula>
    </cfRule>
  </conditionalFormatting>
  <conditionalFormatting sqref="F469">
    <cfRule type="cellIs" dxfId="7314" priority="36368" operator="equal">
      <formula>"Retirado"</formula>
    </cfRule>
    <cfRule type="cellIs" dxfId="7313" priority="36369" operator="equal">
      <formula>"FSE"</formula>
    </cfRule>
  </conditionalFormatting>
  <conditionalFormatting sqref="A470">
    <cfRule type="cellIs" dxfId="7312" priority="36348" operator="equal">
      <formula>"APLAZADO"</formula>
    </cfRule>
    <cfRule type="cellIs" dxfId="7311" priority="36349" operator="equal">
      <formula>"CANCELADO"</formula>
    </cfRule>
    <cfRule type="cellIs" dxfId="7310" priority="36350" operator="equal">
      <formula>"NO EJECUTADO"</formula>
    </cfRule>
    <cfRule type="cellIs" dxfId="7309" priority="36351" operator="equal">
      <formula>"FPE"</formula>
    </cfRule>
    <cfRule type="cellIs" dxfId="7308" priority="36352" operator="equal">
      <formula>"AMA"</formula>
    </cfRule>
    <cfRule type="cellIs" dxfId="7307" priority="36353" operator="equal">
      <formula>"SIN DATOS"</formula>
    </cfRule>
    <cfRule type="cellIs" dxfId="7306" priority="36354" operator="equal">
      <formula>"SIN DATOS"</formula>
    </cfRule>
    <cfRule type="cellIs" dxfId="7305" priority="36355" operator="equal">
      <formula>"NO EJECTUTADO"</formula>
    </cfRule>
    <cfRule type="cellIs" dxfId="7304" priority="36356" operator="equal">
      <formula>"FE"</formula>
    </cfRule>
    <cfRule type="cellIs" dxfId="7303" priority="36357" operator="equal">
      <formula>"FE"</formula>
    </cfRule>
  </conditionalFormatting>
  <conditionalFormatting sqref="A470">
    <cfRule type="cellIs" dxfId="7302" priority="36346" operator="equal">
      <formula>"Retirado"</formula>
    </cfRule>
    <cfRule type="cellIs" dxfId="7301" priority="36347" operator="equal">
      <formula>"FSE"</formula>
    </cfRule>
  </conditionalFormatting>
  <conditionalFormatting sqref="H470">
    <cfRule type="duplicateValues" dxfId="7300" priority="36345"/>
  </conditionalFormatting>
  <conditionalFormatting sqref="F470">
    <cfRule type="cellIs" dxfId="7299" priority="36323" operator="equal">
      <formula>"APLAZADO"</formula>
    </cfRule>
    <cfRule type="cellIs" dxfId="7298" priority="36324" operator="equal">
      <formula>"CANCELADO"</formula>
    </cfRule>
    <cfRule type="cellIs" dxfId="7297" priority="36325" operator="equal">
      <formula>"NO EJECUTADO"</formula>
    </cfRule>
    <cfRule type="cellIs" dxfId="7296" priority="36326" operator="equal">
      <formula>"FPE"</formula>
    </cfRule>
    <cfRule type="cellIs" dxfId="7295" priority="36327" operator="equal">
      <formula>"AMA"</formula>
    </cfRule>
    <cfRule type="cellIs" dxfId="7294" priority="36328" operator="equal">
      <formula>"SIN DATOS"</formula>
    </cfRule>
    <cfRule type="cellIs" dxfId="7293" priority="36329" operator="equal">
      <formula>"SIN DATOS"</formula>
    </cfRule>
    <cfRule type="cellIs" dxfId="7292" priority="36330" operator="equal">
      <formula>"NO EJECTUTADO"</formula>
    </cfRule>
    <cfRule type="cellIs" dxfId="7291" priority="36331" operator="equal">
      <formula>"FE"</formula>
    </cfRule>
    <cfRule type="cellIs" dxfId="7290" priority="36332" operator="equal">
      <formula>"FE"</formula>
    </cfRule>
  </conditionalFormatting>
  <conditionalFormatting sqref="F470">
    <cfRule type="cellIs" dxfId="7289" priority="36321" operator="equal">
      <formula>"Retirado"</formula>
    </cfRule>
    <cfRule type="cellIs" dxfId="7288" priority="36322" operator="equal">
      <formula>"FSE"</formula>
    </cfRule>
  </conditionalFormatting>
  <conditionalFormatting sqref="A471">
    <cfRule type="cellIs" dxfId="7287" priority="36301" operator="equal">
      <formula>"APLAZADO"</formula>
    </cfRule>
    <cfRule type="cellIs" dxfId="7286" priority="36302" operator="equal">
      <formula>"CANCELADO"</formula>
    </cfRule>
    <cfRule type="cellIs" dxfId="7285" priority="36303" operator="equal">
      <formula>"NO EJECUTADO"</formula>
    </cfRule>
    <cfRule type="cellIs" dxfId="7284" priority="36304" operator="equal">
      <formula>"FPE"</formula>
    </cfRule>
    <cfRule type="cellIs" dxfId="7283" priority="36305" operator="equal">
      <formula>"AMA"</formula>
    </cfRule>
    <cfRule type="cellIs" dxfId="7282" priority="36306" operator="equal">
      <formula>"SIN DATOS"</formula>
    </cfRule>
    <cfRule type="cellIs" dxfId="7281" priority="36307" operator="equal">
      <formula>"SIN DATOS"</formula>
    </cfRule>
    <cfRule type="cellIs" dxfId="7280" priority="36308" operator="equal">
      <formula>"NO EJECTUTADO"</formula>
    </cfRule>
    <cfRule type="cellIs" dxfId="7279" priority="36309" operator="equal">
      <formula>"FE"</formula>
    </cfRule>
    <cfRule type="cellIs" dxfId="7278" priority="36310" operator="equal">
      <formula>"FE"</formula>
    </cfRule>
  </conditionalFormatting>
  <conditionalFormatting sqref="A471">
    <cfRule type="cellIs" dxfId="7277" priority="36299" operator="equal">
      <formula>"Retirado"</formula>
    </cfRule>
    <cfRule type="cellIs" dxfId="7276" priority="36300" operator="equal">
      <formula>"FSE"</formula>
    </cfRule>
  </conditionalFormatting>
  <conditionalFormatting sqref="H471">
    <cfRule type="duplicateValues" dxfId="7275" priority="36298"/>
  </conditionalFormatting>
  <conditionalFormatting sqref="F471">
    <cfRule type="cellIs" dxfId="7274" priority="36288" operator="equal">
      <formula>"APLAZADO"</formula>
    </cfRule>
    <cfRule type="cellIs" dxfId="7273" priority="36289" operator="equal">
      <formula>"CANCELADO"</formula>
    </cfRule>
    <cfRule type="cellIs" dxfId="7272" priority="36290" operator="equal">
      <formula>"NO EJECUTADO"</formula>
    </cfRule>
    <cfRule type="cellIs" dxfId="7271" priority="36291" operator="equal">
      <formula>"FPE"</formula>
    </cfRule>
    <cfRule type="cellIs" dxfId="7270" priority="36292" operator="equal">
      <formula>"AMA"</formula>
    </cfRule>
    <cfRule type="cellIs" dxfId="7269" priority="36293" operator="equal">
      <formula>"SIN DATOS"</formula>
    </cfRule>
    <cfRule type="cellIs" dxfId="7268" priority="36294" operator="equal">
      <formula>"SIN DATOS"</formula>
    </cfRule>
    <cfRule type="cellIs" dxfId="7267" priority="36295" operator="equal">
      <formula>"NO EJECTUTADO"</formula>
    </cfRule>
    <cfRule type="cellIs" dxfId="7266" priority="36296" operator="equal">
      <formula>"FE"</formula>
    </cfRule>
    <cfRule type="cellIs" dxfId="7265" priority="36297" operator="equal">
      <formula>"FE"</formula>
    </cfRule>
  </conditionalFormatting>
  <conditionalFormatting sqref="F471">
    <cfRule type="cellIs" dxfId="7264" priority="36286" operator="equal">
      <formula>"Retirado"</formula>
    </cfRule>
    <cfRule type="cellIs" dxfId="7263" priority="36287" operator="equal">
      <formula>"FSE"</formula>
    </cfRule>
  </conditionalFormatting>
  <conditionalFormatting sqref="A472">
    <cfRule type="cellIs" dxfId="7262" priority="36266" operator="equal">
      <formula>"APLAZADO"</formula>
    </cfRule>
    <cfRule type="cellIs" dxfId="7261" priority="36267" operator="equal">
      <formula>"CANCELADO"</formula>
    </cfRule>
    <cfRule type="cellIs" dxfId="7260" priority="36268" operator="equal">
      <formula>"NO EJECUTADO"</formula>
    </cfRule>
    <cfRule type="cellIs" dxfId="7259" priority="36269" operator="equal">
      <formula>"FPE"</formula>
    </cfRule>
    <cfRule type="cellIs" dxfId="7258" priority="36270" operator="equal">
      <formula>"AMA"</formula>
    </cfRule>
    <cfRule type="cellIs" dxfId="7257" priority="36271" operator="equal">
      <formula>"SIN DATOS"</formula>
    </cfRule>
    <cfRule type="cellIs" dxfId="7256" priority="36272" operator="equal">
      <formula>"SIN DATOS"</formula>
    </cfRule>
    <cfRule type="cellIs" dxfId="7255" priority="36273" operator="equal">
      <formula>"NO EJECTUTADO"</formula>
    </cfRule>
    <cfRule type="cellIs" dxfId="7254" priority="36274" operator="equal">
      <formula>"FE"</formula>
    </cfRule>
    <cfRule type="cellIs" dxfId="7253" priority="36275" operator="equal">
      <formula>"FE"</formula>
    </cfRule>
  </conditionalFormatting>
  <conditionalFormatting sqref="A472">
    <cfRule type="cellIs" dxfId="7252" priority="36264" operator="equal">
      <formula>"Retirado"</formula>
    </cfRule>
    <cfRule type="cellIs" dxfId="7251" priority="36265" operator="equal">
      <formula>"FSE"</formula>
    </cfRule>
  </conditionalFormatting>
  <conditionalFormatting sqref="H472">
    <cfRule type="duplicateValues" dxfId="7250" priority="36263"/>
  </conditionalFormatting>
  <conditionalFormatting sqref="F472">
    <cfRule type="cellIs" dxfId="7249" priority="36241" operator="equal">
      <formula>"APLAZADO"</formula>
    </cfRule>
    <cfRule type="cellIs" dxfId="7248" priority="36242" operator="equal">
      <formula>"CANCELADO"</formula>
    </cfRule>
    <cfRule type="cellIs" dxfId="7247" priority="36243" operator="equal">
      <formula>"NO EJECUTADO"</formula>
    </cfRule>
    <cfRule type="cellIs" dxfId="7246" priority="36244" operator="equal">
      <formula>"FPE"</formula>
    </cfRule>
    <cfRule type="cellIs" dxfId="7245" priority="36245" operator="equal">
      <formula>"AMA"</formula>
    </cfRule>
    <cfRule type="cellIs" dxfId="7244" priority="36246" operator="equal">
      <formula>"SIN DATOS"</formula>
    </cfRule>
    <cfRule type="cellIs" dxfId="7243" priority="36247" operator="equal">
      <formula>"SIN DATOS"</formula>
    </cfRule>
    <cfRule type="cellIs" dxfId="7242" priority="36248" operator="equal">
      <formula>"NO EJECTUTADO"</formula>
    </cfRule>
    <cfRule type="cellIs" dxfId="7241" priority="36249" operator="equal">
      <formula>"FE"</formula>
    </cfRule>
    <cfRule type="cellIs" dxfId="7240" priority="36250" operator="equal">
      <formula>"FE"</formula>
    </cfRule>
  </conditionalFormatting>
  <conditionalFormatting sqref="F472">
    <cfRule type="cellIs" dxfId="7239" priority="36239" operator="equal">
      <formula>"Retirado"</formula>
    </cfRule>
    <cfRule type="cellIs" dxfId="7238" priority="36240" operator="equal">
      <formula>"FSE"</formula>
    </cfRule>
  </conditionalFormatting>
  <conditionalFormatting sqref="A473">
    <cfRule type="cellIs" dxfId="7237" priority="36219" operator="equal">
      <formula>"APLAZADO"</formula>
    </cfRule>
    <cfRule type="cellIs" dxfId="7236" priority="36220" operator="equal">
      <formula>"CANCELADO"</formula>
    </cfRule>
    <cfRule type="cellIs" dxfId="7235" priority="36221" operator="equal">
      <formula>"NO EJECUTADO"</formula>
    </cfRule>
    <cfRule type="cellIs" dxfId="7234" priority="36222" operator="equal">
      <formula>"FPE"</formula>
    </cfRule>
    <cfRule type="cellIs" dxfId="7233" priority="36223" operator="equal">
      <formula>"AMA"</formula>
    </cfRule>
    <cfRule type="cellIs" dxfId="7232" priority="36224" operator="equal">
      <formula>"SIN DATOS"</formula>
    </cfRule>
    <cfRule type="cellIs" dxfId="7231" priority="36225" operator="equal">
      <formula>"SIN DATOS"</formula>
    </cfRule>
    <cfRule type="cellIs" dxfId="7230" priority="36226" operator="equal">
      <formula>"NO EJECTUTADO"</formula>
    </cfRule>
    <cfRule type="cellIs" dxfId="7229" priority="36227" operator="equal">
      <formula>"FE"</formula>
    </cfRule>
    <cfRule type="cellIs" dxfId="7228" priority="36228" operator="equal">
      <formula>"FE"</formula>
    </cfRule>
  </conditionalFormatting>
  <conditionalFormatting sqref="A473">
    <cfRule type="cellIs" dxfId="7227" priority="36217" operator="equal">
      <formula>"Retirado"</formula>
    </cfRule>
    <cfRule type="cellIs" dxfId="7226" priority="36218" operator="equal">
      <formula>"FSE"</formula>
    </cfRule>
  </conditionalFormatting>
  <conditionalFormatting sqref="H473">
    <cfRule type="duplicateValues" dxfId="7225" priority="36216"/>
  </conditionalFormatting>
  <conditionalFormatting sqref="F473">
    <cfRule type="cellIs" dxfId="7224" priority="36194" operator="equal">
      <formula>"APLAZADO"</formula>
    </cfRule>
    <cfRule type="cellIs" dxfId="7223" priority="36195" operator="equal">
      <formula>"CANCELADO"</formula>
    </cfRule>
    <cfRule type="cellIs" dxfId="7222" priority="36196" operator="equal">
      <formula>"NO EJECUTADO"</formula>
    </cfRule>
    <cfRule type="cellIs" dxfId="7221" priority="36197" operator="equal">
      <formula>"FPE"</formula>
    </cfRule>
    <cfRule type="cellIs" dxfId="7220" priority="36198" operator="equal">
      <formula>"AMA"</formula>
    </cfRule>
    <cfRule type="cellIs" dxfId="7219" priority="36199" operator="equal">
      <formula>"SIN DATOS"</formula>
    </cfRule>
    <cfRule type="cellIs" dxfId="7218" priority="36200" operator="equal">
      <formula>"SIN DATOS"</formula>
    </cfRule>
    <cfRule type="cellIs" dxfId="7217" priority="36201" operator="equal">
      <formula>"NO EJECTUTADO"</formula>
    </cfRule>
    <cfRule type="cellIs" dxfId="7216" priority="36202" operator="equal">
      <formula>"FE"</formula>
    </cfRule>
    <cfRule type="cellIs" dxfId="7215" priority="36203" operator="equal">
      <formula>"FE"</formula>
    </cfRule>
  </conditionalFormatting>
  <conditionalFormatting sqref="F473">
    <cfRule type="cellIs" dxfId="7214" priority="36192" operator="equal">
      <formula>"Retirado"</formula>
    </cfRule>
    <cfRule type="cellIs" dxfId="7213" priority="36193" operator="equal">
      <formula>"FSE"</formula>
    </cfRule>
  </conditionalFormatting>
  <conditionalFormatting sqref="A474">
    <cfRule type="cellIs" dxfId="7212" priority="36167" operator="equal">
      <formula>"APLAZADO"</formula>
    </cfRule>
    <cfRule type="cellIs" dxfId="7211" priority="36168" operator="equal">
      <formula>"CANCELADO"</formula>
    </cfRule>
    <cfRule type="cellIs" dxfId="7210" priority="36169" operator="equal">
      <formula>"NO EJECUTADO"</formula>
    </cfRule>
    <cfRule type="cellIs" dxfId="7209" priority="36170" operator="equal">
      <formula>"FPE"</formula>
    </cfRule>
    <cfRule type="cellIs" dxfId="7208" priority="36171" operator="equal">
      <formula>"AMA"</formula>
    </cfRule>
    <cfRule type="cellIs" dxfId="7207" priority="36172" operator="equal">
      <formula>"SIN DATOS"</formula>
    </cfRule>
    <cfRule type="cellIs" dxfId="7206" priority="36173" operator="equal">
      <formula>"SIN DATOS"</formula>
    </cfRule>
    <cfRule type="cellIs" dxfId="7205" priority="36174" operator="equal">
      <formula>"NO EJECTUTADO"</formula>
    </cfRule>
    <cfRule type="cellIs" dxfId="7204" priority="36175" operator="equal">
      <formula>"FE"</formula>
    </cfRule>
    <cfRule type="cellIs" dxfId="7203" priority="36176" operator="equal">
      <formula>"FE"</formula>
    </cfRule>
  </conditionalFormatting>
  <conditionalFormatting sqref="A474">
    <cfRule type="cellIs" dxfId="7202" priority="36165" operator="equal">
      <formula>"Retirado"</formula>
    </cfRule>
    <cfRule type="cellIs" dxfId="7201" priority="36166" operator="equal">
      <formula>"FSE"</formula>
    </cfRule>
  </conditionalFormatting>
  <conditionalFormatting sqref="H474">
    <cfRule type="duplicateValues" dxfId="7200" priority="36164"/>
  </conditionalFormatting>
  <conditionalFormatting sqref="F474">
    <cfRule type="cellIs" dxfId="7199" priority="36142" operator="equal">
      <formula>"APLAZADO"</formula>
    </cfRule>
    <cfRule type="cellIs" dxfId="7198" priority="36143" operator="equal">
      <formula>"CANCELADO"</formula>
    </cfRule>
    <cfRule type="cellIs" dxfId="7197" priority="36144" operator="equal">
      <formula>"NO EJECUTADO"</formula>
    </cfRule>
    <cfRule type="cellIs" dxfId="7196" priority="36145" operator="equal">
      <formula>"FPE"</formula>
    </cfRule>
    <cfRule type="cellIs" dxfId="7195" priority="36146" operator="equal">
      <formula>"AMA"</formula>
    </cfRule>
    <cfRule type="cellIs" dxfId="7194" priority="36147" operator="equal">
      <formula>"SIN DATOS"</formula>
    </cfRule>
    <cfRule type="cellIs" dxfId="7193" priority="36148" operator="equal">
      <formula>"SIN DATOS"</formula>
    </cfRule>
    <cfRule type="cellIs" dxfId="7192" priority="36149" operator="equal">
      <formula>"NO EJECTUTADO"</formula>
    </cfRule>
    <cfRule type="cellIs" dxfId="7191" priority="36150" operator="equal">
      <formula>"FE"</formula>
    </cfRule>
    <cfRule type="cellIs" dxfId="7190" priority="36151" operator="equal">
      <formula>"FE"</formula>
    </cfRule>
  </conditionalFormatting>
  <conditionalFormatting sqref="F474">
    <cfRule type="cellIs" dxfId="7189" priority="36140" operator="equal">
      <formula>"Retirado"</formula>
    </cfRule>
    <cfRule type="cellIs" dxfId="7188" priority="36141" operator="equal">
      <formula>"FSE"</formula>
    </cfRule>
  </conditionalFormatting>
  <conditionalFormatting sqref="A475">
    <cfRule type="cellIs" dxfId="7187" priority="36120" operator="equal">
      <formula>"APLAZADO"</formula>
    </cfRule>
    <cfRule type="cellIs" dxfId="7186" priority="36121" operator="equal">
      <formula>"CANCELADO"</formula>
    </cfRule>
    <cfRule type="cellIs" dxfId="7185" priority="36122" operator="equal">
      <formula>"NO EJECUTADO"</formula>
    </cfRule>
    <cfRule type="cellIs" dxfId="7184" priority="36123" operator="equal">
      <formula>"FPE"</formula>
    </cfRule>
    <cfRule type="cellIs" dxfId="7183" priority="36124" operator="equal">
      <formula>"AMA"</formula>
    </cfRule>
    <cfRule type="cellIs" dxfId="7182" priority="36125" operator="equal">
      <formula>"SIN DATOS"</formula>
    </cfRule>
    <cfRule type="cellIs" dxfId="7181" priority="36126" operator="equal">
      <formula>"SIN DATOS"</formula>
    </cfRule>
    <cfRule type="cellIs" dxfId="7180" priority="36127" operator="equal">
      <formula>"NO EJECTUTADO"</formula>
    </cfRule>
    <cfRule type="cellIs" dxfId="7179" priority="36128" operator="equal">
      <formula>"FE"</formula>
    </cfRule>
    <cfRule type="cellIs" dxfId="7178" priority="36129" operator="equal">
      <formula>"FE"</formula>
    </cfRule>
  </conditionalFormatting>
  <conditionalFormatting sqref="A475">
    <cfRule type="cellIs" dxfId="7177" priority="36118" operator="equal">
      <formula>"Retirado"</formula>
    </cfRule>
    <cfRule type="cellIs" dxfId="7176" priority="36119" operator="equal">
      <formula>"FSE"</formula>
    </cfRule>
  </conditionalFormatting>
  <conditionalFormatting sqref="H475">
    <cfRule type="duplicateValues" dxfId="7175" priority="36117"/>
  </conditionalFormatting>
  <conditionalFormatting sqref="F475">
    <cfRule type="cellIs" dxfId="7174" priority="36095" operator="equal">
      <formula>"APLAZADO"</formula>
    </cfRule>
    <cfRule type="cellIs" dxfId="7173" priority="36096" operator="equal">
      <formula>"CANCELADO"</formula>
    </cfRule>
    <cfRule type="cellIs" dxfId="7172" priority="36097" operator="equal">
      <formula>"NO EJECUTADO"</formula>
    </cfRule>
    <cfRule type="cellIs" dxfId="7171" priority="36098" operator="equal">
      <formula>"FPE"</formula>
    </cfRule>
    <cfRule type="cellIs" dxfId="7170" priority="36099" operator="equal">
      <formula>"AMA"</formula>
    </cfRule>
    <cfRule type="cellIs" dxfId="7169" priority="36100" operator="equal">
      <formula>"SIN DATOS"</formula>
    </cfRule>
    <cfRule type="cellIs" dxfId="7168" priority="36101" operator="equal">
      <formula>"SIN DATOS"</formula>
    </cfRule>
    <cfRule type="cellIs" dxfId="7167" priority="36102" operator="equal">
      <formula>"NO EJECTUTADO"</formula>
    </cfRule>
    <cfRule type="cellIs" dxfId="7166" priority="36103" operator="equal">
      <formula>"FE"</formula>
    </cfRule>
    <cfRule type="cellIs" dxfId="7165" priority="36104" operator="equal">
      <formula>"FE"</formula>
    </cfRule>
  </conditionalFormatting>
  <conditionalFormatting sqref="F475">
    <cfRule type="cellIs" dxfId="7164" priority="36093" operator="equal">
      <formula>"Retirado"</formula>
    </cfRule>
    <cfRule type="cellIs" dxfId="7163" priority="36094" operator="equal">
      <formula>"FSE"</formula>
    </cfRule>
  </conditionalFormatting>
  <conditionalFormatting sqref="B434">
    <cfRule type="cellIs" dxfId="7162" priority="36082" operator="equal">
      <formula>"Sin éxito"</formula>
    </cfRule>
    <cfRule type="cellIs" dxfId="7161" priority="36083" operator="equal">
      <formula>"Éxito con problemas"</formula>
    </cfRule>
    <cfRule type="cellIs" dxfId="7160" priority="36084" operator="equal">
      <formula>"CANCELADO"</formula>
    </cfRule>
    <cfRule type="cellIs" dxfId="7159" priority="36085" operator="equal">
      <formula>"Aplicada marcha atrás"</formula>
    </cfRule>
    <cfRule type="cellIs" dxfId="7158" priority="36086" operator="equal">
      <formula>"CON ÉXITO"</formula>
    </cfRule>
  </conditionalFormatting>
  <conditionalFormatting sqref="B435">
    <cfRule type="cellIs" dxfId="7157" priority="36071" operator="equal">
      <formula>"Sin éxito"</formula>
    </cfRule>
    <cfRule type="cellIs" dxfId="7156" priority="36072" operator="equal">
      <formula>"Éxito con problemas"</formula>
    </cfRule>
    <cfRule type="cellIs" dxfId="7155" priority="36073" operator="equal">
      <formula>"CANCELADO"</formula>
    </cfRule>
    <cfRule type="cellIs" dxfId="7154" priority="36074" operator="equal">
      <formula>"Aplicada marcha atrás"</formula>
    </cfRule>
    <cfRule type="cellIs" dxfId="7153" priority="36075" operator="equal">
      <formula>"CON ÉXITO"</formula>
    </cfRule>
  </conditionalFormatting>
  <conditionalFormatting sqref="A476">
    <cfRule type="cellIs" dxfId="7152" priority="36051" operator="equal">
      <formula>"APLAZADO"</formula>
    </cfRule>
    <cfRule type="cellIs" dxfId="7151" priority="36052" operator="equal">
      <formula>"CANCELADO"</formula>
    </cfRule>
    <cfRule type="cellIs" dxfId="7150" priority="36053" operator="equal">
      <formula>"NO EJECUTADO"</formula>
    </cfRule>
    <cfRule type="cellIs" dxfId="7149" priority="36054" operator="equal">
      <formula>"FPE"</formula>
    </cfRule>
    <cfRule type="cellIs" dxfId="7148" priority="36055" operator="equal">
      <formula>"AMA"</formula>
    </cfRule>
    <cfRule type="cellIs" dxfId="7147" priority="36056" operator="equal">
      <formula>"SIN DATOS"</formula>
    </cfRule>
    <cfRule type="cellIs" dxfId="7146" priority="36057" operator="equal">
      <formula>"SIN DATOS"</formula>
    </cfRule>
    <cfRule type="cellIs" dxfId="7145" priority="36058" operator="equal">
      <formula>"NO EJECTUTADO"</formula>
    </cfRule>
    <cfRule type="cellIs" dxfId="7144" priority="36059" operator="equal">
      <formula>"FE"</formula>
    </cfRule>
    <cfRule type="cellIs" dxfId="7143" priority="36060" operator="equal">
      <formula>"FE"</formula>
    </cfRule>
  </conditionalFormatting>
  <conditionalFormatting sqref="A476">
    <cfRule type="cellIs" dxfId="7142" priority="36049" operator="equal">
      <formula>"Retirado"</formula>
    </cfRule>
    <cfRule type="cellIs" dxfId="7141" priority="36050" operator="equal">
      <formula>"FSE"</formula>
    </cfRule>
  </conditionalFormatting>
  <conditionalFormatting sqref="H476">
    <cfRule type="duplicateValues" dxfId="7140" priority="36048"/>
  </conditionalFormatting>
  <conditionalFormatting sqref="F476">
    <cfRule type="cellIs" dxfId="7139" priority="36026" operator="equal">
      <formula>"APLAZADO"</formula>
    </cfRule>
    <cfRule type="cellIs" dxfId="7138" priority="36027" operator="equal">
      <formula>"CANCELADO"</formula>
    </cfRule>
    <cfRule type="cellIs" dxfId="7137" priority="36028" operator="equal">
      <formula>"NO EJECUTADO"</formula>
    </cfRule>
    <cfRule type="cellIs" dxfId="7136" priority="36029" operator="equal">
      <formula>"FPE"</formula>
    </cfRule>
    <cfRule type="cellIs" dxfId="7135" priority="36030" operator="equal">
      <formula>"AMA"</formula>
    </cfRule>
    <cfRule type="cellIs" dxfId="7134" priority="36031" operator="equal">
      <formula>"SIN DATOS"</formula>
    </cfRule>
    <cfRule type="cellIs" dxfId="7133" priority="36032" operator="equal">
      <formula>"SIN DATOS"</formula>
    </cfRule>
    <cfRule type="cellIs" dxfId="7132" priority="36033" operator="equal">
      <formula>"NO EJECTUTADO"</formula>
    </cfRule>
    <cfRule type="cellIs" dxfId="7131" priority="36034" operator="equal">
      <formula>"FE"</formula>
    </cfRule>
    <cfRule type="cellIs" dxfId="7130" priority="36035" operator="equal">
      <formula>"FE"</formula>
    </cfRule>
  </conditionalFormatting>
  <conditionalFormatting sqref="F476">
    <cfRule type="cellIs" dxfId="7129" priority="36024" operator="equal">
      <formula>"Retirado"</formula>
    </cfRule>
    <cfRule type="cellIs" dxfId="7128" priority="36025" operator="equal">
      <formula>"FSE"</formula>
    </cfRule>
  </conditionalFormatting>
  <conditionalFormatting sqref="A477">
    <cfRule type="cellIs" dxfId="7127" priority="35994" operator="equal">
      <formula>"APLAZADO"</formula>
    </cfRule>
    <cfRule type="cellIs" dxfId="7126" priority="35995" operator="equal">
      <formula>"CANCELADO"</formula>
    </cfRule>
    <cfRule type="cellIs" dxfId="7125" priority="35996" operator="equal">
      <formula>"NO EJECUTADO"</formula>
    </cfRule>
    <cfRule type="cellIs" dxfId="7124" priority="35997" operator="equal">
      <formula>"FPE"</formula>
    </cfRule>
    <cfRule type="cellIs" dxfId="7123" priority="35998" operator="equal">
      <formula>"AMA"</formula>
    </cfRule>
    <cfRule type="cellIs" dxfId="7122" priority="35999" operator="equal">
      <formula>"SIN DATOS"</formula>
    </cfRule>
    <cfRule type="cellIs" dxfId="7121" priority="36000" operator="equal">
      <formula>"SIN DATOS"</formula>
    </cfRule>
    <cfRule type="cellIs" dxfId="7120" priority="36001" operator="equal">
      <formula>"NO EJECTUTADO"</formula>
    </cfRule>
    <cfRule type="cellIs" dxfId="7119" priority="36002" operator="equal">
      <formula>"FE"</formula>
    </cfRule>
    <cfRule type="cellIs" dxfId="7118" priority="36003" operator="equal">
      <formula>"FE"</formula>
    </cfRule>
  </conditionalFormatting>
  <conditionalFormatting sqref="A477">
    <cfRule type="cellIs" dxfId="7117" priority="35992" operator="equal">
      <formula>"Retirado"</formula>
    </cfRule>
    <cfRule type="cellIs" dxfId="7116" priority="35993" operator="equal">
      <formula>"FSE"</formula>
    </cfRule>
  </conditionalFormatting>
  <conditionalFormatting sqref="H477">
    <cfRule type="duplicateValues" dxfId="7115" priority="35991"/>
  </conditionalFormatting>
  <conditionalFormatting sqref="F477">
    <cfRule type="cellIs" dxfId="7114" priority="35969" operator="equal">
      <formula>"APLAZADO"</formula>
    </cfRule>
    <cfRule type="cellIs" dxfId="7113" priority="35970" operator="equal">
      <formula>"CANCELADO"</formula>
    </cfRule>
    <cfRule type="cellIs" dxfId="7112" priority="35971" operator="equal">
      <formula>"NO EJECUTADO"</formula>
    </cfRule>
    <cfRule type="cellIs" dxfId="7111" priority="35972" operator="equal">
      <formula>"FPE"</formula>
    </cfRule>
    <cfRule type="cellIs" dxfId="7110" priority="35973" operator="equal">
      <formula>"AMA"</formula>
    </cfRule>
    <cfRule type="cellIs" dxfId="7109" priority="35974" operator="equal">
      <formula>"SIN DATOS"</formula>
    </cfRule>
    <cfRule type="cellIs" dxfId="7108" priority="35975" operator="equal">
      <formula>"SIN DATOS"</formula>
    </cfRule>
    <cfRule type="cellIs" dxfId="7107" priority="35976" operator="equal">
      <formula>"NO EJECTUTADO"</formula>
    </cfRule>
    <cfRule type="cellIs" dxfId="7106" priority="35977" operator="equal">
      <formula>"FE"</formula>
    </cfRule>
    <cfRule type="cellIs" dxfId="7105" priority="35978" operator="equal">
      <formula>"FE"</formula>
    </cfRule>
  </conditionalFormatting>
  <conditionalFormatting sqref="F477">
    <cfRule type="cellIs" dxfId="7104" priority="35967" operator="equal">
      <formula>"Retirado"</formula>
    </cfRule>
    <cfRule type="cellIs" dxfId="7103" priority="35968" operator="equal">
      <formula>"FSE"</formula>
    </cfRule>
  </conditionalFormatting>
  <conditionalFormatting sqref="A478">
    <cfRule type="cellIs" dxfId="7102" priority="35952" operator="equal">
      <formula>"APLAZADO"</formula>
    </cfRule>
    <cfRule type="cellIs" dxfId="7101" priority="35953" operator="equal">
      <formula>"CANCELADO"</formula>
    </cfRule>
    <cfRule type="cellIs" dxfId="7100" priority="35954" operator="equal">
      <formula>"NO EJECUTADO"</formula>
    </cfRule>
    <cfRule type="cellIs" dxfId="7099" priority="35955" operator="equal">
      <formula>"FPE"</formula>
    </cfRule>
    <cfRule type="cellIs" dxfId="7098" priority="35956" operator="equal">
      <formula>"AMA"</formula>
    </cfRule>
    <cfRule type="cellIs" dxfId="7097" priority="35957" operator="equal">
      <formula>"SIN DATOS"</formula>
    </cfRule>
    <cfRule type="cellIs" dxfId="7096" priority="35958" operator="equal">
      <formula>"SIN DATOS"</formula>
    </cfRule>
    <cfRule type="cellIs" dxfId="7095" priority="35959" operator="equal">
      <formula>"NO EJECTUTADO"</formula>
    </cfRule>
    <cfRule type="cellIs" dxfId="7094" priority="35960" operator="equal">
      <formula>"FE"</formula>
    </cfRule>
    <cfRule type="cellIs" dxfId="7093" priority="35961" operator="equal">
      <formula>"FE"</formula>
    </cfRule>
  </conditionalFormatting>
  <conditionalFormatting sqref="A478">
    <cfRule type="cellIs" dxfId="7092" priority="35950" operator="equal">
      <formula>"Retirado"</formula>
    </cfRule>
    <cfRule type="cellIs" dxfId="7091" priority="35951" operator="equal">
      <formula>"FSE"</formula>
    </cfRule>
  </conditionalFormatting>
  <conditionalFormatting sqref="H478">
    <cfRule type="duplicateValues" dxfId="7090" priority="35949"/>
  </conditionalFormatting>
  <conditionalFormatting sqref="F478">
    <cfRule type="cellIs" dxfId="7089" priority="35939" operator="equal">
      <formula>"APLAZADO"</formula>
    </cfRule>
    <cfRule type="cellIs" dxfId="7088" priority="35940" operator="equal">
      <formula>"CANCELADO"</formula>
    </cfRule>
    <cfRule type="cellIs" dxfId="7087" priority="35941" operator="equal">
      <formula>"NO EJECUTADO"</formula>
    </cfRule>
    <cfRule type="cellIs" dxfId="7086" priority="35942" operator="equal">
      <formula>"FPE"</formula>
    </cfRule>
    <cfRule type="cellIs" dxfId="7085" priority="35943" operator="equal">
      <formula>"AMA"</formula>
    </cfRule>
    <cfRule type="cellIs" dxfId="7084" priority="35944" operator="equal">
      <formula>"SIN DATOS"</formula>
    </cfRule>
    <cfRule type="cellIs" dxfId="7083" priority="35945" operator="equal">
      <formula>"SIN DATOS"</formula>
    </cfRule>
    <cfRule type="cellIs" dxfId="7082" priority="35946" operator="equal">
      <formula>"NO EJECTUTADO"</formula>
    </cfRule>
    <cfRule type="cellIs" dxfId="7081" priority="35947" operator="equal">
      <formula>"FE"</formula>
    </cfRule>
    <cfRule type="cellIs" dxfId="7080" priority="35948" operator="equal">
      <formula>"FE"</formula>
    </cfRule>
  </conditionalFormatting>
  <conditionalFormatting sqref="F478">
    <cfRule type="cellIs" dxfId="7079" priority="35937" operator="equal">
      <formula>"Retirado"</formula>
    </cfRule>
    <cfRule type="cellIs" dxfId="7078" priority="35938" operator="equal">
      <formula>"FSE"</formula>
    </cfRule>
  </conditionalFormatting>
  <conditionalFormatting sqref="A479">
    <cfRule type="cellIs" dxfId="7077" priority="35917" operator="equal">
      <formula>"APLAZADO"</formula>
    </cfRule>
    <cfRule type="cellIs" dxfId="7076" priority="35918" operator="equal">
      <formula>"CANCELADO"</formula>
    </cfRule>
    <cfRule type="cellIs" dxfId="7075" priority="35919" operator="equal">
      <formula>"NO EJECUTADO"</formula>
    </cfRule>
    <cfRule type="cellIs" dxfId="7074" priority="35920" operator="equal">
      <formula>"FPE"</formula>
    </cfRule>
    <cfRule type="cellIs" dxfId="7073" priority="35921" operator="equal">
      <formula>"AMA"</formula>
    </cfRule>
    <cfRule type="cellIs" dxfId="7072" priority="35922" operator="equal">
      <formula>"SIN DATOS"</formula>
    </cfRule>
    <cfRule type="cellIs" dxfId="7071" priority="35923" operator="equal">
      <formula>"SIN DATOS"</formula>
    </cfRule>
    <cfRule type="cellIs" dxfId="7070" priority="35924" operator="equal">
      <formula>"NO EJECTUTADO"</formula>
    </cfRule>
    <cfRule type="cellIs" dxfId="7069" priority="35925" operator="equal">
      <formula>"FE"</formula>
    </cfRule>
    <cfRule type="cellIs" dxfId="7068" priority="35926" operator="equal">
      <formula>"FE"</formula>
    </cfRule>
  </conditionalFormatting>
  <conditionalFormatting sqref="A479">
    <cfRule type="cellIs" dxfId="7067" priority="35915" operator="equal">
      <formula>"Retirado"</formula>
    </cfRule>
    <cfRule type="cellIs" dxfId="7066" priority="35916" operator="equal">
      <formula>"FSE"</formula>
    </cfRule>
  </conditionalFormatting>
  <conditionalFormatting sqref="H479">
    <cfRule type="duplicateValues" dxfId="7065" priority="35914"/>
  </conditionalFormatting>
  <conditionalFormatting sqref="F479">
    <cfRule type="cellIs" dxfId="7064" priority="35892" operator="equal">
      <formula>"APLAZADO"</formula>
    </cfRule>
    <cfRule type="cellIs" dxfId="7063" priority="35893" operator="equal">
      <formula>"CANCELADO"</formula>
    </cfRule>
    <cfRule type="cellIs" dxfId="7062" priority="35894" operator="equal">
      <formula>"NO EJECUTADO"</formula>
    </cfRule>
    <cfRule type="cellIs" dxfId="7061" priority="35895" operator="equal">
      <formula>"FPE"</formula>
    </cfRule>
    <cfRule type="cellIs" dxfId="7060" priority="35896" operator="equal">
      <formula>"AMA"</formula>
    </cfRule>
    <cfRule type="cellIs" dxfId="7059" priority="35897" operator="equal">
      <formula>"SIN DATOS"</formula>
    </cfRule>
    <cfRule type="cellIs" dxfId="7058" priority="35898" operator="equal">
      <formula>"SIN DATOS"</formula>
    </cfRule>
    <cfRule type="cellIs" dxfId="7057" priority="35899" operator="equal">
      <formula>"NO EJECTUTADO"</formula>
    </cfRule>
    <cfRule type="cellIs" dxfId="7056" priority="35900" operator="equal">
      <formula>"FE"</formula>
    </cfRule>
    <cfRule type="cellIs" dxfId="7055" priority="35901" operator="equal">
      <formula>"FE"</formula>
    </cfRule>
  </conditionalFormatting>
  <conditionalFormatting sqref="F479">
    <cfRule type="cellIs" dxfId="7054" priority="35890" operator="equal">
      <formula>"Retirado"</formula>
    </cfRule>
    <cfRule type="cellIs" dxfId="7053" priority="35891" operator="equal">
      <formula>"FSE"</formula>
    </cfRule>
  </conditionalFormatting>
  <conditionalFormatting sqref="B436">
    <cfRule type="cellIs" dxfId="7052" priority="35879" operator="equal">
      <formula>"Sin éxito"</formula>
    </cfRule>
    <cfRule type="cellIs" dxfId="7051" priority="35880" operator="equal">
      <formula>"Éxito con problemas"</formula>
    </cfRule>
    <cfRule type="cellIs" dxfId="7050" priority="35881" operator="equal">
      <formula>"CANCELADO"</formula>
    </cfRule>
    <cfRule type="cellIs" dxfId="7049" priority="35882" operator="equal">
      <formula>"Aplicada marcha atrás"</formula>
    </cfRule>
    <cfRule type="cellIs" dxfId="7048" priority="35883" operator="equal">
      <formula>"CON ÉXITO"</formula>
    </cfRule>
  </conditionalFormatting>
  <conditionalFormatting sqref="B437">
    <cfRule type="cellIs" dxfId="7047" priority="35868" operator="equal">
      <formula>"Sin éxito"</formula>
    </cfRule>
    <cfRule type="cellIs" dxfId="7046" priority="35869" operator="equal">
      <formula>"Éxito con problemas"</formula>
    </cfRule>
    <cfRule type="cellIs" dxfId="7045" priority="35870" operator="equal">
      <formula>"CANCELADO"</formula>
    </cfRule>
    <cfRule type="cellIs" dxfId="7044" priority="35871" operator="equal">
      <formula>"Aplicada marcha atrás"</formula>
    </cfRule>
    <cfRule type="cellIs" dxfId="7043" priority="35872" operator="equal">
      <formula>"CON ÉXITO"</formula>
    </cfRule>
  </conditionalFormatting>
  <conditionalFormatting sqref="A480">
    <cfRule type="cellIs" dxfId="7042" priority="35848" operator="equal">
      <formula>"APLAZADO"</formula>
    </cfRule>
    <cfRule type="cellIs" dxfId="7041" priority="35849" operator="equal">
      <formula>"CANCELADO"</formula>
    </cfRule>
    <cfRule type="cellIs" dxfId="7040" priority="35850" operator="equal">
      <formula>"NO EJECUTADO"</formula>
    </cfRule>
    <cfRule type="cellIs" dxfId="7039" priority="35851" operator="equal">
      <formula>"FPE"</formula>
    </cfRule>
    <cfRule type="cellIs" dxfId="7038" priority="35852" operator="equal">
      <formula>"AMA"</formula>
    </cfRule>
    <cfRule type="cellIs" dxfId="7037" priority="35853" operator="equal">
      <formula>"SIN DATOS"</formula>
    </cfRule>
    <cfRule type="cellIs" dxfId="7036" priority="35854" operator="equal">
      <formula>"SIN DATOS"</formula>
    </cfRule>
    <cfRule type="cellIs" dxfId="7035" priority="35855" operator="equal">
      <formula>"NO EJECTUTADO"</formula>
    </cfRule>
    <cfRule type="cellIs" dxfId="7034" priority="35856" operator="equal">
      <formula>"FE"</formula>
    </cfRule>
    <cfRule type="cellIs" dxfId="7033" priority="35857" operator="equal">
      <formula>"FE"</formula>
    </cfRule>
  </conditionalFormatting>
  <conditionalFormatting sqref="A480">
    <cfRule type="cellIs" dxfId="7032" priority="35846" operator="equal">
      <formula>"Retirado"</formula>
    </cfRule>
    <cfRule type="cellIs" dxfId="7031" priority="35847" operator="equal">
      <formula>"FSE"</formula>
    </cfRule>
  </conditionalFormatting>
  <conditionalFormatting sqref="H480">
    <cfRule type="duplicateValues" dxfId="7030" priority="35845"/>
  </conditionalFormatting>
  <conditionalFormatting sqref="F480">
    <cfRule type="cellIs" dxfId="7029" priority="35835" operator="equal">
      <formula>"APLAZADO"</formula>
    </cfRule>
    <cfRule type="cellIs" dxfId="7028" priority="35836" operator="equal">
      <formula>"CANCELADO"</formula>
    </cfRule>
    <cfRule type="cellIs" dxfId="7027" priority="35837" operator="equal">
      <formula>"NO EJECUTADO"</formula>
    </cfRule>
    <cfRule type="cellIs" dxfId="7026" priority="35838" operator="equal">
      <formula>"FPE"</formula>
    </cfRule>
    <cfRule type="cellIs" dxfId="7025" priority="35839" operator="equal">
      <formula>"AMA"</formula>
    </cfRule>
    <cfRule type="cellIs" dxfId="7024" priority="35840" operator="equal">
      <formula>"SIN DATOS"</formula>
    </cfRule>
    <cfRule type="cellIs" dxfId="7023" priority="35841" operator="equal">
      <formula>"SIN DATOS"</formula>
    </cfRule>
    <cfRule type="cellIs" dxfId="7022" priority="35842" operator="equal">
      <formula>"NO EJECTUTADO"</formula>
    </cfRule>
    <cfRule type="cellIs" dxfId="7021" priority="35843" operator="equal">
      <formula>"FE"</formula>
    </cfRule>
    <cfRule type="cellIs" dxfId="7020" priority="35844" operator="equal">
      <formula>"FE"</formula>
    </cfRule>
  </conditionalFormatting>
  <conditionalFormatting sqref="F480">
    <cfRule type="cellIs" dxfId="7019" priority="35833" operator="equal">
      <formula>"Retirado"</formula>
    </cfRule>
    <cfRule type="cellIs" dxfId="7018" priority="35834" operator="equal">
      <formula>"FSE"</formula>
    </cfRule>
  </conditionalFormatting>
  <conditionalFormatting sqref="H481">
    <cfRule type="duplicateValues" dxfId="7017" priority="35810"/>
  </conditionalFormatting>
  <conditionalFormatting sqref="F481">
    <cfRule type="cellIs" dxfId="7016" priority="35788" operator="equal">
      <formula>"APLAZADO"</formula>
    </cfRule>
    <cfRule type="cellIs" dxfId="7015" priority="35789" operator="equal">
      <formula>"CANCELADO"</formula>
    </cfRule>
    <cfRule type="cellIs" dxfId="7014" priority="35790" operator="equal">
      <formula>"NO EJECUTADO"</formula>
    </cfRule>
    <cfRule type="cellIs" dxfId="7013" priority="35791" operator="equal">
      <formula>"FPE"</formula>
    </cfRule>
    <cfRule type="cellIs" dxfId="7012" priority="35792" operator="equal">
      <formula>"AMA"</formula>
    </cfRule>
    <cfRule type="cellIs" dxfId="7011" priority="35793" operator="equal">
      <formula>"SIN DATOS"</formula>
    </cfRule>
    <cfRule type="cellIs" dxfId="7010" priority="35794" operator="equal">
      <formula>"SIN DATOS"</formula>
    </cfRule>
    <cfRule type="cellIs" dxfId="7009" priority="35795" operator="equal">
      <formula>"NO EJECTUTADO"</formula>
    </cfRule>
    <cfRule type="cellIs" dxfId="7008" priority="35796" operator="equal">
      <formula>"FE"</formula>
    </cfRule>
    <cfRule type="cellIs" dxfId="7007" priority="35797" operator="equal">
      <formula>"FE"</formula>
    </cfRule>
  </conditionalFormatting>
  <conditionalFormatting sqref="F481">
    <cfRule type="cellIs" dxfId="7006" priority="35786" operator="equal">
      <formula>"Retirado"</formula>
    </cfRule>
    <cfRule type="cellIs" dxfId="7005" priority="35787" operator="equal">
      <formula>"FSE"</formula>
    </cfRule>
  </conditionalFormatting>
  <conditionalFormatting sqref="A481">
    <cfRule type="cellIs" dxfId="7004" priority="35776" operator="equal">
      <formula>"APLAZADO"</formula>
    </cfRule>
    <cfRule type="cellIs" dxfId="7003" priority="35777" operator="equal">
      <formula>"CANCELADO"</formula>
    </cfRule>
    <cfRule type="cellIs" dxfId="7002" priority="35778" operator="equal">
      <formula>"NO EJECUTADO"</formula>
    </cfRule>
    <cfRule type="cellIs" dxfId="7001" priority="35779" operator="equal">
      <formula>"FPE"</formula>
    </cfRule>
    <cfRule type="cellIs" dxfId="7000" priority="35780" operator="equal">
      <formula>"AMA"</formula>
    </cfRule>
    <cfRule type="cellIs" dxfId="6999" priority="35781" operator="equal">
      <formula>"SIN DATOS"</formula>
    </cfRule>
    <cfRule type="cellIs" dxfId="6998" priority="35782" operator="equal">
      <formula>"SIN DATOS"</formula>
    </cfRule>
    <cfRule type="cellIs" dxfId="6997" priority="35783" operator="equal">
      <formula>"NO EJECTUTADO"</formula>
    </cfRule>
    <cfRule type="cellIs" dxfId="6996" priority="35784" operator="equal">
      <formula>"FE"</formula>
    </cfRule>
    <cfRule type="cellIs" dxfId="6995" priority="35785" operator="equal">
      <formula>"FE"</formula>
    </cfRule>
  </conditionalFormatting>
  <conditionalFormatting sqref="A481">
    <cfRule type="cellIs" dxfId="6994" priority="35774" operator="equal">
      <formula>"Retirado"</formula>
    </cfRule>
    <cfRule type="cellIs" dxfId="6993" priority="35775" operator="equal">
      <formula>"FSE"</formula>
    </cfRule>
  </conditionalFormatting>
  <conditionalFormatting sqref="H482">
    <cfRule type="duplicateValues" dxfId="6992" priority="35763"/>
  </conditionalFormatting>
  <conditionalFormatting sqref="F482">
    <cfRule type="cellIs" dxfId="6991" priority="35753" operator="equal">
      <formula>"APLAZADO"</formula>
    </cfRule>
    <cfRule type="cellIs" dxfId="6990" priority="35754" operator="equal">
      <formula>"CANCELADO"</formula>
    </cfRule>
    <cfRule type="cellIs" dxfId="6989" priority="35755" operator="equal">
      <formula>"NO EJECUTADO"</formula>
    </cfRule>
    <cfRule type="cellIs" dxfId="6988" priority="35756" operator="equal">
      <formula>"FPE"</formula>
    </cfRule>
    <cfRule type="cellIs" dxfId="6987" priority="35757" operator="equal">
      <formula>"AMA"</formula>
    </cfRule>
    <cfRule type="cellIs" dxfId="6986" priority="35758" operator="equal">
      <formula>"SIN DATOS"</formula>
    </cfRule>
    <cfRule type="cellIs" dxfId="6985" priority="35759" operator="equal">
      <formula>"SIN DATOS"</formula>
    </cfRule>
    <cfRule type="cellIs" dxfId="6984" priority="35760" operator="equal">
      <formula>"NO EJECTUTADO"</formula>
    </cfRule>
    <cfRule type="cellIs" dxfId="6983" priority="35761" operator="equal">
      <formula>"FE"</formula>
    </cfRule>
    <cfRule type="cellIs" dxfId="6982" priority="35762" operator="equal">
      <formula>"FE"</formula>
    </cfRule>
  </conditionalFormatting>
  <conditionalFormatting sqref="F482">
    <cfRule type="cellIs" dxfId="6981" priority="35751" operator="equal">
      <formula>"Retirado"</formula>
    </cfRule>
    <cfRule type="cellIs" dxfId="6980" priority="35752" operator="equal">
      <formula>"FSE"</formula>
    </cfRule>
  </conditionalFormatting>
  <conditionalFormatting sqref="A482">
    <cfRule type="cellIs" dxfId="6979" priority="35741" operator="equal">
      <formula>"APLAZADO"</formula>
    </cfRule>
    <cfRule type="cellIs" dxfId="6978" priority="35742" operator="equal">
      <formula>"CANCELADO"</formula>
    </cfRule>
    <cfRule type="cellIs" dxfId="6977" priority="35743" operator="equal">
      <formula>"NO EJECUTADO"</formula>
    </cfRule>
    <cfRule type="cellIs" dxfId="6976" priority="35744" operator="equal">
      <formula>"FPE"</formula>
    </cfRule>
    <cfRule type="cellIs" dxfId="6975" priority="35745" operator="equal">
      <formula>"AMA"</formula>
    </cfRule>
    <cfRule type="cellIs" dxfId="6974" priority="35746" operator="equal">
      <formula>"SIN DATOS"</formula>
    </cfRule>
    <cfRule type="cellIs" dxfId="6973" priority="35747" operator="equal">
      <formula>"SIN DATOS"</formula>
    </cfRule>
    <cfRule type="cellIs" dxfId="6972" priority="35748" operator="equal">
      <formula>"NO EJECTUTADO"</formula>
    </cfRule>
    <cfRule type="cellIs" dxfId="6971" priority="35749" operator="equal">
      <formula>"FE"</formula>
    </cfRule>
    <cfRule type="cellIs" dxfId="6970" priority="35750" operator="equal">
      <formula>"FE"</formula>
    </cfRule>
  </conditionalFormatting>
  <conditionalFormatting sqref="A482">
    <cfRule type="cellIs" dxfId="6969" priority="35739" operator="equal">
      <formula>"Retirado"</formula>
    </cfRule>
    <cfRule type="cellIs" dxfId="6968" priority="35740" operator="equal">
      <formula>"FSE"</formula>
    </cfRule>
  </conditionalFormatting>
  <conditionalFormatting sqref="B438">
    <cfRule type="cellIs" dxfId="6967" priority="35728" operator="equal">
      <formula>"Sin éxito"</formula>
    </cfRule>
    <cfRule type="cellIs" dxfId="6966" priority="35729" operator="equal">
      <formula>"Éxito con problemas"</formula>
    </cfRule>
    <cfRule type="cellIs" dxfId="6965" priority="35730" operator="equal">
      <formula>"CANCELADO"</formula>
    </cfRule>
    <cfRule type="cellIs" dxfId="6964" priority="35731" operator="equal">
      <formula>"Aplicada marcha atrás"</formula>
    </cfRule>
    <cfRule type="cellIs" dxfId="6963" priority="35732" operator="equal">
      <formula>"CON ÉXITO"</formula>
    </cfRule>
  </conditionalFormatting>
  <conditionalFormatting sqref="B439">
    <cfRule type="cellIs" dxfId="6962" priority="35707" operator="equal">
      <formula>"Sin éxito"</formula>
    </cfRule>
    <cfRule type="cellIs" dxfId="6961" priority="35708" operator="equal">
      <formula>"Éxito con problemas"</formula>
    </cfRule>
    <cfRule type="cellIs" dxfId="6960" priority="35709" operator="equal">
      <formula>"CANCELADO"</formula>
    </cfRule>
    <cfRule type="cellIs" dxfId="6959" priority="35710" operator="equal">
      <formula>"Aplicada marcha atrás"</formula>
    </cfRule>
    <cfRule type="cellIs" dxfId="6958" priority="35711" operator="equal">
      <formula>"CON ÉXITO"</formula>
    </cfRule>
  </conditionalFormatting>
  <conditionalFormatting sqref="B441">
    <cfRule type="cellIs" dxfId="6957" priority="35696" operator="equal">
      <formula>"Sin éxito"</formula>
    </cfRule>
    <cfRule type="cellIs" dxfId="6956" priority="35697" operator="equal">
      <formula>"Éxito con problemas"</formula>
    </cfRule>
    <cfRule type="cellIs" dxfId="6955" priority="35698" operator="equal">
      <formula>"CANCELADO"</formula>
    </cfRule>
    <cfRule type="cellIs" dxfId="6954" priority="35699" operator="equal">
      <formula>"Aplicada marcha atrás"</formula>
    </cfRule>
    <cfRule type="cellIs" dxfId="6953" priority="35700" operator="equal">
      <formula>"CON ÉXITO"</formula>
    </cfRule>
  </conditionalFormatting>
  <conditionalFormatting sqref="H483">
    <cfRule type="duplicateValues" dxfId="6952" priority="35680"/>
  </conditionalFormatting>
  <conditionalFormatting sqref="A483">
    <cfRule type="cellIs" dxfId="6951" priority="35646" operator="equal">
      <formula>"APLAZADO"</formula>
    </cfRule>
    <cfRule type="cellIs" dxfId="6950" priority="35647" operator="equal">
      <formula>"CANCELADO"</formula>
    </cfRule>
    <cfRule type="cellIs" dxfId="6949" priority="35648" operator="equal">
      <formula>"NO EJECUTADO"</formula>
    </cfRule>
    <cfRule type="cellIs" dxfId="6948" priority="35649" operator="equal">
      <formula>"FPE"</formula>
    </cfRule>
    <cfRule type="cellIs" dxfId="6947" priority="35650" operator="equal">
      <formula>"AMA"</formula>
    </cfRule>
    <cfRule type="cellIs" dxfId="6946" priority="35651" operator="equal">
      <formula>"SIN DATOS"</formula>
    </cfRule>
    <cfRule type="cellIs" dxfId="6945" priority="35652" operator="equal">
      <formula>"SIN DATOS"</formula>
    </cfRule>
    <cfRule type="cellIs" dxfId="6944" priority="35653" operator="equal">
      <formula>"NO EJECTUTADO"</formula>
    </cfRule>
    <cfRule type="cellIs" dxfId="6943" priority="35654" operator="equal">
      <formula>"FE"</formula>
    </cfRule>
    <cfRule type="cellIs" dxfId="6942" priority="35655" operator="equal">
      <formula>"FE"</formula>
    </cfRule>
  </conditionalFormatting>
  <conditionalFormatting sqref="A483">
    <cfRule type="cellIs" dxfId="6941" priority="35644" operator="equal">
      <formula>"Retirado"</formula>
    </cfRule>
    <cfRule type="cellIs" dxfId="6940" priority="35645" operator="equal">
      <formula>"FSE"</formula>
    </cfRule>
  </conditionalFormatting>
  <conditionalFormatting sqref="F483">
    <cfRule type="cellIs" dxfId="6939" priority="35634" operator="equal">
      <formula>"APLAZADO"</formula>
    </cfRule>
    <cfRule type="cellIs" dxfId="6938" priority="35635" operator="equal">
      <formula>"CANCELADO"</formula>
    </cfRule>
    <cfRule type="cellIs" dxfId="6937" priority="35636" operator="equal">
      <formula>"NO EJECUTADO"</formula>
    </cfRule>
    <cfRule type="cellIs" dxfId="6936" priority="35637" operator="equal">
      <formula>"FPE"</formula>
    </cfRule>
    <cfRule type="cellIs" dxfId="6935" priority="35638" operator="equal">
      <formula>"AMA"</formula>
    </cfRule>
    <cfRule type="cellIs" dxfId="6934" priority="35639" operator="equal">
      <formula>"SIN DATOS"</formula>
    </cfRule>
    <cfRule type="cellIs" dxfId="6933" priority="35640" operator="equal">
      <formula>"SIN DATOS"</formula>
    </cfRule>
    <cfRule type="cellIs" dxfId="6932" priority="35641" operator="equal">
      <formula>"NO EJECTUTADO"</formula>
    </cfRule>
    <cfRule type="cellIs" dxfId="6931" priority="35642" operator="equal">
      <formula>"FE"</formula>
    </cfRule>
    <cfRule type="cellIs" dxfId="6930" priority="35643" operator="equal">
      <formula>"FE"</formula>
    </cfRule>
  </conditionalFormatting>
  <conditionalFormatting sqref="F483">
    <cfRule type="cellIs" dxfId="6929" priority="35632" operator="equal">
      <formula>"Retirado"</formula>
    </cfRule>
    <cfRule type="cellIs" dxfId="6928" priority="35633" operator="equal">
      <formula>"FSE"</formula>
    </cfRule>
  </conditionalFormatting>
  <conditionalFormatting sqref="B484">
    <cfRule type="cellIs" dxfId="6927" priority="35602" operator="equal">
      <formula>"Sin éxito"</formula>
    </cfRule>
    <cfRule type="cellIs" dxfId="6926" priority="35603" operator="equal">
      <formula>"Éxito con problemas"</formula>
    </cfRule>
    <cfRule type="cellIs" dxfId="6925" priority="35604" operator="equal">
      <formula>"CANCELADO"</formula>
    </cfRule>
    <cfRule type="cellIs" dxfId="6924" priority="35605" operator="equal">
      <formula>"Aplicada marcha atrás"</formula>
    </cfRule>
    <cfRule type="cellIs" dxfId="6923" priority="35606" operator="equal">
      <formula>"CON ÉXITO"</formula>
    </cfRule>
  </conditionalFormatting>
  <conditionalFormatting sqref="H484">
    <cfRule type="duplicateValues" dxfId="6922" priority="35596"/>
  </conditionalFormatting>
  <conditionalFormatting sqref="A484">
    <cfRule type="cellIs" dxfId="6921" priority="35586" operator="equal">
      <formula>"APLAZADO"</formula>
    </cfRule>
    <cfRule type="cellIs" dxfId="6920" priority="35587" operator="equal">
      <formula>"CANCELADO"</formula>
    </cfRule>
    <cfRule type="cellIs" dxfId="6919" priority="35588" operator="equal">
      <formula>"NO EJECUTADO"</formula>
    </cfRule>
    <cfRule type="cellIs" dxfId="6918" priority="35589" operator="equal">
      <formula>"FPE"</formula>
    </cfRule>
    <cfRule type="cellIs" dxfId="6917" priority="35590" operator="equal">
      <formula>"AMA"</formula>
    </cfRule>
    <cfRule type="cellIs" dxfId="6916" priority="35591" operator="equal">
      <formula>"SIN DATOS"</formula>
    </cfRule>
    <cfRule type="cellIs" dxfId="6915" priority="35592" operator="equal">
      <formula>"SIN DATOS"</formula>
    </cfRule>
    <cfRule type="cellIs" dxfId="6914" priority="35593" operator="equal">
      <formula>"NO EJECTUTADO"</formula>
    </cfRule>
    <cfRule type="cellIs" dxfId="6913" priority="35594" operator="equal">
      <formula>"FE"</formula>
    </cfRule>
    <cfRule type="cellIs" dxfId="6912" priority="35595" operator="equal">
      <formula>"FE"</formula>
    </cfRule>
  </conditionalFormatting>
  <conditionalFormatting sqref="A484">
    <cfRule type="cellIs" dxfId="6911" priority="35584" operator="equal">
      <formula>"Retirado"</formula>
    </cfRule>
    <cfRule type="cellIs" dxfId="6910" priority="35585" operator="equal">
      <formula>"FSE"</formula>
    </cfRule>
  </conditionalFormatting>
  <conditionalFormatting sqref="F484">
    <cfRule type="cellIs" dxfId="6909" priority="35562" operator="equal">
      <formula>"APLAZADO"</formula>
    </cfRule>
    <cfRule type="cellIs" dxfId="6908" priority="35563" operator="equal">
      <formula>"CANCELADO"</formula>
    </cfRule>
    <cfRule type="cellIs" dxfId="6907" priority="35564" operator="equal">
      <formula>"NO EJECUTADO"</formula>
    </cfRule>
    <cfRule type="cellIs" dxfId="6906" priority="35565" operator="equal">
      <formula>"FPE"</formula>
    </cfRule>
    <cfRule type="cellIs" dxfId="6905" priority="35566" operator="equal">
      <formula>"AMA"</formula>
    </cfRule>
    <cfRule type="cellIs" dxfId="6904" priority="35567" operator="equal">
      <formula>"SIN DATOS"</formula>
    </cfRule>
    <cfRule type="cellIs" dxfId="6903" priority="35568" operator="equal">
      <formula>"SIN DATOS"</formula>
    </cfRule>
    <cfRule type="cellIs" dxfId="6902" priority="35569" operator="equal">
      <formula>"NO EJECTUTADO"</formula>
    </cfRule>
    <cfRule type="cellIs" dxfId="6901" priority="35570" operator="equal">
      <formula>"FE"</formula>
    </cfRule>
    <cfRule type="cellIs" dxfId="6900" priority="35571" operator="equal">
      <formula>"FE"</formula>
    </cfRule>
  </conditionalFormatting>
  <conditionalFormatting sqref="F484">
    <cfRule type="cellIs" dxfId="6899" priority="35560" operator="equal">
      <formula>"Retirado"</formula>
    </cfRule>
    <cfRule type="cellIs" dxfId="6898" priority="35561" operator="equal">
      <formula>"FSE"</formula>
    </cfRule>
  </conditionalFormatting>
  <conditionalFormatting sqref="H485">
    <cfRule type="duplicateValues" dxfId="6897" priority="35544"/>
  </conditionalFormatting>
  <conditionalFormatting sqref="A485">
    <cfRule type="cellIs" dxfId="6896" priority="35534" operator="equal">
      <formula>"APLAZADO"</formula>
    </cfRule>
    <cfRule type="cellIs" dxfId="6895" priority="35535" operator="equal">
      <formula>"CANCELADO"</formula>
    </cfRule>
    <cfRule type="cellIs" dxfId="6894" priority="35536" operator="equal">
      <formula>"NO EJECUTADO"</formula>
    </cfRule>
    <cfRule type="cellIs" dxfId="6893" priority="35537" operator="equal">
      <formula>"FPE"</formula>
    </cfRule>
    <cfRule type="cellIs" dxfId="6892" priority="35538" operator="equal">
      <formula>"AMA"</formula>
    </cfRule>
    <cfRule type="cellIs" dxfId="6891" priority="35539" operator="equal">
      <formula>"SIN DATOS"</formula>
    </cfRule>
    <cfRule type="cellIs" dxfId="6890" priority="35540" operator="equal">
      <formula>"SIN DATOS"</formula>
    </cfRule>
    <cfRule type="cellIs" dxfId="6889" priority="35541" operator="equal">
      <formula>"NO EJECTUTADO"</formula>
    </cfRule>
    <cfRule type="cellIs" dxfId="6888" priority="35542" operator="equal">
      <formula>"FE"</formula>
    </cfRule>
    <cfRule type="cellIs" dxfId="6887" priority="35543" operator="equal">
      <formula>"FE"</formula>
    </cfRule>
  </conditionalFormatting>
  <conditionalFormatting sqref="A485">
    <cfRule type="cellIs" dxfId="6886" priority="35532" operator="equal">
      <formula>"Retirado"</formula>
    </cfRule>
    <cfRule type="cellIs" dxfId="6885" priority="35533" operator="equal">
      <formula>"FSE"</formula>
    </cfRule>
  </conditionalFormatting>
  <conditionalFormatting sqref="F485">
    <cfRule type="cellIs" dxfId="6884" priority="35510" operator="equal">
      <formula>"APLAZADO"</formula>
    </cfRule>
    <cfRule type="cellIs" dxfId="6883" priority="35511" operator="equal">
      <formula>"CANCELADO"</formula>
    </cfRule>
    <cfRule type="cellIs" dxfId="6882" priority="35512" operator="equal">
      <formula>"NO EJECUTADO"</formula>
    </cfRule>
    <cfRule type="cellIs" dxfId="6881" priority="35513" operator="equal">
      <formula>"FPE"</formula>
    </cfRule>
    <cfRule type="cellIs" dxfId="6880" priority="35514" operator="equal">
      <formula>"AMA"</formula>
    </cfRule>
    <cfRule type="cellIs" dxfId="6879" priority="35515" operator="equal">
      <formula>"SIN DATOS"</formula>
    </cfRule>
    <cfRule type="cellIs" dxfId="6878" priority="35516" operator="equal">
      <formula>"SIN DATOS"</formula>
    </cfRule>
    <cfRule type="cellIs" dxfId="6877" priority="35517" operator="equal">
      <formula>"NO EJECTUTADO"</formula>
    </cfRule>
    <cfRule type="cellIs" dxfId="6876" priority="35518" operator="equal">
      <formula>"FE"</formula>
    </cfRule>
    <cfRule type="cellIs" dxfId="6875" priority="35519" operator="equal">
      <formula>"FE"</formula>
    </cfRule>
  </conditionalFormatting>
  <conditionalFormatting sqref="F485">
    <cfRule type="cellIs" dxfId="6874" priority="35508" operator="equal">
      <formula>"Retirado"</formula>
    </cfRule>
    <cfRule type="cellIs" dxfId="6873" priority="35509" operator="equal">
      <formula>"FSE"</formula>
    </cfRule>
  </conditionalFormatting>
  <conditionalFormatting sqref="B442">
    <cfRule type="cellIs" dxfId="6872" priority="35492" operator="equal">
      <formula>"Sin éxito"</formula>
    </cfRule>
    <cfRule type="cellIs" dxfId="6871" priority="35493" operator="equal">
      <formula>"Éxito con problemas"</formula>
    </cfRule>
    <cfRule type="cellIs" dxfId="6870" priority="35494" operator="equal">
      <formula>"CANCELADO"</formula>
    </cfRule>
    <cfRule type="cellIs" dxfId="6869" priority="35495" operator="equal">
      <formula>"Aplicada marcha atrás"</formula>
    </cfRule>
    <cfRule type="cellIs" dxfId="6868" priority="35496" operator="equal">
      <formula>"CON ÉXITO"</formula>
    </cfRule>
  </conditionalFormatting>
  <conditionalFormatting sqref="B443">
    <cfRule type="cellIs" dxfId="6867" priority="35481" operator="equal">
      <formula>"Sin éxito"</formula>
    </cfRule>
    <cfRule type="cellIs" dxfId="6866" priority="35482" operator="equal">
      <formula>"Éxito con problemas"</formula>
    </cfRule>
    <cfRule type="cellIs" dxfId="6865" priority="35483" operator="equal">
      <formula>"CANCELADO"</formula>
    </cfRule>
    <cfRule type="cellIs" dxfId="6864" priority="35484" operator="equal">
      <formula>"Aplicada marcha atrás"</formula>
    </cfRule>
    <cfRule type="cellIs" dxfId="6863" priority="35485" operator="equal">
      <formula>"CON ÉXITO"</formula>
    </cfRule>
  </conditionalFormatting>
  <conditionalFormatting sqref="B445">
    <cfRule type="cellIs" dxfId="6862" priority="35470" operator="equal">
      <formula>"Sin éxito"</formula>
    </cfRule>
    <cfRule type="cellIs" dxfId="6861" priority="35471" operator="equal">
      <formula>"Éxito con problemas"</formula>
    </cfRule>
    <cfRule type="cellIs" dxfId="6860" priority="35472" operator="equal">
      <formula>"CANCELADO"</formula>
    </cfRule>
    <cfRule type="cellIs" dxfId="6859" priority="35473" operator="equal">
      <formula>"Aplicada marcha atrás"</formula>
    </cfRule>
    <cfRule type="cellIs" dxfId="6858" priority="35474" operator="equal">
      <formula>"CON ÉXITO"</formula>
    </cfRule>
  </conditionalFormatting>
  <conditionalFormatting sqref="H486">
    <cfRule type="duplicateValues" dxfId="6857" priority="35459"/>
  </conditionalFormatting>
  <conditionalFormatting sqref="A486">
    <cfRule type="cellIs" dxfId="6856" priority="35449" operator="equal">
      <formula>"APLAZADO"</formula>
    </cfRule>
    <cfRule type="cellIs" dxfId="6855" priority="35450" operator="equal">
      <formula>"CANCELADO"</formula>
    </cfRule>
    <cfRule type="cellIs" dxfId="6854" priority="35451" operator="equal">
      <formula>"NO EJECUTADO"</formula>
    </cfRule>
    <cfRule type="cellIs" dxfId="6853" priority="35452" operator="equal">
      <formula>"FPE"</formula>
    </cfRule>
    <cfRule type="cellIs" dxfId="6852" priority="35453" operator="equal">
      <formula>"AMA"</formula>
    </cfRule>
    <cfRule type="cellIs" dxfId="6851" priority="35454" operator="equal">
      <formula>"SIN DATOS"</formula>
    </cfRule>
    <cfRule type="cellIs" dxfId="6850" priority="35455" operator="equal">
      <formula>"SIN DATOS"</formula>
    </cfRule>
    <cfRule type="cellIs" dxfId="6849" priority="35456" operator="equal">
      <formula>"NO EJECTUTADO"</formula>
    </cfRule>
    <cfRule type="cellIs" dxfId="6848" priority="35457" operator="equal">
      <formula>"FE"</formula>
    </cfRule>
    <cfRule type="cellIs" dxfId="6847" priority="35458" operator="equal">
      <formula>"FE"</formula>
    </cfRule>
  </conditionalFormatting>
  <conditionalFormatting sqref="A486">
    <cfRule type="cellIs" dxfId="6846" priority="35447" operator="equal">
      <formula>"Retirado"</formula>
    </cfRule>
    <cfRule type="cellIs" dxfId="6845" priority="35448" operator="equal">
      <formula>"FSE"</formula>
    </cfRule>
  </conditionalFormatting>
  <conditionalFormatting sqref="F486">
    <cfRule type="cellIs" dxfId="6844" priority="35425" operator="equal">
      <formula>"APLAZADO"</formula>
    </cfRule>
    <cfRule type="cellIs" dxfId="6843" priority="35426" operator="equal">
      <formula>"CANCELADO"</formula>
    </cfRule>
    <cfRule type="cellIs" dxfId="6842" priority="35427" operator="equal">
      <formula>"NO EJECUTADO"</formula>
    </cfRule>
    <cfRule type="cellIs" dxfId="6841" priority="35428" operator="equal">
      <formula>"FPE"</formula>
    </cfRule>
    <cfRule type="cellIs" dxfId="6840" priority="35429" operator="equal">
      <formula>"AMA"</formula>
    </cfRule>
    <cfRule type="cellIs" dxfId="6839" priority="35430" operator="equal">
      <formula>"SIN DATOS"</formula>
    </cfRule>
    <cfRule type="cellIs" dxfId="6838" priority="35431" operator="equal">
      <formula>"SIN DATOS"</formula>
    </cfRule>
    <cfRule type="cellIs" dxfId="6837" priority="35432" operator="equal">
      <formula>"NO EJECTUTADO"</formula>
    </cfRule>
    <cfRule type="cellIs" dxfId="6836" priority="35433" operator="equal">
      <formula>"FE"</formula>
    </cfRule>
    <cfRule type="cellIs" dxfId="6835" priority="35434" operator="equal">
      <formula>"FE"</formula>
    </cfRule>
  </conditionalFormatting>
  <conditionalFormatting sqref="F486">
    <cfRule type="cellIs" dxfId="6834" priority="35423" operator="equal">
      <formula>"Retirado"</formula>
    </cfRule>
    <cfRule type="cellIs" dxfId="6833" priority="35424" operator="equal">
      <formula>"FSE"</formula>
    </cfRule>
  </conditionalFormatting>
  <conditionalFormatting sqref="H487">
    <cfRule type="duplicateValues" dxfId="6832" priority="35412"/>
  </conditionalFormatting>
  <conditionalFormatting sqref="A487">
    <cfRule type="cellIs" dxfId="6831" priority="35402" operator="equal">
      <formula>"APLAZADO"</formula>
    </cfRule>
    <cfRule type="cellIs" dxfId="6830" priority="35403" operator="equal">
      <formula>"CANCELADO"</formula>
    </cfRule>
    <cfRule type="cellIs" dxfId="6829" priority="35404" operator="equal">
      <formula>"NO EJECUTADO"</formula>
    </cfRule>
    <cfRule type="cellIs" dxfId="6828" priority="35405" operator="equal">
      <formula>"FPE"</formula>
    </cfRule>
    <cfRule type="cellIs" dxfId="6827" priority="35406" operator="equal">
      <formula>"AMA"</formula>
    </cfRule>
    <cfRule type="cellIs" dxfId="6826" priority="35407" operator="equal">
      <formula>"SIN DATOS"</formula>
    </cfRule>
    <cfRule type="cellIs" dxfId="6825" priority="35408" operator="equal">
      <formula>"SIN DATOS"</formula>
    </cfRule>
    <cfRule type="cellIs" dxfId="6824" priority="35409" operator="equal">
      <formula>"NO EJECTUTADO"</formula>
    </cfRule>
    <cfRule type="cellIs" dxfId="6823" priority="35410" operator="equal">
      <formula>"FE"</formula>
    </cfRule>
    <cfRule type="cellIs" dxfId="6822" priority="35411" operator="equal">
      <formula>"FE"</formula>
    </cfRule>
  </conditionalFormatting>
  <conditionalFormatting sqref="A487">
    <cfRule type="cellIs" dxfId="6821" priority="35400" operator="equal">
      <formula>"Retirado"</formula>
    </cfRule>
    <cfRule type="cellIs" dxfId="6820" priority="35401" operator="equal">
      <formula>"FSE"</formula>
    </cfRule>
  </conditionalFormatting>
  <conditionalFormatting sqref="F487">
    <cfRule type="cellIs" dxfId="6819" priority="35378" operator="equal">
      <formula>"APLAZADO"</formula>
    </cfRule>
    <cfRule type="cellIs" dxfId="6818" priority="35379" operator="equal">
      <formula>"CANCELADO"</formula>
    </cfRule>
    <cfRule type="cellIs" dxfId="6817" priority="35380" operator="equal">
      <formula>"NO EJECUTADO"</formula>
    </cfRule>
    <cfRule type="cellIs" dxfId="6816" priority="35381" operator="equal">
      <formula>"FPE"</formula>
    </cfRule>
    <cfRule type="cellIs" dxfId="6815" priority="35382" operator="equal">
      <formula>"AMA"</formula>
    </cfRule>
    <cfRule type="cellIs" dxfId="6814" priority="35383" operator="equal">
      <formula>"SIN DATOS"</formula>
    </cfRule>
    <cfRule type="cellIs" dxfId="6813" priority="35384" operator="equal">
      <formula>"SIN DATOS"</formula>
    </cfRule>
    <cfRule type="cellIs" dxfId="6812" priority="35385" operator="equal">
      <formula>"NO EJECTUTADO"</formula>
    </cfRule>
    <cfRule type="cellIs" dxfId="6811" priority="35386" operator="equal">
      <formula>"FE"</formula>
    </cfRule>
    <cfRule type="cellIs" dxfId="6810" priority="35387" operator="equal">
      <formula>"FE"</formula>
    </cfRule>
  </conditionalFormatting>
  <conditionalFormatting sqref="F487">
    <cfRule type="cellIs" dxfId="6809" priority="35376" operator="equal">
      <formula>"Retirado"</formula>
    </cfRule>
    <cfRule type="cellIs" dxfId="6808" priority="35377" operator="equal">
      <formula>"FSE"</formula>
    </cfRule>
  </conditionalFormatting>
  <conditionalFormatting sqref="B488">
    <cfRule type="cellIs" dxfId="6807" priority="35366" operator="equal">
      <formula>"Sin éxito"</formula>
    </cfRule>
    <cfRule type="cellIs" dxfId="6806" priority="35367" operator="equal">
      <formula>"Éxito con problemas"</formula>
    </cfRule>
    <cfRule type="cellIs" dxfId="6805" priority="35368" operator="equal">
      <formula>"CANCELADO"</formula>
    </cfRule>
    <cfRule type="cellIs" dxfId="6804" priority="35369" operator="equal">
      <formula>"Aplicada marcha atrás"</formula>
    </cfRule>
    <cfRule type="cellIs" dxfId="6803" priority="35370" operator="equal">
      <formula>"CON ÉXITO"</formula>
    </cfRule>
  </conditionalFormatting>
  <conditionalFormatting sqref="H488:H489">
    <cfRule type="duplicateValues" dxfId="6802" priority="35360"/>
  </conditionalFormatting>
  <conditionalFormatting sqref="A488:A489">
    <cfRule type="cellIs" dxfId="6801" priority="35350" operator="equal">
      <formula>"APLAZADO"</formula>
    </cfRule>
    <cfRule type="cellIs" dxfId="6800" priority="35351" operator="equal">
      <formula>"CANCELADO"</formula>
    </cfRule>
    <cfRule type="cellIs" dxfId="6799" priority="35352" operator="equal">
      <formula>"NO EJECUTADO"</formula>
    </cfRule>
    <cfRule type="cellIs" dxfId="6798" priority="35353" operator="equal">
      <formula>"FPE"</formula>
    </cfRule>
    <cfRule type="cellIs" dxfId="6797" priority="35354" operator="equal">
      <formula>"AMA"</formula>
    </cfRule>
    <cfRule type="cellIs" dxfId="6796" priority="35355" operator="equal">
      <formula>"SIN DATOS"</formula>
    </cfRule>
    <cfRule type="cellIs" dxfId="6795" priority="35356" operator="equal">
      <formula>"SIN DATOS"</formula>
    </cfRule>
    <cfRule type="cellIs" dxfId="6794" priority="35357" operator="equal">
      <formula>"NO EJECTUTADO"</formula>
    </cfRule>
    <cfRule type="cellIs" dxfId="6793" priority="35358" operator="equal">
      <formula>"FE"</formula>
    </cfRule>
    <cfRule type="cellIs" dxfId="6792" priority="35359" operator="equal">
      <formula>"FE"</formula>
    </cfRule>
  </conditionalFormatting>
  <conditionalFormatting sqref="A488:A489">
    <cfRule type="cellIs" dxfId="6791" priority="35348" operator="equal">
      <formula>"Retirado"</formula>
    </cfRule>
    <cfRule type="cellIs" dxfId="6790" priority="35349" operator="equal">
      <formula>"FSE"</formula>
    </cfRule>
  </conditionalFormatting>
  <conditionalFormatting sqref="F488">
    <cfRule type="cellIs" dxfId="6789" priority="35326" operator="equal">
      <formula>"APLAZADO"</formula>
    </cfRule>
    <cfRule type="cellIs" dxfId="6788" priority="35327" operator="equal">
      <formula>"CANCELADO"</formula>
    </cfRule>
    <cfRule type="cellIs" dxfId="6787" priority="35328" operator="equal">
      <formula>"NO EJECUTADO"</formula>
    </cfRule>
    <cfRule type="cellIs" dxfId="6786" priority="35329" operator="equal">
      <formula>"FPE"</formula>
    </cfRule>
    <cfRule type="cellIs" dxfId="6785" priority="35330" operator="equal">
      <formula>"AMA"</formula>
    </cfRule>
    <cfRule type="cellIs" dxfId="6784" priority="35331" operator="equal">
      <formula>"SIN DATOS"</formula>
    </cfRule>
    <cfRule type="cellIs" dxfId="6783" priority="35332" operator="equal">
      <formula>"SIN DATOS"</formula>
    </cfRule>
    <cfRule type="cellIs" dxfId="6782" priority="35333" operator="equal">
      <formula>"NO EJECTUTADO"</formula>
    </cfRule>
    <cfRule type="cellIs" dxfId="6781" priority="35334" operator="equal">
      <formula>"FE"</formula>
    </cfRule>
    <cfRule type="cellIs" dxfId="6780" priority="35335" operator="equal">
      <formula>"FE"</formula>
    </cfRule>
  </conditionalFormatting>
  <conditionalFormatting sqref="F488">
    <cfRule type="cellIs" dxfId="6779" priority="35324" operator="equal">
      <formula>"Retirado"</formula>
    </cfRule>
    <cfRule type="cellIs" dxfId="6778" priority="35325" operator="equal">
      <formula>"FSE"</formula>
    </cfRule>
  </conditionalFormatting>
  <conditionalFormatting sqref="F489">
    <cfRule type="cellIs" dxfId="6777" priority="35314" operator="equal">
      <formula>"APLAZADO"</formula>
    </cfRule>
    <cfRule type="cellIs" dxfId="6776" priority="35315" operator="equal">
      <formula>"CANCELADO"</formula>
    </cfRule>
    <cfRule type="cellIs" dxfId="6775" priority="35316" operator="equal">
      <formula>"NO EJECUTADO"</formula>
    </cfRule>
    <cfRule type="cellIs" dxfId="6774" priority="35317" operator="equal">
      <formula>"FPE"</formula>
    </cfRule>
    <cfRule type="cellIs" dxfId="6773" priority="35318" operator="equal">
      <formula>"AMA"</formula>
    </cfRule>
    <cfRule type="cellIs" dxfId="6772" priority="35319" operator="equal">
      <formula>"SIN DATOS"</formula>
    </cfRule>
    <cfRule type="cellIs" dxfId="6771" priority="35320" operator="equal">
      <formula>"SIN DATOS"</formula>
    </cfRule>
    <cfRule type="cellIs" dxfId="6770" priority="35321" operator="equal">
      <formula>"NO EJECTUTADO"</formula>
    </cfRule>
    <cfRule type="cellIs" dxfId="6769" priority="35322" operator="equal">
      <formula>"FE"</formula>
    </cfRule>
    <cfRule type="cellIs" dxfId="6768" priority="35323" operator="equal">
      <formula>"FE"</formula>
    </cfRule>
  </conditionalFormatting>
  <conditionalFormatting sqref="F489">
    <cfRule type="cellIs" dxfId="6767" priority="35312" operator="equal">
      <formula>"Retirado"</formula>
    </cfRule>
    <cfRule type="cellIs" dxfId="6766" priority="35313" operator="equal">
      <formula>"FSE"</formula>
    </cfRule>
  </conditionalFormatting>
  <conditionalFormatting sqref="B446">
    <cfRule type="cellIs" dxfId="6765" priority="35281" operator="equal">
      <formula>"Sin éxito"</formula>
    </cfRule>
    <cfRule type="cellIs" dxfId="6764" priority="35282" operator="equal">
      <formula>"Éxito con problemas"</formula>
    </cfRule>
    <cfRule type="cellIs" dxfId="6763" priority="35283" operator="equal">
      <formula>"CANCELADO"</formula>
    </cfRule>
    <cfRule type="cellIs" dxfId="6762" priority="35284" operator="equal">
      <formula>"Aplicada marcha atrás"</formula>
    </cfRule>
    <cfRule type="cellIs" dxfId="6761" priority="35285" operator="equal">
      <formula>"CON ÉXITO"</formula>
    </cfRule>
  </conditionalFormatting>
  <conditionalFormatting sqref="B447">
    <cfRule type="cellIs" dxfId="6760" priority="35270" operator="equal">
      <formula>"Sin éxito"</formula>
    </cfRule>
    <cfRule type="cellIs" dxfId="6759" priority="35271" operator="equal">
      <formula>"Éxito con problemas"</formula>
    </cfRule>
    <cfRule type="cellIs" dxfId="6758" priority="35272" operator="equal">
      <formula>"CANCELADO"</formula>
    </cfRule>
    <cfRule type="cellIs" dxfId="6757" priority="35273" operator="equal">
      <formula>"Aplicada marcha atrás"</formula>
    </cfRule>
    <cfRule type="cellIs" dxfId="6756" priority="35274" operator="equal">
      <formula>"CON ÉXITO"</formula>
    </cfRule>
  </conditionalFormatting>
  <conditionalFormatting sqref="B448">
    <cfRule type="cellIs" dxfId="6755" priority="35259" operator="equal">
      <formula>"Sin éxito"</formula>
    </cfRule>
    <cfRule type="cellIs" dxfId="6754" priority="35260" operator="equal">
      <formula>"Éxito con problemas"</formula>
    </cfRule>
    <cfRule type="cellIs" dxfId="6753" priority="35261" operator="equal">
      <formula>"CANCELADO"</formula>
    </cfRule>
    <cfRule type="cellIs" dxfId="6752" priority="35262" operator="equal">
      <formula>"Aplicada marcha atrás"</formula>
    </cfRule>
    <cfRule type="cellIs" dxfId="6751" priority="35263" operator="equal">
      <formula>"CON ÉXITO"</formula>
    </cfRule>
  </conditionalFormatting>
  <conditionalFormatting sqref="B449">
    <cfRule type="cellIs" dxfId="6750" priority="35248" operator="equal">
      <formula>"Sin éxito"</formula>
    </cfRule>
    <cfRule type="cellIs" dxfId="6749" priority="35249" operator="equal">
      <formula>"Éxito con problemas"</formula>
    </cfRule>
    <cfRule type="cellIs" dxfId="6748" priority="35250" operator="equal">
      <formula>"CANCELADO"</formula>
    </cfRule>
    <cfRule type="cellIs" dxfId="6747" priority="35251" operator="equal">
      <formula>"Aplicada marcha atrás"</formula>
    </cfRule>
    <cfRule type="cellIs" dxfId="6746" priority="35252" operator="equal">
      <formula>"CON ÉXITO"</formula>
    </cfRule>
  </conditionalFormatting>
  <conditionalFormatting sqref="B450">
    <cfRule type="cellIs" dxfId="6745" priority="35237" operator="equal">
      <formula>"Sin éxito"</formula>
    </cfRule>
    <cfRule type="cellIs" dxfId="6744" priority="35238" operator="equal">
      <formula>"Éxito con problemas"</formula>
    </cfRule>
    <cfRule type="cellIs" dxfId="6743" priority="35239" operator="equal">
      <formula>"CANCELADO"</formula>
    </cfRule>
    <cfRule type="cellIs" dxfId="6742" priority="35240" operator="equal">
      <formula>"Aplicada marcha atrás"</formula>
    </cfRule>
    <cfRule type="cellIs" dxfId="6741" priority="35241" operator="equal">
      <formula>"CON ÉXITO"</formula>
    </cfRule>
  </conditionalFormatting>
  <conditionalFormatting sqref="H490">
    <cfRule type="duplicateValues" dxfId="6740" priority="35226"/>
  </conditionalFormatting>
  <conditionalFormatting sqref="A490">
    <cfRule type="cellIs" dxfId="6739" priority="35216" operator="equal">
      <formula>"APLAZADO"</formula>
    </cfRule>
    <cfRule type="cellIs" dxfId="6738" priority="35217" operator="equal">
      <formula>"CANCELADO"</formula>
    </cfRule>
    <cfRule type="cellIs" dxfId="6737" priority="35218" operator="equal">
      <formula>"NO EJECUTADO"</formula>
    </cfRule>
    <cfRule type="cellIs" dxfId="6736" priority="35219" operator="equal">
      <formula>"FPE"</formula>
    </cfRule>
    <cfRule type="cellIs" dxfId="6735" priority="35220" operator="equal">
      <formula>"AMA"</formula>
    </cfRule>
    <cfRule type="cellIs" dxfId="6734" priority="35221" operator="equal">
      <formula>"SIN DATOS"</formula>
    </cfRule>
    <cfRule type="cellIs" dxfId="6733" priority="35222" operator="equal">
      <formula>"SIN DATOS"</formula>
    </cfRule>
    <cfRule type="cellIs" dxfId="6732" priority="35223" operator="equal">
      <formula>"NO EJECTUTADO"</formula>
    </cfRule>
    <cfRule type="cellIs" dxfId="6731" priority="35224" operator="equal">
      <formula>"FE"</formula>
    </cfRule>
    <cfRule type="cellIs" dxfId="6730" priority="35225" operator="equal">
      <formula>"FE"</formula>
    </cfRule>
  </conditionalFormatting>
  <conditionalFormatting sqref="A490">
    <cfRule type="cellIs" dxfId="6729" priority="35214" operator="equal">
      <formula>"Retirado"</formula>
    </cfRule>
    <cfRule type="cellIs" dxfId="6728" priority="35215" operator="equal">
      <formula>"FSE"</formula>
    </cfRule>
  </conditionalFormatting>
  <conditionalFormatting sqref="F490">
    <cfRule type="cellIs" dxfId="6727" priority="35204" operator="equal">
      <formula>"APLAZADO"</formula>
    </cfRule>
    <cfRule type="cellIs" dxfId="6726" priority="35205" operator="equal">
      <formula>"CANCELADO"</formula>
    </cfRule>
    <cfRule type="cellIs" dxfId="6725" priority="35206" operator="equal">
      <formula>"NO EJECUTADO"</formula>
    </cfRule>
    <cfRule type="cellIs" dxfId="6724" priority="35207" operator="equal">
      <formula>"FPE"</formula>
    </cfRule>
    <cfRule type="cellIs" dxfId="6723" priority="35208" operator="equal">
      <formula>"AMA"</formula>
    </cfRule>
    <cfRule type="cellIs" dxfId="6722" priority="35209" operator="equal">
      <formula>"SIN DATOS"</formula>
    </cfRule>
    <cfRule type="cellIs" dxfId="6721" priority="35210" operator="equal">
      <formula>"SIN DATOS"</formula>
    </cfRule>
    <cfRule type="cellIs" dxfId="6720" priority="35211" operator="equal">
      <formula>"NO EJECTUTADO"</formula>
    </cfRule>
    <cfRule type="cellIs" dxfId="6719" priority="35212" operator="equal">
      <formula>"FE"</formula>
    </cfRule>
    <cfRule type="cellIs" dxfId="6718" priority="35213" operator="equal">
      <formula>"FE"</formula>
    </cfRule>
  </conditionalFormatting>
  <conditionalFormatting sqref="F490">
    <cfRule type="cellIs" dxfId="6717" priority="35202" operator="equal">
      <formula>"Retirado"</formula>
    </cfRule>
    <cfRule type="cellIs" dxfId="6716" priority="35203" operator="equal">
      <formula>"FSE"</formula>
    </cfRule>
  </conditionalFormatting>
  <conditionalFormatting sqref="B451">
    <cfRule type="cellIs" dxfId="6715" priority="35191" operator="equal">
      <formula>"Sin éxito"</formula>
    </cfRule>
    <cfRule type="cellIs" dxfId="6714" priority="35192" operator="equal">
      <formula>"Éxito con problemas"</formula>
    </cfRule>
    <cfRule type="cellIs" dxfId="6713" priority="35193" operator="equal">
      <formula>"CANCELADO"</formula>
    </cfRule>
    <cfRule type="cellIs" dxfId="6712" priority="35194" operator="equal">
      <formula>"Aplicada marcha atrás"</formula>
    </cfRule>
    <cfRule type="cellIs" dxfId="6711" priority="35195" operator="equal">
      <formula>"CON ÉXITO"</formula>
    </cfRule>
  </conditionalFormatting>
  <conditionalFormatting sqref="B452">
    <cfRule type="cellIs" dxfId="6710" priority="35175" operator="equal">
      <formula>"Sin éxito"</formula>
    </cfRule>
    <cfRule type="cellIs" dxfId="6709" priority="35176" operator="equal">
      <formula>"Éxito con problemas"</formula>
    </cfRule>
    <cfRule type="cellIs" dxfId="6708" priority="35177" operator="equal">
      <formula>"CANCELADO"</formula>
    </cfRule>
    <cfRule type="cellIs" dxfId="6707" priority="35178" operator="equal">
      <formula>"Aplicada marcha atrás"</formula>
    </cfRule>
    <cfRule type="cellIs" dxfId="6706" priority="35179" operator="equal">
      <formula>"CON ÉXITO"</formula>
    </cfRule>
  </conditionalFormatting>
  <conditionalFormatting sqref="B453">
    <cfRule type="cellIs" dxfId="6705" priority="35149" operator="equal">
      <formula>"Sin éxito"</formula>
    </cfRule>
    <cfRule type="cellIs" dxfId="6704" priority="35150" operator="equal">
      <formula>"Éxito con problemas"</formula>
    </cfRule>
    <cfRule type="cellIs" dxfId="6703" priority="35151" operator="equal">
      <formula>"CANCELADO"</formula>
    </cfRule>
    <cfRule type="cellIs" dxfId="6702" priority="35152" operator="equal">
      <formula>"Aplicada marcha atrás"</formula>
    </cfRule>
    <cfRule type="cellIs" dxfId="6701" priority="35153" operator="equal">
      <formula>"CON ÉXITO"</formula>
    </cfRule>
  </conditionalFormatting>
  <conditionalFormatting sqref="B454">
    <cfRule type="cellIs" dxfId="6700" priority="35138" operator="equal">
      <formula>"Sin éxito"</formula>
    </cfRule>
    <cfRule type="cellIs" dxfId="6699" priority="35139" operator="equal">
      <formula>"Éxito con problemas"</formula>
    </cfRule>
    <cfRule type="cellIs" dxfId="6698" priority="35140" operator="equal">
      <formula>"CANCELADO"</formula>
    </cfRule>
    <cfRule type="cellIs" dxfId="6697" priority="35141" operator="equal">
      <formula>"Aplicada marcha atrás"</formula>
    </cfRule>
    <cfRule type="cellIs" dxfId="6696" priority="35142" operator="equal">
      <formula>"CON ÉXITO"</formula>
    </cfRule>
  </conditionalFormatting>
  <conditionalFormatting sqref="B455">
    <cfRule type="cellIs" dxfId="6695" priority="35127" operator="equal">
      <formula>"Sin éxito"</formula>
    </cfRule>
    <cfRule type="cellIs" dxfId="6694" priority="35128" operator="equal">
      <formula>"Éxito con problemas"</formula>
    </cfRule>
    <cfRule type="cellIs" dxfId="6693" priority="35129" operator="equal">
      <formula>"CANCELADO"</formula>
    </cfRule>
    <cfRule type="cellIs" dxfId="6692" priority="35130" operator="equal">
      <formula>"Aplicada marcha atrás"</formula>
    </cfRule>
    <cfRule type="cellIs" dxfId="6691" priority="35131" operator="equal">
      <formula>"CON ÉXITO"</formula>
    </cfRule>
  </conditionalFormatting>
  <conditionalFormatting sqref="B456">
    <cfRule type="cellIs" dxfId="6690" priority="35116" operator="equal">
      <formula>"Sin éxito"</formula>
    </cfRule>
    <cfRule type="cellIs" dxfId="6689" priority="35117" operator="equal">
      <formula>"Éxito con problemas"</formula>
    </cfRule>
    <cfRule type="cellIs" dxfId="6688" priority="35118" operator="equal">
      <formula>"CANCELADO"</formula>
    </cfRule>
    <cfRule type="cellIs" dxfId="6687" priority="35119" operator="equal">
      <formula>"Aplicada marcha atrás"</formula>
    </cfRule>
    <cfRule type="cellIs" dxfId="6686" priority="35120" operator="equal">
      <formula>"CON ÉXITO"</formula>
    </cfRule>
  </conditionalFormatting>
  <conditionalFormatting sqref="B457">
    <cfRule type="cellIs" dxfId="6685" priority="35105" operator="equal">
      <formula>"Sin éxito"</formula>
    </cfRule>
    <cfRule type="cellIs" dxfId="6684" priority="35106" operator="equal">
      <formula>"Éxito con problemas"</formula>
    </cfRule>
    <cfRule type="cellIs" dxfId="6683" priority="35107" operator="equal">
      <formula>"CANCELADO"</formula>
    </cfRule>
    <cfRule type="cellIs" dxfId="6682" priority="35108" operator="equal">
      <formula>"Aplicada marcha atrás"</formula>
    </cfRule>
    <cfRule type="cellIs" dxfId="6681" priority="35109" operator="equal">
      <formula>"CON ÉXITO"</formula>
    </cfRule>
  </conditionalFormatting>
  <conditionalFormatting sqref="B459">
    <cfRule type="cellIs" dxfId="6680" priority="35094" operator="equal">
      <formula>"Sin éxito"</formula>
    </cfRule>
    <cfRule type="cellIs" dxfId="6679" priority="35095" operator="equal">
      <formula>"Éxito con problemas"</formula>
    </cfRule>
    <cfRule type="cellIs" dxfId="6678" priority="35096" operator="equal">
      <formula>"CANCELADO"</formula>
    </cfRule>
    <cfRule type="cellIs" dxfId="6677" priority="35097" operator="equal">
      <formula>"Aplicada marcha atrás"</formula>
    </cfRule>
    <cfRule type="cellIs" dxfId="6676" priority="35098" operator="equal">
      <formula>"CON ÉXITO"</formula>
    </cfRule>
  </conditionalFormatting>
  <conditionalFormatting sqref="H491:H492">
    <cfRule type="duplicateValues" dxfId="6675" priority="35083"/>
  </conditionalFormatting>
  <conditionalFormatting sqref="A491:A492">
    <cfRule type="cellIs" dxfId="6674" priority="35073" operator="equal">
      <formula>"APLAZADO"</formula>
    </cfRule>
    <cfRule type="cellIs" dxfId="6673" priority="35074" operator="equal">
      <formula>"CANCELADO"</formula>
    </cfRule>
    <cfRule type="cellIs" dxfId="6672" priority="35075" operator="equal">
      <formula>"NO EJECUTADO"</formula>
    </cfRule>
    <cfRule type="cellIs" dxfId="6671" priority="35076" operator="equal">
      <formula>"FPE"</formula>
    </cfRule>
    <cfRule type="cellIs" dxfId="6670" priority="35077" operator="equal">
      <formula>"AMA"</formula>
    </cfRule>
    <cfRule type="cellIs" dxfId="6669" priority="35078" operator="equal">
      <formula>"SIN DATOS"</formula>
    </cfRule>
    <cfRule type="cellIs" dxfId="6668" priority="35079" operator="equal">
      <formula>"SIN DATOS"</formula>
    </cfRule>
    <cfRule type="cellIs" dxfId="6667" priority="35080" operator="equal">
      <formula>"NO EJECTUTADO"</formula>
    </cfRule>
    <cfRule type="cellIs" dxfId="6666" priority="35081" operator="equal">
      <formula>"FE"</formula>
    </cfRule>
    <cfRule type="cellIs" dxfId="6665" priority="35082" operator="equal">
      <formula>"FE"</formula>
    </cfRule>
  </conditionalFormatting>
  <conditionalFormatting sqref="A491:A492">
    <cfRule type="cellIs" dxfId="6664" priority="35071" operator="equal">
      <formula>"Retirado"</formula>
    </cfRule>
    <cfRule type="cellIs" dxfId="6663" priority="35072" operator="equal">
      <formula>"FSE"</formula>
    </cfRule>
  </conditionalFormatting>
  <conditionalFormatting sqref="F491">
    <cfRule type="cellIs" dxfId="6662" priority="35049" operator="equal">
      <formula>"APLAZADO"</formula>
    </cfRule>
    <cfRule type="cellIs" dxfId="6661" priority="35050" operator="equal">
      <formula>"CANCELADO"</formula>
    </cfRule>
    <cfRule type="cellIs" dxfId="6660" priority="35051" operator="equal">
      <formula>"NO EJECUTADO"</formula>
    </cfRule>
    <cfRule type="cellIs" dxfId="6659" priority="35052" operator="equal">
      <formula>"FPE"</formula>
    </cfRule>
    <cfRule type="cellIs" dxfId="6658" priority="35053" operator="equal">
      <formula>"AMA"</formula>
    </cfRule>
    <cfRule type="cellIs" dxfId="6657" priority="35054" operator="equal">
      <formula>"SIN DATOS"</formula>
    </cfRule>
    <cfRule type="cellIs" dxfId="6656" priority="35055" operator="equal">
      <formula>"SIN DATOS"</formula>
    </cfRule>
    <cfRule type="cellIs" dxfId="6655" priority="35056" operator="equal">
      <formula>"NO EJECTUTADO"</formula>
    </cfRule>
    <cfRule type="cellIs" dxfId="6654" priority="35057" operator="equal">
      <formula>"FE"</formula>
    </cfRule>
    <cfRule type="cellIs" dxfId="6653" priority="35058" operator="equal">
      <formula>"FE"</formula>
    </cfRule>
  </conditionalFormatting>
  <conditionalFormatting sqref="F491">
    <cfRule type="cellIs" dxfId="6652" priority="35047" operator="equal">
      <formula>"Retirado"</formula>
    </cfRule>
    <cfRule type="cellIs" dxfId="6651" priority="35048" operator="equal">
      <formula>"FSE"</formula>
    </cfRule>
  </conditionalFormatting>
  <conditionalFormatting sqref="F492">
    <cfRule type="cellIs" dxfId="6650" priority="35037" operator="equal">
      <formula>"APLAZADO"</formula>
    </cfRule>
    <cfRule type="cellIs" dxfId="6649" priority="35038" operator="equal">
      <formula>"CANCELADO"</formula>
    </cfRule>
    <cfRule type="cellIs" dxfId="6648" priority="35039" operator="equal">
      <formula>"NO EJECUTADO"</formula>
    </cfRule>
    <cfRule type="cellIs" dxfId="6647" priority="35040" operator="equal">
      <formula>"FPE"</formula>
    </cfRule>
    <cfRule type="cellIs" dxfId="6646" priority="35041" operator="equal">
      <formula>"AMA"</formula>
    </cfRule>
    <cfRule type="cellIs" dxfId="6645" priority="35042" operator="equal">
      <formula>"SIN DATOS"</formula>
    </cfRule>
    <cfRule type="cellIs" dxfId="6644" priority="35043" operator="equal">
      <formula>"SIN DATOS"</formula>
    </cfRule>
    <cfRule type="cellIs" dxfId="6643" priority="35044" operator="equal">
      <formula>"NO EJECTUTADO"</formula>
    </cfRule>
    <cfRule type="cellIs" dxfId="6642" priority="35045" operator="equal">
      <formula>"FE"</formula>
    </cfRule>
    <cfRule type="cellIs" dxfId="6641" priority="35046" operator="equal">
      <formula>"FE"</formula>
    </cfRule>
  </conditionalFormatting>
  <conditionalFormatting sqref="F492">
    <cfRule type="cellIs" dxfId="6640" priority="35035" operator="equal">
      <formula>"Retirado"</formula>
    </cfRule>
    <cfRule type="cellIs" dxfId="6639" priority="35036" operator="equal">
      <formula>"FSE"</formula>
    </cfRule>
  </conditionalFormatting>
  <conditionalFormatting sqref="B493">
    <cfRule type="cellIs" dxfId="6638" priority="35030" operator="equal">
      <formula>"Sin éxito"</formula>
    </cfRule>
    <cfRule type="cellIs" dxfId="6637" priority="35031" operator="equal">
      <formula>"Éxito con problemas"</formula>
    </cfRule>
    <cfRule type="cellIs" dxfId="6636" priority="35032" operator="equal">
      <formula>"CANCELADO"</formula>
    </cfRule>
    <cfRule type="cellIs" dxfId="6635" priority="35033" operator="equal">
      <formula>"Aplicada marcha atrás"</formula>
    </cfRule>
    <cfRule type="cellIs" dxfId="6634" priority="35034" operator="equal">
      <formula>"CON ÉXITO"</formula>
    </cfRule>
  </conditionalFormatting>
  <conditionalFormatting sqref="H493:H494">
    <cfRule type="duplicateValues" dxfId="6633" priority="35024"/>
  </conditionalFormatting>
  <conditionalFormatting sqref="A493:A494">
    <cfRule type="cellIs" dxfId="6632" priority="34990" operator="equal">
      <formula>"APLAZADO"</formula>
    </cfRule>
    <cfRule type="cellIs" dxfId="6631" priority="34991" operator="equal">
      <formula>"CANCELADO"</formula>
    </cfRule>
    <cfRule type="cellIs" dxfId="6630" priority="34992" operator="equal">
      <formula>"NO EJECUTADO"</formula>
    </cfRule>
    <cfRule type="cellIs" dxfId="6629" priority="34993" operator="equal">
      <formula>"FPE"</formula>
    </cfRule>
    <cfRule type="cellIs" dxfId="6628" priority="34994" operator="equal">
      <formula>"AMA"</formula>
    </cfRule>
    <cfRule type="cellIs" dxfId="6627" priority="34995" operator="equal">
      <formula>"SIN DATOS"</formula>
    </cfRule>
    <cfRule type="cellIs" dxfId="6626" priority="34996" operator="equal">
      <formula>"SIN DATOS"</formula>
    </cfRule>
    <cfRule type="cellIs" dxfId="6625" priority="34997" operator="equal">
      <formula>"NO EJECTUTADO"</formula>
    </cfRule>
    <cfRule type="cellIs" dxfId="6624" priority="34998" operator="equal">
      <formula>"FE"</formula>
    </cfRule>
    <cfRule type="cellIs" dxfId="6623" priority="34999" operator="equal">
      <formula>"FE"</formula>
    </cfRule>
  </conditionalFormatting>
  <conditionalFormatting sqref="A493:A494">
    <cfRule type="cellIs" dxfId="6622" priority="34988" operator="equal">
      <formula>"Retirado"</formula>
    </cfRule>
    <cfRule type="cellIs" dxfId="6621" priority="34989" operator="equal">
      <formula>"FSE"</formula>
    </cfRule>
  </conditionalFormatting>
  <conditionalFormatting sqref="F493">
    <cfRule type="cellIs" dxfId="6620" priority="34978" operator="equal">
      <formula>"APLAZADO"</formula>
    </cfRule>
    <cfRule type="cellIs" dxfId="6619" priority="34979" operator="equal">
      <formula>"CANCELADO"</formula>
    </cfRule>
    <cfRule type="cellIs" dxfId="6618" priority="34980" operator="equal">
      <formula>"NO EJECUTADO"</formula>
    </cfRule>
    <cfRule type="cellIs" dxfId="6617" priority="34981" operator="equal">
      <formula>"FPE"</formula>
    </cfRule>
    <cfRule type="cellIs" dxfId="6616" priority="34982" operator="equal">
      <formula>"AMA"</formula>
    </cfRule>
    <cfRule type="cellIs" dxfId="6615" priority="34983" operator="equal">
      <formula>"SIN DATOS"</formula>
    </cfRule>
    <cfRule type="cellIs" dxfId="6614" priority="34984" operator="equal">
      <formula>"SIN DATOS"</formula>
    </cfRule>
    <cfRule type="cellIs" dxfId="6613" priority="34985" operator="equal">
      <formula>"NO EJECTUTADO"</formula>
    </cfRule>
    <cfRule type="cellIs" dxfId="6612" priority="34986" operator="equal">
      <formula>"FE"</formula>
    </cfRule>
    <cfRule type="cellIs" dxfId="6611" priority="34987" operator="equal">
      <formula>"FE"</formula>
    </cfRule>
  </conditionalFormatting>
  <conditionalFormatting sqref="F493">
    <cfRule type="cellIs" dxfId="6610" priority="34976" operator="equal">
      <formula>"Retirado"</formula>
    </cfRule>
    <cfRule type="cellIs" dxfId="6609" priority="34977" operator="equal">
      <formula>"FSE"</formula>
    </cfRule>
  </conditionalFormatting>
  <conditionalFormatting sqref="F494">
    <cfRule type="cellIs" dxfId="6608" priority="34966" operator="equal">
      <formula>"APLAZADO"</formula>
    </cfRule>
    <cfRule type="cellIs" dxfId="6607" priority="34967" operator="equal">
      <formula>"CANCELADO"</formula>
    </cfRule>
    <cfRule type="cellIs" dxfId="6606" priority="34968" operator="equal">
      <formula>"NO EJECUTADO"</formula>
    </cfRule>
    <cfRule type="cellIs" dxfId="6605" priority="34969" operator="equal">
      <formula>"FPE"</formula>
    </cfRule>
    <cfRule type="cellIs" dxfId="6604" priority="34970" operator="equal">
      <formula>"AMA"</formula>
    </cfRule>
    <cfRule type="cellIs" dxfId="6603" priority="34971" operator="equal">
      <formula>"SIN DATOS"</formula>
    </cfRule>
    <cfRule type="cellIs" dxfId="6602" priority="34972" operator="equal">
      <formula>"SIN DATOS"</formula>
    </cfRule>
    <cfRule type="cellIs" dxfId="6601" priority="34973" operator="equal">
      <formula>"NO EJECTUTADO"</formula>
    </cfRule>
    <cfRule type="cellIs" dxfId="6600" priority="34974" operator="equal">
      <formula>"FE"</formula>
    </cfRule>
    <cfRule type="cellIs" dxfId="6599" priority="34975" operator="equal">
      <formula>"FE"</formula>
    </cfRule>
  </conditionalFormatting>
  <conditionalFormatting sqref="F494">
    <cfRule type="cellIs" dxfId="6598" priority="34964" operator="equal">
      <formula>"Retirado"</formula>
    </cfRule>
    <cfRule type="cellIs" dxfId="6597" priority="34965" operator="equal">
      <formula>"FSE"</formula>
    </cfRule>
  </conditionalFormatting>
  <conditionalFormatting sqref="G1 H1016 H734:H767 I752:I753 H1018:H1019 H1021:H1029 H1034 H1089:H1048576 G1054:H1071 G1036:G1052 G1073:H1088">
    <cfRule type="cellIs" dxfId="6596" priority="34938" operator="equal">
      <formula>"Borrador"</formula>
    </cfRule>
  </conditionalFormatting>
  <conditionalFormatting sqref="B460:B461">
    <cfRule type="cellIs" dxfId="6595" priority="34927" operator="equal">
      <formula>"Sin éxito"</formula>
    </cfRule>
    <cfRule type="cellIs" dxfId="6594" priority="34928" operator="equal">
      <formula>"Éxito con problemas"</formula>
    </cfRule>
    <cfRule type="cellIs" dxfId="6593" priority="34929" operator="equal">
      <formula>"CANCELADO"</formula>
    </cfRule>
    <cfRule type="cellIs" dxfId="6592" priority="34930" operator="equal">
      <formula>"Aplicada marcha atrás"</formula>
    </cfRule>
    <cfRule type="cellIs" dxfId="6591" priority="34931" operator="equal">
      <formula>"CON ÉXITO"</formula>
    </cfRule>
  </conditionalFormatting>
  <conditionalFormatting sqref="H495">
    <cfRule type="duplicateValues" dxfId="6590" priority="34870"/>
  </conditionalFormatting>
  <conditionalFormatting sqref="A495">
    <cfRule type="cellIs" dxfId="6589" priority="34860" operator="equal">
      <formula>"APLAZADO"</formula>
    </cfRule>
    <cfRule type="cellIs" dxfId="6588" priority="34861" operator="equal">
      <formula>"CANCELADO"</formula>
    </cfRule>
    <cfRule type="cellIs" dxfId="6587" priority="34862" operator="equal">
      <formula>"NO EJECUTADO"</formula>
    </cfRule>
    <cfRule type="cellIs" dxfId="6586" priority="34863" operator="equal">
      <formula>"FPE"</formula>
    </cfRule>
    <cfRule type="cellIs" dxfId="6585" priority="34864" operator="equal">
      <formula>"AMA"</formula>
    </cfRule>
    <cfRule type="cellIs" dxfId="6584" priority="34865" operator="equal">
      <formula>"SIN DATOS"</formula>
    </cfRule>
    <cfRule type="cellIs" dxfId="6583" priority="34866" operator="equal">
      <formula>"SIN DATOS"</formula>
    </cfRule>
    <cfRule type="cellIs" dxfId="6582" priority="34867" operator="equal">
      <formula>"NO EJECTUTADO"</formula>
    </cfRule>
    <cfRule type="cellIs" dxfId="6581" priority="34868" operator="equal">
      <formula>"FE"</formula>
    </cfRule>
    <cfRule type="cellIs" dxfId="6580" priority="34869" operator="equal">
      <formula>"FE"</formula>
    </cfRule>
  </conditionalFormatting>
  <conditionalFormatting sqref="A495">
    <cfRule type="cellIs" dxfId="6579" priority="34858" operator="equal">
      <formula>"Retirado"</formula>
    </cfRule>
    <cfRule type="cellIs" dxfId="6578" priority="34859" operator="equal">
      <formula>"FSE"</formula>
    </cfRule>
  </conditionalFormatting>
  <conditionalFormatting sqref="F495">
    <cfRule type="cellIs" dxfId="6577" priority="34835" operator="equal">
      <formula>"APLAZADO"</formula>
    </cfRule>
    <cfRule type="cellIs" dxfId="6576" priority="34836" operator="equal">
      <formula>"CANCELADO"</formula>
    </cfRule>
    <cfRule type="cellIs" dxfId="6575" priority="34837" operator="equal">
      <formula>"NO EJECUTADO"</formula>
    </cfRule>
    <cfRule type="cellIs" dxfId="6574" priority="34838" operator="equal">
      <formula>"FPE"</formula>
    </cfRule>
    <cfRule type="cellIs" dxfId="6573" priority="34839" operator="equal">
      <formula>"AMA"</formula>
    </cfRule>
    <cfRule type="cellIs" dxfId="6572" priority="34840" operator="equal">
      <formula>"SIN DATOS"</formula>
    </cfRule>
    <cfRule type="cellIs" dxfId="6571" priority="34841" operator="equal">
      <formula>"SIN DATOS"</formula>
    </cfRule>
    <cfRule type="cellIs" dxfId="6570" priority="34842" operator="equal">
      <formula>"NO EJECTUTADO"</formula>
    </cfRule>
    <cfRule type="cellIs" dxfId="6569" priority="34843" operator="equal">
      <formula>"FE"</formula>
    </cfRule>
    <cfRule type="cellIs" dxfId="6568" priority="34844" operator="equal">
      <formula>"FE"</formula>
    </cfRule>
  </conditionalFormatting>
  <conditionalFormatting sqref="F495">
    <cfRule type="cellIs" dxfId="6567" priority="34833" operator="equal">
      <formula>"Retirado"</formula>
    </cfRule>
    <cfRule type="cellIs" dxfId="6566" priority="34834" operator="equal">
      <formula>"FSE"</formula>
    </cfRule>
  </conditionalFormatting>
  <conditionalFormatting sqref="H496">
    <cfRule type="duplicateValues" dxfId="6565" priority="34817"/>
  </conditionalFormatting>
  <conditionalFormatting sqref="A496">
    <cfRule type="cellIs" dxfId="6564" priority="34807" operator="equal">
      <formula>"APLAZADO"</formula>
    </cfRule>
    <cfRule type="cellIs" dxfId="6563" priority="34808" operator="equal">
      <formula>"CANCELADO"</formula>
    </cfRule>
    <cfRule type="cellIs" dxfId="6562" priority="34809" operator="equal">
      <formula>"NO EJECUTADO"</formula>
    </cfRule>
    <cfRule type="cellIs" dxfId="6561" priority="34810" operator="equal">
      <formula>"FPE"</formula>
    </cfRule>
    <cfRule type="cellIs" dxfId="6560" priority="34811" operator="equal">
      <formula>"AMA"</formula>
    </cfRule>
    <cfRule type="cellIs" dxfId="6559" priority="34812" operator="equal">
      <formula>"SIN DATOS"</formula>
    </cfRule>
    <cfRule type="cellIs" dxfId="6558" priority="34813" operator="equal">
      <formula>"SIN DATOS"</formula>
    </cfRule>
    <cfRule type="cellIs" dxfId="6557" priority="34814" operator="equal">
      <formula>"NO EJECTUTADO"</formula>
    </cfRule>
    <cfRule type="cellIs" dxfId="6556" priority="34815" operator="equal">
      <formula>"FE"</formula>
    </cfRule>
    <cfRule type="cellIs" dxfId="6555" priority="34816" operator="equal">
      <formula>"FE"</formula>
    </cfRule>
  </conditionalFormatting>
  <conditionalFormatting sqref="A496">
    <cfRule type="cellIs" dxfId="6554" priority="34805" operator="equal">
      <formula>"Retirado"</formula>
    </cfRule>
    <cfRule type="cellIs" dxfId="6553" priority="34806" operator="equal">
      <formula>"FSE"</formula>
    </cfRule>
  </conditionalFormatting>
  <conditionalFormatting sqref="F496">
    <cfRule type="cellIs" dxfId="6552" priority="34782" operator="equal">
      <formula>"APLAZADO"</formula>
    </cfRule>
    <cfRule type="cellIs" dxfId="6551" priority="34783" operator="equal">
      <formula>"CANCELADO"</formula>
    </cfRule>
    <cfRule type="cellIs" dxfId="6550" priority="34784" operator="equal">
      <formula>"NO EJECUTADO"</formula>
    </cfRule>
    <cfRule type="cellIs" dxfId="6549" priority="34785" operator="equal">
      <formula>"FPE"</formula>
    </cfRule>
    <cfRule type="cellIs" dxfId="6548" priority="34786" operator="equal">
      <formula>"AMA"</formula>
    </cfRule>
    <cfRule type="cellIs" dxfId="6547" priority="34787" operator="equal">
      <formula>"SIN DATOS"</formula>
    </cfRule>
    <cfRule type="cellIs" dxfId="6546" priority="34788" operator="equal">
      <formula>"SIN DATOS"</formula>
    </cfRule>
    <cfRule type="cellIs" dxfId="6545" priority="34789" operator="equal">
      <formula>"NO EJECTUTADO"</formula>
    </cfRule>
    <cfRule type="cellIs" dxfId="6544" priority="34790" operator="equal">
      <formula>"FE"</formula>
    </cfRule>
    <cfRule type="cellIs" dxfId="6543" priority="34791" operator="equal">
      <formula>"FE"</formula>
    </cfRule>
  </conditionalFormatting>
  <conditionalFormatting sqref="F496">
    <cfRule type="cellIs" dxfId="6542" priority="34780" operator="equal">
      <formula>"Retirado"</formula>
    </cfRule>
    <cfRule type="cellIs" dxfId="6541" priority="34781" operator="equal">
      <formula>"FSE"</formula>
    </cfRule>
  </conditionalFormatting>
  <conditionalFormatting sqref="H497">
    <cfRule type="duplicateValues" dxfId="6540" priority="34769"/>
  </conditionalFormatting>
  <conditionalFormatting sqref="A497">
    <cfRule type="cellIs" dxfId="6539" priority="34759" operator="equal">
      <formula>"APLAZADO"</formula>
    </cfRule>
    <cfRule type="cellIs" dxfId="6538" priority="34760" operator="equal">
      <formula>"CANCELADO"</formula>
    </cfRule>
    <cfRule type="cellIs" dxfId="6537" priority="34761" operator="equal">
      <formula>"NO EJECUTADO"</formula>
    </cfRule>
    <cfRule type="cellIs" dxfId="6536" priority="34762" operator="equal">
      <formula>"FPE"</formula>
    </cfRule>
    <cfRule type="cellIs" dxfId="6535" priority="34763" operator="equal">
      <formula>"AMA"</formula>
    </cfRule>
    <cfRule type="cellIs" dxfId="6534" priority="34764" operator="equal">
      <formula>"SIN DATOS"</formula>
    </cfRule>
    <cfRule type="cellIs" dxfId="6533" priority="34765" operator="equal">
      <formula>"SIN DATOS"</formula>
    </cfRule>
    <cfRule type="cellIs" dxfId="6532" priority="34766" operator="equal">
      <formula>"NO EJECTUTADO"</formula>
    </cfRule>
    <cfRule type="cellIs" dxfId="6531" priority="34767" operator="equal">
      <formula>"FE"</formula>
    </cfRule>
    <cfRule type="cellIs" dxfId="6530" priority="34768" operator="equal">
      <formula>"FE"</formula>
    </cfRule>
  </conditionalFormatting>
  <conditionalFormatting sqref="A497">
    <cfRule type="cellIs" dxfId="6529" priority="34757" operator="equal">
      <formula>"Retirado"</formula>
    </cfRule>
    <cfRule type="cellIs" dxfId="6528" priority="34758" operator="equal">
      <formula>"FSE"</formula>
    </cfRule>
  </conditionalFormatting>
  <conditionalFormatting sqref="F497">
    <cfRule type="cellIs" dxfId="6527" priority="34747" operator="equal">
      <formula>"APLAZADO"</formula>
    </cfRule>
    <cfRule type="cellIs" dxfId="6526" priority="34748" operator="equal">
      <formula>"CANCELADO"</formula>
    </cfRule>
    <cfRule type="cellIs" dxfId="6525" priority="34749" operator="equal">
      <formula>"NO EJECUTADO"</formula>
    </cfRule>
    <cfRule type="cellIs" dxfId="6524" priority="34750" operator="equal">
      <formula>"FPE"</formula>
    </cfRule>
    <cfRule type="cellIs" dxfId="6523" priority="34751" operator="equal">
      <formula>"AMA"</formula>
    </cfRule>
    <cfRule type="cellIs" dxfId="6522" priority="34752" operator="equal">
      <formula>"SIN DATOS"</formula>
    </cfRule>
    <cfRule type="cellIs" dxfId="6521" priority="34753" operator="equal">
      <formula>"SIN DATOS"</formula>
    </cfRule>
    <cfRule type="cellIs" dxfId="6520" priority="34754" operator="equal">
      <formula>"NO EJECTUTADO"</formula>
    </cfRule>
    <cfRule type="cellIs" dxfId="6519" priority="34755" operator="equal">
      <formula>"FE"</formula>
    </cfRule>
    <cfRule type="cellIs" dxfId="6518" priority="34756" operator="equal">
      <formula>"FE"</formula>
    </cfRule>
  </conditionalFormatting>
  <conditionalFormatting sqref="F497">
    <cfRule type="cellIs" dxfId="6517" priority="34745" operator="equal">
      <formula>"Retirado"</formula>
    </cfRule>
    <cfRule type="cellIs" dxfId="6516" priority="34746" operator="equal">
      <formula>"FSE"</formula>
    </cfRule>
  </conditionalFormatting>
  <conditionalFormatting sqref="A462">
    <cfRule type="cellIs" dxfId="6515" priority="34723" operator="equal">
      <formula>"APLAZADO"</formula>
    </cfRule>
    <cfRule type="cellIs" dxfId="6514" priority="34724" operator="equal">
      <formula>"CANCELADO"</formula>
    </cfRule>
    <cfRule type="cellIs" dxfId="6513" priority="34725" operator="equal">
      <formula>"NO EJECUTADO"</formula>
    </cfRule>
    <cfRule type="cellIs" dxfId="6512" priority="34726" operator="equal">
      <formula>"FPE"</formula>
    </cfRule>
    <cfRule type="cellIs" dxfId="6511" priority="34727" operator="equal">
      <formula>"AMA"</formula>
    </cfRule>
    <cfRule type="cellIs" dxfId="6510" priority="34728" operator="equal">
      <formula>"SIN DATOS"</formula>
    </cfRule>
    <cfRule type="cellIs" dxfId="6509" priority="34729" operator="equal">
      <formula>"SIN DATOS"</formula>
    </cfRule>
    <cfRule type="cellIs" dxfId="6508" priority="34730" operator="equal">
      <formula>"NO EJECTUTADO"</formula>
    </cfRule>
    <cfRule type="cellIs" dxfId="6507" priority="34731" operator="equal">
      <formula>"FE"</formula>
    </cfRule>
    <cfRule type="cellIs" dxfId="6506" priority="34732" operator="equal">
      <formula>"FE"</formula>
    </cfRule>
  </conditionalFormatting>
  <conditionalFormatting sqref="A462">
    <cfRule type="cellIs" dxfId="6505" priority="34721" operator="equal">
      <formula>"Retirado"</formula>
    </cfRule>
    <cfRule type="cellIs" dxfId="6504" priority="34722" operator="equal">
      <formula>"FSE"</formula>
    </cfRule>
  </conditionalFormatting>
  <conditionalFormatting sqref="H462">
    <cfRule type="duplicateValues" dxfId="6503" priority="34720"/>
  </conditionalFormatting>
  <conditionalFormatting sqref="F462">
    <cfRule type="cellIs" dxfId="6502" priority="34710" operator="equal">
      <formula>"APLAZADO"</formula>
    </cfRule>
    <cfRule type="cellIs" dxfId="6501" priority="34711" operator="equal">
      <formula>"CANCELADO"</formula>
    </cfRule>
    <cfRule type="cellIs" dxfId="6500" priority="34712" operator="equal">
      <formula>"NO EJECUTADO"</formula>
    </cfRule>
    <cfRule type="cellIs" dxfId="6499" priority="34713" operator="equal">
      <formula>"FPE"</formula>
    </cfRule>
    <cfRule type="cellIs" dxfId="6498" priority="34714" operator="equal">
      <formula>"AMA"</formula>
    </cfRule>
    <cfRule type="cellIs" dxfId="6497" priority="34715" operator="equal">
      <formula>"SIN DATOS"</formula>
    </cfRule>
    <cfRule type="cellIs" dxfId="6496" priority="34716" operator="equal">
      <formula>"SIN DATOS"</formula>
    </cfRule>
    <cfRule type="cellIs" dxfId="6495" priority="34717" operator="equal">
      <formula>"NO EJECTUTADO"</formula>
    </cfRule>
    <cfRule type="cellIs" dxfId="6494" priority="34718" operator="equal">
      <formula>"FE"</formula>
    </cfRule>
    <cfRule type="cellIs" dxfId="6493" priority="34719" operator="equal">
      <formula>"FE"</formula>
    </cfRule>
  </conditionalFormatting>
  <conditionalFormatting sqref="F462">
    <cfRule type="cellIs" dxfId="6492" priority="34708" operator="equal">
      <formula>"Retirado"</formula>
    </cfRule>
    <cfRule type="cellIs" dxfId="6491" priority="34709" operator="equal">
      <formula>"FSE"</formula>
    </cfRule>
  </conditionalFormatting>
  <conditionalFormatting sqref="B462">
    <cfRule type="cellIs" dxfId="6490" priority="34656" operator="equal">
      <formula>"Sin éxito"</formula>
    </cfRule>
    <cfRule type="cellIs" dxfId="6489" priority="34657" operator="equal">
      <formula>"Éxito con problemas"</formula>
    </cfRule>
    <cfRule type="cellIs" dxfId="6488" priority="34658" operator="equal">
      <formula>"CANCELADO"</formula>
    </cfRule>
    <cfRule type="cellIs" dxfId="6487" priority="34659" operator="equal">
      <formula>"Aplicada marcha atrás"</formula>
    </cfRule>
    <cfRule type="cellIs" dxfId="6486" priority="34660" operator="equal">
      <formula>"CON ÉXITO"</formula>
    </cfRule>
  </conditionalFormatting>
  <conditionalFormatting sqref="B463">
    <cfRule type="cellIs" dxfId="6485" priority="34639" operator="equal">
      <formula>"Sin éxito"</formula>
    </cfRule>
    <cfRule type="cellIs" dxfId="6484" priority="34640" operator="equal">
      <formula>"Éxito con problemas"</formula>
    </cfRule>
    <cfRule type="cellIs" dxfId="6483" priority="34641" operator="equal">
      <formula>"CANCELADO"</formula>
    </cfRule>
    <cfRule type="cellIs" dxfId="6482" priority="34642" operator="equal">
      <formula>"Aplicada marcha atrás"</formula>
    </cfRule>
    <cfRule type="cellIs" dxfId="6481" priority="34643" operator="equal">
      <formula>"CON ÉXITO"</formula>
    </cfRule>
  </conditionalFormatting>
  <conditionalFormatting sqref="B464">
    <cfRule type="cellIs" dxfId="6480" priority="34622" operator="equal">
      <formula>"Sin éxito"</formula>
    </cfRule>
    <cfRule type="cellIs" dxfId="6479" priority="34623" operator="equal">
      <formula>"Éxito con problemas"</formula>
    </cfRule>
    <cfRule type="cellIs" dxfId="6478" priority="34624" operator="equal">
      <formula>"CANCELADO"</formula>
    </cfRule>
    <cfRule type="cellIs" dxfId="6477" priority="34625" operator="equal">
      <formula>"Aplicada marcha atrás"</formula>
    </cfRule>
    <cfRule type="cellIs" dxfId="6476" priority="34626" operator="equal">
      <formula>"CON ÉXITO"</formula>
    </cfRule>
  </conditionalFormatting>
  <conditionalFormatting sqref="B465">
    <cfRule type="cellIs" dxfId="6475" priority="34605" operator="equal">
      <formula>"Sin éxito"</formula>
    </cfRule>
    <cfRule type="cellIs" dxfId="6474" priority="34606" operator="equal">
      <formula>"Éxito con problemas"</formula>
    </cfRule>
    <cfRule type="cellIs" dxfId="6473" priority="34607" operator="equal">
      <formula>"CANCELADO"</formula>
    </cfRule>
    <cfRule type="cellIs" dxfId="6472" priority="34608" operator="equal">
      <formula>"Aplicada marcha atrás"</formula>
    </cfRule>
    <cfRule type="cellIs" dxfId="6471" priority="34609" operator="equal">
      <formula>"CON ÉXITO"</formula>
    </cfRule>
  </conditionalFormatting>
  <conditionalFormatting sqref="B466">
    <cfRule type="cellIs" dxfId="6470" priority="34588" operator="equal">
      <formula>"Sin éxito"</formula>
    </cfRule>
    <cfRule type="cellIs" dxfId="6469" priority="34589" operator="equal">
      <formula>"Éxito con problemas"</formula>
    </cfRule>
    <cfRule type="cellIs" dxfId="6468" priority="34590" operator="equal">
      <formula>"CANCELADO"</formula>
    </cfRule>
    <cfRule type="cellIs" dxfId="6467" priority="34591" operator="equal">
      <formula>"Aplicada marcha atrás"</formula>
    </cfRule>
    <cfRule type="cellIs" dxfId="6466" priority="34592" operator="equal">
      <formula>"CON ÉXITO"</formula>
    </cfRule>
  </conditionalFormatting>
  <conditionalFormatting sqref="B467">
    <cfRule type="cellIs" dxfId="6465" priority="34571" operator="equal">
      <formula>"Sin éxito"</formula>
    </cfRule>
    <cfRule type="cellIs" dxfId="6464" priority="34572" operator="equal">
      <formula>"Éxito con problemas"</formula>
    </cfRule>
    <cfRule type="cellIs" dxfId="6463" priority="34573" operator="equal">
      <formula>"CANCELADO"</formula>
    </cfRule>
    <cfRule type="cellIs" dxfId="6462" priority="34574" operator="equal">
      <formula>"Aplicada marcha atrás"</formula>
    </cfRule>
    <cfRule type="cellIs" dxfId="6461" priority="34575" operator="equal">
      <formula>"CON ÉXITO"</formula>
    </cfRule>
  </conditionalFormatting>
  <conditionalFormatting sqref="B468">
    <cfRule type="cellIs" dxfId="6460" priority="34554" operator="equal">
      <formula>"Sin éxito"</formula>
    </cfRule>
    <cfRule type="cellIs" dxfId="6459" priority="34555" operator="equal">
      <formula>"Éxito con problemas"</formula>
    </cfRule>
    <cfRule type="cellIs" dxfId="6458" priority="34556" operator="equal">
      <formula>"CANCELADO"</formula>
    </cfRule>
    <cfRule type="cellIs" dxfId="6457" priority="34557" operator="equal">
      <formula>"Aplicada marcha atrás"</formula>
    </cfRule>
    <cfRule type="cellIs" dxfId="6456" priority="34558" operator="equal">
      <formula>"CON ÉXITO"</formula>
    </cfRule>
  </conditionalFormatting>
  <conditionalFormatting sqref="H498">
    <cfRule type="duplicateValues" dxfId="6455" priority="34543"/>
  </conditionalFormatting>
  <conditionalFormatting sqref="A498">
    <cfRule type="cellIs" dxfId="6454" priority="34508" operator="equal">
      <formula>"APLAZADO"</formula>
    </cfRule>
    <cfRule type="cellIs" dxfId="6453" priority="34509" operator="equal">
      <formula>"CANCELADO"</formula>
    </cfRule>
    <cfRule type="cellIs" dxfId="6452" priority="34510" operator="equal">
      <formula>"NO EJECUTADO"</formula>
    </cfRule>
    <cfRule type="cellIs" dxfId="6451" priority="34511" operator="equal">
      <formula>"FPE"</formula>
    </cfRule>
    <cfRule type="cellIs" dxfId="6450" priority="34512" operator="equal">
      <formula>"AMA"</formula>
    </cfRule>
    <cfRule type="cellIs" dxfId="6449" priority="34513" operator="equal">
      <formula>"SIN DATOS"</formula>
    </cfRule>
    <cfRule type="cellIs" dxfId="6448" priority="34514" operator="equal">
      <formula>"SIN DATOS"</formula>
    </cfRule>
    <cfRule type="cellIs" dxfId="6447" priority="34515" operator="equal">
      <formula>"NO EJECTUTADO"</formula>
    </cfRule>
    <cfRule type="cellIs" dxfId="6446" priority="34516" operator="equal">
      <formula>"FE"</formula>
    </cfRule>
    <cfRule type="cellIs" dxfId="6445" priority="34517" operator="equal">
      <formula>"FE"</formula>
    </cfRule>
  </conditionalFormatting>
  <conditionalFormatting sqref="A498">
    <cfRule type="cellIs" dxfId="6444" priority="34506" operator="equal">
      <formula>"Retirado"</formula>
    </cfRule>
    <cfRule type="cellIs" dxfId="6443" priority="34507" operator="equal">
      <formula>"FSE"</formula>
    </cfRule>
  </conditionalFormatting>
  <conditionalFormatting sqref="F498">
    <cfRule type="cellIs" dxfId="6442" priority="34496" operator="equal">
      <formula>"APLAZADO"</formula>
    </cfRule>
    <cfRule type="cellIs" dxfId="6441" priority="34497" operator="equal">
      <formula>"CANCELADO"</formula>
    </cfRule>
    <cfRule type="cellIs" dxfId="6440" priority="34498" operator="equal">
      <formula>"NO EJECUTADO"</formula>
    </cfRule>
    <cfRule type="cellIs" dxfId="6439" priority="34499" operator="equal">
      <formula>"FPE"</formula>
    </cfRule>
    <cfRule type="cellIs" dxfId="6438" priority="34500" operator="equal">
      <formula>"AMA"</formula>
    </cfRule>
    <cfRule type="cellIs" dxfId="6437" priority="34501" operator="equal">
      <formula>"SIN DATOS"</formula>
    </cfRule>
    <cfRule type="cellIs" dxfId="6436" priority="34502" operator="equal">
      <formula>"SIN DATOS"</formula>
    </cfRule>
    <cfRule type="cellIs" dxfId="6435" priority="34503" operator="equal">
      <formula>"NO EJECTUTADO"</formula>
    </cfRule>
    <cfRule type="cellIs" dxfId="6434" priority="34504" operator="equal">
      <formula>"FE"</formula>
    </cfRule>
    <cfRule type="cellIs" dxfId="6433" priority="34505" operator="equal">
      <formula>"FE"</formula>
    </cfRule>
  </conditionalFormatting>
  <conditionalFormatting sqref="F498">
    <cfRule type="cellIs" dxfId="6432" priority="34494" operator="equal">
      <formula>"Retirado"</formula>
    </cfRule>
    <cfRule type="cellIs" dxfId="6431" priority="34495" operator="equal">
      <formula>"FSE"</formula>
    </cfRule>
  </conditionalFormatting>
  <conditionalFormatting sqref="B469">
    <cfRule type="cellIs" dxfId="6430" priority="34472" operator="equal">
      <formula>"Sin éxito"</formula>
    </cfRule>
    <cfRule type="cellIs" dxfId="6429" priority="34473" operator="equal">
      <formula>"Éxito con problemas"</formula>
    </cfRule>
    <cfRule type="cellIs" dxfId="6428" priority="34474" operator="equal">
      <formula>"CANCELADO"</formula>
    </cfRule>
    <cfRule type="cellIs" dxfId="6427" priority="34475" operator="equal">
      <formula>"Aplicada marcha atrás"</formula>
    </cfRule>
    <cfRule type="cellIs" dxfId="6426" priority="34476" operator="equal">
      <formula>"CON ÉXITO"</formula>
    </cfRule>
  </conditionalFormatting>
  <conditionalFormatting sqref="B471">
    <cfRule type="cellIs" dxfId="6425" priority="34444" operator="equal">
      <formula>"Sin éxito"</formula>
    </cfRule>
    <cfRule type="cellIs" dxfId="6424" priority="34445" operator="equal">
      <formula>"Éxito con problemas"</formula>
    </cfRule>
    <cfRule type="cellIs" dxfId="6423" priority="34446" operator="equal">
      <formula>"CANCELADO"</formula>
    </cfRule>
    <cfRule type="cellIs" dxfId="6422" priority="34447" operator="equal">
      <formula>"Aplicada marcha atrás"</formula>
    </cfRule>
    <cfRule type="cellIs" dxfId="6421" priority="34448" operator="equal">
      <formula>"CON ÉXITO"</formula>
    </cfRule>
  </conditionalFormatting>
  <conditionalFormatting sqref="B472">
    <cfRule type="cellIs" dxfId="6420" priority="34427" operator="equal">
      <formula>"Sin éxito"</formula>
    </cfRule>
    <cfRule type="cellIs" dxfId="6419" priority="34428" operator="equal">
      <formula>"Éxito con problemas"</formula>
    </cfRule>
    <cfRule type="cellIs" dxfId="6418" priority="34429" operator="equal">
      <formula>"CANCELADO"</formula>
    </cfRule>
    <cfRule type="cellIs" dxfId="6417" priority="34430" operator="equal">
      <formula>"Aplicada marcha atrás"</formula>
    </cfRule>
    <cfRule type="cellIs" dxfId="6416" priority="34431" operator="equal">
      <formula>"CON ÉXITO"</formula>
    </cfRule>
  </conditionalFormatting>
  <conditionalFormatting sqref="B473">
    <cfRule type="cellIs" dxfId="6415" priority="34410" operator="equal">
      <formula>"Sin éxito"</formula>
    </cfRule>
    <cfRule type="cellIs" dxfId="6414" priority="34411" operator="equal">
      <formula>"Éxito con problemas"</formula>
    </cfRule>
    <cfRule type="cellIs" dxfId="6413" priority="34412" operator="equal">
      <formula>"CANCELADO"</formula>
    </cfRule>
    <cfRule type="cellIs" dxfId="6412" priority="34413" operator="equal">
      <formula>"Aplicada marcha atrás"</formula>
    </cfRule>
    <cfRule type="cellIs" dxfId="6411" priority="34414" operator="equal">
      <formula>"CON ÉXITO"</formula>
    </cfRule>
  </conditionalFormatting>
  <conditionalFormatting sqref="B474">
    <cfRule type="cellIs" dxfId="6410" priority="34387" operator="equal">
      <formula>"Sin éxito"</formula>
    </cfRule>
    <cfRule type="cellIs" dxfId="6409" priority="34388" operator="equal">
      <formula>"Éxito con problemas"</formula>
    </cfRule>
    <cfRule type="cellIs" dxfId="6408" priority="34389" operator="equal">
      <formula>"CANCELADO"</formula>
    </cfRule>
    <cfRule type="cellIs" dxfId="6407" priority="34390" operator="equal">
      <formula>"Aplicada marcha atrás"</formula>
    </cfRule>
    <cfRule type="cellIs" dxfId="6406" priority="34391" operator="equal">
      <formula>"CON ÉXITO"</formula>
    </cfRule>
  </conditionalFormatting>
  <conditionalFormatting sqref="B470">
    <cfRule type="cellIs" dxfId="6405" priority="34370" operator="equal">
      <formula>"Sin éxito"</formula>
    </cfRule>
    <cfRule type="cellIs" dxfId="6404" priority="34371" operator="equal">
      <formula>"Éxito con problemas"</formula>
    </cfRule>
    <cfRule type="cellIs" dxfId="6403" priority="34372" operator="equal">
      <formula>"CANCELADO"</formula>
    </cfRule>
    <cfRule type="cellIs" dxfId="6402" priority="34373" operator="equal">
      <formula>"Aplicada marcha atrás"</formula>
    </cfRule>
    <cfRule type="cellIs" dxfId="6401" priority="34374" operator="equal">
      <formula>"CON ÉXITO"</formula>
    </cfRule>
  </conditionalFormatting>
  <conditionalFormatting sqref="H499">
    <cfRule type="duplicateValues" dxfId="6400" priority="34354"/>
  </conditionalFormatting>
  <conditionalFormatting sqref="A499">
    <cfRule type="cellIs" dxfId="6399" priority="34344" operator="equal">
      <formula>"APLAZADO"</formula>
    </cfRule>
    <cfRule type="cellIs" dxfId="6398" priority="34345" operator="equal">
      <formula>"CANCELADO"</formula>
    </cfRule>
    <cfRule type="cellIs" dxfId="6397" priority="34346" operator="equal">
      <formula>"NO EJECUTADO"</formula>
    </cfRule>
    <cfRule type="cellIs" dxfId="6396" priority="34347" operator="equal">
      <formula>"FPE"</formula>
    </cfRule>
    <cfRule type="cellIs" dxfId="6395" priority="34348" operator="equal">
      <formula>"AMA"</formula>
    </cfRule>
    <cfRule type="cellIs" dxfId="6394" priority="34349" operator="equal">
      <formula>"SIN DATOS"</formula>
    </cfRule>
    <cfRule type="cellIs" dxfId="6393" priority="34350" operator="equal">
      <formula>"SIN DATOS"</formula>
    </cfRule>
    <cfRule type="cellIs" dxfId="6392" priority="34351" operator="equal">
      <formula>"NO EJECTUTADO"</formula>
    </cfRule>
    <cfRule type="cellIs" dxfId="6391" priority="34352" operator="equal">
      <formula>"FE"</formula>
    </cfRule>
    <cfRule type="cellIs" dxfId="6390" priority="34353" operator="equal">
      <formula>"FE"</formula>
    </cfRule>
  </conditionalFormatting>
  <conditionalFormatting sqref="A499">
    <cfRule type="cellIs" dxfId="6389" priority="34342" operator="equal">
      <formula>"Retirado"</formula>
    </cfRule>
    <cfRule type="cellIs" dxfId="6388" priority="34343" operator="equal">
      <formula>"FSE"</formula>
    </cfRule>
  </conditionalFormatting>
  <conditionalFormatting sqref="B500">
    <cfRule type="cellIs" dxfId="6387" priority="34319" operator="equal">
      <formula>"Sin éxito"</formula>
    </cfRule>
    <cfRule type="cellIs" dxfId="6386" priority="34320" operator="equal">
      <formula>"Éxito con problemas"</formula>
    </cfRule>
    <cfRule type="cellIs" dxfId="6385" priority="34321" operator="equal">
      <formula>"CANCELADO"</formula>
    </cfRule>
    <cfRule type="cellIs" dxfId="6384" priority="34322" operator="equal">
      <formula>"Aplicada marcha atrás"</formula>
    </cfRule>
    <cfRule type="cellIs" dxfId="6383" priority="34323" operator="equal">
      <formula>"CON ÉXITO"</formula>
    </cfRule>
  </conditionalFormatting>
  <conditionalFormatting sqref="H500">
    <cfRule type="duplicateValues" dxfId="6382" priority="34318"/>
  </conditionalFormatting>
  <conditionalFormatting sqref="A500">
    <cfRule type="cellIs" dxfId="6381" priority="34308" operator="equal">
      <formula>"APLAZADO"</formula>
    </cfRule>
    <cfRule type="cellIs" dxfId="6380" priority="34309" operator="equal">
      <formula>"CANCELADO"</formula>
    </cfRule>
    <cfRule type="cellIs" dxfId="6379" priority="34310" operator="equal">
      <formula>"NO EJECUTADO"</formula>
    </cfRule>
    <cfRule type="cellIs" dxfId="6378" priority="34311" operator="equal">
      <formula>"FPE"</formula>
    </cfRule>
    <cfRule type="cellIs" dxfId="6377" priority="34312" operator="equal">
      <formula>"AMA"</formula>
    </cfRule>
    <cfRule type="cellIs" dxfId="6376" priority="34313" operator="equal">
      <formula>"SIN DATOS"</formula>
    </cfRule>
    <cfRule type="cellIs" dxfId="6375" priority="34314" operator="equal">
      <formula>"SIN DATOS"</formula>
    </cfRule>
    <cfRule type="cellIs" dxfId="6374" priority="34315" operator="equal">
      <formula>"NO EJECTUTADO"</formula>
    </cfRule>
    <cfRule type="cellIs" dxfId="6373" priority="34316" operator="equal">
      <formula>"FE"</formula>
    </cfRule>
    <cfRule type="cellIs" dxfId="6372" priority="34317" operator="equal">
      <formula>"FE"</formula>
    </cfRule>
  </conditionalFormatting>
  <conditionalFormatting sqref="A500">
    <cfRule type="cellIs" dxfId="6371" priority="34306" operator="equal">
      <formula>"Retirado"</formula>
    </cfRule>
    <cfRule type="cellIs" dxfId="6370" priority="34307" operator="equal">
      <formula>"FSE"</formula>
    </cfRule>
  </conditionalFormatting>
  <conditionalFormatting sqref="F499">
    <cfRule type="cellIs" dxfId="6369" priority="34278" operator="equal">
      <formula>"APLAZADO"</formula>
    </cfRule>
    <cfRule type="cellIs" dxfId="6368" priority="34279" operator="equal">
      <formula>"CANCELADO"</formula>
    </cfRule>
    <cfRule type="cellIs" dxfId="6367" priority="34280" operator="equal">
      <formula>"NO EJECUTADO"</formula>
    </cfRule>
    <cfRule type="cellIs" dxfId="6366" priority="34281" operator="equal">
      <formula>"FPE"</formula>
    </cfRule>
    <cfRule type="cellIs" dxfId="6365" priority="34282" operator="equal">
      <formula>"AMA"</formula>
    </cfRule>
    <cfRule type="cellIs" dxfId="6364" priority="34283" operator="equal">
      <formula>"SIN DATOS"</formula>
    </cfRule>
    <cfRule type="cellIs" dxfId="6363" priority="34284" operator="equal">
      <formula>"SIN DATOS"</formula>
    </cfRule>
    <cfRule type="cellIs" dxfId="6362" priority="34285" operator="equal">
      <formula>"NO EJECTUTADO"</formula>
    </cfRule>
    <cfRule type="cellIs" dxfId="6361" priority="34286" operator="equal">
      <formula>"FE"</formula>
    </cfRule>
    <cfRule type="cellIs" dxfId="6360" priority="34287" operator="equal">
      <formula>"FE"</formula>
    </cfRule>
  </conditionalFormatting>
  <conditionalFormatting sqref="F499">
    <cfRule type="cellIs" dxfId="6359" priority="34276" operator="equal">
      <formula>"Retirado"</formula>
    </cfRule>
    <cfRule type="cellIs" dxfId="6358" priority="34277" operator="equal">
      <formula>"FSE"</formula>
    </cfRule>
  </conditionalFormatting>
  <conditionalFormatting sqref="F500">
    <cfRule type="cellIs" dxfId="6357" priority="34266" operator="equal">
      <formula>"APLAZADO"</formula>
    </cfRule>
    <cfRule type="cellIs" dxfId="6356" priority="34267" operator="equal">
      <formula>"CANCELADO"</formula>
    </cfRule>
    <cfRule type="cellIs" dxfId="6355" priority="34268" operator="equal">
      <formula>"NO EJECUTADO"</formula>
    </cfRule>
    <cfRule type="cellIs" dxfId="6354" priority="34269" operator="equal">
      <formula>"FPE"</formula>
    </cfRule>
    <cfRule type="cellIs" dxfId="6353" priority="34270" operator="equal">
      <formula>"AMA"</formula>
    </cfRule>
    <cfRule type="cellIs" dxfId="6352" priority="34271" operator="equal">
      <formula>"SIN DATOS"</formula>
    </cfRule>
    <cfRule type="cellIs" dxfId="6351" priority="34272" operator="equal">
      <formula>"SIN DATOS"</formula>
    </cfRule>
    <cfRule type="cellIs" dxfId="6350" priority="34273" operator="equal">
      <formula>"NO EJECTUTADO"</formula>
    </cfRule>
    <cfRule type="cellIs" dxfId="6349" priority="34274" operator="equal">
      <formula>"FE"</formula>
    </cfRule>
    <cfRule type="cellIs" dxfId="6348" priority="34275" operator="equal">
      <formula>"FE"</formula>
    </cfRule>
  </conditionalFormatting>
  <conditionalFormatting sqref="F500">
    <cfRule type="cellIs" dxfId="6347" priority="34264" operator="equal">
      <formula>"Retirado"</formula>
    </cfRule>
    <cfRule type="cellIs" dxfId="6346" priority="34265" operator="equal">
      <formula>"FSE"</formula>
    </cfRule>
  </conditionalFormatting>
  <conditionalFormatting sqref="B475">
    <cfRule type="cellIs" dxfId="6345" priority="34230" operator="equal">
      <formula>"Sin éxito"</formula>
    </cfRule>
    <cfRule type="cellIs" dxfId="6344" priority="34231" operator="equal">
      <formula>"Éxito con problemas"</formula>
    </cfRule>
    <cfRule type="cellIs" dxfId="6343" priority="34232" operator="equal">
      <formula>"CANCELADO"</formula>
    </cfRule>
    <cfRule type="cellIs" dxfId="6342" priority="34233" operator="equal">
      <formula>"Aplicada marcha atrás"</formula>
    </cfRule>
    <cfRule type="cellIs" dxfId="6341" priority="34234" operator="equal">
      <formula>"CON ÉXITO"</formula>
    </cfRule>
  </conditionalFormatting>
  <conditionalFormatting sqref="B476">
    <cfRule type="cellIs" dxfId="6340" priority="34213" operator="equal">
      <formula>"Sin éxito"</formula>
    </cfRule>
    <cfRule type="cellIs" dxfId="6339" priority="34214" operator="equal">
      <formula>"Éxito con problemas"</formula>
    </cfRule>
    <cfRule type="cellIs" dxfId="6338" priority="34215" operator="equal">
      <formula>"CANCELADO"</formula>
    </cfRule>
    <cfRule type="cellIs" dxfId="6337" priority="34216" operator="equal">
      <formula>"Aplicada marcha atrás"</formula>
    </cfRule>
    <cfRule type="cellIs" dxfId="6336" priority="34217" operator="equal">
      <formula>"CON ÉXITO"</formula>
    </cfRule>
  </conditionalFormatting>
  <conditionalFormatting sqref="B477">
    <cfRule type="cellIs" dxfId="6335" priority="34196" operator="equal">
      <formula>"Sin éxito"</formula>
    </cfRule>
    <cfRule type="cellIs" dxfId="6334" priority="34197" operator="equal">
      <formula>"Éxito con problemas"</formula>
    </cfRule>
    <cfRule type="cellIs" dxfId="6333" priority="34198" operator="equal">
      <formula>"CANCELADO"</formula>
    </cfRule>
    <cfRule type="cellIs" dxfId="6332" priority="34199" operator="equal">
      <formula>"Aplicada marcha atrás"</formula>
    </cfRule>
    <cfRule type="cellIs" dxfId="6331" priority="34200" operator="equal">
      <formula>"CON ÉXITO"</formula>
    </cfRule>
  </conditionalFormatting>
  <conditionalFormatting sqref="B478">
    <cfRule type="cellIs" dxfId="6330" priority="34169" operator="equal">
      <formula>"Sin éxito"</formula>
    </cfRule>
    <cfRule type="cellIs" dxfId="6329" priority="34170" operator="equal">
      <formula>"Éxito con problemas"</formula>
    </cfRule>
    <cfRule type="cellIs" dxfId="6328" priority="34171" operator="equal">
      <formula>"CANCELADO"</formula>
    </cfRule>
    <cfRule type="cellIs" dxfId="6327" priority="34172" operator="equal">
      <formula>"Aplicada marcha atrás"</formula>
    </cfRule>
    <cfRule type="cellIs" dxfId="6326" priority="34173" operator="equal">
      <formula>"CON ÉXITO"</formula>
    </cfRule>
  </conditionalFormatting>
  <conditionalFormatting sqref="B479">
    <cfRule type="cellIs" dxfId="6325" priority="34152" operator="equal">
      <formula>"Sin éxito"</formula>
    </cfRule>
    <cfRule type="cellIs" dxfId="6324" priority="34153" operator="equal">
      <formula>"Éxito con problemas"</formula>
    </cfRule>
    <cfRule type="cellIs" dxfId="6323" priority="34154" operator="equal">
      <formula>"CANCELADO"</formula>
    </cfRule>
    <cfRule type="cellIs" dxfId="6322" priority="34155" operator="equal">
      <formula>"Aplicada marcha atrás"</formula>
    </cfRule>
    <cfRule type="cellIs" dxfId="6321" priority="34156" operator="equal">
      <formula>"CON ÉXITO"</formula>
    </cfRule>
  </conditionalFormatting>
  <conditionalFormatting sqref="B480">
    <cfRule type="cellIs" dxfId="6320" priority="34135" operator="equal">
      <formula>"Sin éxito"</formula>
    </cfRule>
    <cfRule type="cellIs" dxfId="6319" priority="34136" operator="equal">
      <formula>"Éxito con problemas"</formula>
    </cfRule>
    <cfRule type="cellIs" dxfId="6318" priority="34137" operator="equal">
      <formula>"CANCELADO"</formula>
    </cfRule>
    <cfRule type="cellIs" dxfId="6317" priority="34138" operator="equal">
      <formula>"Aplicada marcha atrás"</formula>
    </cfRule>
    <cfRule type="cellIs" dxfId="6316" priority="34139" operator="equal">
      <formula>"CON ÉXITO"</formula>
    </cfRule>
  </conditionalFormatting>
  <conditionalFormatting sqref="B481">
    <cfRule type="cellIs" dxfId="6315" priority="34118" operator="equal">
      <formula>"Sin éxito"</formula>
    </cfRule>
    <cfRule type="cellIs" dxfId="6314" priority="34119" operator="equal">
      <formula>"Éxito con problemas"</formula>
    </cfRule>
    <cfRule type="cellIs" dxfId="6313" priority="34120" operator="equal">
      <formula>"CANCELADO"</formula>
    </cfRule>
    <cfRule type="cellIs" dxfId="6312" priority="34121" operator="equal">
      <formula>"Aplicada marcha atrás"</formula>
    </cfRule>
    <cfRule type="cellIs" dxfId="6311" priority="34122" operator="equal">
      <formula>"CON ÉXITO"</formula>
    </cfRule>
  </conditionalFormatting>
  <conditionalFormatting sqref="B482">
    <cfRule type="cellIs" dxfId="6310" priority="34101" operator="equal">
      <formula>"Sin éxito"</formula>
    </cfRule>
    <cfRule type="cellIs" dxfId="6309" priority="34102" operator="equal">
      <formula>"Éxito con problemas"</formula>
    </cfRule>
    <cfRule type="cellIs" dxfId="6308" priority="34103" operator="equal">
      <formula>"CANCELADO"</formula>
    </cfRule>
    <cfRule type="cellIs" dxfId="6307" priority="34104" operator="equal">
      <formula>"Aplicada marcha atrás"</formula>
    </cfRule>
    <cfRule type="cellIs" dxfId="6306" priority="34105" operator="equal">
      <formula>"CON ÉXITO"</formula>
    </cfRule>
  </conditionalFormatting>
  <conditionalFormatting sqref="B483">
    <cfRule type="cellIs" dxfId="6305" priority="34084" operator="equal">
      <formula>"Sin éxito"</formula>
    </cfRule>
    <cfRule type="cellIs" dxfId="6304" priority="34085" operator="equal">
      <formula>"Éxito con problemas"</formula>
    </cfRule>
    <cfRule type="cellIs" dxfId="6303" priority="34086" operator="equal">
      <formula>"CANCELADO"</formula>
    </cfRule>
    <cfRule type="cellIs" dxfId="6302" priority="34087" operator="equal">
      <formula>"Aplicada marcha atrás"</formula>
    </cfRule>
    <cfRule type="cellIs" dxfId="6301" priority="34088" operator="equal">
      <formula>"CON ÉXITO"</formula>
    </cfRule>
  </conditionalFormatting>
  <conditionalFormatting sqref="H501">
    <cfRule type="duplicateValues" dxfId="6300" priority="34048"/>
  </conditionalFormatting>
  <conditionalFormatting sqref="A501">
    <cfRule type="cellIs" dxfId="6299" priority="34038" operator="equal">
      <formula>"APLAZADO"</formula>
    </cfRule>
    <cfRule type="cellIs" dxfId="6298" priority="34039" operator="equal">
      <formula>"CANCELADO"</formula>
    </cfRule>
    <cfRule type="cellIs" dxfId="6297" priority="34040" operator="equal">
      <formula>"NO EJECUTADO"</formula>
    </cfRule>
    <cfRule type="cellIs" dxfId="6296" priority="34041" operator="equal">
      <formula>"FPE"</formula>
    </cfRule>
    <cfRule type="cellIs" dxfId="6295" priority="34042" operator="equal">
      <formula>"AMA"</formula>
    </cfRule>
    <cfRule type="cellIs" dxfId="6294" priority="34043" operator="equal">
      <formula>"SIN DATOS"</formula>
    </cfRule>
    <cfRule type="cellIs" dxfId="6293" priority="34044" operator="equal">
      <formula>"SIN DATOS"</formula>
    </cfRule>
    <cfRule type="cellIs" dxfId="6292" priority="34045" operator="equal">
      <formula>"NO EJECTUTADO"</formula>
    </cfRule>
    <cfRule type="cellIs" dxfId="6291" priority="34046" operator="equal">
      <formula>"FE"</formula>
    </cfRule>
    <cfRule type="cellIs" dxfId="6290" priority="34047" operator="equal">
      <formula>"FE"</formula>
    </cfRule>
  </conditionalFormatting>
  <conditionalFormatting sqref="A501">
    <cfRule type="cellIs" dxfId="6289" priority="34036" operator="equal">
      <formula>"Retirado"</formula>
    </cfRule>
    <cfRule type="cellIs" dxfId="6288" priority="34037" operator="equal">
      <formula>"FSE"</formula>
    </cfRule>
  </conditionalFormatting>
  <conditionalFormatting sqref="F501">
    <cfRule type="cellIs" dxfId="6287" priority="34008" operator="equal">
      <formula>"APLAZADO"</formula>
    </cfRule>
    <cfRule type="cellIs" dxfId="6286" priority="34009" operator="equal">
      <formula>"CANCELADO"</formula>
    </cfRule>
    <cfRule type="cellIs" dxfId="6285" priority="34010" operator="equal">
      <formula>"NO EJECUTADO"</formula>
    </cfRule>
    <cfRule type="cellIs" dxfId="6284" priority="34011" operator="equal">
      <formula>"FPE"</formula>
    </cfRule>
    <cfRule type="cellIs" dxfId="6283" priority="34012" operator="equal">
      <formula>"AMA"</formula>
    </cfRule>
    <cfRule type="cellIs" dxfId="6282" priority="34013" operator="equal">
      <formula>"SIN DATOS"</formula>
    </cfRule>
    <cfRule type="cellIs" dxfId="6281" priority="34014" operator="equal">
      <formula>"SIN DATOS"</formula>
    </cfRule>
    <cfRule type="cellIs" dxfId="6280" priority="34015" operator="equal">
      <formula>"NO EJECTUTADO"</formula>
    </cfRule>
    <cfRule type="cellIs" dxfId="6279" priority="34016" operator="equal">
      <formula>"FE"</formula>
    </cfRule>
    <cfRule type="cellIs" dxfId="6278" priority="34017" operator="equal">
      <formula>"FE"</formula>
    </cfRule>
  </conditionalFormatting>
  <conditionalFormatting sqref="F501">
    <cfRule type="cellIs" dxfId="6277" priority="34006" operator="equal">
      <formula>"Retirado"</formula>
    </cfRule>
    <cfRule type="cellIs" dxfId="6276" priority="34007" operator="equal">
      <formula>"FSE"</formula>
    </cfRule>
  </conditionalFormatting>
  <conditionalFormatting sqref="H502">
    <cfRule type="duplicateValues" dxfId="6275" priority="33978"/>
  </conditionalFormatting>
  <conditionalFormatting sqref="A502">
    <cfRule type="cellIs" dxfId="6274" priority="33968" operator="equal">
      <formula>"APLAZADO"</formula>
    </cfRule>
    <cfRule type="cellIs" dxfId="6273" priority="33969" operator="equal">
      <formula>"CANCELADO"</formula>
    </cfRule>
    <cfRule type="cellIs" dxfId="6272" priority="33970" operator="equal">
      <formula>"NO EJECUTADO"</formula>
    </cfRule>
    <cfRule type="cellIs" dxfId="6271" priority="33971" operator="equal">
      <formula>"FPE"</formula>
    </cfRule>
    <cfRule type="cellIs" dxfId="6270" priority="33972" operator="equal">
      <formula>"AMA"</formula>
    </cfRule>
    <cfRule type="cellIs" dxfId="6269" priority="33973" operator="equal">
      <formula>"SIN DATOS"</formula>
    </cfRule>
    <cfRule type="cellIs" dxfId="6268" priority="33974" operator="equal">
      <formula>"SIN DATOS"</formula>
    </cfRule>
    <cfRule type="cellIs" dxfId="6267" priority="33975" operator="equal">
      <formula>"NO EJECTUTADO"</formula>
    </cfRule>
    <cfRule type="cellIs" dxfId="6266" priority="33976" operator="equal">
      <formula>"FE"</formula>
    </cfRule>
    <cfRule type="cellIs" dxfId="6265" priority="33977" operator="equal">
      <formula>"FE"</formula>
    </cfRule>
  </conditionalFormatting>
  <conditionalFormatting sqref="A502">
    <cfRule type="cellIs" dxfId="6264" priority="33966" operator="equal">
      <formula>"Retirado"</formula>
    </cfRule>
    <cfRule type="cellIs" dxfId="6263" priority="33967" operator="equal">
      <formula>"FSE"</formula>
    </cfRule>
  </conditionalFormatting>
  <conditionalFormatting sqref="F502">
    <cfRule type="cellIs" dxfId="6262" priority="33950" operator="equal">
      <formula>"APLAZADO"</formula>
    </cfRule>
    <cfRule type="cellIs" dxfId="6261" priority="33951" operator="equal">
      <formula>"CANCELADO"</formula>
    </cfRule>
    <cfRule type="cellIs" dxfId="6260" priority="33952" operator="equal">
      <formula>"NO EJECUTADO"</formula>
    </cfRule>
    <cfRule type="cellIs" dxfId="6259" priority="33953" operator="equal">
      <formula>"FPE"</formula>
    </cfRule>
    <cfRule type="cellIs" dxfId="6258" priority="33954" operator="equal">
      <formula>"AMA"</formula>
    </cfRule>
    <cfRule type="cellIs" dxfId="6257" priority="33955" operator="equal">
      <formula>"SIN DATOS"</formula>
    </cfRule>
    <cfRule type="cellIs" dxfId="6256" priority="33956" operator="equal">
      <formula>"SIN DATOS"</formula>
    </cfRule>
    <cfRule type="cellIs" dxfId="6255" priority="33957" operator="equal">
      <formula>"NO EJECTUTADO"</formula>
    </cfRule>
    <cfRule type="cellIs" dxfId="6254" priority="33958" operator="equal">
      <formula>"FE"</formula>
    </cfRule>
    <cfRule type="cellIs" dxfId="6253" priority="33959" operator="equal">
      <formula>"FE"</formula>
    </cfRule>
  </conditionalFormatting>
  <conditionalFormatting sqref="F502">
    <cfRule type="cellIs" dxfId="6252" priority="33948" operator="equal">
      <formula>"Retirado"</formula>
    </cfRule>
    <cfRule type="cellIs" dxfId="6251" priority="33949" operator="equal">
      <formula>"FSE"</formula>
    </cfRule>
  </conditionalFormatting>
  <conditionalFormatting sqref="B485">
    <cfRule type="cellIs" dxfId="6250" priority="33926" operator="equal">
      <formula>"Sin éxito"</formula>
    </cfRule>
    <cfRule type="cellIs" dxfId="6249" priority="33927" operator="equal">
      <formula>"Éxito con problemas"</formula>
    </cfRule>
    <cfRule type="cellIs" dxfId="6248" priority="33928" operator="equal">
      <formula>"CANCELADO"</formula>
    </cfRule>
    <cfRule type="cellIs" dxfId="6247" priority="33929" operator="equal">
      <formula>"Aplicada marcha atrás"</formula>
    </cfRule>
    <cfRule type="cellIs" dxfId="6246" priority="33930" operator="equal">
      <formula>"CON ÉXITO"</formula>
    </cfRule>
  </conditionalFormatting>
  <conditionalFormatting sqref="H503">
    <cfRule type="duplicateValues" dxfId="6245" priority="33914"/>
  </conditionalFormatting>
  <conditionalFormatting sqref="A503">
    <cfRule type="cellIs" dxfId="6244" priority="33904" operator="equal">
      <formula>"APLAZADO"</formula>
    </cfRule>
    <cfRule type="cellIs" dxfId="6243" priority="33905" operator="equal">
      <formula>"CANCELADO"</formula>
    </cfRule>
    <cfRule type="cellIs" dxfId="6242" priority="33906" operator="equal">
      <formula>"NO EJECUTADO"</formula>
    </cfRule>
    <cfRule type="cellIs" dxfId="6241" priority="33907" operator="equal">
      <formula>"FPE"</formula>
    </cfRule>
    <cfRule type="cellIs" dxfId="6240" priority="33908" operator="equal">
      <formula>"AMA"</formula>
    </cfRule>
    <cfRule type="cellIs" dxfId="6239" priority="33909" operator="equal">
      <formula>"SIN DATOS"</formula>
    </cfRule>
    <cfRule type="cellIs" dxfId="6238" priority="33910" operator="equal">
      <formula>"SIN DATOS"</formula>
    </cfRule>
    <cfRule type="cellIs" dxfId="6237" priority="33911" operator="equal">
      <formula>"NO EJECTUTADO"</formula>
    </cfRule>
    <cfRule type="cellIs" dxfId="6236" priority="33912" operator="equal">
      <formula>"FE"</formula>
    </cfRule>
    <cfRule type="cellIs" dxfId="6235" priority="33913" operator="equal">
      <formula>"FE"</formula>
    </cfRule>
  </conditionalFormatting>
  <conditionalFormatting sqref="A503">
    <cfRule type="cellIs" dxfId="6234" priority="33902" operator="equal">
      <formula>"Retirado"</formula>
    </cfRule>
    <cfRule type="cellIs" dxfId="6233" priority="33903" operator="equal">
      <formula>"FSE"</formula>
    </cfRule>
  </conditionalFormatting>
  <conditionalFormatting sqref="F503">
    <cfRule type="cellIs" dxfId="6232" priority="33874" operator="equal">
      <formula>"APLAZADO"</formula>
    </cfRule>
    <cfRule type="cellIs" dxfId="6231" priority="33875" operator="equal">
      <formula>"CANCELADO"</formula>
    </cfRule>
    <cfRule type="cellIs" dxfId="6230" priority="33876" operator="equal">
      <formula>"NO EJECUTADO"</formula>
    </cfRule>
    <cfRule type="cellIs" dxfId="6229" priority="33877" operator="equal">
      <formula>"FPE"</formula>
    </cfRule>
    <cfRule type="cellIs" dxfId="6228" priority="33878" operator="equal">
      <formula>"AMA"</formula>
    </cfRule>
    <cfRule type="cellIs" dxfId="6227" priority="33879" operator="equal">
      <formula>"SIN DATOS"</formula>
    </cfRule>
    <cfRule type="cellIs" dxfId="6226" priority="33880" operator="equal">
      <formula>"SIN DATOS"</formula>
    </cfRule>
    <cfRule type="cellIs" dxfId="6225" priority="33881" operator="equal">
      <formula>"NO EJECTUTADO"</formula>
    </cfRule>
    <cfRule type="cellIs" dxfId="6224" priority="33882" operator="equal">
      <formula>"FE"</formula>
    </cfRule>
    <cfRule type="cellIs" dxfId="6223" priority="33883" operator="equal">
      <formula>"FE"</formula>
    </cfRule>
  </conditionalFormatting>
  <conditionalFormatting sqref="F503">
    <cfRule type="cellIs" dxfId="6222" priority="33872" operator="equal">
      <formula>"Retirado"</formula>
    </cfRule>
    <cfRule type="cellIs" dxfId="6221" priority="33873" operator="equal">
      <formula>"FSE"</formula>
    </cfRule>
  </conditionalFormatting>
  <conditionalFormatting sqref="B486">
    <cfRule type="cellIs" dxfId="6220" priority="33855" operator="equal">
      <formula>"Sin éxito"</formula>
    </cfRule>
    <cfRule type="cellIs" dxfId="6219" priority="33856" operator="equal">
      <formula>"Éxito con problemas"</formula>
    </cfRule>
    <cfRule type="cellIs" dxfId="6218" priority="33857" operator="equal">
      <formula>"CANCELADO"</formula>
    </cfRule>
    <cfRule type="cellIs" dxfId="6217" priority="33858" operator="equal">
      <formula>"Aplicada marcha atrás"</formula>
    </cfRule>
    <cfRule type="cellIs" dxfId="6216" priority="33859" operator="equal">
      <formula>"CON ÉXITO"</formula>
    </cfRule>
  </conditionalFormatting>
  <conditionalFormatting sqref="B487">
    <cfRule type="cellIs" dxfId="6215" priority="33838" operator="equal">
      <formula>"Sin éxito"</formula>
    </cfRule>
    <cfRule type="cellIs" dxfId="6214" priority="33839" operator="equal">
      <formula>"Éxito con problemas"</formula>
    </cfRule>
    <cfRule type="cellIs" dxfId="6213" priority="33840" operator="equal">
      <formula>"CANCELADO"</formula>
    </cfRule>
    <cfRule type="cellIs" dxfId="6212" priority="33841" operator="equal">
      <formula>"Aplicada marcha atrás"</formula>
    </cfRule>
    <cfRule type="cellIs" dxfId="6211" priority="33842" operator="equal">
      <formula>"CON ÉXITO"</formula>
    </cfRule>
  </conditionalFormatting>
  <conditionalFormatting sqref="B489">
    <cfRule type="cellIs" dxfId="6210" priority="33821" operator="equal">
      <formula>"Sin éxito"</formula>
    </cfRule>
    <cfRule type="cellIs" dxfId="6209" priority="33822" operator="equal">
      <formula>"Éxito con problemas"</formula>
    </cfRule>
    <cfRule type="cellIs" dxfId="6208" priority="33823" operator="equal">
      <formula>"CANCELADO"</formula>
    </cfRule>
    <cfRule type="cellIs" dxfId="6207" priority="33824" operator="equal">
      <formula>"Aplicada marcha atrás"</formula>
    </cfRule>
    <cfRule type="cellIs" dxfId="6206" priority="33825" operator="equal">
      <formula>"CON ÉXITO"</formula>
    </cfRule>
  </conditionalFormatting>
  <conditionalFormatting sqref="H504">
    <cfRule type="duplicateValues" dxfId="6205" priority="33764"/>
  </conditionalFormatting>
  <conditionalFormatting sqref="A504">
    <cfRule type="cellIs" dxfId="6204" priority="33754" operator="equal">
      <formula>"APLAZADO"</formula>
    </cfRule>
    <cfRule type="cellIs" dxfId="6203" priority="33755" operator="equal">
      <formula>"CANCELADO"</formula>
    </cfRule>
    <cfRule type="cellIs" dxfId="6202" priority="33756" operator="equal">
      <formula>"NO EJECUTADO"</formula>
    </cfRule>
    <cfRule type="cellIs" dxfId="6201" priority="33757" operator="equal">
      <formula>"FPE"</formula>
    </cfRule>
    <cfRule type="cellIs" dxfId="6200" priority="33758" operator="equal">
      <formula>"AMA"</formula>
    </cfRule>
    <cfRule type="cellIs" dxfId="6199" priority="33759" operator="equal">
      <formula>"SIN DATOS"</formula>
    </cfRule>
    <cfRule type="cellIs" dxfId="6198" priority="33760" operator="equal">
      <formula>"SIN DATOS"</formula>
    </cfRule>
    <cfRule type="cellIs" dxfId="6197" priority="33761" operator="equal">
      <formula>"NO EJECTUTADO"</formula>
    </cfRule>
    <cfRule type="cellIs" dxfId="6196" priority="33762" operator="equal">
      <formula>"FE"</formula>
    </cfRule>
    <cfRule type="cellIs" dxfId="6195" priority="33763" operator="equal">
      <formula>"FE"</formula>
    </cfRule>
  </conditionalFormatting>
  <conditionalFormatting sqref="A504">
    <cfRule type="cellIs" dxfId="6194" priority="33752" operator="equal">
      <formula>"Retirado"</formula>
    </cfRule>
    <cfRule type="cellIs" dxfId="6193" priority="33753" operator="equal">
      <formula>"FSE"</formula>
    </cfRule>
  </conditionalFormatting>
  <conditionalFormatting sqref="F504">
    <cfRule type="cellIs" dxfId="6192" priority="33724" operator="equal">
      <formula>"APLAZADO"</formula>
    </cfRule>
    <cfRule type="cellIs" dxfId="6191" priority="33725" operator="equal">
      <formula>"CANCELADO"</formula>
    </cfRule>
    <cfRule type="cellIs" dxfId="6190" priority="33726" operator="equal">
      <formula>"NO EJECUTADO"</formula>
    </cfRule>
    <cfRule type="cellIs" dxfId="6189" priority="33727" operator="equal">
      <formula>"FPE"</formula>
    </cfRule>
    <cfRule type="cellIs" dxfId="6188" priority="33728" operator="equal">
      <formula>"AMA"</formula>
    </cfRule>
    <cfRule type="cellIs" dxfId="6187" priority="33729" operator="equal">
      <formula>"SIN DATOS"</formula>
    </cfRule>
    <cfRule type="cellIs" dxfId="6186" priority="33730" operator="equal">
      <formula>"SIN DATOS"</formula>
    </cfRule>
    <cfRule type="cellIs" dxfId="6185" priority="33731" operator="equal">
      <formula>"NO EJECTUTADO"</formula>
    </cfRule>
    <cfRule type="cellIs" dxfId="6184" priority="33732" operator="equal">
      <formula>"FE"</formula>
    </cfRule>
    <cfRule type="cellIs" dxfId="6183" priority="33733" operator="equal">
      <formula>"FE"</formula>
    </cfRule>
  </conditionalFormatting>
  <conditionalFormatting sqref="F504">
    <cfRule type="cellIs" dxfId="6182" priority="33722" operator="equal">
      <formula>"Retirado"</formula>
    </cfRule>
    <cfRule type="cellIs" dxfId="6181" priority="33723" operator="equal">
      <formula>"FSE"</formula>
    </cfRule>
  </conditionalFormatting>
  <conditionalFormatting sqref="H505">
    <cfRule type="duplicateValues" dxfId="6180" priority="33716"/>
  </conditionalFormatting>
  <conditionalFormatting sqref="A505">
    <cfRule type="cellIs" dxfId="6179" priority="33706" operator="equal">
      <formula>"APLAZADO"</formula>
    </cfRule>
    <cfRule type="cellIs" dxfId="6178" priority="33707" operator="equal">
      <formula>"CANCELADO"</formula>
    </cfRule>
    <cfRule type="cellIs" dxfId="6177" priority="33708" operator="equal">
      <formula>"NO EJECUTADO"</formula>
    </cfRule>
    <cfRule type="cellIs" dxfId="6176" priority="33709" operator="equal">
      <formula>"FPE"</formula>
    </cfRule>
    <cfRule type="cellIs" dxfId="6175" priority="33710" operator="equal">
      <formula>"AMA"</formula>
    </cfRule>
    <cfRule type="cellIs" dxfId="6174" priority="33711" operator="equal">
      <formula>"SIN DATOS"</formula>
    </cfRule>
    <cfRule type="cellIs" dxfId="6173" priority="33712" operator="equal">
      <formula>"SIN DATOS"</formula>
    </cfRule>
    <cfRule type="cellIs" dxfId="6172" priority="33713" operator="equal">
      <formula>"NO EJECTUTADO"</formula>
    </cfRule>
    <cfRule type="cellIs" dxfId="6171" priority="33714" operator="equal">
      <formula>"FE"</formula>
    </cfRule>
    <cfRule type="cellIs" dxfId="6170" priority="33715" operator="equal">
      <formula>"FE"</formula>
    </cfRule>
  </conditionalFormatting>
  <conditionalFormatting sqref="A505">
    <cfRule type="cellIs" dxfId="6169" priority="33704" operator="equal">
      <formula>"Retirado"</formula>
    </cfRule>
    <cfRule type="cellIs" dxfId="6168" priority="33705" operator="equal">
      <formula>"FSE"</formula>
    </cfRule>
  </conditionalFormatting>
  <conditionalFormatting sqref="F505">
    <cfRule type="cellIs" dxfId="6167" priority="33676" operator="equal">
      <formula>"APLAZADO"</formula>
    </cfRule>
    <cfRule type="cellIs" dxfId="6166" priority="33677" operator="equal">
      <formula>"CANCELADO"</formula>
    </cfRule>
    <cfRule type="cellIs" dxfId="6165" priority="33678" operator="equal">
      <formula>"NO EJECUTADO"</formula>
    </cfRule>
    <cfRule type="cellIs" dxfId="6164" priority="33679" operator="equal">
      <formula>"FPE"</formula>
    </cfRule>
    <cfRule type="cellIs" dxfId="6163" priority="33680" operator="equal">
      <formula>"AMA"</formula>
    </cfRule>
    <cfRule type="cellIs" dxfId="6162" priority="33681" operator="equal">
      <formula>"SIN DATOS"</formula>
    </cfRule>
    <cfRule type="cellIs" dxfId="6161" priority="33682" operator="equal">
      <formula>"SIN DATOS"</formula>
    </cfRule>
    <cfRule type="cellIs" dxfId="6160" priority="33683" operator="equal">
      <formula>"NO EJECTUTADO"</formula>
    </cfRule>
    <cfRule type="cellIs" dxfId="6159" priority="33684" operator="equal">
      <formula>"FE"</formula>
    </cfRule>
    <cfRule type="cellIs" dxfId="6158" priority="33685" operator="equal">
      <formula>"FE"</formula>
    </cfRule>
  </conditionalFormatting>
  <conditionalFormatting sqref="F505">
    <cfRule type="cellIs" dxfId="6157" priority="33674" operator="equal">
      <formula>"Retirado"</formula>
    </cfRule>
    <cfRule type="cellIs" dxfId="6156" priority="33675" operator="equal">
      <formula>"FSE"</formula>
    </cfRule>
  </conditionalFormatting>
  <conditionalFormatting sqref="H506">
    <cfRule type="duplicateValues" dxfId="6155" priority="33668"/>
  </conditionalFormatting>
  <conditionalFormatting sqref="A506">
    <cfRule type="cellIs" dxfId="6154" priority="33658" operator="equal">
      <formula>"APLAZADO"</formula>
    </cfRule>
    <cfRule type="cellIs" dxfId="6153" priority="33659" operator="equal">
      <formula>"CANCELADO"</formula>
    </cfRule>
    <cfRule type="cellIs" dxfId="6152" priority="33660" operator="equal">
      <formula>"NO EJECUTADO"</formula>
    </cfRule>
    <cfRule type="cellIs" dxfId="6151" priority="33661" operator="equal">
      <formula>"FPE"</formula>
    </cfRule>
    <cfRule type="cellIs" dxfId="6150" priority="33662" operator="equal">
      <formula>"AMA"</formula>
    </cfRule>
    <cfRule type="cellIs" dxfId="6149" priority="33663" operator="equal">
      <formula>"SIN DATOS"</formula>
    </cfRule>
    <cfRule type="cellIs" dxfId="6148" priority="33664" operator="equal">
      <formula>"SIN DATOS"</formula>
    </cfRule>
    <cfRule type="cellIs" dxfId="6147" priority="33665" operator="equal">
      <formula>"NO EJECTUTADO"</formula>
    </cfRule>
    <cfRule type="cellIs" dxfId="6146" priority="33666" operator="equal">
      <formula>"FE"</formula>
    </cfRule>
    <cfRule type="cellIs" dxfId="6145" priority="33667" operator="equal">
      <formula>"FE"</formula>
    </cfRule>
  </conditionalFormatting>
  <conditionalFormatting sqref="A506">
    <cfRule type="cellIs" dxfId="6144" priority="33656" operator="equal">
      <formula>"Retirado"</formula>
    </cfRule>
    <cfRule type="cellIs" dxfId="6143" priority="33657" operator="equal">
      <formula>"FSE"</formula>
    </cfRule>
  </conditionalFormatting>
  <conditionalFormatting sqref="F506">
    <cfRule type="cellIs" dxfId="6142" priority="33628" operator="equal">
      <formula>"APLAZADO"</formula>
    </cfRule>
    <cfRule type="cellIs" dxfId="6141" priority="33629" operator="equal">
      <formula>"CANCELADO"</formula>
    </cfRule>
    <cfRule type="cellIs" dxfId="6140" priority="33630" operator="equal">
      <formula>"NO EJECUTADO"</formula>
    </cfRule>
    <cfRule type="cellIs" dxfId="6139" priority="33631" operator="equal">
      <formula>"FPE"</formula>
    </cfRule>
    <cfRule type="cellIs" dxfId="6138" priority="33632" operator="equal">
      <formula>"AMA"</formula>
    </cfRule>
    <cfRule type="cellIs" dxfId="6137" priority="33633" operator="equal">
      <formula>"SIN DATOS"</formula>
    </cfRule>
    <cfRule type="cellIs" dxfId="6136" priority="33634" operator="equal">
      <formula>"SIN DATOS"</formula>
    </cfRule>
    <cfRule type="cellIs" dxfId="6135" priority="33635" operator="equal">
      <formula>"NO EJECTUTADO"</formula>
    </cfRule>
    <cfRule type="cellIs" dxfId="6134" priority="33636" operator="equal">
      <formula>"FE"</formula>
    </cfRule>
    <cfRule type="cellIs" dxfId="6133" priority="33637" operator="equal">
      <formula>"FE"</formula>
    </cfRule>
  </conditionalFormatting>
  <conditionalFormatting sqref="F506">
    <cfRule type="cellIs" dxfId="6132" priority="33626" operator="equal">
      <formula>"Retirado"</formula>
    </cfRule>
    <cfRule type="cellIs" dxfId="6131" priority="33627" operator="equal">
      <formula>"FSE"</formula>
    </cfRule>
  </conditionalFormatting>
  <conditionalFormatting sqref="H507">
    <cfRule type="duplicateValues" dxfId="6130" priority="33614"/>
  </conditionalFormatting>
  <conditionalFormatting sqref="A507">
    <cfRule type="cellIs" dxfId="6129" priority="33604" operator="equal">
      <formula>"APLAZADO"</formula>
    </cfRule>
    <cfRule type="cellIs" dxfId="6128" priority="33605" operator="equal">
      <formula>"CANCELADO"</formula>
    </cfRule>
    <cfRule type="cellIs" dxfId="6127" priority="33606" operator="equal">
      <formula>"NO EJECUTADO"</formula>
    </cfRule>
    <cfRule type="cellIs" dxfId="6126" priority="33607" operator="equal">
      <formula>"FPE"</formula>
    </cfRule>
    <cfRule type="cellIs" dxfId="6125" priority="33608" operator="equal">
      <formula>"AMA"</formula>
    </cfRule>
    <cfRule type="cellIs" dxfId="6124" priority="33609" operator="equal">
      <formula>"SIN DATOS"</formula>
    </cfRule>
    <cfRule type="cellIs" dxfId="6123" priority="33610" operator="equal">
      <formula>"SIN DATOS"</formula>
    </cfRule>
    <cfRule type="cellIs" dxfId="6122" priority="33611" operator="equal">
      <formula>"NO EJECTUTADO"</formula>
    </cfRule>
    <cfRule type="cellIs" dxfId="6121" priority="33612" operator="equal">
      <formula>"FE"</formula>
    </cfRule>
    <cfRule type="cellIs" dxfId="6120" priority="33613" operator="equal">
      <formula>"FE"</formula>
    </cfRule>
  </conditionalFormatting>
  <conditionalFormatting sqref="A507">
    <cfRule type="cellIs" dxfId="6119" priority="33602" operator="equal">
      <formula>"Retirado"</formula>
    </cfRule>
    <cfRule type="cellIs" dxfId="6118" priority="33603" operator="equal">
      <formula>"FSE"</formula>
    </cfRule>
  </conditionalFormatting>
  <conditionalFormatting sqref="F507">
    <cfRule type="cellIs" dxfId="6117" priority="33574" operator="equal">
      <formula>"APLAZADO"</formula>
    </cfRule>
    <cfRule type="cellIs" dxfId="6116" priority="33575" operator="equal">
      <formula>"CANCELADO"</formula>
    </cfRule>
    <cfRule type="cellIs" dxfId="6115" priority="33576" operator="equal">
      <formula>"NO EJECUTADO"</formula>
    </cfRule>
    <cfRule type="cellIs" dxfId="6114" priority="33577" operator="equal">
      <formula>"FPE"</formula>
    </cfRule>
    <cfRule type="cellIs" dxfId="6113" priority="33578" operator="equal">
      <formula>"AMA"</formula>
    </cfRule>
    <cfRule type="cellIs" dxfId="6112" priority="33579" operator="equal">
      <formula>"SIN DATOS"</formula>
    </cfRule>
    <cfRule type="cellIs" dxfId="6111" priority="33580" operator="equal">
      <formula>"SIN DATOS"</formula>
    </cfRule>
    <cfRule type="cellIs" dxfId="6110" priority="33581" operator="equal">
      <formula>"NO EJECTUTADO"</formula>
    </cfRule>
    <cfRule type="cellIs" dxfId="6109" priority="33582" operator="equal">
      <formula>"FE"</formula>
    </cfRule>
    <cfRule type="cellIs" dxfId="6108" priority="33583" operator="equal">
      <formula>"FE"</formula>
    </cfRule>
  </conditionalFormatting>
  <conditionalFormatting sqref="F507">
    <cfRule type="cellIs" dxfId="6107" priority="33572" operator="equal">
      <formula>"Retirado"</formula>
    </cfRule>
    <cfRule type="cellIs" dxfId="6106" priority="33573" operator="equal">
      <formula>"FSE"</formula>
    </cfRule>
  </conditionalFormatting>
  <conditionalFormatting sqref="H508">
    <cfRule type="duplicateValues" dxfId="6105" priority="33566"/>
  </conditionalFormatting>
  <conditionalFormatting sqref="A508">
    <cfRule type="cellIs" dxfId="6104" priority="33556" operator="equal">
      <formula>"APLAZADO"</formula>
    </cfRule>
    <cfRule type="cellIs" dxfId="6103" priority="33557" operator="equal">
      <formula>"CANCELADO"</formula>
    </cfRule>
    <cfRule type="cellIs" dxfId="6102" priority="33558" operator="equal">
      <formula>"NO EJECUTADO"</formula>
    </cfRule>
    <cfRule type="cellIs" dxfId="6101" priority="33559" operator="equal">
      <formula>"FPE"</formula>
    </cfRule>
    <cfRule type="cellIs" dxfId="6100" priority="33560" operator="equal">
      <formula>"AMA"</formula>
    </cfRule>
    <cfRule type="cellIs" dxfId="6099" priority="33561" operator="equal">
      <formula>"SIN DATOS"</formula>
    </cfRule>
    <cfRule type="cellIs" dxfId="6098" priority="33562" operator="equal">
      <formula>"SIN DATOS"</formula>
    </cfRule>
    <cfRule type="cellIs" dxfId="6097" priority="33563" operator="equal">
      <formula>"NO EJECTUTADO"</formula>
    </cfRule>
    <cfRule type="cellIs" dxfId="6096" priority="33564" operator="equal">
      <formula>"FE"</formula>
    </cfRule>
    <cfRule type="cellIs" dxfId="6095" priority="33565" operator="equal">
      <formula>"FE"</formula>
    </cfRule>
  </conditionalFormatting>
  <conditionalFormatting sqref="A508">
    <cfRule type="cellIs" dxfId="6094" priority="33554" operator="equal">
      <formula>"Retirado"</formula>
    </cfRule>
    <cfRule type="cellIs" dxfId="6093" priority="33555" operator="equal">
      <formula>"FSE"</formula>
    </cfRule>
  </conditionalFormatting>
  <conditionalFormatting sqref="F508">
    <cfRule type="cellIs" dxfId="6092" priority="33526" operator="equal">
      <formula>"APLAZADO"</formula>
    </cfRule>
    <cfRule type="cellIs" dxfId="6091" priority="33527" operator="equal">
      <formula>"CANCELADO"</formula>
    </cfRule>
    <cfRule type="cellIs" dxfId="6090" priority="33528" operator="equal">
      <formula>"NO EJECUTADO"</formula>
    </cfRule>
    <cfRule type="cellIs" dxfId="6089" priority="33529" operator="equal">
      <formula>"FPE"</formula>
    </cfRule>
    <cfRule type="cellIs" dxfId="6088" priority="33530" operator="equal">
      <formula>"AMA"</formula>
    </cfRule>
    <cfRule type="cellIs" dxfId="6087" priority="33531" operator="equal">
      <formula>"SIN DATOS"</formula>
    </cfRule>
    <cfRule type="cellIs" dxfId="6086" priority="33532" operator="equal">
      <formula>"SIN DATOS"</formula>
    </cfRule>
    <cfRule type="cellIs" dxfId="6085" priority="33533" operator="equal">
      <formula>"NO EJECTUTADO"</formula>
    </cfRule>
    <cfRule type="cellIs" dxfId="6084" priority="33534" operator="equal">
      <formula>"FE"</formula>
    </cfRule>
    <cfRule type="cellIs" dxfId="6083" priority="33535" operator="equal">
      <formula>"FE"</formula>
    </cfRule>
  </conditionalFormatting>
  <conditionalFormatting sqref="F508">
    <cfRule type="cellIs" dxfId="6082" priority="33524" operator="equal">
      <formula>"Retirado"</formula>
    </cfRule>
    <cfRule type="cellIs" dxfId="6081" priority="33525" operator="equal">
      <formula>"FSE"</formula>
    </cfRule>
  </conditionalFormatting>
  <conditionalFormatting sqref="H509">
    <cfRule type="duplicateValues" dxfId="6080" priority="33506"/>
  </conditionalFormatting>
  <conditionalFormatting sqref="A509">
    <cfRule type="cellIs" dxfId="6079" priority="33496" operator="equal">
      <formula>"APLAZADO"</formula>
    </cfRule>
    <cfRule type="cellIs" dxfId="6078" priority="33497" operator="equal">
      <formula>"CANCELADO"</formula>
    </cfRule>
    <cfRule type="cellIs" dxfId="6077" priority="33498" operator="equal">
      <formula>"NO EJECUTADO"</formula>
    </cfRule>
    <cfRule type="cellIs" dxfId="6076" priority="33499" operator="equal">
      <formula>"FPE"</formula>
    </cfRule>
    <cfRule type="cellIs" dxfId="6075" priority="33500" operator="equal">
      <formula>"AMA"</formula>
    </cfRule>
    <cfRule type="cellIs" dxfId="6074" priority="33501" operator="equal">
      <formula>"SIN DATOS"</formula>
    </cfRule>
    <cfRule type="cellIs" dxfId="6073" priority="33502" operator="equal">
      <formula>"SIN DATOS"</formula>
    </cfRule>
    <cfRule type="cellIs" dxfId="6072" priority="33503" operator="equal">
      <formula>"NO EJECTUTADO"</formula>
    </cfRule>
    <cfRule type="cellIs" dxfId="6071" priority="33504" operator="equal">
      <formula>"FE"</formula>
    </cfRule>
    <cfRule type="cellIs" dxfId="6070" priority="33505" operator="equal">
      <formula>"FE"</formula>
    </cfRule>
  </conditionalFormatting>
  <conditionalFormatting sqref="A509">
    <cfRule type="cellIs" dxfId="6069" priority="33494" operator="equal">
      <formula>"Retirado"</formula>
    </cfRule>
    <cfRule type="cellIs" dxfId="6068" priority="33495" operator="equal">
      <formula>"FSE"</formula>
    </cfRule>
  </conditionalFormatting>
  <conditionalFormatting sqref="F509">
    <cfRule type="cellIs" dxfId="6067" priority="33466" operator="equal">
      <formula>"APLAZADO"</formula>
    </cfRule>
    <cfRule type="cellIs" dxfId="6066" priority="33467" operator="equal">
      <formula>"CANCELADO"</formula>
    </cfRule>
    <cfRule type="cellIs" dxfId="6065" priority="33468" operator="equal">
      <formula>"NO EJECUTADO"</formula>
    </cfRule>
    <cfRule type="cellIs" dxfId="6064" priority="33469" operator="equal">
      <formula>"FPE"</formula>
    </cfRule>
    <cfRule type="cellIs" dxfId="6063" priority="33470" operator="equal">
      <formula>"AMA"</formula>
    </cfRule>
    <cfRule type="cellIs" dxfId="6062" priority="33471" operator="equal">
      <formula>"SIN DATOS"</formula>
    </cfRule>
    <cfRule type="cellIs" dxfId="6061" priority="33472" operator="equal">
      <formula>"SIN DATOS"</formula>
    </cfRule>
    <cfRule type="cellIs" dxfId="6060" priority="33473" operator="equal">
      <formula>"NO EJECTUTADO"</formula>
    </cfRule>
    <cfRule type="cellIs" dxfId="6059" priority="33474" operator="equal">
      <formula>"FE"</formula>
    </cfRule>
    <cfRule type="cellIs" dxfId="6058" priority="33475" operator="equal">
      <formula>"FE"</formula>
    </cfRule>
  </conditionalFormatting>
  <conditionalFormatting sqref="F509">
    <cfRule type="cellIs" dxfId="6057" priority="33464" operator="equal">
      <formula>"Retirado"</formula>
    </cfRule>
    <cfRule type="cellIs" dxfId="6056" priority="33465" operator="equal">
      <formula>"FSE"</formula>
    </cfRule>
  </conditionalFormatting>
  <conditionalFormatting sqref="H510">
    <cfRule type="duplicateValues" dxfId="6055" priority="33458"/>
  </conditionalFormatting>
  <conditionalFormatting sqref="A510">
    <cfRule type="cellIs" dxfId="6054" priority="33448" operator="equal">
      <formula>"APLAZADO"</formula>
    </cfRule>
    <cfRule type="cellIs" dxfId="6053" priority="33449" operator="equal">
      <formula>"CANCELADO"</formula>
    </cfRule>
    <cfRule type="cellIs" dxfId="6052" priority="33450" operator="equal">
      <formula>"NO EJECUTADO"</formula>
    </cfRule>
    <cfRule type="cellIs" dxfId="6051" priority="33451" operator="equal">
      <formula>"FPE"</formula>
    </cfRule>
    <cfRule type="cellIs" dxfId="6050" priority="33452" operator="equal">
      <formula>"AMA"</formula>
    </cfRule>
    <cfRule type="cellIs" dxfId="6049" priority="33453" operator="equal">
      <formula>"SIN DATOS"</formula>
    </cfRule>
    <cfRule type="cellIs" dxfId="6048" priority="33454" operator="equal">
      <formula>"SIN DATOS"</formula>
    </cfRule>
    <cfRule type="cellIs" dxfId="6047" priority="33455" operator="equal">
      <formula>"NO EJECTUTADO"</formula>
    </cfRule>
    <cfRule type="cellIs" dxfId="6046" priority="33456" operator="equal">
      <formula>"FE"</formula>
    </cfRule>
    <cfRule type="cellIs" dxfId="6045" priority="33457" operator="equal">
      <formula>"FE"</formula>
    </cfRule>
  </conditionalFormatting>
  <conditionalFormatting sqref="A510">
    <cfRule type="cellIs" dxfId="6044" priority="33446" operator="equal">
      <formula>"Retirado"</formula>
    </cfRule>
    <cfRule type="cellIs" dxfId="6043" priority="33447" operator="equal">
      <formula>"FSE"</formula>
    </cfRule>
  </conditionalFormatting>
  <conditionalFormatting sqref="F510">
    <cfRule type="cellIs" dxfId="6042" priority="33418" operator="equal">
      <formula>"APLAZADO"</formula>
    </cfRule>
    <cfRule type="cellIs" dxfId="6041" priority="33419" operator="equal">
      <formula>"CANCELADO"</formula>
    </cfRule>
    <cfRule type="cellIs" dxfId="6040" priority="33420" operator="equal">
      <formula>"NO EJECUTADO"</formula>
    </cfRule>
    <cfRule type="cellIs" dxfId="6039" priority="33421" operator="equal">
      <formula>"FPE"</formula>
    </cfRule>
    <cfRule type="cellIs" dxfId="6038" priority="33422" operator="equal">
      <formula>"AMA"</formula>
    </cfRule>
    <cfRule type="cellIs" dxfId="6037" priority="33423" operator="equal">
      <formula>"SIN DATOS"</formula>
    </cfRule>
    <cfRule type="cellIs" dxfId="6036" priority="33424" operator="equal">
      <formula>"SIN DATOS"</formula>
    </cfRule>
    <cfRule type="cellIs" dxfId="6035" priority="33425" operator="equal">
      <formula>"NO EJECTUTADO"</formula>
    </cfRule>
    <cfRule type="cellIs" dxfId="6034" priority="33426" operator="equal">
      <formula>"FE"</formula>
    </cfRule>
    <cfRule type="cellIs" dxfId="6033" priority="33427" operator="equal">
      <formula>"FE"</formula>
    </cfRule>
  </conditionalFormatting>
  <conditionalFormatting sqref="F510">
    <cfRule type="cellIs" dxfId="6032" priority="33416" operator="equal">
      <formula>"Retirado"</formula>
    </cfRule>
    <cfRule type="cellIs" dxfId="6031" priority="33417" operator="equal">
      <formula>"FSE"</formula>
    </cfRule>
  </conditionalFormatting>
  <conditionalFormatting sqref="B511">
    <cfRule type="cellIs" dxfId="6030" priority="33411" operator="equal">
      <formula>"Sin éxito"</formula>
    </cfRule>
    <cfRule type="cellIs" dxfId="6029" priority="33412" operator="equal">
      <formula>"Éxito con problemas"</formula>
    </cfRule>
    <cfRule type="cellIs" dxfId="6028" priority="33413" operator="equal">
      <formula>"CANCELADO"</formula>
    </cfRule>
    <cfRule type="cellIs" dxfId="6027" priority="33414" operator="equal">
      <formula>"Aplicada marcha atrás"</formula>
    </cfRule>
    <cfRule type="cellIs" dxfId="6026" priority="33415" operator="equal">
      <formula>"CON ÉXITO"</formula>
    </cfRule>
  </conditionalFormatting>
  <conditionalFormatting sqref="A511">
    <cfRule type="cellIs" dxfId="6025" priority="33400" operator="equal">
      <formula>"APLAZADO"</formula>
    </cfRule>
    <cfRule type="cellIs" dxfId="6024" priority="33401" operator="equal">
      <formula>"CANCELADO"</formula>
    </cfRule>
    <cfRule type="cellIs" dxfId="6023" priority="33402" operator="equal">
      <formula>"NO EJECUTADO"</formula>
    </cfRule>
    <cfRule type="cellIs" dxfId="6022" priority="33403" operator="equal">
      <formula>"FPE"</formula>
    </cfRule>
    <cfRule type="cellIs" dxfId="6021" priority="33404" operator="equal">
      <formula>"AMA"</formula>
    </cfRule>
    <cfRule type="cellIs" dxfId="6020" priority="33405" operator="equal">
      <formula>"SIN DATOS"</formula>
    </cfRule>
    <cfRule type="cellIs" dxfId="6019" priority="33406" operator="equal">
      <formula>"SIN DATOS"</formula>
    </cfRule>
    <cfRule type="cellIs" dxfId="6018" priority="33407" operator="equal">
      <formula>"NO EJECTUTADO"</formula>
    </cfRule>
    <cfRule type="cellIs" dxfId="6017" priority="33408" operator="equal">
      <formula>"FE"</formula>
    </cfRule>
    <cfRule type="cellIs" dxfId="6016" priority="33409" operator="equal">
      <formula>"FE"</formula>
    </cfRule>
  </conditionalFormatting>
  <conditionalFormatting sqref="A511">
    <cfRule type="cellIs" dxfId="6015" priority="33398" operator="equal">
      <formula>"Retirado"</formula>
    </cfRule>
    <cfRule type="cellIs" dxfId="6014" priority="33399" operator="equal">
      <formula>"FSE"</formula>
    </cfRule>
  </conditionalFormatting>
  <conditionalFormatting sqref="F511">
    <cfRule type="cellIs" dxfId="6013" priority="33370" operator="equal">
      <formula>"APLAZADO"</formula>
    </cfRule>
    <cfRule type="cellIs" dxfId="6012" priority="33371" operator="equal">
      <formula>"CANCELADO"</formula>
    </cfRule>
    <cfRule type="cellIs" dxfId="6011" priority="33372" operator="equal">
      <formula>"NO EJECUTADO"</formula>
    </cfRule>
    <cfRule type="cellIs" dxfId="6010" priority="33373" operator="equal">
      <formula>"FPE"</formula>
    </cfRule>
    <cfRule type="cellIs" dxfId="6009" priority="33374" operator="equal">
      <formula>"AMA"</formula>
    </cfRule>
    <cfRule type="cellIs" dxfId="6008" priority="33375" operator="equal">
      <formula>"SIN DATOS"</formula>
    </cfRule>
    <cfRule type="cellIs" dxfId="6007" priority="33376" operator="equal">
      <formula>"SIN DATOS"</formula>
    </cfRule>
    <cfRule type="cellIs" dxfId="6006" priority="33377" operator="equal">
      <formula>"NO EJECTUTADO"</formula>
    </cfRule>
    <cfRule type="cellIs" dxfId="6005" priority="33378" operator="equal">
      <formula>"FE"</formula>
    </cfRule>
    <cfRule type="cellIs" dxfId="6004" priority="33379" operator="equal">
      <formula>"FE"</formula>
    </cfRule>
  </conditionalFormatting>
  <conditionalFormatting sqref="F511">
    <cfRule type="cellIs" dxfId="6003" priority="33368" operator="equal">
      <formula>"Retirado"</formula>
    </cfRule>
    <cfRule type="cellIs" dxfId="6002" priority="33369" operator="equal">
      <formula>"FSE"</formula>
    </cfRule>
  </conditionalFormatting>
  <conditionalFormatting sqref="H511">
    <cfRule type="duplicateValues" dxfId="6001" priority="33367"/>
  </conditionalFormatting>
  <conditionalFormatting sqref="H512:H513">
    <cfRule type="duplicateValues" dxfId="6000" priority="33355"/>
  </conditionalFormatting>
  <conditionalFormatting sqref="A512:A513">
    <cfRule type="cellIs" dxfId="5999" priority="33345" operator="equal">
      <formula>"APLAZADO"</formula>
    </cfRule>
    <cfRule type="cellIs" dxfId="5998" priority="33346" operator="equal">
      <formula>"CANCELADO"</formula>
    </cfRule>
    <cfRule type="cellIs" dxfId="5997" priority="33347" operator="equal">
      <formula>"NO EJECUTADO"</formula>
    </cfRule>
    <cfRule type="cellIs" dxfId="5996" priority="33348" operator="equal">
      <formula>"FPE"</formula>
    </cfRule>
    <cfRule type="cellIs" dxfId="5995" priority="33349" operator="equal">
      <formula>"AMA"</formula>
    </cfRule>
    <cfRule type="cellIs" dxfId="5994" priority="33350" operator="equal">
      <formula>"SIN DATOS"</formula>
    </cfRule>
    <cfRule type="cellIs" dxfId="5993" priority="33351" operator="equal">
      <formula>"SIN DATOS"</formula>
    </cfRule>
    <cfRule type="cellIs" dxfId="5992" priority="33352" operator="equal">
      <formula>"NO EJECTUTADO"</formula>
    </cfRule>
    <cfRule type="cellIs" dxfId="5991" priority="33353" operator="equal">
      <formula>"FE"</formula>
    </cfRule>
    <cfRule type="cellIs" dxfId="5990" priority="33354" operator="equal">
      <formula>"FE"</formula>
    </cfRule>
  </conditionalFormatting>
  <conditionalFormatting sqref="A512:A513">
    <cfRule type="cellIs" dxfId="5989" priority="33343" operator="equal">
      <formula>"Retirado"</formula>
    </cfRule>
    <cfRule type="cellIs" dxfId="5988" priority="33344" operator="equal">
      <formula>"FSE"</formula>
    </cfRule>
  </conditionalFormatting>
  <conditionalFormatting sqref="F512:F513">
    <cfRule type="cellIs" dxfId="5987" priority="33315" operator="equal">
      <formula>"APLAZADO"</formula>
    </cfRule>
    <cfRule type="cellIs" dxfId="5986" priority="33316" operator="equal">
      <formula>"CANCELADO"</formula>
    </cfRule>
    <cfRule type="cellIs" dxfId="5985" priority="33317" operator="equal">
      <formula>"NO EJECUTADO"</formula>
    </cfRule>
    <cfRule type="cellIs" dxfId="5984" priority="33318" operator="equal">
      <formula>"FPE"</formula>
    </cfRule>
    <cfRule type="cellIs" dxfId="5983" priority="33319" operator="equal">
      <formula>"AMA"</formula>
    </cfRule>
    <cfRule type="cellIs" dxfId="5982" priority="33320" operator="equal">
      <formula>"SIN DATOS"</formula>
    </cfRule>
    <cfRule type="cellIs" dxfId="5981" priority="33321" operator="equal">
      <formula>"SIN DATOS"</formula>
    </cfRule>
    <cfRule type="cellIs" dxfId="5980" priority="33322" operator="equal">
      <formula>"NO EJECTUTADO"</formula>
    </cfRule>
    <cfRule type="cellIs" dxfId="5979" priority="33323" operator="equal">
      <formula>"FE"</formula>
    </cfRule>
    <cfRule type="cellIs" dxfId="5978" priority="33324" operator="equal">
      <formula>"FE"</formula>
    </cfRule>
  </conditionalFormatting>
  <conditionalFormatting sqref="F512:F513">
    <cfRule type="cellIs" dxfId="5977" priority="33313" operator="equal">
      <formula>"Retirado"</formula>
    </cfRule>
    <cfRule type="cellIs" dxfId="5976" priority="33314" operator="equal">
      <formula>"FSE"</formula>
    </cfRule>
  </conditionalFormatting>
  <conditionalFormatting sqref="H514">
    <cfRule type="duplicateValues" dxfId="5975" priority="33301"/>
  </conditionalFormatting>
  <conditionalFormatting sqref="A514">
    <cfRule type="cellIs" dxfId="5974" priority="33291" operator="equal">
      <formula>"APLAZADO"</formula>
    </cfRule>
    <cfRule type="cellIs" dxfId="5973" priority="33292" operator="equal">
      <formula>"CANCELADO"</formula>
    </cfRule>
    <cfRule type="cellIs" dxfId="5972" priority="33293" operator="equal">
      <formula>"NO EJECUTADO"</formula>
    </cfRule>
    <cfRule type="cellIs" dxfId="5971" priority="33294" operator="equal">
      <formula>"FPE"</formula>
    </cfRule>
    <cfRule type="cellIs" dxfId="5970" priority="33295" operator="equal">
      <formula>"AMA"</formula>
    </cfRule>
    <cfRule type="cellIs" dxfId="5969" priority="33296" operator="equal">
      <formula>"SIN DATOS"</formula>
    </cfRule>
    <cfRule type="cellIs" dxfId="5968" priority="33297" operator="equal">
      <formula>"SIN DATOS"</formula>
    </cfRule>
    <cfRule type="cellIs" dxfId="5967" priority="33298" operator="equal">
      <formula>"NO EJECTUTADO"</formula>
    </cfRule>
    <cfRule type="cellIs" dxfId="5966" priority="33299" operator="equal">
      <formula>"FE"</formula>
    </cfRule>
    <cfRule type="cellIs" dxfId="5965" priority="33300" operator="equal">
      <formula>"FE"</formula>
    </cfRule>
  </conditionalFormatting>
  <conditionalFormatting sqref="A514">
    <cfRule type="cellIs" dxfId="5964" priority="33289" operator="equal">
      <formula>"Retirado"</formula>
    </cfRule>
    <cfRule type="cellIs" dxfId="5963" priority="33290" operator="equal">
      <formula>"FSE"</formula>
    </cfRule>
  </conditionalFormatting>
  <conditionalFormatting sqref="F514">
    <cfRule type="cellIs" dxfId="5962" priority="33261" operator="equal">
      <formula>"APLAZADO"</formula>
    </cfRule>
    <cfRule type="cellIs" dxfId="5961" priority="33262" operator="equal">
      <formula>"CANCELADO"</formula>
    </cfRule>
    <cfRule type="cellIs" dxfId="5960" priority="33263" operator="equal">
      <formula>"NO EJECUTADO"</formula>
    </cfRule>
    <cfRule type="cellIs" dxfId="5959" priority="33264" operator="equal">
      <formula>"FPE"</formula>
    </cfRule>
    <cfRule type="cellIs" dxfId="5958" priority="33265" operator="equal">
      <formula>"AMA"</formula>
    </cfRule>
    <cfRule type="cellIs" dxfId="5957" priority="33266" operator="equal">
      <formula>"SIN DATOS"</formula>
    </cfRule>
    <cfRule type="cellIs" dxfId="5956" priority="33267" operator="equal">
      <formula>"SIN DATOS"</formula>
    </cfRule>
    <cfRule type="cellIs" dxfId="5955" priority="33268" operator="equal">
      <formula>"NO EJECTUTADO"</formula>
    </cfRule>
    <cfRule type="cellIs" dxfId="5954" priority="33269" operator="equal">
      <formula>"FE"</formula>
    </cfRule>
    <cfRule type="cellIs" dxfId="5953" priority="33270" operator="equal">
      <formula>"FE"</formula>
    </cfRule>
  </conditionalFormatting>
  <conditionalFormatting sqref="F514">
    <cfRule type="cellIs" dxfId="5952" priority="33259" operator="equal">
      <formula>"Retirado"</formula>
    </cfRule>
    <cfRule type="cellIs" dxfId="5951" priority="33260" operator="equal">
      <formula>"FSE"</formula>
    </cfRule>
  </conditionalFormatting>
  <conditionalFormatting sqref="A515">
    <cfRule type="cellIs" dxfId="5950" priority="33244" operator="equal">
      <formula>"APLAZADO"</formula>
    </cfRule>
    <cfRule type="cellIs" dxfId="5949" priority="33245" operator="equal">
      <formula>"CANCELADO"</formula>
    </cfRule>
    <cfRule type="cellIs" dxfId="5948" priority="33246" operator="equal">
      <formula>"NO EJECUTADO"</formula>
    </cfRule>
    <cfRule type="cellIs" dxfId="5947" priority="33247" operator="equal">
      <formula>"FPE"</formula>
    </cfRule>
    <cfRule type="cellIs" dxfId="5946" priority="33248" operator="equal">
      <formula>"AMA"</formula>
    </cfRule>
    <cfRule type="cellIs" dxfId="5945" priority="33249" operator="equal">
      <formula>"SIN DATOS"</formula>
    </cfRule>
    <cfRule type="cellIs" dxfId="5944" priority="33250" operator="equal">
      <formula>"SIN DATOS"</formula>
    </cfRule>
    <cfRule type="cellIs" dxfId="5943" priority="33251" operator="equal">
      <formula>"NO EJECTUTADO"</formula>
    </cfRule>
    <cfRule type="cellIs" dxfId="5942" priority="33252" operator="equal">
      <formula>"FE"</formula>
    </cfRule>
    <cfRule type="cellIs" dxfId="5941" priority="33253" operator="equal">
      <formula>"FE"</formula>
    </cfRule>
  </conditionalFormatting>
  <conditionalFormatting sqref="A515">
    <cfRule type="cellIs" dxfId="5940" priority="33242" operator="equal">
      <formula>"Retirado"</formula>
    </cfRule>
    <cfRule type="cellIs" dxfId="5939" priority="33243" operator="equal">
      <formula>"FSE"</formula>
    </cfRule>
  </conditionalFormatting>
  <conditionalFormatting sqref="H515">
    <cfRule type="duplicateValues" dxfId="5938" priority="33223"/>
  </conditionalFormatting>
  <conditionalFormatting sqref="F515">
    <cfRule type="cellIs" dxfId="5937" priority="33213" operator="equal">
      <formula>"APLAZADO"</formula>
    </cfRule>
    <cfRule type="cellIs" dxfId="5936" priority="33214" operator="equal">
      <formula>"CANCELADO"</formula>
    </cfRule>
    <cfRule type="cellIs" dxfId="5935" priority="33215" operator="equal">
      <formula>"NO EJECUTADO"</formula>
    </cfRule>
    <cfRule type="cellIs" dxfId="5934" priority="33216" operator="equal">
      <formula>"FPE"</formula>
    </cfRule>
    <cfRule type="cellIs" dxfId="5933" priority="33217" operator="equal">
      <formula>"AMA"</formula>
    </cfRule>
    <cfRule type="cellIs" dxfId="5932" priority="33218" operator="equal">
      <formula>"SIN DATOS"</formula>
    </cfRule>
    <cfRule type="cellIs" dxfId="5931" priority="33219" operator="equal">
      <formula>"SIN DATOS"</formula>
    </cfRule>
    <cfRule type="cellIs" dxfId="5930" priority="33220" operator="equal">
      <formula>"NO EJECTUTADO"</formula>
    </cfRule>
    <cfRule type="cellIs" dxfId="5929" priority="33221" operator="equal">
      <formula>"FE"</formula>
    </cfRule>
    <cfRule type="cellIs" dxfId="5928" priority="33222" operator="equal">
      <formula>"FE"</formula>
    </cfRule>
  </conditionalFormatting>
  <conditionalFormatting sqref="F515">
    <cfRule type="cellIs" dxfId="5927" priority="33211" operator="equal">
      <formula>"Retirado"</formula>
    </cfRule>
    <cfRule type="cellIs" dxfId="5926" priority="33212" operator="equal">
      <formula>"FSE"</formula>
    </cfRule>
  </conditionalFormatting>
  <conditionalFormatting sqref="B490">
    <cfRule type="cellIs" dxfId="5925" priority="33188" operator="equal">
      <formula>"Sin éxito"</formula>
    </cfRule>
    <cfRule type="cellIs" dxfId="5924" priority="33189" operator="equal">
      <formula>"Éxito con problemas"</formula>
    </cfRule>
    <cfRule type="cellIs" dxfId="5923" priority="33190" operator="equal">
      <formula>"CANCELADO"</formula>
    </cfRule>
    <cfRule type="cellIs" dxfId="5922" priority="33191" operator="equal">
      <formula>"Aplicada marcha atrás"</formula>
    </cfRule>
    <cfRule type="cellIs" dxfId="5921" priority="33192" operator="equal">
      <formula>"CON ÉXITO"</formula>
    </cfRule>
  </conditionalFormatting>
  <conditionalFormatting sqref="B491">
    <cfRule type="cellIs" dxfId="5920" priority="33171" operator="equal">
      <formula>"Sin éxito"</formula>
    </cfRule>
    <cfRule type="cellIs" dxfId="5919" priority="33172" operator="equal">
      <formula>"Éxito con problemas"</formula>
    </cfRule>
    <cfRule type="cellIs" dxfId="5918" priority="33173" operator="equal">
      <formula>"CANCELADO"</formula>
    </cfRule>
    <cfRule type="cellIs" dxfId="5917" priority="33174" operator="equal">
      <formula>"Aplicada marcha atrás"</formula>
    </cfRule>
    <cfRule type="cellIs" dxfId="5916" priority="33175" operator="equal">
      <formula>"CON ÉXITO"</formula>
    </cfRule>
  </conditionalFormatting>
  <conditionalFormatting sqref="B492">
    <cfRule type="cellIs" dxfId="5915" priority="33154" operator="equal">
      <formula>"Sin éxito"</formula>
    </cfRule>
    <cfRule type="cellIs" dxfId="5914" priority="33155" operator="equal">
      <formula>"Éxito con problemas"</formula>
    </cfRule>
    <cfRule type="cellIs" dxfId="5913" priority="33156" operator="equal">
      <formula>"CANCELADO"</formula>
    </cfRule>
    <cfRule type="cellIs" dxfId="5912" priority="33157" operator="equal">
      <formula>"Aplicada marcha atrás"</formula>
    </cfRule>
    <cfRule type="cellIs" dxfId="5911" priority="33158" operator="equal">
      <formula>"CON ÉXITO"</formula>
    </cfRule>
  </conditionalFormatting>
  <conditionalFormatting sqref="B494">
    <cfRule type="cellIs" dxfId="5910" priority="33137" operator="equal">
      <formula>"Sin éxito"</formula>
    </cfRule>
    <cfRule type="cellIs" dxfId="5909" priority="33138" operator="equal">
      <formula>"Éxito con problemas"</formula>
    </cfRule>
    <cfRule type="cellIs" dxfId="5908" priority="33139" operator="equal">
      <formula>"CANCELADO"</formula>
    </cfRule>
    <cfRule type="cellIs" dxfId="5907" priority="33140" operator="equal">
      <formula>"Aplicada marcha atrás"</formula>
    </cfRule>
    <cfRule type="cellIs" dxfId="5906" priority="33141" operator="equal">
      <formula>"CON ÉXITO"</formula>
    </cfRule>
  </conditionalFormatting>
  <conditionalFormatting sqref="H516">
    <cfRule type="duplicateValues" dxfId="5905" priority="33125"/>
  </conditionalFormatting>
  <conditionalFormatting sqref="F516">
    <cfRule type="cellIs" dxfId="5904" priority="33085" operator="equal">
      <formula>"APLAZADO"</formula>
    </cfRule>
    <cfRule type="cellIs" dxfId="5903" priority="33086" operator="equal">
      <formula>"CANCELADO"</formula>
    </cfRule>
    <cfRule type="cellIs" dxfId="5902" priority="33087" operator="equal">
      <formula>"NO EJECUTADO"</formula>
    </cfRule>
    <cfRule type="cellIs" dxfId="5901" priority="33088" operator="equal">
      <formula>"FPE"</formula>
    </cfRule>
    <cfRule type="cellIs" dxfId="5900" priority="33089" operator="equal">
      <formula>"AMA"</formula>
    </cfRule>
    <cfRule type="cellIs" dxfId="5899" priority="33090" operator="equal">
      <formula>"SIN DATOS"</formula>
    </cfRule>
    <cfRule type="cellIs" dxfId="5898" priority="33091" operator="equal">
      <formula>"SIN DATOS"</formula>
    </cfRule>
    <cfRule type="cellIs" dxfId="5897" priority="33092" operator="equal">
      <formula>"NO EJECTUTADO"</formula>
    </cfRule>
    <cfRule type="cellIs" dxfId="5896" priority="33093" operator="equal">
      <formula>"FE"</formula>
    </cfRule>
    <cfRule type="cellIs" dxfId="5895" priority="33094" operator="equal">
      <formula>"FE"</formula>
    </cfRule>
  </conditionalFormatting>
  <conditionalFormatting sqref="F516">
    <cfRule type="cellIs" dxfId="5894" priority="33083" operator="equal">
      <formula>"Retirado"</formula>
    </cfRule>
    <cfRule type="cellIs" dxfId="5893" priority="33084" operator="equal">
      <formula>"FSE"</formula>
    </cfRule>
  </conditionalFormatting>
  <conditionalFormatting sqref="A516">
    <cfRule type="cellIs" dxfId="5892" priority="33073" operator="equal">
      <formula>"APLAZADO"</formula>
    </cfRule>
    <cfRule type="cellIs" dxfId="5891" priority="33074" operator="equal">
      <formula>"CANCELADO"</formula>
    </cfRule>
    <cfRule type="cellIs" dxfId="5890" priority="33075" operator="equal">
      <formula>"NO EJECUTADO"</formula>
    </cfRule>
    <cfRule type="cellIs" dxfId="5889" priority="33076" operator="equal">
      <formula>"FPE"</formula>
    </cfRule>
    <cfRule type="cellIs" dxfId="5888" priority="33077" operator="equal">
      <formula>"AMA"</formula>
    </cfRule>
    <cfRule type="cellIs" dxfId="5887" priority="33078" operator="equal">
      <formula>"SIN DATOS"</formula>
    </cfRule>
    <cfRule type="cellIs" dxfId="5886" priority="33079" operator="equal">
      <formula>"SIN DATOS"</formula>
    </cfRule>
    <cfRule type="cellIs" dxfId="5885" priority="33080" operator="equal">
      <formula>"NO EJECTUTADO"</formula>
    </cfRule>
    <cfRule type="cellIs" dxfId="5884" priority="33081" operator="equal">
      <formula>"FE"</formula>
    </cfRule>
    <cfRule type="cellIs" dxfId="5883" priority="33082" operator="equal">
      <formula>"FE"</formula>
    </cfRule>
  </conditionalFormatting>
  <conditionalFormatting sqref="A516">
    <cfRule type="cellIs" dxfId="5882" priority="33071" operator="equal">
      <formula>"Retirado"</formula>
    </cfRule>
    <cfRule type="cellIs" dxfId="5881" priority="33072" operator="equal">
      <formula>"FSE"</formula>
    </cfRule>
  </conditionalFormatting>
  <conditionalFormatting sqref="H517">
    <cfRule type="duplicateValues" dxfId="5880" priority="33047"/>
  </conditionalFormatting>
  <conditionalFormatting sqref="A517">
    <cfRule type="cellIs" dxfId="5879" priority="33007" operator="equal">
      <formula>"APLAZADO"</formula>
    </cfRule>
    <cfRule type="cellIs" dxfId="5878" priority="33008" operator="equal">
      <formula>"CANCELADO"</formula>
    </cfRule>
    <cfRule type="cellIs" dxfId="5877" priority="33009" operator="equal">
      <formula>"NO EJECUTADO"</formula>
    </cfRule>
    <cfRule type="cellIs" dxfId="5876" priority="33010" operator="equal">
      <formula>"FPE"</formula>
    </cfRule>
    <cfRule type="cellIs" dxfId="5875" priority="33011" operator="equal">
      <formula>"AMA"</formula>
    </cfRule>
    <cfRule type="cellIs" dxfId="5874" priority="33012" operator="equal">
      <formula>"SIN DATOS"</formula>
    </cfRule>
    <cfRule type="cellIs" dxfId="5873" priority="33013" operator="equal">
      <formula>"SIN DATOS"</formula>
    </cfRule>
    <cfRule type="cellIs" dxfId="5872" priority="33014" operator="equal">
      <formula>"NO EJECTUTADO"</formula>
    </cfRule>
    <cfRule type="cellIs" dxfId="5871" priority="33015" operator="equal">
      <formula>"FE"</formula>
    </cfRule>
    <cfRule type="cellIs" dxfId="5870" priority="33016" operator="equal">
      <formula>"FE"</formula>
    </cfRule>
  </conditionalFormatting>
  <conditionalFormatting sqref="A517">
    <cfRule type="cellIs" dxfId="5869" priority="33005" operator="equal">
      <formula>"Retirado"</formula>
    </cfRule>
    <cfRule type="cellIs" dxfId="5868" priority="33006" operator="equal">
      <formula>"FSE"</formula>
    </cfRule>
  </conditionalFormatting>
  <conditionalFormatting sqref="F517">
    <cfRule type="cellIs" dxfId="5867" priority="32995" operator="equal">
      <formula>"APLAZADO"</formula>
    </cfRule>
    <cfRule type="cellIs" dxfId="5866" priority="32996" operator="equal">
      <formula>"CANCELADO"</formula>
    </cfRule>
    <cfRule type="cellIs" dxfId="5865" priority="32997" operator="equal">
      <formula>"NO EJECUTADO"</formula>
    </cfRule>
    <cfRule type="cellIs" dxfId="5864" priority="32998" operator="equal">
      <formula>"FPE"</formula>
    </cfRule>
    <cfRule type="cellIs" dxfId="5863" priority="32999" operator="equal">
      <formula>"AMA"</formula>
    </cfRule>
    <cfRule type="cellIs" dxfId="5862" priority="33000" operator="equal">
      <formula>"SIN DATOS"</formula>
    </cfRule>
    <cfRule type="cellIs" dxfId="5861" priority="33001" operator="equal">
      <formula>"SIN DATOS"</formula>
    </cfRule>
    <cfRule type="cellIs" dxfId="5860" priority="33002" operator="equal">
      <formula>"NO EJECTUTADO"</formula>
    </cfRule>
    <cfRule type="cellIs" dxfId="5859" priority="33003" operator="equal">
      <formula>"FE"</formula>
    </cfRule>
    <cfRule type="cellIs" dxfId="5858" priority="33004" operator="equal">
      <formula>"FE"</formula>
    </cfRule>
  </conditionalFormatting>
  <conditionalFormatting sqref="F517">
    <cfRule type="cellIs" dxfId="5857" priority="32993" operator="equal">
      <formula>"Retirado"</formula>
    </cfRule>
    <cfRule type="cellIs" dxfId="5856" priority="32994" operator="equal">
      <formula>"FSE"</formula>
    </cfRule>
  </conditionalFormatting>
  <conditionalFormatting sqref="B495">
    <cfRule type="cellIs" dxfId="5855" priority="32970" operator="equal">
      <formula>"Sin éxito"</formula>
    </cfRule>
    <cfRule type="cellIs" dxfId="5854" priority="32971" operator="equal">
      <formula>"Éxito con problemas"</formula>
    </cfRule>
    <cfRule type="cellIs" dxfId="5853" priority="32972" operator="equal">
      <formula>"CANCELADO"</formula>
    </cfRule>
    <cfRule type="cellIs" dxfId="5852" priority="32973" operator="equal">
      <formula>"Aplicada marcha atrás"</formula>
    </cfRule>
    <cfRule type="cellIs" dxfId="5851" priority="32974" operator="equal">
      <formula>"CON ÉXITO"</formula>
    </cfRule>
  </conditionalFormatting>
  <conditionalFormatting sqref="B496">
    <cfRule type="cellIs" dxfId="5850" priority="32953" operator="equal">
      <formula>"Sin éxito"</formula>
    </cfRule>
    <cfRule type="cellIs" dxfId="5849" priority="32954" operator="equal">
      <formula>"Éxito con problemas"</formula>
    </cfRule>
    <cfRule type="cellIs" dxfId="5848" priority="32955" operator="equal">
      <formula>"CANCELADO"</formula>
    </cfRule>
    <cfRule type="cellIs" dxfId="5847" priority="32956" operator="equal">
      <formula>"Aplicada marcha atrás"</formula>
    </cfRule>
    <cfRule type="cellIs" dxfId="5846" priority="32957" operator="equal">
      <formula>"CON ÉXITO"</formula>
    </cfRule>
  </conditionalFormatting>
  <conditionalFormatting sqref="H518">
    <cfRule type="duplicateValues" dxfId="5845" priority="32947"/>
  </conditionalFormatting>
  <conditionalFormatting sqref="A518">
    <cfRule type="cellIs" dxfId="5844" priority="32907" operator="equal">
      <formula>"APLAZADO"</formula>
    </cfRule>
    <cfRule type="cellIs" dxfId="5843" priority="32908" operator="equal">
      <formula>"CANCELADO"</formula>
    </cfRule>
    <cfRule type="cellIs" dxfId="5842" priority="32909" operator="equal">
      <formula>"NO EJECUTADO"</formula>
    </cfRule>
    <cfRule type="cellIs" dxfId="5841" priority="32910" operator="equal">
      <formula>"FPE"</formula>
    </cfRule>
    <cfRule type="cellIs" dxfId="5840" priority="32911" operator="equal">
      <formula>"AMA"</formula>
    </cfRule>
    <cfRule type="cellIs" dxfId="5839" priority="32912" operator="equal">
      <formula>"SIN DATOS"</formula>
    </cfRule>
    <cfRule type="cellIs" dxfId="5838" priority="32913" operator="equal">
      <formula>"SIN DATOS"</formula>
    </cfRule>
    <cfRule type="cellIs" dxfId="5837" priority="32914" operator="equal">
      <formula>"NO EJECTUTADO"</formula>
    </cfRule>
    <cfRule type="cellIs" dxfId="5836" priority="32915" operator="equal">
      <formula>"FE"</formula>
    </cfRule>
    <cfRule type="cellIs" dxfId="5835" priority="32916" operator="equal">
      <formula>"FE"</formula>
    </cfRule>
  </conditionalFormatting>
  <conditionalFormatting sqref="A518">
    <cfRule type="cellIs" dxfId="5834" priority="32905" operator="equal">
      <formula>"Retirado"</formula>
    </cfRule>
    <cfRule type="cellIs" dxfId="5833" priority="32906" operator="equal">
      <formula>"FSE"</formula>
    </cfRule>
  </conditionalFormatting>
  <conditionalFormatting sqref="F518">
    <cfRule type="cellIs" dxfId="5832" priority="32895" operator="equal">
      <formula>"APLAZADO"</formula>
    </cfRule>
    <cfRule type="cellIs" dxfId="5831" priority="32896" operator="equal">
      <formula>"CANCELADO"</formula>
    </cfRule>
    <cfRule type="cellIs" dxfId="5830" priority="32897" operator="equal">
      <formula>"NO EJECUTADO"</formula>
    </cfRule>
    <cfRule type="cellIs" dxfId="5829" priority="32898" operator="equal">
      <formula>"FPE"</formula>
    </cfRule>
    <cfRule type="cellIs" dxfId="5828" priority="32899" operator="equal">
      <formula>"AMA"</formula>
    </cfRule>
    <cfRule type="cellIs" dxfId="5827" priority="32900" operator="equal">
      <formula>"SIN DATOS"</formula>
    </cfRule>
    <cfRule type="cellIs" dxfId="5826" priority="32901" operator="equal">
      <formula>"SIN DATOS"</formula>
    </cfRule>
    <cfRule type="cellIs" dxfId="5825" priority="32902" operator="equal">
      <formula>"NO EJECTUTADO"</formula>
    </cfRule>
    <cfRule type="cellIs" dxfId="5824" priority="32903" operator="equal">
      <formula>"FE"</formula>
    </cfRule>
    <cfRule type="cellIs" dxfId="5823" priority="32904" operator="equal">
      <formula>"FE"</formula>
    </cfRule>
  </conditionalFormatting>
  <conditionalFormatting sqref="F518">
    <cfRule type="cellIs" dxfId="5822" priority="32893" operator="equal">
      <formula>"Retirado"</formula>
    </cfRule>
    <cfRule type="cellIs" dxfId="5821" priority="32894" operator="equal">
      <formula>"FSE"</formula>
    </cfRule>
  </conditionalFormatting>
  <conditionalFormatting sqref="B497">
    <cfRule type="cellIs" dxfId="5820" priority="32870" operator="equal">
      <formula>"Sin éxito"</formula>
    </cfRule>
    <cfRule type="cellIs" dxfId="5819" priority="32871" operator="equal">
      <formula>"Éxito con problemas"</formula>
    </cfRule>
    <cfRule type="cellIs" dxfId="5818" priority="32872" operator="equal">
      <formula>"CANCELADO"</formula>
    </cfRule>
    <cfRule type="cellIs" dxfId="5817" priority="32873" operator="equal">
      <formula>"Aplicada marcha atrás"</formula>
    </cfRule>
    <cfRule type="cellIs" dxfId="5816" priority="32874" operator="equal">
      <formula>"CON ÉXITO"</formula>
    </cfRule>
  </conditionalFormatting>
  <conditionalFormatting sqref="B498">
    <cfRule type="cellIs" dxfId="5815" priority="32853" operator="equal">
      <formula>"Sin éxito"</formula>
    </cfRule>
    <cfRule type="cellIs" dxfId="5814" priority="32854" operator="equal">
      <formula>"Éxito con problemas"</formula>
    </cfRule>
    <cfRule type="cellIs" dxfId="5813" priority="32855" operator="equal">
      <formula>"CANCELADO"</formula>
    </cfRule>
    <cfRule type="cellIs" dxfId="5812" priority="32856" operator="equal">
      <formula>"Aplicada marcha atrás"</formula>
    </cfRule>
    <cfRule type="cellIs" dxfId="5811" priority="32857" operator="equal">
      <formula>"CON ÉXITO"</formula>
    </cfRule>
  </conditionalFormatting>
  <conditionalFormatting sqref="H519">
    <cfRule type="duplicateValues" dxfId="5810" priority="32847"/>
  </conditionalFormatting>
  <conditionalFormatting sqref="A519">
    <cfRule type="cellIs" dxfId="5809" priority="32807" operator="equal">
      <formula>"APLAZADO"</formula>
    </cfRule>
    <cfRule type="cellIs" dxfId="5808" priority="32808" operator="equal">
      <formula>"CANCELADO"</formula>
    </cfRule>
    <cfRule type="cellIs" dxfId="5807" priority="32809" operator="equal">
      <formula>"NO EJECUTADO"</formula>
    </cfRule>
    <cfRule type="cellIs" dxfId="5806" priority="32810" operator="equal">
      <formula>"FPE"</formula>
    </cfRule>
    <cfRule type="cellIs" dxfId="5805" priority="32811" operator="equal">
      <formula>"AMA"</formula>
    </cfRule>
    <cfRule type="cellIs" dxfId="5804" priority="32812" operator="equal">
      <formula>"SIN DATOS"</formula>
    </cfRule>
    <cfRule type="cellIs" dxfId="5803" priority="32813" operator="equal">
      <formula>"SIN DATOS"</formula>
    </cfRule>
    <cfRule type="cellIs" dxfId="5802" priority="32814" operator="equal">
      <formula>"NO EJECTUTADO"</formula>
    </cfRule>
    <cfRule type="cellIs" dxfId="5801" priority="32815" operator="equal">
      <formula>"FE"</formula>
    </cfRule>
    <cfRule type="cellIs" dxfId="5800" priority="32816" operator="equal">
      <formula>"FE"</formula>
    </cfRule>
  </conditionalFormatting>
  <conditionalFormatting sqref="A519">
    <cfRule type="cellIs" dxfId="5799" priority="32805" operator="equal">
      <formula>"Retirado"</formula>
    </cfRule>
    <cfRule type="cellIs" dxfId="5798" priority="32806" operator="equal">
      <formula>"FSE"</formula>
    </cfRule>
  </conditionalFormatting>
  <conditionalFormatting sqref="F519">
    <cfRule type="cellIs" dxfId="5797" priority="32795" operator="equal">
      <formula>"APLAZADO"</formula>
    </cfRule>
    <cfRule type="cellIs" dxfId="5796" priority="32796" operator="equal">
      <formula>"CANCELADO"</formula>
    </cfRule>
    <cfRule type="cellIs" dxfId="5795" priority="32797" operator="equal">
      <formula>"NO EJECUTADO"</formula>
    </cfRule>
    <cfRule type="cellIs" dxfId="5794" priority="32798" operator="equal">
      <formula>"FPE"</formula>
    </cfRule>
    <cfRule type="cellIs" dxfId="5793" priority="32799" operator="equal">
      <formula>"AMA"</formula>
    </cfRule>
    <cfRule type="cellIs" dxfId="5792" priority="32800" operator="equal">
      <formula>"SIN DATOS"</formula>
    </cfRule>
    <cfRule type="cellIs" dxfId="5791" priority="32801" operator="equal">
      <formula>"SIN DATOS"</formula>
    </cfRule>
    <cfRule type="cellIs" dxfId="5790" priority="32802" operator="equal">
      <formula>"NO EJECTUTADO"</formula>
    </cfRule>
    <cfRule type="cellIs" dxfId="5789" priority="32803" operator="equal">
      <formula>"FE"</formula>
    </cfRule>
    <cfRule type="cellIs" dxfId="5788" priority="32804" operator="equal">
      <formula>"FE"</formula>
    </cfRule>
  </conditionalFormatting>
  <conditionalFormatting sqref="F519">
    <cfRule type="cellIs" dxfId="5787" priority="32793" operator="equal">
      <formula>"Retirado"</formula>
    </cfRule>
    <cfRule type="cellIs" dxfId="5786" priority="32794" operator="equal">
      <formula>"FSE"</formula>
    </cfRule>
  </conditionalFormatting>
  <conditionalFormatting sqref="B501">
    <cfRule type="cellIs" dxfId="5785" priority="32764" operator="equal">
      <formula>"Sin éxito"</formula>
    </cfRule>
    <cfRule type="cellIs" dxfId="5784" priority="32765" operator="equal">
      <formula>"Éxito con problemas"</formula>
    </cfRule>
    <cfRule type="cellIs" dxfId="5783" priority="32766" operator="equal">
      <formula>"CANCELADO"</formula>
    </cfRule>
    <cfRule type="cellIs" dxfId="5782" priority="32767" operator="equal">
      <formula>"Aplicada marcha atrás"</formula>
    </cfRule>
    <cfRule type="cellIs" dxfId="5781" priority="32768" operator="equal">
      <formula>"CON ÉXITO"</formula>
    </cfRule>
  </conditionalFormatting>
  <conditionalFormatting sqref="B499">
    <cfRule type="cellIs" dxfId="5780" priority="32747" operator="equal">
      <formula>"Sin éxito"</formula>
    </cfRule>
    <cfRule type="cellIs" dxfId="5779" priority="32748" operator="equal">
      <formula>"Éxito con problemas"</formula>
    </cfRule>
    <cfRule type="cellIs" dxfId="5778" priority="32749" operator="equal">
      <formula>"CANCELADO"</formula>
    </cfRule>
    <cfRule type="cellIs" dxfId="5777" priority="32750" operator="equal">
      <formula>"Aplicada marcha atrás"</formula>
    </cfRule>
    <cfRule type="cellIs" dxfId="5776" priority="32751" operator="equal">
      <formula>"CON ÉXITO"</formula>
    </cfRule>
  </conditionalFormatting>
  <conditionalFormatting sqref="B502">
    <cfRule type="cellIs" dxfId="5775" priority="32730" operator="equal">
      <formula>"Sin éxito"</formula>
    </cfRule>
    <cfRule type="cellIs" dxfId="5774" priority="32731" operator="equal">
      <formula>"Éxito con problemas"</formula>
    </cfRule>
    <cfRule type="cellIs" dxfId="5773" priority="32732" operator="equal">
      <formula>"CANCELADO"</formula>
    </cfRule>
    <cfRule type="cellIs" dxfId="5772" priority="32733" operator="equal">
      <formula>"Aplicada marcha atrás"</formula>
    </cfRule>
    <cfRule type="cellIs" dxfId="5771" priority="32734" operator="equal">
      <formula>"CON ÉXITO"</formula>
    </cfRule>
  </conditionalFormatting>
  <conditionalFormatting sqref="A520">
    <cfRule type="cellIs" dxfId="5770" priority="32695" operator="equal">
      <formula>"APLAZADO"</formula>
    </cfRule>
    <cfRule type="cellIs" dxfId="5769" priority="32696" operator="equal">
      <formula>"CANCELADO"</formula>
    </cfRule>
    <cfRule type="cellIs" dxfId="5768" priority="32697" operator="equal">
      <formula>"NO EJECUTADO"</formula>
    </cfRule>
    <cfRule type="cellIs" dxfId="5767" priority="32698" operator="equal">
      <formula>"FPE"</formula>
    </cfRule>
    <cfRule type="cellIs" dxfId="5766" priority="32699" operator="equal">
      <formula>"AMA"</formula>
    </cfRule>
    <cfRule type="cellIs" dxfId="5765" priority="32700" operator="equal">
      <formula>"SIN DATOS"</formula>
    </cfRule>
    <cfRule type="cellIs" dxfId="5764" priority="32701" operator="equal">
      <formula>"SIN DATOS"</formula>
    </cfRule>
    <cfRule type="cellIs" dxfId="5763" priority="32702" operator="equal">
      <formula>"NO EJECTUTADO"</formula>
    </cfRule>
    <cfRule type="cellIs" dxfId="5762" priority="32703" operator="equal">
      <formula>"FE"</formula>
    </cfRule>
    <cfRule type="cellIs" dxfId="5761" priority="32704" operator="equal">
      <formula>"FE"</formula>
    </cfRule>
  </conditionalFormatting>
  <conditionalFormatting sqref="A520">
    <cfRule type="cellIs" dxfId="5760" priority="32693" operator="equal">
      <formula>"Retirado"</formula>
    </cfRule>
    <cfRule type="cellIs" dxfId="5759" priority="32694" operator="equal">
      <formula>"FSE"</formula>
    </cfRule>
  </conditionalFormatting>
  <conditionalFormatting sqref="H520">
    <cfRule type="duplicateValues" dxfId="5758" priority="32692"/>
  </conditionalFormatting>
  <conditionalFormatting sqref="F520">
    <cfRule type="cellIs" dxfId="5757" priority="32682" operator="equal">
      <formula>"APLAZADO"</formula>
    </cfRule>
    <cfRule type="cellIs" dxfId="5756" priority="32683" operator="equal">
      <formula>"CANCELADO"</formula>
    </cfRule>
    <cfRule type="cellIs" dxfId="5755" priority="32684" operator="equal">
      <formula>"NO EJECUTADO"</formula>
    </cfRule>
    <cfRule type="cellIs" dxfId="5754" priority="32685" operator="equal">
      <formula>"FPE"</formula>
    </cfRule>
    <cfRule type="cellIs" dxfId="5753" priority="32686" operator="equal">
      <formula>"AMA"</formula>
    </cfRule>
    <cfRule type="cellIs" dxfId="5752" priority="32687" operator="equal">
      <formula>"SIN DATOS"</formula>
    </cfRule>
    <cfRule type="cellIs" dxfId="5751" priority="32688" operator="equal">
      <formula>"SIN DATOS"</formula>
    </cfRule>
    <cfRule type="cellIs" dxfId="5750" priority="32689" operator="equal">
      <formula>"NO EJECTUTADO"</formula>
    </cfRule>
    <cfRule type="cellIs" dxfId="5749" priority="32690" operator="equal">
      <formula>"FE"</formula>
    </cfRule>
    <cfRule type="cellIs" dxfId="5748" priority="32691" operator="equal">
      <formula>"FE"</formula>
    </cfRule>
  </conditionalFormatting>
  <conditionalFormatting sqref="F520">
    <cfRule type="cellIs" dxfId="5747" priority="32680" operator="equal">
      <formula>"Retirado"</formula>
    </cfRule>
    <cfRule type="cellIs" dxfId="5746" priority="32681" operator="equal">
      <formula>"FSE"</formula>
    </cfRule>
  </conditionalFormatting>
  <conditionalFormatting sqref="H521">
    <cfRule type="duplicateValues" dxfId="5745" priority="32652"/>
  </conditionalFormatting>
  <conditionalFormatting sqref="A521">
    <cfRule type="cellIs" dxfId="5744" priority="32601" operator="equal">
      <formula>"APLAZADO"</formula>
    </cfRule>
    <cfRule type="cellIs" dxfId="5743" priority="32602" operator="equal">
      <formula>"CANCELADO"</formula>
    </cfRule>
    <cfRule type="cellIs" dxfId="5742" priority="32603" operator="equal">
      <formula>"NO EJECUTADO"</formula>
    </cfRule>
    <cfRule type="cellIs" dxfId="5741" priority="32604" operator="equal">
      <formula>"FPE"</formula>
    </cfRule>
    <cfRule type="cellIs" dxfId="5740" priority="32605" operator="equal">
      <formula>"AMA"</formula>
    </cfRule>
    <cfRule type="cellIs" dxfId="5739" priority="32606" operator="equal">
      <formula>"SIN DATOS"</formula>
    </cfRule>
    <cfRule type="cellIs" dxfId="5738" priority="32607" operator="equal">
      <formula>"SIN DATOS"</formula>
    </cfRule>
    <cfRule type="cellIs" dxfId="5737" priority="32608" operator="equal">
      <formula>"NO EJECTUTADO"</formula>
    </cfRule>
    <cfRule type="cellIs" dxfId="5736" priority="32609" operator="equal">
      <formula>"FE"</formula>
    </cfRule>
    <cfRule type="cellIs" dxfId="5735" priority="32610" operator="equal">
      <formula>"FE"</formula>
    </cfRule>
  </conditionalFormatting>
  <conditionalFormatting sqref="A521">
    <cfRule type="cellIs" dxfId="5734" priority="32599" operator="equal">
      <formula>"Retirado"</formula>
    </cfRule>
    <cfRule type="cellIs" dxfId="5733" priority="32600" operator="equal">
      <formula>"FSE"</formula>
    </cfRule>
  </conditionalFormatting>
  <conditionalFormatting sqref="F521">
    <cfRule type="cellIs" dxfId="5732" priority="32589" operator="equal">
      <formula>"APLAZADO"</formula>
    </cfRule>
    <cfRule type="cellIs" dxfId="5731" priority="32590" operator="equal">
      <formula>"CANCELADO"</formula>
    </cfRule>
    <cfRule type="cellIs" dxfId="5730" priority="32591" operator="equal">
      <formula>"NO EJECUTADO"</formula>
    </cfRule>
    <cfRule type="cellIs" dxfId="5729" priority="32592" operator="equal">
      <formula>"FPE"</formula>
    </cfRule>
    <cfRule type="cellIs" dxfId="5728" priority="32593" operator="equal">
      <formula>"AMA"</formula>
    </cfRule>
    <cfRule type="cellIs" dxfId="5727" priority="32594" operator="equal">
      <formula>"SIN DATOS"</formula>
    </cfRule>
    <cfRule type="cellIs" dxfId="5726" priority="32595" operator="equal">
      <formula>"SIN DATOS"</formula>
    </cfRule>
    <cfRule type="cellIs" dxfId="5725" priority="32596" operator="equal">
      <formula>"NO EJECTUTADO"</formula>
    </cfRule>
    <cfRule type="cellIs" dxfId="5724" priority="32597" operator="equal">
      <formula>"FE"</formula>
    </cfRule>
    <cfRule type="cellIs" dxfId="5723" priority="32598" operator="equal">
      <formula>"FE"</formula>
    </cfRule>
  </conditionalFormatting>
  <conditionalFormatting sqref="F521">
    <cfRule type="cellIs" dxfId="5722" priority="32587" operator="equal">
      <formula>"Retirado"</formula>
    </cfRule>
    <cfRule type="cellIs" dxfId="5721" priority="32588" operator="equal">
      <formula>"FSE"</formula>
    </cfRule>
  </conditionalFormatting>
  <conditionalFormatting sqref="B503">
    <cfRule type="cellIs" dxfId="5720" priority="32558" operator="equal">
      <formula>"Sin éxito"</formula>
    </cfRule>
    <cfRule type="cellIs" dxfId="5719" priority="32559" operator="equal">
      <formula>"Éxito con problemas"</formula>
    </cfRule>
    <cfRule type="cellIs" dxfId="5718" priority="32560" operator="equal">
      <formula>"CANCELADO"</formula>
    </cfRule>
    <cfRule type="cellIs" dxfId="5717" priority="32561" operator="equal">
      <formula>"Aplicada marcha atrás"</formula>
    </cfRule>
    <cfRule type="cellIs" dxfId="5716" priority="32562" operator="equal">
      <formula>"CON ÉXITO"</formula>
    </cfRule>
  </conditionalFormatting>
  <conditionalFormatting sqref="B504">
    <cfRule type="cellIs" dxfId="5715" priority="32541" operator="equal">
      <formula>"Sin éxito"</formula>
    </cfRule>
    <cfRule type="cellIs" dxfId="5714" priority="32542" operator="equal">
      <formula>"Éxito con problemas"</formula>
    </cfRule>
    <cfRule type="cellIs" dxfId="5713" priority="32543" operator="equal">
      <formula>"CANCELADO"</formula>
    </cfRule>
    <cfRule type="cellIs" dxfId="5712" priority="32544" operator="equal">
      <formula>"Aplicada marcha atrás"</formula>
    </cfRule>
    <cfRule type="cellIs" dxfId="5711" priority="32545" operator="equal">
      <formula>"CON ÉXITO"</formula>
    </cfRule>
  </conditionalFormatting>
  <conditionalFormatting sqref="B505">
    <cfRule type="cellIs" dxfId="5710" priority="32524" operator="equal">
      <formula>"Sin éxito"</formula>
    </cfRule>
    <cfRule type="cellIs" dxfId="5709" priority="32525" operator="equal">
      <formula>"Éxito con problemas"</formula>
    </cfRule>
    <cfRule type="cellIs" dxfId="5708" priority="32526" operator="equal">
      <formula>"CANCELADO"</formula>
    </cfRule>
    <cfRule type="cellIs" dxfId="5707" priority="32527" operator="equal">
      <formula>"Aplicada marcha atrás"</formula>
    </cfRule>
    <cfRule type="cellIs" dxfId="5706" priority="32528" operator="equal">
      <formula>"CON ÉXITO"</formula>
    </cfRule>
  </conditionalFormatting>
  <conditionalFormatting sqref="B506">
    <cfRule type="cellIs" dxfId="5705" priority="32507" operator="equal">
      <formula>"Sin éxito"</formula>
    </cfRule>
    <cfRule type="cellIs" dxfId="5704" priority="32508" operator="equal">
      <formula>"Éxito con problemas"</formula>
    </cfRule>
    <cfRule type="cellIs" dxfId="5703" priority="32509" operator="equal">
      <formula>"CANCELADO"</formula>
    </cfRule>
    <cfRule type="cellIs" dxfId="5702" priority="32510" operator="equal">
      <formula>"Aplicada marcha atrás"</formula>
    </cfRule>
    <cfRule type="cellIs" dxfId="5701" priority="32511" operator="equal">
      <formula>"CON ÉXITO"</formula>
    </cfRule>
  </conditionalFormatting>
  <conditionalFormatting sqref="B507">
    <cfRule type="cellIs" dxfId="5700" priority="32490" operator="equal">
      <formula>"Sin éxito"</formula>
    </cfRule>
    <cfRule type="cellIs" dxfId="5699" priority="32491" operator="equal">
      <formula>"Éxito con problemas"</formula>
    </cfRule>
    <cfRule type="cellIs" dxfId="5698" priority="32492" operator="equal">
      <formula>"CANCELADO"</formula>
    </cfRule>
    <cfRule type="cellIs" dxfId="5697" priority="32493" operator="equal">
      <formula>"Aplicada marcha atrás"</formula>
    </cfRule>
    <cfRule type="cellIs" dxfId="5696" priority="32494" operator="equal">
      <formula>"CON ÉXITO"</formula>
    </cfRule>
  </conditionalFormatting>
  <conditionalFormatting sqref="B508">
    <cfRule type="cellIs" dxfId="5695" priority="32467" operator="equal">
      <formula>"Sin éxito"</formula>
    </cfRule>
    <cfRule type="cellIs" dxfId="5694" priority="32468" operator="equal">
      <formula>"Éxito con problemas"</formula>
    </cfRule>
    <cfRule type="cellIs" dxfId="5693" priority="32469" operator="equal">
      <formula>"CANCELADO"</formula>
    </cfRule>
    <cfRule type="cellIs" dxfId="5692" priority="32470" operator="equal">
      <formula>"Aplicada marcha atrás"</formula>
    </cfRule>
    <cfRule type="cellIs" dxfId="5691" priority="32471" operator="equal">
      <formula>"CON ÉXITO"</formula>
    </cfRule>
  </conditionalFormatting>
  <conditionalFormatting sqref="B509">
    <cfRule type="cellIs" dxfId="5690" priority="32450" operator="equal">
      <formula>"Sin éxito"</formula>
    </cfRule>
    <cfRule type="cellIs" dxfId="5689" priority="32451" operator="equal">
      <formula>"Éxito con problemas"</formula>
    </cfRule>
    <cfRule type="cellIs" dxfId="5688" priority="32452" operator="equal">
      <formula>"CANCELADO"</formula>
    </cfRule>
    <cfRule type="cellIs" dxfId="5687" priority="32453" operator="equal">
      <formula>"Aplicada marcha atrás"</formula>
    </cfRule>
    <cfRule type="cellIs" dxfId="5686" priority="32454" operator="equal">
      <formula>"CON ÉXITO"</formula>
    </cfRule>
  </conditionalFormatting>
  <conditionalFormatting sqref="H522:H523">
    <cfRule type="duplicateValues" dxfId="5685" priority="32449"/>
  </conditionalFormatting>
  <conditionalFormatting sqref="A522:A523">
    <cfRule type="cellIs" dxfId="5684" priority="32439" operator="equal">
      <formula>"APLAZADO"</formula>
    </cfRule>
    <cfRule type="cellIs" dxfId="5683" priority="32440" operator="equal">
      <formula>"CANCELADO"</formula>
    </cfRule>
    <cfRule type="cellIs" dxfId="5682" priority="32441" operator="equal">
      <formula>"NO EJECUTADO"</formula>
    </cfRule>
    <cfRule type="cellIs" dxfId="5681" priority="32442" operator="equal">
      <formula>"FPE"</formula>
    </cfRule>
    <cfRule type="cellIs" dxfId="5680" priority="32443" operator="equal">
      <formula>"AMA"</formula>
    </cfRule>
    <cfRule type="cellIs" dxfId="5679" priority="32444" operator="equal">
      <formula>"SIN DATOS"</formula>
    </cfRule>
    <cfRule type="cellIs" dxfId="5678" priority="32445" operator="equal">
      <formula>"SIN DATOS"</formula>
    </cfRule>
    <cfRule type="cellIs" dxfId="5677" priority="32446" operator="equal">
      <formula>"NO EJECTUTADO"</formula>
    </cfRule>
    <cfRule type="cellIs" dxfId="5676" priority="32447" operator="equal">
      <formula>"FE"</formula>
    </cfRule>
    <cfRule type="cellIs" dxfId="5675" priority="32448" operator="equal">
      <formula>"FE"</formula>
    </cfRule>
  </conditionalFormatting>
  <conditionalFormatting sqref="A522:A523">
    <cfRule type="cellIs" dxfId="5674" priority="32437" operator="equal">
      <formula>"Retirado"</formula>
    </cfRule>
    <cfRule type="cellIs" dxfId="5673" priority="32438" operator="equal">
      <formula>"FSE"</formula>
    </cfRule>
  </conditionalFormatting>
  <conditionalFormatting sqref="F522">
    <cfRule type="cellIs" dxfId="5672" priority="32398" operator="equal">
      <formula>"APLAZADO"</formula>
    </cfRule>
    <cfRule type="cellIs" dxfId="5671" priority="32399" operator="equal">
      <formula>"CANCELADO"</formula>
    </cfRule>
    <cfRule type="cellIs" dxfId="5670" priority="32400" operator="equal">
      <formula>"NO EJECUTADO"</formula>
    </cfRule>
    <cfRule type="cellIs" dxfId="5669" priority="32401" operator="equal">
      <formula>"FPE"</formula>
    </cfRule>
    <cfRule type="cellIs" dxfId="5668" priority="32402" operator="equal">
      <formula>"AMA"</formula>
    </cfRule>
    <cfRule type="cellIs" dxfId="5667" priority="32403" operator="equal">
      <formula>"SIN DATOS"</formula>
    </cfRule>
    <cfRule type="cellIs" dxfId="5666" priority="32404" operator="equal">
      <formula>"SIN DATOS"</formula>
    </cfRule>
    <cfRule type="cellIs" dxfId="5665" priority="32405" operator="equal">
      <formula>"NO EJECTUTADO"</formula>
    </cfRule>
    <cfRule type="cellIs" dxfId="5664" priority="32406" operator="equal">
      <formula>"FE"</formula>
    </cfRule>
    <cfRule type="cellIs" dxfId="5663" priority="32407" operator="equal">
      <formula>"FE"</formula>
    </cfRule>
  </conditionalFormatting>
  <conditionalFormatting sqref="F522">
    <cfRule type="cellIs" dxfId="5662" priority="32396" operator="equal">
      <formula>"Retirado"</formula>
    </cfRule>
    <cfRule type="cellIs" dxfId="5661" priority="32397" operator="equal">
      <formula>"FSE"</formula>
    </cfRule>
  </conditionalFormatting>
  <conditionalFormatting sqref="F523">
    <cfRule type="cellIs" dxfId="5660" priority="32386" operator="equal">
      <formula>"APLAZADO"</formula>
    </cfRule>
    <cfRule type="cellIs" dxfId="5659" priority="32387" operator="equal">
      <formula>"CANCELADO"</formula>
    </cfRule>
    <cfRule type="cellIs" dxfId="5658" priority="32388" operator="equal">
      <formula>"NO EJECUTADO"</formula>
    </cfRule>
    <cfRule type="cellIs" dxfId="5657" priority="32389" operator="equal">
      <formula>"FPE"</formula>
    </cfRule>
    <cfRule type="cellIs" dxfId="5656" priority="32390" operator="equal">
      <formula>"AMA"</formula>
    </cfRule>
    <cfRule type="cellIs" dxfId="5655" priority="32391" operator="equal">
      <formula>"SIN DATOS"</formula>
    </cfRule>
    <cfRule type="cellIs" dxfId="5654" priority="32392" operator="equal">
      <formula>"SIN DATOS"</formula>
    </cfRule>
    <cfRule type="cellIs" dxfId="5653" priority="32393" operator="equal">
      <formula>"NO EJECTUTADO"</formula>
    </cfRule>
    <cfRule type="cellIs" dxfId="5652" priority="32394" operator="equal">
      <formula>"FE"</formula>
    </cfRule>
    <cfRule type="cellIs" dxfId="5651" priority="32395" operator="equal">
      <formula>"FE"</formula>
    </cfRule>
  </conditionalFormatting>
  <conditionalFormatting sqref="F523">
    <cfRule type="cellIs" dxfId="5650" priority="32384" operator="equal">
      <formula>"Retirado"</formula>
    </cfRule>
    <cfRule type="cellIs" dxfId="5649" priority="32385" operator="equal">
      <formula>"FSE"</formula>
    </cfRule>
  </conditionalFormatting>
  <conditionalFormatting sqref="A524">
    <cfRule type="cellIs" dxfId="5648" priority="32373" operator="equal">
      <formula>"APLAZADO"</formula>
    </cfRule>
    <cfRule type="cellIs" dxfId="5647" priority="32374" operator="equal">
      <formula>"CANCELADO"</formula>
    </cfRule>
    <cfRule type="cellIs" dxfId="5646" priority="32375" operator="equal">
      <formula>"NO EJECUTADO"</formula>
    </cfRule>
    <cfRule type="cellIs" dxfId="5645" priority="32376" operator="equal">
      <formula>"FPE"</formula>
    </cfRule>
    <cfRule type="cellIs" dxfId="5644" priority="32377" operator="equal">
      <formula>"AMA"</formula>
    </cfRule>
    <cfRule type="cellIs" dxfId="5643" priority="32378" operator="equal">
      <formula>"SIN DATOS"</formula>
    </cfRule>
    <cfRule type="cellIs" dxfId="5642" priority="32379" operator="equal">
      <formula>"SIN DATOS"</formula>
    </cfRule>
    <cfRule type="cellIs" dxfId="5641" priority="32380" operator="equal">
      <formula>"NO EJECTUTADO"</formula>
    </cfRule>
    <cfRule type="cellIs" dxfId="5640" priority="32381" operator="equal">
      <formula>"FE"</formula>
    </cfRule>
    <cfRule type="cellIs" dxfId="5639" priority="32382" operator="equal">
      <formula>"FE"</formula>
    </cfRule>
  </conditionalFormatting>
  <conditionalFormatting sqref="A524">
    <cfRule type="cellIs" dxfId="5638" priority="32371" operator="equal">
      <formula>"Retirado"</formula>
    </cfRule>
    <cfRule type="cellIs" dxfId="5637" priority="32372" operator="equal">
      <formula>"FSE"</formula>
    </cfRule>
  </conditionalFormatting>
  <conditionalFormatting sqref="H524">
    <cfRule type="duplicateValues" dxfId="5636" priority="32370"/>
  </conditionalFormatting>
  <conditionalFormatting sqref="F524">
    <cfRule type="cellIs" dxfId="5635" priority="32338" operator="equal">
      <formula>"APLAZADO"</formula>
    </cfRule>
    <cfRule type="cellIs" dxfId="5634" priority="32339" operator="equal">
      <formula>"CANCELADO"</formula>
    </cfRule>
    <cfRule type="cellIs" dxfId="5633" priority="32340" operator="equal">
      <formula>"NO EJECUTADO"</formula>
    </cfRule>
    <cfRule type="cellIs" dxfId="5632" priority="32341" operator="equal">
      <formula>"FPE"</formula>
    </cfRule>
    <cfRule type="cellIs" dxfId="5631" priority="32342" operator="equal">
      <formula>"AMA"</formula>
    </cfRule>
    <cfRule type="cellIs" dxfId="5630" priority="32343" operator="equal">
      <formula>"SIN DATOS"</formula>
    </cfRule>
    <cfRule type="cellIs" dxfId="5629" priority="32344" operator="equal">
      <formula>"SIN DATOS"</formula>
    </cfRule>
    <cfRule type="cellIs" dxfId="5628" priority="32345" operator="equal">
      <formula>"NO EJECTUTADO"</formula>
    </cfRule>
    <cfRule type="cellIs" dxfId="5627" priority="32346" operator="equal">
      <formula>"FE"</formula>
    </cfRule>
    <cfRule type="cellIs" dxfId="5626" priority="32347" operator="equal">
      <formula>"FE"</formula>
    </cfRule>
  </conditionalFormatting>
  <conditionalFormatting sqref="F524">
    <cfRule type="cellIs" dxfId="5625" priority="32336" operator="equal">
      <formula>"Retirado"</formula>
    </cfRule>
    <cfRule type="cellIs" dxfId="5624" priority="32337" operator="equal">
      <formula>"FSE"</formula>
    </cfRule>
  </conditionalFormatting>
  <conditionalFormatting sqref="A525">
    <cfRule type="cellIs" dxfId="5623" priority="32297" operator="equal">
      <formula>"APLAZADO"</formula>
    </cfRule>
    <cfRule type="cellIs" dxfId="5622" priority="32298" operator="equal">
      <formula>"CANCELADO"</formula>
    </cfRule>
    <cfRule type="cellIs" dxfId="5621" priority="32299" operator="equal">
      <formula>"NO EJECUTADO"</formula>
    </cfRule>
    <cfRule type="cellIs" dxfId="5620" priority="32300" operator="equal">
      <formula>"FPE"</formula>
    </cfRule>
    <cfRule type="cellIs" dxfId="5619" priority="32301" operator="equal">
      <formula>"AMA"</formula>
    </cfRule>
    <cfRule type="cellIs" dxfId="5618" priority="32302" operator="equal">
      <formula>"SIN DATOS"</formula>
    </cfRule>
    <cfRule type="cellIs" dxfId="5617" priority="32303" operator="equal">
      <formula>"SIN DATOS"</formula>
    </cfRule>
    <cfRule type="cellIs" dxfId="5616" priority="32304" operator="equal">
      <formula>"NO EJECTUTADO"</formula>
    </cfRule>
    <cfRule type="cellIs" dxfId="5615" priority="32305" operator="equal">
      <formula>"FE"</formula>
    </cfRule>
    <cfRule type="cellIs" dxfId="5614" priority="32306" operator="equal">
      <formula>"FE"</formula>
    </cfRule>
  </conditionalFormatting>
  <conditionalFormatting sqref="A525">
    <cfRule type="cellIs" dxfId="5613" priority="32295" operator="equal">
      <formula>"Retirado"</formula>
    </cfRule>
    <cfRule type="cellIs" dxfId="5612" priority="32296" operator="equal">
      <formula>"FSE"</formula>
    </cfRule>
  </conditionalFormatting>
  <conditionalFormatting sqref="F525">
    <cfRule type="cellIs" dxfId="5611" priority="32285" operator="equal">
      <formula>"APLAZADO"</formula>
    </cfRule>
    <cfRule type="cellIs" dxfId="5610" priority="32286" operator="equal">
      <formula>"CANCELADO"</formula>
    </cfRule>
    <cfRule type="cellIs" dxfId="5609" priority="32287" operator="equal">
      <formula>"NO EJECUTADO"</formula>
    </cfRule>
    <cfRule type="cellIs" dxfId="5608" priority="32288" operator="equal">
      <formula>"FPE"</formula>
    </cfRule>
    <cfRule type="cellIs" dxfId="5607" priority="32289" operator="equal">
      <formula>"AMA"</formula>
    </cfRule>
    <cfRule type="cellIs" dxfId="5606" priority="32290" operator="equal">
      <formula>"SIN DATOS"</formula>
    </cfRule>
    <cfRule type="cellIs" dxfId="5605" priority="32291" operator="equal">
      <formula>"SIN DATOS"</formula>
    </cfRule>
    <cfRule type="cellIs" dxfId="5604" priority="32292" operator="equal">
      <formula>"NO EJECTUTADO"</formula>
    </cfRule>
    <cfRule type="cellIs" dxfId="5603" priority="32293" operator="equal">
      <formula>"FE"</formula>
    </cfRule>
    <cfRule type="cellIs" dxfId="5602" priority="32294" operator="equal">
      <formula>"FE"</formula>
    </cfRule>
  </conditionalFormatting>
  <conditionalFormatting sqref="F525">
    <cfRule type="cellIs" dxfId="5601" priority="32283" operator="equal">
      <formula>"Retirado"</formula>
    </cfRule>
    <cfRule type="cellIs" dxfId="5600" priority="32284" operator="equal">
      <formula>"FSE"</formula>
    </cfRule>
  </conditionalFormatting>
  <conditionalFormatting sqref="H525">
    <cfRule type="duplicateValues" dxfId="5599" priority="32282"/>
  </conditionalFormatting>
  <conditionalFormatting sqref="B510">
    <cfRule type="cellIs" dxfId="5598" priority="32259" operator="equal">
      <formula>"Sin éxito"</formula>
    </cfRule>
    <cfRule type="cellIs" dxfId="5597" priority="32260" operator="equal">
      <formula>"Éxito con problemas"</formula>
    </cfRule>
    <cfRule type="cellIs" dxfId="5596" priority="32261" operator="equal">
      <formula>"CANCELADO"</formula>
    </cfRule>
    <cfRule type="cellIs" dxfId="5595" priority="32262" operator="equal">
      <formula>"Aplicada marcha atrás"</formula>
    </cfRule>
    <cfRule type="cellIs" dxfId="5594" priority="32263" operator="equal">
      <formula>"CON ÉXITO"</formula>
    </cfRule>
  </conditionalFormatting>
  <conditionalFormatting sqref="B512:B513">
    <cfRule type="cellIs" dxfId="5593" priority="32242" operator="equal">
      <formula>"Sin éxito"</formula>
    </cfRule>
    <cfRule type="cellIs" dxfId="5592" priority="32243" operator="equal">
      <formula>"Éxito con problemas"</formula>
    </cfRule>
    <cfRule type="cellIs" dxfId="5591" priority="32244" operator="equal">
      <formula>"CANCELADO"</formula>
    </cfRule>
    <cfRule type="cellIs" dxfId="5590" priority="32245" operator="equal">
      <formula>"Aplicada marcha atrás"</formula>
    </cfRule>
    <cfRule type="cellIs" dxfId="5589" priority="32246" operator="equal">
      <formula>"CON ÉXITO"</formula>
    </cfRule>
  </conditionalFormatting>
  <conditionalFormatting sqref="G1 H1016 H734:H767 I752:I753 H1018:H1019 H1021:H1029 H1034 H1089:H1048576 G1054:H1071 G1036:G1052 G1073:H1088">
    <cfRule type="cellIs" dxfId="5588" priority="32241" operator="equal">
      <formula>"Rechazado"</formula>
    </cfRule>
  </conditionalFormatting>
  <conditionalFormatting sqref="H526">
    <cfRule type="duplicateValues" dxfId="5587" priority="32211"/>
  </conditionalFormatting>
  <conditionalFormatting sqref="A526">
    <cfRule type="cellIs" dxfId="5586" priority="32201" operator="equal">
      <formula>"APLAZADO"</formula>
    </cfRule>
    <cfRule type="cellIs" dxfId="5585" priority="32202" operator="equal">
      <formula>"CANCELADO"</formula>
    </cfRule>
    <cfRule type="cellIs" dxfId="5584" priority="32203" operator="equal">
      <formula>"NO EJECUTADO"</formula>
    </cfRule>
    <cfRule type="cellIs" dxfId="5583" priority="32204" operator="equal">
      <formula>"FPE"</formula>
    </cfRule>
    <cfRule type="cellIs" dxfId="5582" priority="32205" operator="equal">
      <formula>"AMA"</formula>
    </cfRule>
    <cfRule type="cellIs" dxfId="5581" priority="32206" operator="equal">
      <formula>"SIN DATOS"</formula>
    </cfRule>
    <cfRule type="cellIs" dxfId="5580" priority="32207" operator="equal">
      <formula>"SIN DATOS"</formula>
    </cfRule>
    <cfRule type="cellIs" dxfId="5579" priority="32208" operator="equal">
      <formula>"NO EJECTUTADO"</formula>
    </cfRule>
    <cfRule type="cellIs" dxfId="5578" priority="32209" operator="equal">
      <formula>"FE"</formula>
    </cfRule>
    <cfRule type="cellIs" dxfId="5577" priority="32210" operator="equal">
      <formula>"FE"</formula>
    </cfRule>
  </conditionalFormatting>
  <conditionalFormatting sqref="A526">
    <cfRule type="cellIs" dxfId="5576" priority="32199" operator="equal">
      <formula>"Retirado"</formula>
    </cfRule>
    <cfRule type="cellIs" dxfId="5575" priority="32200" operator="equal">
      <formula>"FSE"</formula>
    </cfRule>
  </conditionalFormatting>
  <conditionalFormatting sqref="F526">
    <cfRule type="cellIs" dxfId="5574" priority="32189" operator="equal">
      <formula>"APLAZADO"</formula>
    </cfRule>
    <cfRule type="cellIs" dxfId="5573" priority="32190" operator="equal">
      <formula>"CANCELADO"</formula>
    </cfRule>
    <cfRule type="cellIs" dxfId="5572" priority="32191" operator="equal">
      <formula>"NO EJECUTADO"</formula>
    </cfRule>
    <cfRule type="cellIs" dxfId="5571" priority="32192" operator="equal">
      <formula>"FPE"</formula>
    </cfRule>
    <cfRule type="cellIs" dxfId="5570" priority="32193" operator="equal">
      <formula>"AMA"</formula>
    </cfRule>
    <cfRule type="cellIs" dxfId="5569" priority="32194" operator="equal">
      <formula>"SIN DATOS"</formula>
    </cfRule>
    <cfRule type="cellIs" dxfId="5568" priority="32195" operator="equal">
      <formula>"SIN DATOS"</formula>
    </cfRule>
    <cfRule type="cellIs" dxfId="5567" priority="32196" operator="equal">
      <formula>"NO EJECTUTADO"</formula>
    </cfRule>
    <cfRule type="cellIs" dxfId="5566" priority="32197" operator="equal">
      <formula>"FE"</formula>
    </cfRule>
    <cfRule type="cellIs" dxfId="5565" priority="32198" operator="equal">
      <formula>"FE"</formula>
    </cfRule>
  </conditionalFormatting>
  <conditionalFormatting sqref="F526">
    <cfRule type="cellIs" dxfId="5564" priority="32187" operator="equal">
      <formula>"Retirado"</formula>
    </cfRule>
    <cfRule type="cellIs" dxfId="5563" priority="32188" operator="equal">
      <formula>"FSE"</formula>
    </cfRule>
  </conditionalFormatting>
  <conditionalFormatting sqref="H527">
    <cfRule type="duplicateValues" dxfId="5562" priority="32167"/>
  </conditionalFormatting>
  <conditionalFormatting sqref="A527">
    <cfRule type="cellIs" dxfId="5561" priority="32157" operator="equal">
      <formula>"APLAZADO"</formula>
    </cfRule>
    <cfRule type="cellIs" dxfId="5560" priority="32158" operator="equal">
      <formula>"CANCELADO"</formula>
    </cfRule>
    <cfRule type="cellIs" dxfId="5559" priority="32159" operator="equal">
      <formula>"NO EJECUTADO"</formula>
    </cfRule>
    <cfRule type="cellIs" dxfId="5558" priority="32160" operator="equal">
      <formula>"FPE"</formula>
    </cfRule>
    <cfRule type="cellIs" dxfId="5557" priority="32161" operator="equal">
      <formula>"AMA"</formula>
    </cfRule>
    <cfRule type="cellIs" dxfId="5556" priority="32162" operator="equal">
      <formula>"SIN DATOS"</formula>
    </cfRule>
    <cfRule type="cellIs" dxfId="5555" priority="32163" operator="equal">
      <formula>"SIN DATOS"</formula>
    </cfRule>
    <cfRule type="cellIs" dxfId="5554" priority="32164" operator="equal">
      <formula>"NO EJECTUTADO"</formula>
    </cfRule>
    <cfRule type="cellIs" dxfId="5553" priority="32165" operator="equal">
      <formula>"FE"</formula>
    </cfRule>
    <cfRule type="cellIs" dxfId="5552" priority="32166" operator="equal">
      <formula>"FE"</formula>
    </cfRule>
  </conditionalFormatting>
  <conditionalFormatting sqref="A527">
    <cfRule type="cellIs" dxfId="5551" priority="32155" operator="equal">
      <formula>"Retirado"</formula>
    </cfRule>
    <cfRule type="cellIs" dxfId="5550" priority="32156" operator="equal">
      <formula>"FSE"</formula>
    </cfRule>
  </conditionalFormatting>
  <conditionalFormatting sqref="F527">
    <cfRule type="cellIs" dxfId="5549" priority="32120" operator="equal">
      <formula>"APLAZADO"</formula>
    </cfRule>
    <cfRule type="cellIs" dxfId="5548" priority="32121" operator="equal">
      <formula>"CANCELADO"</formula>
    </cfRule>
    <cfRule type="cellIs" dxfId="5547" priority="32122" operator="equal">
      <formula>"NO EJECUTADO"</formula>
    </cfRule>
    <cfRule type="cellIs" dxfId="5546" priority="32123" operator="equal">
      <formula>"FPE"</formula>
    </cfRule>
    <cfRule type="cellIs" dxfId="5545" priority="32124" operator="equal">
      <formula>"AMA"</formula>
    </cfRule>
    <cfRule type="cellIs" dxfId="5544" priority="32125" operator="equal">
      <formula>"SIN DATOS"</formula>
    </cfRule>
    <cfRule type="cellIs" dxfId="5543" priority="32126" operator="equal">
      <formula>"SIN DATOS"</formula>
    </cfRule>
    <cfRule type="cellIs" dxfId="5542" priority="32127" operator="equal">
      <formula>"NO EJECTUTADO"</formula>
    </cfRule>
    <cfRule type="cellIs" dxfId="5541" priority="32128" operator="equal">
      <formula>"FE"</formula>
    </cfRule>
    <cfRule type="cellIs" dxfId="5540" priority="32129" operator="equal">
      <formula>"FE"</formula>
    </cfRule>
  </conditionalFormatting>
  <conditionalFormatting sqref="F527">
    <cfRule type="cellIs" dxfId="5539" priority="32118" operator="equal">
      <formula>"Retirado"</formula>
    </cfRule>
    <cfRule type="cellIs" dxfId="5538" priority="32119" operator="equal">
      <formula>"FSE"</formula>
    </cfRule>
  </conditionalFormatting>
  <conditionalFormatting sqref="H528:H530">
    <cfRule type="duplicateValues" dxfId="5537" priority="32093"/>
  </conditionalFormatting>
  <conditionalFormatting sqref="A528:A530">
    <cfRule type="cellIs" dxfId="5536" priority="32083" operator="equal">
      <formula>"APLAZADO"</formula>
    </cfRule>
    <cfRule type="cellIs" dxfId="5535" priority="32084" operator="equal">
      <formula>"CANCELADO"</formula>
    </cfRule>
    <cfRule type="cellIs" dxfId="5534" priority="32085" operator="equal">
      <formula>"NO EJECUTADO"</formula>
    </cfRule>
    <cfRule type="cellIs" dxfId="5533" priority="32086" operator="equal">
      <formula>"FPE"</formula>
    </cfRule>
    <cfRule type="cellIs" dxfId="5532" priority="32087" operator="equal">
      <formula>"AMA"</formula>
    </cfRule>
    <cfRule type="cellIs" dxfId="5531" priority="32088" operator="equal">
      <formula>"SIN DATOS"</formula>
    </cfRule>
    <cfRule type="cellIs" dxfId="5530" priority="32089" operator="equal">
      <formula>"SIN DATOS"</formula>
    </cfRule>
    <cfRule type="cellIs" dxfId="5529" priority="32090" operator="equal">
      <formula>"NO EJECTUTADO"</formula>
    </cfRule>
    <cfRule type="cellIs" dxfId="5528" priority="32091" operator="equal">
      <formula>"FE"</formula>
    </cfRule>
    <cfRule type="cellIs" dxfId="5527" priority="32092" operator="equal">
      <formula>"FE"</formula>
    </cfRule>
  </conditionalFormatting>
  <conditionalFormatting sqref="A528:A530">
    <cfRule type="cellIs" dxfId="5526" priority="32081" operator="equal">
      <formula>"Retirado"</formula>
    </cfRule>
    <cfRule type="cellIs" dxfId="5525" priority="32082" operator="equal">
      <formula>"FSE"</formula>
    </cfRule>
  </conditionalFormatting>
  <conditionalFormatting sqref="F528 F530">
    <cfRule type="cellIs" dxfId="5524" priority="32071" operator="equal">
      <formula>"APLAZADO"</formula>
    </cfRule>
    <cfRule type="cellIs" dxfId="5523" priority="32072" operator="equal">
      <formula>"CANCELADO"</formula>
    </cfRule>
    <cfRule type="cellIs" dxfId="5522" priority="32073" operator="equal">
      <formula>"NO EJECUTADO"</formula>
    </cfRule>
    <cfRule type="cellIs" dxfId="5521" priority="32074" operator="equal">
      <formula>"FPE"</formula>
    </cfRule>
    <cfRule type="cellIs" dxfId="5520" priority="32075" operator="equal">
      <formula>"AMA"</formula>
    </cfRule>
    <cfRule type="cellIs" dxfId="5519" priority="32076" operator="equal">
      <formula>"SIN DATOS"</formula>
    </cfRule>
    <cfRule type="cellIs" dxfId="5518" priority="32077" operator="equal">
      <formula>"SIN DATOS"</formula>
    </cfRule>
    <cfRule type="cellIs" dxfId="5517" priority="32078" operator="equal">
      <formula>"NO EJECTUTADO"</formula>
    </cfRule>
    <cfRule type="cellIs" dxfId="5516" priority="32079" operator="equal">
      <formula>"FE"</formula>
    </cfRule>
    <cfRule type="cellIs" dxfId="5515" priority="32080" operator="equal">
      <formula>"FE"</formula>
    </cfRule>
  </conditionalFormatting>
  <conditionalFormatting sqref="F528 F530">
    <cfRule type="cellIs" dxfId="5514" priority="32069" operator="equal">
      <formula>"Retirado"</formula>
    </cfRule>
    <cfRule type="cellIs" dxfId="5513" priority="32070" operator="equal">
      <formula>"FSE"</formula>
    </cfRule>
  </conditionalFormatting>
  <conditionalFormatting sqref="H531:H534">
    <cfRule type="duplicateValues" dxfId="5512" priority="32024"/>
  </conditionalFormatting>
  <conditionalFormatting sqref="A531">
    <cfRule type="cellIs" dxfId="5511" priority="32002" operator="equal">
      <formula>"APLAZADO"</formula>
    </cfRule>
    <cfRule type="cellIs" dxfId="5510" priority="32003" operator="equal">
      <formula>"CANCELADO"</formula>
    </cfRule>
    <cfRule type="cellIs" dxfId="5509" priority="32004" operator="equal">
      <formula>"NO EJECUTADO"</formula>
    </cfRule>
    <cfRule type="cellIs" dxfId="5508" priority="32005" operator="equal">
      <formula>"FPE"</formula>
    </cfRule>
    <cfRule type="cellIs" dxfId="5507" priority="32006" operator="equal">
      <formula>"AMA"</formula>
    </cfRule>
    <cfRule type="cellIs" dxfId="5506" priority="32007" operator="equal">
      <formula>"SIN DATOS"</formula>
    </cfRule>
    <cfRule type="cellIs" dxfId="5505" priority="32008" operator="equal">
      <formula>"SIN DATOS"</formula>
    </cfRule>
    <cfRule type="cellIs" dxfId="5504" priority="32009" operator="equal">
      <formula>"NO EJECTUTADO"</formula>
    </cfRule>
    <cfRule type="cellIs" dxfId="5503" priority="32010" operator="equal">
      <formula>"FE"</formula>
    </cfRule>
    <cfRule type="cellIs" dxfId="5502" priority="32011" operator="equal">
      <formula>"FE"</formula>
    </cfRule>
  </conditionalFormatting>
  <conditionalFormatting sqref="A531">
    <cfRule type="cellIs" dxfId="5501" priority="32000" operator="equal">
      <formula>"Retirado"</formula>
    </cfRule>
    <cfRule type="cellIs" dxfId="5500" priority="32001" operator="equal">
      <formula>"FSE"</formula>
    </cfRule>
  </conditionalFormatting>
  <conditionalFormatting sqref="F531">
    <cfRule type="cellIs" dxfId="5499" priority="31972" operator="equal">
      <formula>"APLAZADO"</formula>
    </cfRule>
    <cfRule type="cellIs" dxfId="5498" priority="31973" operator="equal">
      <formula>"CANCELADO"</formula>
    </cfRule>
    <cfRule type="cellIs" dxfId="5497" priority="31974" operator="equal">
      <formula>"NO EJECUTADO"</formula>
    </cfRule>
    <cfRule type="cellIs" dxfId="5496" priority="31975" operator="equal">
      <formula>"FPE"</formula>
    </cfRule>
    <cfRule type="cellIs" dxfId="5495" priority="31976" operator="equal">
      <formula>"AMA"</formula>
    </cfRule>
    <cfRule type="cellIs" dxfId="5494" priority="31977" operator="equal">
      <formula>"SIN DATOS"</formula>
    </cfRule>
    <cfRule type="cellIs" dxfId="5493" priority="31978" operator="equal">
      <formula>"SIN DATOS"</formula>
    </cfRule>
    <cfRule type="cellIs" dxfId="5492" priority="31979" operator="equal">
      <formula>"NO EJECTUTADO"</formula>
    </cfRule>
    <cfRule type="cellIs" dxfId="5491" priority="31980" operator="equal">
      <formula>"FE"</formula>
    </cfRule>
    <cfRule type="cellIs" dxfId="5490" priority="31981" operator="equal">
      <formula>"FE"</formula>
    </cfRule>
  </conditionalFormatting>
  <conditionalFormatting sqref="F531">
    <cfRule type="cellIs" dxfId="5489" priority="31970" operator="equal">
      <formula>"Retirado"</formula>
    </cfRule>
    <cfRule type="cellIs" dxfId="5488" priority="31971" operator="equal">
      <formula>"FSE"</formula>
    </cfRule>
  </conditionalFormatting>
  <conditionalFormatting sqref="A532">
    <cfRule type="cellIs" dxfId="5487" priority="31960" operator="equal">
      <formula>"APLAZADO"</formula>
    </cfRule>
    <cfRule type="cellIs" dxfId="5486" priority="31961" operator="equal">
      <formula>"CANCELADO"</formula>
    </cfRule>
    <cfRule type="cellIs" dxfId="5485" priority="31962" operator="equal">
      <formula>"NO EJECUTADO"</formula>
    </cfRule>
    <cfRule type="cellIs" dxfId="5484" priority="31963" operator="equal">
      <formula>"FPE"</formula>
    </cfRule>
    <cfRule type="cellIs" dxfId="5483" priority="31964" operator="equal">
      <formula>"AMA"</formula>
    </cfRule>
    <cfRule type="cellIs" dxfId="5482" priority="31965" operator="equal">
      <formula>"SIN DATOS"</formula>
    </cfRule>
    <cfRule type="cellIs" dxfId="5481" priority="31966" operator="equal">
      <formula>"SIN DATOS"</formula>
    </cfRule>
    <cfRule type="cellIs" dxfId="5480" priority="31967" operator="equal">
      <formula>"NO EJECTUTADO"</formula>
    </cfRule>
    <cfRule type="cellIs" dxfId="5479" priority="31968" operator="equal">
      <formula>"FE"</formula>
    </cfRule>
    <cfRule type="cellIs" dxfId="5478" priority="31969" operator="equal">
      <formula>"FE"</formula>
    </cfRule>
  </conditionalFormatting>
  <conditionalFormatting sqref="A532">
    <cfRule type="cellIs" dxfId="5477" priority="31958" operator="equal">
      <formula>"Retirado"</formula>
    </cfRule>
    <cfRule type="cellIs" dxfId="5476" priority="31959" operator="equal">
      <formula>"FSE"</formula>
    </cfRule>
  </conditionalFormatting>
  <conditionalFormatting sqref="F532">
    <cfRule type="cellIs" dxfId="5475" priority="31948" operator="equal">
      <formula>"APLAZADO"</formula>
    </cfRule>
    <cfRule type="cellIs" dxfId="5474" priority="31949" operator="equal">
      <formula>"CANCELADO"</formula>
    </cfRule>
    <cfRule type="cellIs" dxfId="5473" priority="31950" operator="equal">
      <formula>"NO EJECUTADO"</formula>
    </cfRule>
    <cfRule type="cellIs" dxfId="5472" priority="31951" operator="equal">
      <formula>"FPE"</formula>
    </cfRule>
    <cfRule type="cellIs" dxfId="5471" priority="31952" operator="equal">
      <formula>"AMA"</formula>
    </cfRule>
    <cfRule type="cellIs" dxfId="5470" priority="31953" operator="equal">
      <formula>"SIN DATOS"</formula>
    </cfRule>
    <cfRule type="cellIs" dxfId="5469" priority="31954" operator="equal">
      <formula>"SIN DATOS"</formula>
    </cfRule>
    <cfRule type="cellIs" dxfId="5468" priority="31955" operator="equal">
      <formula>"NO EJECTUTADO"</formula>
    </cfRule>
    <cfRule type="cellIs" dxfId="5467" priority="31956" operator="equal">
      <formula>"FE"</formula>
    </cfRule>
    <cfRule type="cellIs" dxfId="5466" priority="31957" operator="equal">
      <formula>"FE"</formula>
    </cfRule>
  </conditionalFormatting>
  <conditionalFormatting sqref="F532">
    <cfRule type="cellIs" dxfId="5465" priority="31946" operator="equal">
      <formula>"Retirado"</formula>
    </cfRule>
    <cfRule type="cellIs" dxfId="5464" priority="31947" operator="equal">
      <formula>"FSE"</formula>
    </cfRule>
  </conditionalFormatting>
  <conditionalFormatting sqref="A533">
    <cfRule type="cellIs" dxfId="5463" priority="31936" operator="equal">
      <formula>"APLAZADO"</formula>
    </cfRule>
    <cfRule type="cellIs" dxfId="5462" priority="31937" operator="equal">
      <formula>"CANCELADO"</formula>
    </cfRule>
    <cfRule type="cellIs" dxfId="5461" priority="31938" operator="equal">
      <formula>"NO EJECUTADO"</formula>
    </cfRule>
    <cfRule type="cellIs" dxfId="5460" priority="31939" operator="equal">
      <formula>"FPE"</formula>
    </cfRule>
    <cfRule type="cellIs" dxfId="5459" priority="31940" operator="equal">
      <formula>"AMA"</formula>
    </cfRule>
    <cfRule type="cellIs" dxfId="5458" priority="31941" operator="equal">
      <formula>"SIN DATOS"</formula>
    </cfRule>
    <cfRule type="cellIs" dxfId="5457" priority="31942" operator="equal">
      <formula>"SIN DATOS"</formula>
    </cfRule>
    <cfRule type="cellIs" dxfId="5456" priority="31943" operator="equal">
      <formula>"NO EJECTUTADO"</formula>
    </cfRule>
    <cfRule type="cellIs" dxfId="5455" priority="31944" operator="equal">
      <formula>"FE"</formula>
    </cfRule>
    <cfRule type="cellIs" dxfId="5454" priority="31945" operator="equal">
      <formula>"FE"</formula>
    </cfRule>
  </conditionalFormatting>
  <conditionalFormatting sqref="A533">
    <cfRule type="cellIs" dxfId="5453" priority="31934" operator="equal">
      <formula>"Retirado"</formula>
    </cfRule>
    <cfRule type="cellIs" dxfId="5452" priority="31935" operator="equal">
      <formula>"FSE"</formula>
    </cfRule>
  </conditionalFormatting>
  <conditionalFormatting sqref="F533">
    <cfRule type="cellIs" dxfId="5451" priority="31924" operator="equal">
      <formula>"APLAZADO"</formula>
    </cfRule>
    <cfRule type="cellIs" dxfId="5450" priority="31925" operator="equal">
      <formula>"CANCELADO"</formula>
    </cfRule>
    <cfRule type="cellIs" dxfId="5449" priority="31926" operator="equal">
      <formula>"NO EJECUTADO"</formula>
    </cfRule>
    <cfRule type="cellIs" dxfId="5448" priority="31927" operator="equal">
      <formula>"FPE"</formula>
    </cfRule>
    <cfRule type="cellIs" dxfId="5447" priority="31928" operator="equal">
      <formula>"AMA"</formula>
    </cfRule>
    <cfRule type="cellIs" dxfId="5446" priority="31929" operator="equal">
      <formula>"SIN DATOS"</formula>
    </cfRule>
    <cfRule type="cellIs" dxfId="5445" priority="31930" operator="equal">
      <formula>"SIN DATOS"</formula>
    </cfRule>
    <cfRule type="cellIs" dxfId="5444" priority="31931" operator="equal">
      <formula>"NO EJECTUTADO"</formula>
    </cfRule>
    <cfRule type="cellIs" dxfId="5443" priority="31932" operator="equal">
      <formula>"FE"</formula>
    </cfRule>
    <cfRule type="cellIs" dxfId="5442" priority="31933" operator="equal">
      <formula>"FE"</formula>
    </cfRule>
  </conditionalFormatting>
  <conditionalFormatting sqref="F533">
    <cfRule type="cellIs" dxfId="5441" priority="31922" operator="equal">
      <formula>"Retirado"</formula>
    </cfRule>
    <cfRule type="cellIs" dxfId="5440" priority="31923" operator="equal">
      <formula>"FSE"</formula>
    </cfRule>
  </conditionalFormatting>
  <conditionalFormatting sqref="A534">
    <cfRule type="cellIs" dxfId="5439" priority="31912" operator="equal">
      <formula>"APLAZADO"</formula>
    </cfRule>
    <cfRule type="cellIs" dxfId="5438" priority="31913" operator="equal">
      <formula>"CANCELADO"</formula>
    </cfRule>
    <cfRule type="cellIs" dxfId="5437" priority="31914" operator="equal">
      <formula>"NO EJECUTADO"</formula>
    </cfRule>
    <cfRule type="cellIs" dxfId="5436" priority="31915" operator="equal">
      <formula>"FPE"</formula>
    </cfRule>
    <cfRule type="cellIs" dxfId="5435" priority="31916" operator="equal">
      <formula>"AMA"</formula>
    </cfRule>
    <cfRule type="cellIs" dxfId="5434" priority="31917" operator="equal">
      <formula>"SIN DATOS"</formula>
    </cfRule>
    <cfRule type="cellIs" dxfId="5433" priority="31918" operator="equal">
      <formula>"SIN DATOS"</formula>
    </cfRule>
    <cfRule type="cellIs" dxfId="5432" priority="31919" operator="equal">
      <formula>"NO EJECTUTADO"</formula>
    </cfRule>
    <cfRule type="cellIs" dxfId="5431" priority="31920" operator="equal">
      <formula>"FE"</formula>
    </cfRule>
    <cfRule type="cellIs" dxfId="5430" priority="31921" operator="equal">
      <formula>"FE"</formula>
    </cfRule>
  </conditionalFormatting>
  <conditionalFormatting sqref="A534">
    <cfRule type="cellIs" dxfId="5429" priority="31910" operator="equal">
      <formula>"Retirado"</formula>
    </cfRule>
    <cfRule type="cellIs" dxfId="5428" priority="31911" operator="equal">
      <formula>"FSE"</formula>
    </cfRule>
  </conditionalFormatting>
  <conditionalFormatting sqref="F534">
    <cfRule type="cellIs" dxfId="5427" priority="31900" operator="equal">
      <formula>"APLAZADO"</formula>
    </cfRule>
    <cfRule type="cellIs" dxfId="5426" priority="31901" operator="equal">
      <formula>"CANCELADO"</formula>
    </cfRule>
    <cfRule type="cellIs" dxfId="5425" priority="31902" operator="equal">
      <formula>"NO EJECUTADO"</formula>
    </cfRule>
    <cfRule type="cellIs" dxfId="5424" priority="31903" operator="equal">
      <formula>"FPE"</formula>
    </cfRule>
    <cfRule type="cellIs" dxfId="5423" priority="31904" operator="equal">
      <formula>"AMA"</formula>
    </cfRule>
    <cfRule type="cellIs" dxfId="5422" priority="31905" operator="equal">
      <formula>"SIN DATOS"</formula>
    </cfRule>
    <cfRule type="cellIs" dxfId="5421" priority="31906" operator="equal">
      <formula>"SIN DATOS"</formula>
    </cfRule>
    <cfRule type="cellIs" dxfId="5420" priority="31907" operator="equal">
      <formula>"NO EJECTUTADO"</formula>
    </cfRule>
    <cfRule type="cellIs" dxfId="5419" priority="31908" operator="equal">
      <formula>"FE"</formula>
    </cfRule>
    <cfRule type="cellIs" dxfId="5418" priority="31909" operator="equal">
      <formula>"FE"</formula>
    </cfRule>
  </conditionalFormatting>
  <conditionalFormatting sqref="F534">
    <cfRule type="cellIs" dxfId="5417" priority="31898" operator="equal">
      <formula>"Retirado"</formula>
    </cfRule>
    <cfRule type="cellIs" dxfId="5416" priority="31899" operator="equal">
      <formula>"FSE"</formula>
    </cfRule>
  </conditionalFormatting>
  <conditionalFormatting sqref="H535:H536">
    <cfRule type="duplicateValues" dxfId="5415" priority="31897"/>
  </conditionalFormatting>
  <conditionalFormatting sqref="A535">
    <cfRule type="cellIs" dxfId="5414" priority="31887" operator="equal">
      <formula>"APLAZADO"</formula>
    </cfRule>
    <cfRule type="cellIs" dxfId="5413" priority="31888" operator="equal">
      <formula>"CANCELADO"</formula>
    </cfRule>
    <cfRule type="cellIs" dxfId="5412" priority="31889" operator="equal">
      <formula>"NO EJECUTADO"</formula>
    </cfRule>
    <cfRule type="cellIs" dxfId="5411" priority="31890" operator="equal">
      <formula>"FPE"</formula>
    </cfRule>
    <cfRule type="cellIs" dxfId="5410" priority="31891" operator="equal">
      <formula>"AMA"</formula>
    </cfRule>
    <cfRule type="cellIs" dxfId="5409" priority="31892" operator="equal">
      <formula>"SIN DATOS"</formula>
    </cfRule>
    <cfRule type="cellIs" dxfId="5408" priority="31893" operator="equal">
      <formula>"SIN DATOS"</formula>
    </cfRule>
    <cfRule type="cellIs" dxfId="5407" priority="31894" operator="equal">
      <formula>"NO EJECTUTADO"</formula>
    </cfRule>
    <cfRule type="cellIs" dxfId="5406" priority="31895" operator="equal">
      <formula>"FE"</formula>
    </cfRule>
    <cfRule type="cellIs" dxfId="5405" priority="31896" operator="equal">
      <formula>"FE"</formula>
    </cfRule>
  </conditionalFormatting>
  <conditionalFormatting sqref="A535">
    <cfRule type="cellIs" dxfId="5404" priority="31885" operator="equal">
      <formula>"Retirado"</formula>
    </cfRule>
    <cfRule type="cellIs" dxfId="5403" priority="31886" operator="equal">
      <formula>"FSE"</formula>
    </cfRule>
  </conditionalFormatting>
  <conditionalFormatting sqref="F535">
    <cfRule type="cellIs" dxfId="5402" priority="31850" operator="equal">
      <formula>"APLAZADO"</formula>
    </cfRule>
    <cfRule type="cellIs" dxfId="5401" priority="31851" operator="equal">
      <formula>"CANCELADO"</formula>
    </cfRule>
    <cfRule type="cellIs" dxfId="5400" priority="31852" operator="equal">
      <formula>"NO EJECUTADO"</formula>
    </cfRule>
    <cfRule type="cellIs" dxfId="5399" priority="31853" operator="equal">
      <formula>"FPE"</formula>
    </cfRule>
    <cfRule type="cellIs" dxfId="5398" priority="31854" operator="equal">
      <formula>"AMA"</formula>
    </cfRule>
    <cfRule type="cellIs" dxfId="5397" priority="31855" operator="equal">
      <formula>"SIN DATOS"</formula>
    </cfRule>
    <cfRule type="cellIs" dxfId="5396" priority="31856" operator="equal">
      <formula>"SIN DATOS"</formula>
    </cfRule>
    <cfRule type="cellIs" dxfId="5395" priority="31857" operator="equal">
      <formula>"NO EJECTUTADO"</formula>
    </cfRule>
    <cfRule type="cellIs" dxfId="5394" priority="31858" operator="equal">
      <formula>"FE"</formula>
    </cfRule>
    <cfRule type="cellIs" dxfId="5393" priority="31859" operator="equal">
      <formula>"FE"</formula>
    </cfRule>
  </conditionalFormatting>
  <conditionalFormatting sqref="F535">
    <cfRule type="cellIs" dxfId="5392" priority="31848" operator="equal">
      <formula>"Retirado"</formula>
    </cfRule>
    <cfRule type="cellIs" dxfId="5391" priority="31849" operator="equal">
      <formula>"FSE"</formula>
    </cfRule>
  </conditionalFormatting>
  <conditionalFormatting sqref="A536">
    <cfRule type="cellIs" dxfId="5390" priority="31838" operator="equal">
      <formula>"APLAZADO"</formula>
    </cfRule>
    <cfRule type="cellIs" dxfId="5389" priority="31839" operator="equal">
      <formula>"CANCELADO"</formula>
    </cfRule>
    <cfRule type="cellIs" dxfId="5388" priority="31840" operator="equal">
      <formula>"NO EJECUTADO"</formula>
    </cfRule>
    <cfRule type="cellIs" dxfId="5387" priority="31841" operator="equal">
      <formula>"FPE"</formula>
    </cfRule>
    <cfRule type="cellIs" dxfId="5386" priority="31842" operator="equal">
      <formula>"AMA"</formula>
    </cfRule>
    <cfRule type="cellIs" dxfId="5385" priority="31843" operator="equal">
      <formula>"SIN DATOS"</formula>
    </cfRule>
    <cfRule type="cellIs" dxfId="5384" priority="31844" operator="equal">
      <formula>"SIN DATOS"</formula>
    </cfRule>
    <cfRule type="cellIs" dxfId="5383" priority="31845" operator="equal">
      <formula>"NO EJECTUTADO"</formula>
    </cfRule>
    <cfRule type="cellIs" dxfId="5382" priority="31846" operator="equal">
      <formula>"FE"</formula>
    </cfRule>
    <cfRule type="cellIs" dxfId="5381" priority="31847" operator="equal">
      <formula>"FE"</formula>
    </cfRule>
  </conditionalFormatting>
  <conditionalFormatting sqref="A536">
    <cfRule type="cellIs" dxfId="5380" priority="31836" operator="equal">
      <formula>"Retirado"</formula>
    </cfRule>
    <cfRule type="cellIs" dxfId="5379" priority="31837" operator="equal">
      <formula>"FSE"</formula>
    </cfRule>
  </conditionalFormatting>
  <conditionalFormatting sqref="F536">
    <cfRule type="cellIs" dxfId="5378" priority="31826" operator="equal">
      <formula>"APLAZADO"</formula>
    </cfRule>
    <cfRule type="cellIs" dxfId="5377" priority="31827" operator="equal">
      <formula>"CANCELADO"</formula>
    </cfRule>
    <cfRule type="cellIs" dxfId="5376" priority="31828" operator="equal">
      <formula>"NO EJECUTADO"</formula>
    </cfRule>
    <cfRule type="cellIs" dxfId="5375" priority="31829" operator="equal">
      <formula>"FPE"</formula>
    </cfRule>
    <cfRule type="cellIs" dxfId="5374" priority="31830" operator="equal">
      <formula>"AMA"</formula>
    </cfRule>
    <cfRule type="cellIs" dxfId="5373" priority="31831" operator="equal">
      <formula>"SIN DATOS"</formula>
    </cfRule>
    <cfRule type="cellIs" dxfId="5372" priority="31832" operator="equal">
      <formula>"SIN DATOS"</formula>
    </cfRule>
    <cfRule type="cellIs" dxfId="5371" priority="31833" operator="equal">
      <formula>"NO EJECTUTADO"</formula>
    </cfRule>
    <cfRule type="cellIs" dxfId="5370" priority="31834" operator="equal">
      <formula>"FE"</formula>
    </cfRule>
    <cfRule type="cellIs" dxfId="5369" priority="31835" operator="equal">
      <formula>"FE"</formula>
    </cfRule>
  </conditionalFormatting>
  <conditionalFormatting sqref="F536">
    <cfRule type="cellIs" dxfId="5368" priority="31824" operator="equal">
      <formula>"Retirado"</formula>
    </cfRule>
    <cfRule type="cellIs" dxfId="5367" priority="31825" operator="equal">
      <formula>"FSE"</formula>
    </cfRule>
  </conditionalFormatting>
  <conditionalFormatting sqref="H537">
    <cfRule type="duplicateValues" dxfId="5366" priority="31797"/>
  </conditionalFormatting>
  <conditionalFormatting sqref="A537">
    <cfRule type="cellIs" dxfId="5365" priority="31787" operator="equal">
      <formula>"APLAZADO"</formula>
    </cfRule>
    <cfRule type="cellIs" dxfId="5364" priority="31788" operator="equal">
      <formula>"CANCELADO"</formula>
    </cfRule>
    <cfRule type="cellIs" dxfId="5363" priority="31789" operator="equal">
      <formula>"NO EJECUTADO"</formula>
    </cfRule>
    <cfRule type="cellIs" dxfId="5362" priority="31790" operator="equal">
      <formula>"FPE"</formula>
    </cfRule>
    <cfRule type="cellIs" dxfId="5361" priority="31791" operator="equal">
      <formula>"AMA"</formula>
    </cfRule>
    <cfRule type="cellIs" dxfId="5360" priority="31792" operator="equal">
      <formula>"SIN DATOS"</formula>
    </cfRule>
    <cfRule type="cellIs" dxfId="5359" priority="31793" operator="equal">
      <formula>"SIN DATOS"</formula>
    </cfRule>
    <cfRule type="cellIs" dxfId="5358" priority="31794" operator="equal">
      <formula>"NO EJECTUTADO"</formula>
    </cfRule>
    <cfRule type="cellIs" dxfId="5357" priority="31795" operator="equal">
      <formula>"FE"</formula>
    </cfRule>
    <cfRule type="cellIs" dxfId="5356" priority="31796" operator="equal">
      <formula>"FE"</formula>
    </cfRule>
  </conditionalFormatting>
  <conditionalFormatting sqref="A537">
    <cfRule type="cellIs" dxfId="5355" priority="31785" operator="equal">
      <formula>"Retirado"</formula>
    </cfRule>
    <cfRule type="cellIs" dxfId="5354" priority="31786" operator="equal">
      <formula>"FSE"</formula>
    </cfRule>
  </conditionalFormatting>
  <conditionalFormatting sqref="F537">
    <cfRule type="cellIs" dxfId="5353" priority="31750" operator="equal">
      <formula>"APLAZADO"</formula>
    </cfRule>
    <cfRule type="cellIs" dxfId="5352" priority="31751" operator="equal">
      <formula>"CANCELADO"</formula>
    </cfRule>
    <cfRule type="cellIs" dxfId="5351" priority="31752" operator="equal">
      <formula>"NO EJECUTADO"</formula>
    </cfRule>
    <cfRule type="cellIs" dxfId="5350" priority="31753" operator="equal">
      <formula>"FPE"</formula>
    </cfRule>
    <cfRule type="cellIs" dxfId="5349" priority="31754" operator="equal">
      <formula>"AMA"</formula>
    </cfRule>
    <cfRule type="cellIs" dxfId="5348" priority="31755" operator="equal">
      <formula>"SIN DATOS"</formula>
    </cfRule>
    <cfRule type="cellIs" dxfId="5347" priority="31756" operator="equal">
      <formula>"SIN DATOS"</formula>
    </cfRule>
    <cfRule type="cellIs" dxfId="5346" priority="31757" operator="equal">
      <formula>"NO EJECTUTADO"</formula>
    </cfRule>
    <cfRule type="cellIs" dxfId="5345" priority="31758" operator="equal">
      <formula>"FE"</formula>
    </cfRule>
    <cfRule type="cellIs" dxfId="5344" priority="31759" operator="equal">
      <formula>"FE"</formula>
    </cfRule>
  </conditionalFormatting>
  <conditionalFormatting sqref="F537">
    <cfRule type="cellIs" dxfId="5343" priority="31748" operator="equal">
      <formula>"Retirado"</formula>
    </cfRule>
    <cfRule type="cellIs" dxfId="5342" priority="31749" operator="equal">
      <formula>"FSE"</formula>
    </cfRule>
  </conditionalFormatting>
  <conditionalFormatting sqref="B515">
    <cfRule type="cellIs" dxfId="5341" priority="31715" operator="equal">
      <formula>"Sin éxito"</formula>
    </cfRule>
    <cfRule type="cellIs" dxfId="5340" priority="31716" operator="equal">
      <formula>"Éxito con problemas"</formula>
    </cfRule>
    <cfRule type="cellIs" dxfId="5339" priority="31717" operator="equal">
      <formula>"CANCELADO"</formula>
    </cfRule>
    <cfRule type="cellIs" dxfId="5338" priority="31718" operator="equal">
      <formula>"Aplicada marcha atrás"</formula>
    </cfRule>
    <cfRule type="cellIs" dxfId="5337" priority="31719" operator="equal">
      <formula>"CON ÉXITO"</formula>
    </cfRule>
  </conditionalFormatting>
  <conditionalFormatting sqref="H538">
    <cfRule type="duplicateValues" dxfId="5336" priority="31714"/>
  </conditionalFormatting>
  <conditionalFormatting sqref="A538">
    <cfRule type="cellIs" dxfId="5335" priority="31704" operator="equal">
      <formula>"APLAZADO"</formula>
    </cfRule>
    <cfRule type="cellIs" dxfId="5334" priority="31705" operator="equal">
      <formula>"CANCELADO"</formula>
    </cfRule>
    <cfRule type="cellIs" dxfId="5333" priority="31706" operator="equal">
      <formula>"NO EJECUTADO"</formula>
    </cfRule>
    <cfRule type="cellIs" dxfId="5332" priority="31707" operator="equal">
      <formula>"FPE"</formula>
    </cfRule>
    <cfRule type="cellIs" dxfId="5331" priority="31708" operator="equal">
      <formula>"AMA"</formula>
    </cfRule>
    <cfRule type="cellIs" dxfId="5330" priority="31709" operator="equal">
      <formula>"SIN DATOS"</formula>
    </cfRule>
    <cfRule type="cellIs" dxfId="5329" priority="31710" operator="equal">
      <formula>"SIN DATOS"</formula>
    </cfRule>
    <cfRule type="cellIs" dxfId="5328" priority="31711" operator="equal">
      <formula>"NO EJECTUTADO"</formula>
    </cfRule>
    <cfRule type="cellIs" dxfId="5327" priority="31712" operator="equal">
      <formula>"FE"</formula>
    </cfRule>
    <cfRule type="cellIs" dxfId="5326" priority="31713" operator="equal">
      <formula>"FE"</formula>
    </cfRule>
  </conditionalFormatting>
  <conditionalFormatting sqref="A538">
    <cfRule type="cellIs" dxfId="5325" priority="31702" operator="equal">
      <formula>"Retirado"</formula>
    </cfRule>
    <cfRule type="cellIs" dxfId="5324" priority="31703" operator="equal">
      <formula>"FSE"</formula>
    </cfRule>
  </conditionalFormatting>
  <conditionalFormatting sqref="F538">
    <cfRule type="cellIs" dxfId="5323" priority="31667" operator="equal">
      <formula>"APLAZADO"</formula>
    </cfRule>
    <cfRule type="cellIs" dxfId="5322" priority="31668" operator="equal">
      <formula>"CANCELADO"</formula>
    </cfRule>
    <cfRule type="cellIs" dxfId="5321" priority="31669" operator="equal">
      <formula>"NO EJECUTADO"</formula>
    </cfRule>
    <cfRule type="cellIs" dxfId="5320" priority="31670" operator="equal">
      <formula>"FPE"</formula>
    </cfRule>
    <cfRule type="cellIs" dxfId="5319" priority="31671" operator="equal">
      <formula>"AMA"</formula>
    </cfRule>
    <cfRule type="cellIs" dxfId="5318" priority="31672" operator="equal">
      <formula>"SIN DATOS"</formula>
    </cfRule>
    <cfRule type="cellIs" dxfId="5317" priority="31673" operator="equal">
      <formula>"SIN DATOS"</formula>
    </cfRule>
    <cfRule type="cellIs" dxfId="5316" priority="31674" operator="equal">
      <formula>"NO EJECTUTADO"</formula>
    </cfRule>
    <cfRule type="cellIs" dxfId="5315" priority="31675" operator="equal">
      <formula>"FE"</formula>
    </cfRule>
    <cfRule type="cellIs" dxfId="5314" priority="31676" operator="equal">
      <formula>"FE"</formula>
    </cfRule>
  </conditionalFormatting>
  <conditionalFormatting sqref="F538">
    <cfRule type="cellIs" dxfId="5313" priority="31665" operator="equal">
      <formula>"Retirado"</formula>
    </cfRule>
    <cfRule type="cellIs" dxfId="5312" priority="31666" operator="equal">
      <formula>"FSE"</formula>
    </cfRule>
  </conditionalFormatting>
  <conditionalFormatting sqref="A539">
    <cfRule type="cellIs" dxfId="5311" priority="31643" operator="equal">
      <formula>"APLAZADO"</formula>
    </cfRule>
    <cfRule type="cellIs" dxfId="5310" priority="31644" operator="equal">
      <formula>"CANCELADO"</formula>
    </cfRule>
    <cfRule type="cellIs" dxfId="5309" priority="31645" operator="equal">
      <formula>"NO EJECUTADO"</formula>
    </cfRule>
    <cfRule type="cellIs" dxfId="5308" priority="31646" operator="equal">
      <formula>"FPE"</formula>
    </cfRule>
    <cfRule type="cellIs" dxfId="5307" priority="31647" operator="equal">
      <formula>"AMA"</formula>
    </cfRule>
    <cfRule type="cellIs" dxfId="5306" priority="31648" operator="equal">
      <formula>"SIN DATOS"</formula>
    </cfRule>
    <cfRule type="cellIs" dxfId="5305" priority="31649" operator="equal">
      <formula>"SIN DATOS"</formula>
    </cfRule>
    <cfRule type="cellIs" dxfId="5304" priority="31650" operator="equal">
      <formula>"NO EJECTUTADO"</formula>
    </cfRule>
    <cfRule type="cellIs" dxfId="5303" priority="31651" operator="equal">
      <formula>"FE"</formula>
    </cfRule>
    <cfRule type="cellIs" dxfId="5302" priority="31652" operator="equal">
      <formula>"FE"</formula>
    </cfRule>
  </conditionalFormatting>
  <conditionalFormatting sqref="A539">
    <cfRule type="cellIs" dxfId="5301" priority="31641" operator="equal">
      <formula>"Retirado"</formula>
    </cfRule>
    <cfRule type="cellIs" dxfId="5300" priority="31642" operator="equal">
      <formula>"FSE"</formula>
    </cfRule>
  </conditionalFormatting>
  <conditionalFormatting sqref="F539">
    <cfRule type="cellIs" dxfId="5299" priority="31631" operator="equal">
      <formula>"APLAZADO"</formula>
    </cfRule>
    <cfRule type="cellIs" dxfId="5298" priority="31632" operator="equal">
      <formula>"CANCELADO"</formula>
    </cfRule>
    <cfRule type="cellIs" dxfId="5297" priority="31633" operator="equal">
      <formula>"NO EJECUTADO"</formula>
    </cfRule>
    <cfRule type="cellIs" dxfId="5296" priority="31634" operator="equal">
      <formula>"FPE"</formula>
    </cfRule>
    <cfRule type="cellIs" dxfId="5295" priority="31635" operator="equal">
      <formula>"AMA"</formula>
    </cfRule>
    <cfRule type="cellIs" dxfId="5294" priority="31636" operator="equal">
      <formula>"SIN DATOS"</formula>
    </cfRule>
    <cfRule type="cellIs" dxfId="5293" priority="31637" operator="equal">
      <formula>"SIN DATOS"</formula>
    </cfRule>
    <cfRule type="cellIs" dxfId="5292" priority="31638" operator="equal">
      <formula>"NO EJECTUTADO"</formula>
    </cfRule>
    <cfRule type="cellIs" dxfId="5291" priority="31639" operator="equal">
      <formula>"FE"</formula>
    </cfRule>
    <cfRule type="cellIs" dxfId="5290" priority="31640" operator="equal">
      <formula>"FE"</formula>
    </cfRule>
  </conditionalFormatting>
  <conditionalFormatting sqref="F539">
    <cfRule type="cellIs" dxfId="5289" priority="31629" operator="equal">
      <formula>"Retirado"</formula>
    </cfRule>
    <cfRule type="cellIs" dxfId="5288" priority="31630" operator="equal">
      <formula>"FSE"</formula>
    </cfRule>
  </conditionalFormatting>
  <conditionalFormatting sqref="H539">
    <cfRule type="duplicateValues" dxfId="5287" priority="31628"/>
  </conditionalFormatting>
  <conditionalFormatting sqref="A540">
    <cfRule type="cellIs" dxfId="5286" priority="31593" operator="equal">
      <formula>"APLAZADO"</formula>
    </cfRule>
    <cfRule type="cellIs" dxfId="5285" priority="31594" operator="equal">
      <formula>"CANCELADO"</formula>
    </cfRule>
    <cfRule type="cellIs" dxfId="5284" priority="31595" operator="equal">
      <formula>"NO EJECUTADO"</formula>
    </cfRule>
    <cfRule type="cellIs" dxfId="5283" priority="31596" operator="equal">
      <formula>"FPE"</formula>
    </cfRule>
    <cfRule type="cellIs" dxfId="5282" priority="31597" operator="equal">
      <formula>"AMA"</formula>
    </cfRule>
    <cfRule type="cellIs" dxfId="5281" priority="31598" operator="equal">
      <formula>"SIN DATOS"</formula>
    </cfRule>
    <cfRule type="cellIs" dxfId="5280" priority="31599" operator="equal">
      <formula>"SIN DATOS"</formula>
    </cfRule>
    <cfRule type="cellIs" dxfId="5279" priority="31600" operator="equal">
      <formula>"NO EJECTUTADO"</formula>
    </cfRule>
    <cfRule type="cellIs" dxfId="5278" priority="31601" operator="equal">
      <formula>"FE"</formula>
    </cfRule>
    <cfRule type="cellIs" dxfId="5277" priority="31602" operator="equal">
      <formula>"FE"</formula>
    </cfRule>
  </conditionalFormatting>
  <conditionalFormatting sqref="A540">
    <cfRule type="cellIs" dxfId="5276" priority="31591" operator="equal">
      <formula>"Retirado"</formula>
    </cfRule>
    <cfRule type="cellIs" dxfId="5275" priority="31592" operator="equal">
      <formula>"FSE"</formula>
    </cfRule>
  </conditionalFormatting>
  <conditionalFormatting sqref="H540">
    <cfRule type="duplicateValues" dxfId="5274" priority="31590"/>
  </conditionalFormatting>
  <conditionalFormatting sqref="F540">
    <cfRule type="cellIs" dxfId="5273" priority="31580" operator="equal">
      <formula>"APLAZADO"</formula>
    </cfRule>
    <cfRule type="cellIs" dxfId="5272" priority="31581" operator="equal">
      <formula>"CANCELADO"</formula>
    </cfRule>
    <cfRule type="cellIs" dxfId="5271" priority="31582" operator="equal">
      <formula>"NO EJECUTADO"</formula>
    </cfRule>
    <cfRule type="cellIs" dxfId="5270" priority="31583" operator="equal">
      <formula>"FPE"</formula>
    </cfRule>
    <cfRule type="cellIs" dxfId="5269" priority="31584" operator="equal">
      <formula>"AMA"</formula>
    </cfRule>
    <cfRule type="cellIs" dxfId="5268" priority="31585" operator="equal">
      <formula>"SIN DATOS"</formula>
    </cfRule>
    <cfRule type="cellIs" dxfId="5267" priority="31586" operator="equal">
      <formula>"SIN DATOS"</formula>
    </cfRule>
    <cfRule type="cellIs" dxfId="5266" priority="31587" operator="equal">
      <formula>"NO EJECTUTADO"</formula>
    </cfRule>
    <cfRule type="cellIs" dxfId="5265" priority="31588" operator="equal">
      <formula>"FE"</formula>
    </cfRule>
    <cfRule type="cellIs" dxfId="5264" priority="31589" operator="equal">
      <formula>"FE"</formula>
    </cfRule>
  </conditionalFormatting>
  <conditionalFormatting sqref="F540">
    <cfRule type="cellIs" dxfId="5263" priority="31578" operator="equal">
      <formula>"Retirado"</formula>
    </cfRule>
    <cfRule type="cellIs" dxfId="5262" priority="31579" operator="equal">
      <formula>"FSE"</formula>
    </cfRule>
  </conditionalFormatting>
  <conditionalFormatting sqref="A541">
    <cfRule type="cellIs" dxfId="5261" priority="31543" operator="equal">
      <formula>"APLAZADO"</formula>
    </cfRule>
    <cfRule type="cellIs" dxfId="5260" priority="31544" operator="equal">
      <formula>"CANCELADO"</formula>
    </cfRule>
    <cfRule type="cellIs" dxfId="5259" priority="31545" operator="equal">
      <formula>"NO EJECUTADO"</formula>
    </cfRule>
    <cfRule type="cellIs" dxfId="5258" priority="31546" operator="equal">
      <formula>"FPE"</formula>
    </cfRule>
    <cfRule type="cellIs" dxfId="5257" priority="31547" operator="equal">
      <formula>"AMA"</formula>
    </cfRule>
    <cfRule type="cellIs" dxfId="5256" priority="31548" operator="equal">
      <formula>"SIN DATOS"</formula>
    </cfRule>
    <cfRule type="cellIs" dxfId="5255" priority="31549" operator="equal">
      <formula>"SIN DATOS"</formula>
    </cfRule>
    <cfRule type="cellIs" dxfId="5254" priority="31550" operator="equal">
      <formula>"NO EJECTUTADO"</formula>
    </cfRule>
    <cfRule type="cellIs" dxfId="5253" priority="31551" operator="equal">
      <formula>"FE"</formula>
    </cfRule>
    <cfRule type="cellIs" dxfId="5252" priority="31552" operator="equal">
      <formula>"FE"</formula>
    </cfRule>
  </conditionalFormatting>
  <conditionalFormatting sqref="A541">
    <cfRule type="cellIs" dxfId="5251" priority="31541" operator="equal">
      <formula>"Retirado"</formula>
    </cfRule>
    <cfRule type="cellIs" dxfId="5250" priority="31542" operator="equal">
      <formula>"FSE"</formula>
    </cfRule>
  </conditionalFormatting>
  <conditionalFormatting sqref="H541">
    <cfRule type="duplicateValues" dxfId="5249" priority="31540"/>
  </conditionalFormatting>
  <conditionalFormatting sqref="F541">
    <cfRule type="cellIs" dxfId="5248" priority="31530" operator="equal">
      <formula>"APLAZADO"</formula>
    </cfRule>
    <cfRule type="cellIs" dxfId="5247" priority="31531" operator="equal">
      <formula>"CANCELADO"</formula>
    </cfRule>
    <cfRule type="cellIs" dxfId="5246" priority="31532" operator="equal">
      <formula>"NO EJECUTADO"</formula>
    </cfRule>
    <cfRule type="cellIs" dxfId="5245" priority="31533" operator="equal">
      <formula>"FPE"</formula>
    </cfRule>
    <cfRule type="cellIs" dxfId="5244" priority="31534" operator="equal">
      <formula>"AMA"</formula>
    </cfRule>
    <cfRule type="cellIs" dxfId="5243" priority="31535" operator="equal">
      <formula>"SIN DATOS"</formula>
    </cfRule>
    <cfRule type="cellIs" dxfId="5242" priority="31536" operator="equal">
      <formula>"SIN DATOS"</formula>
    </cfRule>
    <cfRule type="cellIs" dxfId="5241" priority="31537" operator="equal">
      <formula>"NO EJECTUTADO"</formula>
    </cfRule>
    <cfRule type="cellIs" dxfId="5240" priority="31538" operator="equal">
      <formula>"FE"</formula>
    </cfRule>
    <cfRule type="cellIs" dxfId="5239" priority="31539" operator="equal">
      <formula>"FE"</formula>
    </cfRule>
  </conditionalFormatting>
  <conditionalFormatting sqref="F541">
    <cfRule type="cellIs" dxfId="5238" priority="31528" operator="equal">
      <formula>"Retirado"</formula>
    </cfRule>
    <cfRule type="cellIs" dxfId="5237" priority="31529" operator="equal">
      <formula>"FSE"</formula>
    </cfRule>
  </conditionalFormatting>
  <conditionalFormatting sqref="A542:A543">
    <cfRule type="cellIs" dxfId="5236" priority="31477" operator="equal">
      <formula>"APLAZADO"</formula>
    </cfRule>
    <cfRule type="cellIs" dxfId="5235" priority="31478" operator="equal">
      <formula>"CANCELADO"</formula>
    </cfRule>
    <cfRule type="cellIs" dxfId="5234" priority="31479" operator="equal">
      <formula>"NO EJECUTADO"</formula>
    </cfRule>
    <cfRule type="cellIs" dxfId="5233" priority="31480" operator="equal">
      <formula>"FPE"</formula>
    </cfRule>
    <cfRule type="cellIs" dxfId="5232" priority="31481" operator="equal">
      <formula>"AMA"</formula>
    </cfRule>
    <cfRule type="cellIs" dxfId="5231" priority="31482" operator="equal">
      <formula>"SIN DATOS"</formula>
    </cfRule>
    <cfRule type="cellIs" dxfId="5230" priority="31483" operator="equal">
      <formula>"SIN DATOS"</formula>
    </cfRule>
    <cfRule type="cellIs" dxfId="5229" priority="31484" operator="equal">
      <formula>"NO EJECTUTADO"</formula>
    </cfRule>
    <cfRule type="cellIs" dxfId="5228" priority="31485" operator="equal">
      <formula>"FE"</formula>
    </cfRule>
    <cfRule type="cellIs" dxfId="5227" priority="31486" operator="equal">
      <formula>"FE"</formula>
    </cfRule>
  </conditionalFormatting>
  <conditionalFormatting sqref="A542:A543">
    <cfRule type="cellIs" dxfId="5226" priority="31475" operator="equal">
      <formula>"Retirado"</formula>
    </cfRule>
    <cfRule type="cellIs" dxfId="5225" priority="31476" operator="equal">
      <formula>"FSE"</formula>
    </cfRule>
  </conditionalFormatting>
  <conditionalFormatting sqref="H542:H543">
    <cfRule type="duplicateValues" dxfId="5224" priority="31474"/>
  </conditionalFormatting>
  <conditionalFormatting sqref="F542:F543">
    <cfRule type="cellIs" dxfId="5223" priority="31464" operator="equal">
      <formula>"APLAZADO"</formula>
    </cfRule>
    <cfRule type="cellIs" dxfId="5222" priority="31465" operator="equal">
      <formula>"CANCELADO"</formula>
    </cfRule>
    <cfRule type="cellIs" dxfId="5221" priority="31466" operator="equal">
      <formula>"NO EJECUTADO"</formula>
    </cfRule>
    <cfRule type="cellIs" dxfId="5220" priority="31467" operator="equal">
      <formula>"FPE"</formula>
    </cfRule>
    <cfRule type="cellIs" dxfId="5219" priority="31468" operator="equal">
      <formula>"AMA"</formula>
    </cfRule>
    <cfRule type="cellIs" dxfId="5218" priority="31469" operator="equal">
      <formula>"SIN DATOS"</formula>
    </cfRule>
    <cfRule type="cellIs" dxfId="5217" priority="31470" operator="equal">
      <formula>"SIN DATOS"</formula>
    </cfRule>
    <cfRule type="cellIs" dxfId="5216" priority="31471" operator="equal">
      <formula>"NO EJECTUTADO"</formula>
    </cfRule>
    <cfRule type="cellIs" dxfId="5215" priority="31472" operator="equal">
      <formula>"FE"</formula>
    </cfRule>
    <cfRule type="cellIs" dxfId="5214" priority="31473" operator="equal">
      <formula>"FE"</formula>
    </cfRule>
  </conditionalFormatting>
  <conditionalFormatting sqref="F542:F543">
    <cfRule type="cellIs" dxfId="5213" priority="31462" operator="equal">
      <formula>"Retirado"</formula>
    </cfRule>
    <cfRule type="cellIs" dxfId="5212" priority="31463" operator="equal">
      <formula>"FSE"</formula>
    </cfRule>
  </conditionalFormatting>
  <conditionalFormatting sqref="B542:B543">
    <cfRule type="cellIs" dxfId="5211" priority="31445" operator="equal">
      <formula>"Sin éxito"</formula>
    </cfRule>
    <cfRule type="cellIs" dxfId="5210" priority="31446" operator="equal">
      <formula>"Éxito con problemas"</formula>
    </cfRule>
    <cfRule type="cellIs" dxfId="5209" priority="31447" operator="equal">
      <formula>"CANCELADO"</formula>
    </cfRule>
    <cfRule type="cellIs" dxfId="5208" priority="31448" operator="equal">
      <formula>"Aplicada marcha atrás"</formula>
    </cfRule>
    <cfRule type="cellIs" dxfId="5207" priority="31449" operator="equal">
      <formula>"CON ÉXITO"</formula>
    </cfRule>
  </conditionalFormatting>
  <conditionalFormatting sqref="A544:A545">
    <cfRule type="cellIs" dxfId="5206" priority="31396" operator="equal">
      <formula>"APLAZADO"</formula>
    </cfRule>
    <cfRule type="cellIs" dxfId="5205" priority="31397" operator="equal">
      <formula>"CANCELADO"</formula>
    </cfRule>
    <cfRule type="cellIs" dxfId="5204" priority="31398" operator="equal">
      <formula>"NO EJECUTADO"</formula>
    </cfRule>
    <cfRule type="cellIs" dxfId="5203" priority="31399" operator="equal">
      <formula>"FPE"</formula>
    </cfRule>
    <cfRule type="cellIs" dxfId="5202" priority="31400" operator="equal">
      <formula>"AMA"</formula>
    </cfRule>
    <cfRule type="cellIs" dxfId="5201" priority="31401" operator="equal">
      <formula>"SIN DATOS"</formula>
    </cfRule>
    <cfRule type="cellIs" dxfId="5200" priority="31402" operator="equal">
      <formula>"SIN DATOS"</formula>
    </cfRule>
    <cfRule type="cellIs" dxfId="5199" priority="31403" operator="equal">
      <formula>"NO EJECTUTADO"</formula>
    </cfRule>
    <cfRule type="cellIs" dxfId="5198" priority="31404" operator="equal">
      <formula>"FE"</formula>
    </cfRule>
    <cfRule type="cellIs" dxfId="5197" priority="31405" operator="equal">
      <formula>"FE"</formula>
    </cfRule>
  </conditionalFormatting>
  <conditionalFormatting sqref="A544:A545">
    <cfRule type="cellIs" dxfId="5196" priority="31394" operator="equal">
      <formula>"Retirado"</formula>
    </cfRule>
    <cfRule type="cellIs" dxfId="5195" priority="31395" operator="equal">
      <formula>"FSE"</formula>
    </cfRule>
  </conditionalFormatting>
  <conditionalFormatting sqref="H544:H545">
    <cfRule type="duplicateValues" dxfId="5194" priority="31393"/>
  </conditionalFormatting>
  <conditionalFormatting sqref="F544">
    <cfRule type="cellIs" dxfId="5193" priority="31383" operator="equal">
      <formula>"APLAZADO"</formula>
    </cfRule>
    <cfRule type="cellIs" dxfId="5192" priority="31384" operator="equal">
      <formula>"CANCELADO"</formula>
    </cfRule>
    <cfRule type="cellIs" dxfId="5191" priority="31385" operator="equal">
      <formula>"NO EJECUTADO"</formula>
    </cfRule>
    <cfRule type="cellIs" dxfId="5190" priority="31386" operator="equal">
      <formula>"FPE"</formula>
    </cfRule>
    <cfRule type="cellIs" dxfId="5189" priority="31387" operator="equal">
      <formula>"AMA"</formula>
    </cfRule>
    <cfRule type="cellIs" dxfId="5188" priority="31388" operator="equal">
      <formula>"SIN DATOS"</formula>
    </cfRule>
    <cfRule type="cellIs" dxfId="5187" priority="31389" operator="equal">
      <formula>"SIN DATOS"</formula>
    </cfRule>
    <cfRule type="cellIs" dxfId="5186" priority="31390" operator="equal">
      <formula>"NO EJECTUTADO"</formula>
    </cfRule>
    <cfRule type="cellIs" dxfId="5185" priority="31391" operator="equal">
      <formula>"FE"</formula>
    </cfRule>
    <cfRule type="cellIs" dxfId="5184" priority="31392" operator="equal">
      <formula>"FE"</formula>
    </cfRule>
  </conditionalFormatting>
  <conditionalFormatting sqref="F544">
    <cfRule type="cellIs" dxfId="5183" priority="31381" operator="equal">
      <formula>"Retirado"</formula>
    </cfRule>
    <cfRule type="cellIs" dxfId="5182" priority="31382" operator="equal">
      <formula>"FSE"</formula>
    </cfRule>
  </conditionalFormatting>
  <conditionalFormatting sqref="A546">
    <cfRule type="cellIs" dxfId="5181" priority="31336" operator="equal">
      <formula>"APLAZADO"</formula>
    </cfRule>
    <cfRule type="cellIs" dxfId="5180" priority="31337" operator="equal">
      <formula>"CANCELADO"</formula>
    </cfRule>
    <cfRule type="cellIs" dxfId="5179" priority="31338" operator="equal">
      <formula>"NO EJECUTADO"</formula>
    </cfRule>
    <cfRule type="cellIs" dxfId="5178" priority="31339" operator="equal">
      <formula>"FPE"</formula>
    </cfRule>
    <cfRule type="cellIs" dxfId="5177" priority="31340" operator="equal">
      <formula>"AMA"</formula>
    </cfRule>
    <cfRule type="cellIs" dxfId="5176" priority="31341" operator="equal">
      <formula>"SIN DATOS"</formula>
    </cfRule>
    <cfRule type="cellIs" dxfId="5175" priority="31342" operator="equal">
      <formula>"SIN DATOS"</formula>
    </cfRule>
    <cfRule type="cellIs" dxfId="5174" priority="31343" operator="equal">
      <formula>"NO EJECTUTADO"</formula>
    </cfRule>
    <cfRule type="cellIs" dxfId="5173" priority="31344" operator="equal">
      <formula>"FE"</formula>
    </cfRule>
    <cfRule type="cellIs" dxfId="5172" priority="31345" operator="equal">
      <formula>"FE"</formula>
    </cfRule>
  </conditionalFormatting>
  <conditionalFormatting sqref="A546">
    <cfRule type="cellIs" dxfId="5171" priority="31334" operator="equal">
      <formula>"Retirado"</formula>
    </cfRule>
    <cfRule type="cellIs" dxfId="5170" priority="31335" operator="equal">
      <formula>"FSE"</formula>
    </cfRule>
  </conditionalFormatting>
  <conditionalFormatting sqref="F546">
    <cfRule type="cellIs" dxfId="5169" priority="31324" operator="equal">
      <formula>"APLAZADO"</formula>
    </cfRule>
    <cfRule type="cellIs" dxfId="5168" priority="31325" operator="equal">
      <formula>"CANCELADO"</formula>
    </cfRule>
    <cfRule type="cellIs" dxfId="5167" priority="31326" operator="equal">
      <formula>"NO EJECUTADO"</formula>
    </cfRule>
    <cfRule type="cellIs" dxfId="5166" priority="31327" operator="equal">
      <formula>"FPE"</formula>
    </cfRule>
    <cfRule type="cellIs" dxfId="5165" priority="31328" operator="equal">
      <formula>"AMA"</formula>
    </cfRule>
    <cfRule type="cellIs" dxfId="5164" priority="31329" operator="equal">
      <formula>"SIN DATOS"</formula>
    </cfRule>
    <cfRule type="cellIs" dxfId="5163" priority="31330" operator="equal">
      <formula>"SIN DATOS"</formula>
    </cfRule>
    <cfRule type="cellIs" dxfId="5162" priority="31331" operator="equal">
      <formula>"NO EJECTUTADO"</formula>
    </cfRule>
    <cfRule type="cellIs" dxfId="5161" priority="31332" operator="equal">
      <formula>"FE"</formula>
    </cfRule>
    <cfRule type="cellIs" dxfId="5160" priority="31333" operator="equal">
      <formula>"FE"</formula>
    </cfRule>
  </conditionalFormatting>
  <conditionalFormatting sqref="F546">
    <cfRule type="cellIs" dxfId="5159" priority="31322" operator="equal">
      <formula>"Retirado"</formula>
    </cfRule>
    <cfRule type="cellIs" dxfId="5158" priority="31323" operator="equal">
      <formula>"FSE"</formula>
    </cfRule>
  </conditionalFormatting>
  <conditionalFormatting sqref="H546">
    <cfRule type="duplicateValues" dxfId="5157" priority="31321"/>
  </conditionalFormatting>
  <conditionalFormatting sqref="A547:A548">
    <cfRule type="cellIs" dxfId="5156" priority="31276" operator="equal">
      <formula>"APLAZADO"</formula>
    </cfRule>
    <cfRule type="cellIs" dxfId="5155" priority="31277" operator="equal">
      <formula>"CANCELADO"</formula>
    </cfRule>
    <cfRule type="cellIs" dxfId="5154" priority="31278" operator="equal">
      <formula>"NO EJECUTADO"</formula>
    </cfRule>
    <cfRule type="cellIs" dxfId="5153" priority="31279" operator="equal">
      <formula>"FPE"</formula>
    </cfRule>
    <cfRule type="cellIs" dxfId="5152" priority="31280" operator="equal">
      <formula>"AMA"</formula>
    </cfRule>
    <cfRule type="cellIs" dxfId="5151" priority="31281" operator="equal">
      <formula>"SIN DATOS"</formula>
    </cfRule>
    <cfRule type="cellIs" dxfId="5150" priority="31282" operator="equal">
      <formula>"SIN DATOS"</formula>
    </cfRule>
    <cfRule type="cellIs" dxfId="5149" priority="31283" operator="equal">
      <formula>"NO EJECTUTADO"</formula>
    </cfRule>
    <cfRule type="cellIs" dxfId="5148" priority="31284" operator="equal">
      <formula>"FE"</formula>
    </cfRule>
    <cfRule type="cellIs" dxfId="5147" priority="31285" operator="equal">
      <formula>"FE"</formula>
    </cfRule>
  </conditionalFormatting>
  <conditionalFormatting sqref="A547:A548">
    <cfRule type="cellIs" dxfId="5146" priority="31274" operator="equal">
      <formula>"Retirado"</formula>
    </cfRule>
    <cfRule type="cellIs" dxfId="5145" priority="31275" operator="equal">
      <formula>"FSE"</formula>
    </cfRule>
  </conditionalFormatting>
  <conditionalFormatting sqref="H547:H548">
    <cfRule type="duplicateValues" dxfId="5144" priority="31273"/>
  </conditionalFormatting>
  <conditionalFormatting sqref="F547">
    <cfRule type="cellIs" dxfId="5143" priority="31263" operator="equal">
      <formula>"APLAZADO"</formula>
    </cfRule>
    <cfRule type="cellIs" dxfId="5142" priority="31264" operator="equal">
      <formula>"CANCELADO"</formula>
    </cfRule>
    <cfRule type="cellIs" dxfId="5141" priority="31265" operator="equal">
      <formula>"NO EJECUTADO"</formula>
    </cfRule>
    <cfRule type="cellIs" dxfId="5140" priority="31266" operator="equal">
      <formula>"FPE"</formula>
    </cfRule>
    <cfRule type="cellIs" dxfId="5139" priority="31267" operator="equal">
      <formula>"AMA"</formula>
    </cfRule>
    <cfRule type="cellIs" dxfId="5138" priority="31268" operator="equal">
      <formula>"SIN DATOS"</formula>
    </cfRule>
    <cfRule type="cellIs" dxfId="5137" priority="31269" operator="equal">
      <formula>"SIN DATOS"</formula>
    </cfRule>
    <cfRule type="cellIs" dxfId="5136" priority="31270" operator="equal">
      <formula>"NO EJECTUTADO"</formula>
    </cfRule>
    <cfRule type="cellIs" dxfId="5135" priority="31271" operator="equal">
      <formula>"FE"</formula>
    </cfRule>
    <cfRule type="cellIs" dxfId="5134" priority="31272" operator="equal">
      <formula>"FE"</formula>
    </cfRule>
  </conditionalFormatting>
  <conditionalFormatting sqref="F547">
    <cfRule type="cellIs" dxfId="5133" priority="31261" operator="equal">
      <formula>"Retirado"</formula>
    </cfRule>
    <cfRule type="cellIs" dxfId="5132" priority="31262" operator="equal">
      <formula>"FSE"</formula>
    </cfRule>
  </conditionalFormatting>
  <conditionalFormatting sqref="B547:B548">
    <cfRule type="cellIs" dxfId="5131" priority="31244" operator="equal">
      <formula>"Sin éxito"</formula>
    </cfRule>
    <cfRule type="cellIs" dxfId="5130" priority="31245" operator="equal">
      <formula>"Éxito con problemas"</formula>
    </cfRule>
    <cfRule type="cellIs" dxfId="5129" priority="31246" operator="equal">
      <formula>"CANCELADO"</formula>
    </cfRule>
    <cfRule type="cellIs" dxfId="5128" priority="31247" operator="equal">
      <formula>"Aplicada marcha atrás"</formula>
    </cfRule>
    <cfRule type="cellIs" dxfId="5127" priority="31248" operator="equal">
      <formula>"CON ÉXITO"</formula>
    </cfRule>
  </conditionalFormatting>
  <conditionalFormatting sqref="H549">
    <cfRule type="duplicateValues" dxfId="5126" priority="31237"/>
  </conditionalFormatting>
  <conditionalFormatting sqref="A549">
    <cfRule type="cellIs" dxfId="5125" priority="31184" operator="equal">
      <formula>"APLAZADO"</formula>
    </cfRule>
    <cfRule type="cellIs" dxfId="5124" priority="31185" operator="equal">
      <formula>"CANCELADO"</formula>
    </cfRule>
    <cfRule type="cellIs" dxfId="5123" priority="31186" operator="equal">
      <formula>"NO EJECUTADO"</formula>
    </cfRule>
    <cfRule type="cellIs" dxfId="5122" priority="31187" operator="equal">
      <formula>"FPE"</formula>
    </cfRule>
    <cfRule type="cellIs" dxfId="5121" priority="31188" operator="equal">
      <formula>"AMA"</formula>
    </cfRule>
    <cfRule type="cellIs" dxfId="5120" priority="31189" operator="equal">
      <formula>"SIN DATOS"</formula>
    </cfRule>
    <cfRule type="cellIs" dxfId="5119" priority="31190" operator="equal">
      <formula>"SIN DATOS"</formula>
    </cfRule>
    <cfRule type="cellIs" dxfId="5118" priority="31191" operator="equal">
      <formula>"NO EJECTUTADO"</formula>
    </cfRule>
    <cfRule type="cellIs" dxfId="5117" priority="31192" operator="equal">
      <formula>"FE"</formula>
    </cfRule>
    <cfRule type="cellIs" dxfId="5116" priority="31193" operator="equal">
      <formula>"FE"</formula>
    </cfRule>
  </conditionalFormatting>
  <conditionalFormatting sqref="A549">
    <cfRule type="cellIs" dxfId="5115" priority="31182" operator="equal">
      <formula>"Retirado"</formula>
    </cfRule>
    <cfRule type="cellIs" dxfId="5114" priority="31183" operator="equal">
      <formula>"FSE"</formula>
    </cfRule>
  </conditionalFormatting>
  <conditionalFormatting sqref="F549">
    <cfRule type="cellIs" dxfId="5113" priority="31172" operator="equal">
      <formula>"APLAZADO"</formula>
    </cfRule>
    <cfRule type="cellIs" dxfId="5112" priority="31173" operator="equal">
      <formula>"CANCELADO"</formula>
    </cfRule>
    <cfRule type="cellIs" dxfId="5111" priority="31174" operator="equal">
      <formula>"NO EJECUTADO"</formula>
    </cfRule>
    <cfRule type="cellIs" dxfId="5110" priority="31175" operator="equal">
      <formula>"FPE"</formula>
    </cfRule>
    <cfRule type="cellIs" dxfId="5109" priority="31176" operator="equal">
      <formula>"AMA"</formula>
    </cfRule>
    <cfRule type="cellIs" dxfId="5108" priority="31177" operator="equal">
      <formula>"SIN DATOS"</formula>
    </cfRule>
    <cfRule type="cellIs" dxfId="5107" priority="31178" operator="equal">
      <formula>"SIN DATOS"</formula>
    </cfRule>
    <cfRule type="cellIs" dxfId="5106" priority="31179" operator="equal">
      <formula>"NO EJECTUTADO"</formula>
    </cfRule>
    <cfRule type="cellIs" dxfId="5105" priority="31180" operator="equal">
      <formula>"FE"</formula>
    </cfRule>
    <cfRule type="cellIs" dxfId="5104" priority="31181" operator="equal">
      <formula>"FE"</formula>
    </cfRule>
  </conditionalFormatting>
  <conditionalFormatting sqref="F549">
    <cfRule type="cellIs" dxfId="5103" priority="31170" operator="equal">
      <formula>"Retirado"</formula>
    </cfRule>
    <cfRule type="cellIs" dxfId="5102" priority="31171" operator="equal">
      <formula>"FSE"</formula>
    </cfRule>
  </conditionalFormatting>
  <conditionalFormatting sqref="H550">
    <cfRule type="duplicateValues" dxfId="5101" priority="31156"/>
  </conditionalFormatting>
  <conditionalFormatting sqref="A551:A552">
    <cfRule type="cellIs" dxfId="5100" priority="31118" operator="equal">
      <formula>"APLAZADO"</formula>
    </cfRule>
    <cfRule type="cellIs" dxfId="5099" priority="31119" operator="equal">
      <formula>"CANCELADO"</formula>
    </cfRule>
    <cfRule type="cellIs" dxfId="5098" priority="31120" operator="equal">
      <formula>"NO EJECUTADO"</formula>
    </cfRule>
    <cfRule type="cellIs" dxfId="5097" priority="31121" operator="equal">
      <formula>"FPE"</formula>
    </cfRule>
    <cfRule type="cellIs" dxfId="5096" priority="31122" operator="equal">
      <formula>"AMA"</formula>
    </cfRule>
    <cfRule type="cellIs" dxfId="5095" priority="31123" operator="equal">
      <formula>"SIN DATOS"</formula>
    </cfRule>
    <cfRule type="cellIs" dxfId="5094" priority="31124" operator="equal">
      <formula>"SIN DATOS"</formula>
    </cfRule>
    <cfRule type="cellIs" dxfId="5093" priority="31125" operator="equal">
      <formula>"NO EJECTUTADO"</formula>
    </cfRule>
    <cfRule type="cellIs" dxfId="5092" priority="31126" operator="equal">
      <formula>"FE"</formula>
    </cfRule>
    <cfRule type="cellIs" dxfId="5091" priority="31127" operator="equal">
      <formula>"FE"</formula>
    </cfRule>
  </conditionalFormatting>
  <conditionalFormatting sqref="A551:A552">
    <cfRule type="cellIs" dxfId="5090" priority="31116" operator="equal">
      <formula>"Retirado"</formula>
    </cfRule>
    <cfRule type="cellIs" dxfId="5089" priority="31117" operator="equal">
      <formula>"FSE"</formula>
    </cfRule>
  </conditionalFormatting>
  <conditionalFormatting sqref="H551:H552">
    <cfRule type="duplicateValues" dxfId="5088" priority="31115"/>
  </conditionalFormatting>
  <conditionalFormatting sqref="F551">
    <cfRule type="cellIs" dxfId="5087" priority="31105" operator="equal">
      <formula>"APLAZADO"</formula>
    </cfRule>
    <cfRule type="cellIs" dxfId="5086" priority="31106" operator="equal">
      <formula>"CANCELADO"</formula>
    </cfRule>
    <cfRule type="cellIs" dxfId="5085" priority="31107" operator="equal">
      <formula>"NO EJECUTADO"</formula>
    </cfRule>
    <cfRule type="cellIs" dxfId="5084" priority="31108" operator="equal">
      <formula>"FPE"</formula>
    </cfRule>
    <cfRule type="cellIs" dxfId="5083" priority="31109" operator="equal">
      <formula>"AMA"</formula>
    </cfRule>
    <cfRule type="cellIs" dxfId="5082" priority="31110" operator="equal">
      <formula>"SIN DATOS"</formula>
    </cfRule>
    <cfRule type="cellIs" dxfId="5081" priority="31111" operator="equal">
      <formula>"SIN DATOS"</formula>
    </cfRule>
    <cfRule type="cellIs" dxfId="5080" priority="31112" operator="equal">
      <formula>"NO EJECTUTADO"</formula>
    </cfRule>
    <cfRule type="cellIs" dxfId="5079" priority="31113" operator="equal">
      <formula>"FE"</formula>
    </cfRule>
    <cfRule type="cellIs" dxfId="5078" priority="31114" operator="equal">
      <formula>"FE"</formula>
    </cfRule>
  </conditionalFormatting>
  <conditionalFormatting sqref="F551">
    <cfRule type="cellIs" dxfId="5077" priority="31103" operator="equal">
      <formula>"Retirado"</formula>
    </cfRule>
    <cfRule type="cellIs" dxfId="5076" priority="31104" operator="equal">
      <formula>"FSE"</formula>
    </cfRule>
  </conditionalFormatting>
  <conditionalFormatting sqref="A553">
    <cfRule type="cellIs" dxfId="5075" priority="31058" operator="equal">
      <formula>"APLAZADO"</formula>
    </cfRule>
    <cfRule type="cellIs" dxfId="5074" priority="31059" operator="equal">
      <formula>"CANCELADO"</formula>
    </cfRule>
    <cfRule type="cellIs" dxfId="5073" priority="31060" operator="equal">
      <formula>"NO EJECUTADO"</formula>
    </cfRule>
    <cfRule type="cellIs" dxfId="5072" priority="31061" operator="equal">
      <formula>"FPE"</formula>
    </cfRule>
    <cfRule type="cellIs" dxfId="5071" priority="31062" operator="equal">
      <formula>"AMA"</formula>
    </cfRule>
    <cfRule type="cellIs" dxfId="5070" priority="31063" operator="equal">
      <formula>"SIN DATOS"</formula>
    </cfRule>
    <cfRule type="cellIs" dxfId="5069" priority="31064" operator="equal">
      <formula>"SIN DATOS"</formula>
    </cfRule>
    <cfRule type="cellIs" dxfId="5068" priority="31065" operator="equal">
      <formula>"NO EJECTUTADO"</formula>
    </cfRule>
    <cfRule type="cellIs" dxfId="5067" priority="31066" operator="equal">
      <formula>"FE"</formula>
    </cfRule>
    <cfRule type="cellIs" dxfId="5066" priority="31067" operator="equal">
      <formula>"FE"</formula>
    </cfRule>
  </conditionalFormatting>
  <conditionalFormatting sqref="A553">
    <cfRule type="cellIs" dxfId="5065" priority="31056" operator="equal">
      <formula>"Retirado"</formula>
    </cfRule>
    <cfRule type="cellIs" dxfId="5064" priority="31057" operator="equal">
      <formula>"FSE"</formula>
    </cfRule>
  </conditionalFormatting>
  <conditionalFormatting sqref="F553">
    <cfRule type="cellIs" dxfId="5063" priority="31046" operator="equal">
      <formula>"APLAZADO"</formula>
    </cfRule>
    <cfRule type="cellIs" dxfId="5062" priority="31047" operator="equal">
      <formula>"CANCELADO"</formula>
    </cfRule>
    <cfRule type="cellIs" dxfId="5061" priority="31048" operator="equal">
      <formula>"NO EJECUTADO"</formula>
    </cfRule>
    <cfRule type="cellIs" dxfId="5060" priority="31049" operator="equal">
      <formula>"FPE"</formula>
    </cfRule>
    <cfRule type="cellIs" dxfId="5059" priority="31050" operator="equal">
      <formula>"AMA"</formula>
    </cfRule>
    <cfRule type="cellIs" dxfId="5058" priority="31051" operator="equal">
      <formula>"SIN DATOS"</formula>
    </cfRule>
    <cfRule type="cellIs" dxfId="5057" priority="31052" operator="equal">
      <formula>"SIN DATOS"</formula>
    </cfRule>
    <cfRule type="cellIs" dxfId="5056" priority="31053" operator="equal">
      <formula>"NO EJECTUTADO"</formula>
    </cfRule>
    <cfRule type="cellIs" dxfId="5055" priority="31054" operator="equal">
      <formula>"FE"</formula>
    </cfRule>
    <cfRule type="cellIs" dxfId="5054" priority="31055" operator="equal">
      <formula>"FE"</formula>
    </cfRule>
  </conditionalFormatting>
  <conditionalFormatting sqref="F553">
    <cfRule type="cellIs" dxfId="5053" priority="31044" operator="equal">
      <formula>"Retirado"</formula>
    </cfRule>
    <cfRule type="cellIs" dxfId="5052" priority="31045" operator="equal">
      <formula>"FSE"</formula>
    </cfRule>
  </conditionalFormatting>
  <conditionalFormatting sqref="H553">
    <cfRule type="duplicateValues" dxfId="5051" priority="31043"/>
  </conditionalFormatting>
  <conditionalFormatting sqref="A554:A555">
    <cfRule type="cellIs" dxfId="5050" priority="31013" operator="equal">
      <formula>"APLAZADO"</formula>
    </cfRule>
    <cfRule type="cellIs" dxfId="5049" priority="31014" operator="equal">
      <formula>"CANCELADO"</formula>
    </cfRule>
    <cfRule type="cellIs" dxfId="5048" priority="31015" operator="equal">
      <formula>"NO EJECUTADO"</formula>
    </cfRule>
    <cfRule type="cellIs" dxfId="5047" priority="31016" operator="equal">
      <formula>"FPE"</formula>
    </cfRule>
    <cfRule type="cellIs" dxfId="5046" priority="31017" operator="equal">
      <formula>"AMA"</formula>
    </cfRule>
    <cfRule type="cellIs" dxfId="5045" priority="31018" operator="equal">
      <formula>"SIN DATOS"</formula>
    </cfRule>
    <cfRule type="cellIs" dxfId="5044" priority="31019" operator="equal">
      <formula>"SIN DATOS"</formula>
    </cfRule>
    <cfRule type="cellIs" dxfId="5043" priority="31020" operator="equal">
      <formula>"NO EJECTUTADO"</formula>
    </cfRule>
    <cfRule type="cellIs" dxfId="5042" priority="31021" operator="equal">
      <formula>"FE"</formula>
    </cfRule>
    <cfRule type="cellIs" dxfId="5041" priority="31022" operator="equal">
      <formula>"FE"</formula>
    </cfRule>
  </conditionalFormatting>
  <conditionalFormatting sqref="A554:A555">
    <cfRule type="cellIs" dxfId="5040" priority="31011" operator="equal">
      <formula>"Retirado"</formula>
    </cfRule>
    <cfRule type="cellIs" dxfId="5039" priority="31012" operator="equal">
      <formula>"FSE"</formula>
    </cfRule>
  </conditionalFormatting>
  <conditionalFormatting sqref="F554">
    <cfRule type="cellIs" dxfId="5038" priority="31001" operator="equal">
      <formula>"APLAZADO"</formula>
    </cfRule>
    <cfRule type="cellIs" dxfId="5037" priority="31002" operator="equal">
      <formula>"CANCELADO"</formula>
    </cfRule>
    <cfRule type="cellIs" dxfId="5036" priority="31003" operator="equal">
      <formula>"NO EJECUTADO"</formula>
    </cfRule>
    <cfRule type="cellIs" dxfId="5035" priority="31004" operator="equal">
      <formula>"FPE"</formula>
    </cfRule>
    <cfRule type="cellIs" dxfId="5034" priority="31005" operator="equal">
      <formula>"AMA"</formula>
    </cfRule>
    <cfRule type="cellIs" dxfId="5033" priority="31006" operator="equal">
      <formula>"SIN DATOS"</formula>
    </cfRule>
    <cfRule type="cellIs" dxfId="5032" priority="31007" operator="equal">
      <formula>"SIN DATOS"</formula>
    </cfRule>
    <cfRule type="cellIs" dxfId="5031" priority="31008" operator="equal">
      <formula>"NO EJECTUTADO"</formula>
    </cfRule>
    <cfRule type="cellIs" dxfId="5030" priority="31009" operator="equal">
      <formula>"FE"</formula>
    </cfRule>
    <cfRule type="cellIs" dxfId="5029" priority="31010" operator="equal">
      <formula>"FE"</formula>
    </cfRule>
  </conditionalFormatting>
  <conditionalFormatting sqref="F554">
    <cfRule type="cellIs" dxfId="5028" priority="30999" operator="equal">
      <formula>"Retirado"</formula>
    </cfRule>
    <cfRule type="cellIs" dxfId="5027" priority="31000" operator="equal">
      <formula>"FSE"</formula>
    </cfRule>
  </conditionalFormatting>
  <conditionalFormatting sqref="H554:H555">
    <cfRule type="duplicateValues" dxfId="5026" priority="30998"/>
  </conditionalFormatting>
  <conditionalFormatting sqref="A556">
    <cfRule type="cellIs" dxfId="5025" priority="30969" operator="equal">
      <formula>"APLAZADO"</formula>
    </cfRule>
    <cfRule type="cellIs" dxfId="5024" priority="30970" operator="equal">
      <formula>"CANCELADO"</formula>
    </cfRule>
    <cfRule type="cellIs" dxfId="5023" priority="30971" operator="equal">
      <formula>"NO EJECUTADO"</formula>
    </cfRule>
    <cfRule type="cellIs" dxfId="5022" priority="30972" operator="equal">
      <formula>"FPE"</formula>
    </cfRule>
    <cfRule type="cellIs" dxfId="5021" priority="30973" operator="equal">
      <formula>"AMA"</formula>
    </cfRule>
    <cfRule type="cellIs" dxfId="5020" priority="30974" operator="equal">
      <formula>"SIN DATOS"</formula>
    </cfRule>
    <cfRule type="cellIs" dxfId="5019" priority="30975" operator="equal">
      <formula>"SIN DATOS"</formula>
    </cfRule>
    <cfRule type="cellIs" dxfId="5018" priority="30976" operator="equal">
      <formula>"NO EJECTUTADO"</formula>
    </cfRule>
    <cfRule type="cellIs" dxfId="5017" priority="30977" operator="equal">
      <formula>"FE"</formula>
    </cfRule>
    <cfRule type="cellIs" dxfId="5016" priority="30978" operator="equal">
      <formula>"FE"</formula>
    </cfRule>
  </conditionalFormatting>
  <conditionalFormatting sqref="A556">
    <cfRule type="cellIs" dxfId="5015" priority="30967" operator="equal">
      <formula>"Retirado"</formula>
    </cfRule>
    <cfRule type="cellIs" dxfId="5014" priority="30968" operator="equal">
      <formula>"FSE"</formula>
    </cfRule>
  </conditionalFormatting>
  <conditionalFormatting sqref="F556">
    <cfRule type="cellIs" dxfId="5013" priority="30956" operator="equal">
      <formula>"APLAZADO"</formula>
    </cfRule>
    <cfRule type="cellIs" dxfId="5012" priority="30957" operator="equal">
      <formula>"CANCELADO"</formula>
    </cfRule>
    <cfRule type="cellIs" dxfId="5011" priority="30958" operator="equal">
      <formula>"NO EJECUTADO"</formula>
    </cfRule>
    <cfRule type="cellIs" dxfId="5010" priority="30959" operator="equal">
      <formula>"FPE"</formula>
    </cfRule>
    <cfRule type="cellIs" dxfId="5009" priority="30960" operator="equal">
      <formula>"AMA"</formula>
    </cfRule>
    <cfRule type="cellIs" dxfId="5008" priority="30961" operator="equal">
      <formula>"SIN DATOS"</formula>
    </cfRule>
    <cfRule type="cellIs" dxfId="5007" priority="30962" operator="equal">
      <formula>"SIN DATOS"</formula>
    </cfRule>
    <cfRule type="cellIs" dxfId="5006" priority="30963" operator="equal">
      <formula>"NO EJECTUTADO"</formula>
    </cfRule>
    <cfRule type="cellIs" dxfId="5005" priority="30964" operator="equal">
      <formula>"FE"</formula>
    </cfRule>
    <cfRule type="cellIs" dxfId="5004" priority="30965" operator="equal">
      <formula>"FE"</formula>
    </cfRule>
  </conditionalFormatting>
  <conditionalFormatting sqref="F556">
    <cfRule type="cellIs" dxfId="5003" priority="30954" operator="equal">
      <formula>"Retirado"</formula>
    </cfRule>
    <cfRule type="cellIs" dxfId="5002" priority="30955" operator="equal">
      <formula>"FSE"</formula>
    </cfRule>
  </conditionalFormatting>
  <conditionalFormatting sqref="H556">
    <cfRule type="duplicateValues" dxfId="5001" priority="30935"/>
  </conditionalFormatting>
  <conditionalFormatting sqref="B516">
    <cfRule type="cellIs" dxfId="5000" priority="30906" operator="equal">
      <formula>"Sin éxito"</formula>
    </cfRule>
    <cfRule type="cellIs" dxfId="4999" priority="30907" operator="equal">
      <formula>"Éxito con problemas"</formula>
    </cfRule>
    <cfRule type="cellIs" dxfId="4998" priority="30908" operator="equal">
      <formula>"CANCELADO"</formula>
    </cfRule>
    <cfRule type="cellIs" dxfId="4997" priority="30909" operator="equal">
      <formula>"Aplicada marcha atrás"</formula>
    </cfRule>
    <cfRule type="cellIs" dxfId="4996" priority="30910" operator="equal">
      <formula>"CON ÉXITO"</formula>
    </cfRule>
  </conditionalFormatting>
  <conditionalFormatting sqref="B517">
    <cfRule type="cellIs" dxfId="4995" priority="30865" operator="equal">
      <formula>"Sin éxito"</formula>
    </cfRule>
    <cfRule type="cellIs" dxfId="4994" priority="30866" operator="equal">
      <formula>"Éxito con problemas"</formula>
    </cfRule>
    <cfRule type="cellIs" dxfId="4993" priority="30867" operator="equal">
      <formula>"CANCELADO"</formula>
    </cfRule>
    <cfRule type="cellIs" dxfId="4992" priority="30868" operator="equal">
      <formula>"Aplicada marcha atrás"</formula>
    </cfRule>
    <cfRule type="cellIs" dxfId="4991" priority="30869" operator="equal">
      <formula>"CON ÉXITO"</formula>
    </cfRule>
  </conditionalFormatting>
  <conditionalFormatting sqref="A557:A558">
    <cfRule type="cellIs" dxfId="4990" priority="30843" operator="equal">
      <formula>"APLAZADO"</formula>
    </cfRule>
    <cfRule type="cellIs" dxfId="4989" priority="30844" operator="equal">
      <formula>"CANCELADO"</formula>
    </cfRule>
    <cfRule type="cellIs" dxfId="4988" priority="30845" operator="equal">
      <formula>"NO EJECUTADO"</formula>
    </cfRule>
    <cfRule type="cellIs" dxfId="4987" priority="30846" operator="equal">
      <formula>"FPE"</formula>
    </cfRule>
    <cfRule type="cellIs" dxfId="4986" priority="30847" operator="equal">
      <formula>"AMA"</formula>
    </cfRule>
    <cfRule type="cellIs" dxfId="4985" priority="30848" operator="equal">
      <formula>"SIN DATOS"</formula>
    </cfRule>
    <cfRule type="cellIs" dxfId="4984" priority="30849" operator="equal">
      <formula>"SIN DATOS"</formula>
    </cfRule>
    <cfRule type="cellIs" dxfId="4983" priority="30850" operator="equal">
      <formula>"NO EJECTUTADO"</formula>
    </cfRule>
    <cfRule type="cellIs" dxfId="4982" priority="30851" operator="equal">
      <formula>"FE"</formula>
    </cfRule>
    <cfRule type="cellIs" dxfId="4981" priority="30852" operator="equal">
      <formula>"FE"</formula>
    </cfRule>
  </conditionalFormatting>
  <conditionalFormatting sqref="A557:A558">
    <cfRule type="cellIs" dxfId="4980" priority="30841" operator="equal">
      <formula>"Retirado"</formula>
    </cfRule>
    <cfRule type="cellIs" dxfId="4979" priority="30842" operator="equal">
      <formula>"FSE"</formula>
    </cfRule>
  </conditionalFormatting>
  <conditionalFormatting sqref="H557:H558">
    <cfRule type="duplicateValues" dxfId="4978" priority="30840"/>
  </conditionalFormatting>
  <conditionalFormatting sqref="F557">
    <cfRule type="cellIs" dxfId="4977" priority="30830" operator="equal">
      <formula>"APLAZADO"</formula>
    </cfRule>
    <cfRule type="cellIs" dxfId="4976" priority="30831" operator="equal">
      <formula>"CANCELADO"</formula>
    </cfRule>
    <cfRule type="cellIs" dxfId="4975" priority="30832" operator="equal">
      <formula>"NO EJECUTADO"</formula>
    </cfRule>
    <cfRule type="cellIs" dxfId="4974" priority="30833" operator="equal">
      <formula>"FPE"</formula>
    </cfRule>
    <cfRule type="cellIs" dxfId="4973" priority="30834" operator="equal">
      <formula>"AMA"</formula>
    </cfRule>
    <cfRule type="cellIs" dxfId="4972" priority="30835" operator="equal">
      <formula>"SIN DATOS"</formula>
    </cfRule>
    <cfRule type="cellIs" dxfId="4971" priority="30836" operator="equal">
      <formula>"SIN DATOS"</formula>
    </cfRule>
    <cfRule type="cellIs" dxfId="4970" priority="30837" operator="equal">
      <formula>"NO EJECTUTADO"</formula>
    </cfRule>
    <cfRule type="cellIs" dxfId="4969" priority="30838" operator="equal">
      <formula>"FE"</formula>
    </cfRule>
    <cfRule type="cellIs" dxfId="4968" priority="30839" operator="equal">
      <formula>"FE"</formula>
    </cfRule>
  </conditionalFormatting>
  <conditionalFormatting sqref="F557">
    <cfRule type="cellIs" dxfId="4967" priority="30828" operator="equal">
      <formula>"Retirado"</formula>
    </cfRule>
    <cfRule type="cellIs" dxfId="4966" priority="30829" operator="equal">
      <formula>"FSE"</formula>
    </cfRule>
  </conditionalFormatting>
  <conditionalFormatting sqref="A559">
    <cfRule type="cellIs" dxfId="4965" priority="30788" operator="equal">
      <formula>"APLAZADO"</formula>
    </cfRule>
    <cfRule type="cellIs" dxfId="4964" priority="30789" operator="equal">
      <formula>"CANCELADO"</formula>
    </cfRule>
    <cfRule type="cellIs" dxfId="4963" priority="30790" operator="equal">
      <formula>"NO EJECUTADO"</formula>
    </cfRule>
    <cfRule type="cellIs" dxfId="4962" priority="30791" operator="equal">
      <formula>"FPE"</formula>
    </cfRule>
    <cfRule type="cellIs" dxfId="4961" priority="30792" operator="equal">
      <formula>"AMA"</formula>
    </cfRule>
    <cfRule type="cellIs" dxfId="4960" priority="30793" operator="equal">
      <formula>"SIN DATOS"</formula>
    </cfRule>
    <cfRule type="cellIs" dxfId="4959" priority="30794" operator="equal">
      <formula>"SIN DATOS"</formula>
    </cfRule>
    <cfRule type="cellIs" dxfId="4958" priority="30795" operator="equal">
      <formula>"NO EJECTUTADO"</formula>
    </cfRule>
    <cfRule type="cellIs" dxfId="4957" priority="30796" operator="equal">
      <formula>"FE"</formula>
    </cfRule>
    <cfRule type="cellIs" dxfId="4956" priority="30797" operator="equal">
      <formula>"FE"</formula>
    </cfRule>
  </conditionalFormatting>
  <conditionalFormatting sqref="A559">
    <cfRule type="cellIs" dxfId="4955" priority="30786" operator="equal">
      <formula>"Retirado"</formula>
    </cfRule>
    <cfRule type="cellIs" dxfId="4954" priority="30787" operator="equal">
      <formula>"FSE"</formula>
    </cfRule>
  </conditionalFormatting>
  <conditionalFormatting sqref="H559">
    <cfRule type="duplicateValues" dxfId="4953" priority="30785"/>
  </conditionalFormatting>
  <conditionalFormatting sqref="F559">
    <cfRule type="cellIs" dxfId="4952" priority="30775" operator="equal">
      <formula>"APLAZADO"</formula>
    </cfRule>
    <cfRule type="cellIs" dxfId="4951" priority="30776" operator="equal">
      <formula>"CANCELADO"</formula>
    </cfRule>
    <cfRule type="cellIs" dxfId="4950" priority="30777" operator="equal">
      <formula>"NO EJECUTADO"</formula>
    </cfRule>
    <cfRule type="cellIs" dxfId="4949" priority="30778" operator="equal">
      <formula>"FPE"</formula>
    </cfRule>
    <cfRule type="cellIs" dxfId="4948" priority="30779" operator="equal">
      <formula>"AMA"</formula>
    </cfRule>
    <cfRule type="cellIs" dxfId="4947" priority="30780" operator="equal">
      <formula>"SIN DATOS"</formula>
    </cfRule>
    <cfRule type="cellIs" dxfId="4946" priority="30781" operator="equal">
      <formula>"SIN DATOS"</formula>
    </cfRule>
    <cfRule type="cellIs" dxfId="4945" priority="30782" operator="equal">
      <formula>"NO EJECTUTADO"</formula>
    </cfRule>
    <cfRule type="cellIs" dxfId="4944" priority="30783" operator="equal">
      <formula>"FE"</formula>
    </cfRule>
    <cfRule type="cellIs" dxfId="4943" priority="30784" operator="equal">
      <formula>"FE"</formula>
    </cfRule>
  </conditionalFormatting>
  <conditionalFormatting sqref="F559">
    <cfRule type="cellIs" dxfId="4942" priority="30773" operator="equal">
      <formula>"Retirado"</formula>
    </cfRule>
    <cfRule type="cellIs" dxfId="4941" priority="30774" operator="equal">
      <formula>"FSE"</formula>
    </cfRule>
  </conditionalFormatting>
  <conditionalFormatting sqref="B518">
    <cfRule type="cellIs" dxfId="4940" priority="30696" operator="equal">
      <formula>"Sin éxito"</formula>
    </cfRule>
    <cfRule type="cellIs" dxfId="4939" priority="30697" operator="equal">
      <formula>"Éxito con problemas"</formula>
    </cfRule>
    <cfRule type="cellIs" dxfId="4938" priority="30698" operator="equal">
      <formula>"CANCELADO"</formula>
    </cfRule>
    <cfRule type="cellIs" dxfId="4937" priority="30699" operator="equal">
      <formula>"Aplicada marcha atrás"</formula>
    </cfRule>
    <cfRule type="cellIs" dxfId="4936" priority="30700" operator="equal">
      <formula>"CON ÉXITO"</formula>
    </cfRule>
  </conditionalFormatting>
  <conditionalFormatting sqref="A560">
    <cfRule type="cellIs" dxfId="4935" priority="30665" operator="equal">
      <formula>"APLAZADO"</formula>
    </cfRule>
    <cfRule type="cellIs" dxfId="4934" priority="30666" operator="equal">
      <formula>"CANCELADO"</formula>
    </cfRule>
    <cfRule type="cellIs" dxfId="4933" priority="30667" operator="equal">
      <formula>"NO EJECUTADO"</formula>
    </cfRule>
    <cfRule type="cellIs" dxfId="4932" priority="30668" operator="equal">
      <formula>"FPE"</formula>
    </cfRule>
    <cfRule type="cellIs" dxfId="4931" priority="30669" operator="equal">
      <formula>"AMA"</formula>
    </cfRule>
    <cfRule type="cellIs" dxfId="4930" priority="30670" operator="equal">
      <formula>"SIN DATOS"</formula>
    </cfRule>
    <cfRule type="cellIs" dxfId="4929" priority="30671" operator="equal">
      <formula>"SIN DATOS"</formula>
    </cfRule>
    <cfRule type="cellIs" dxfId="4928" priority="30672" operator="equal">
      <formula>"NO EJECTUTADO"</formula>
    </cfRule>
    <cfRule type="cellIs" dxfId="4927" priority="30673" operator="equal">
      <formula>"FE"</formula>
    </cfRule>
    <cfRule type="cellIs" dxfId="4926" priority="30674" operator="equal">
      <formula>"FE"</formula>
    </cfRule>
  </conditionalFormatting>
  <conditionalFormatting sqref="A560">
    <cfRule type="cellIs" dxfId="4925" priority="30663" operator="equal">
      <formula>"Retirado"</formula>
    </cfRule>
    <cfRule type="cellIs" dxfId="4924" priority="30664" operator="equal">
      <formula>"FSE"</formula>
    </cfRule>
  </conditionalFormatting>
  <conditionalFormatting sqref="H560">
    <cfRule type="duplicateValues" dxfId="4923" priority="30662"/>
  </conditionalFormatting>
  <conditionalFormatting sqref="F560">
    <cfRule type="cellIs" dxfId="4922" priority="30652" operator="equal">
      <formula>"APLAZADO"</formula>
    </cfRule>
    <cfRule type="cellIs" dxfId="4921" priority="30653" operator="equal">
      <formula>"CANCELADO"</formula>
    </cfRule>
    <cfRule type="cellIs" dxfId="4920" priority="30654" operator="equal">
      <formula>"NO EJECUTADO"</formula>
    </cfRule>
    <cfRule type="cellIs" dxfId="4919" priority="30655" operator="equal">
      <formula>"FPE"</formula>
    </cfRule>
    <cfRule type="cellIs" dxfId="4918" priority="30656" operator="equal">
      <formula>"AMA"</formula>
    </cfRule>
    <cfRule type="cellIs" dxfId="4917" priority="30657" operator="equal">
      <formula>"SIN DATOS"</formula>
    </cfRule>
    <cfRule type="cellIs" dxfId="4916" priority="30658" operator="equal">
      <formula>"SIN DATOS"</formula>
    </cfRule>
    <cfRule type="cellIs" dxfId="4915" priority="30659" operator="equal">
      <formula>"NO EJECTUTADO"</formula>
    </cfRule>
    <cfRule type="cellIs" dxfId="4914" priority="30660" operator="equal">
      <formula>"FE"</formula>
    </cfRule>
    <cfRule type="cellIs" dxfId="4913" priority="30661" operator="equal">
      <formula>"FE"</formula>
    </cfRule>
  </conditionalFormatting>
  <conditionalFormatting sqref="F560">
    <cfRule type="cellIs" dxfId="4912" priority="30650" operator="equal">
      <formula>"Retirado"</formula>
    </cfRule>
    <cfRule type="cellIs" dxfId="4911" priority="30651" operator="equal">
      <formula>"FSE"</formula>
    </cfRule>
  </conditionalFormatting>
  <conditionalFormatting sqref="A561">
    <cfRule type="cellIs" dxfId="4910" priority="30622" operator="equal">
      <formula>"APLAZADO"</formula>
    </cfRule>
    <cfRule type="cellIs" dxfId="4909" priority="30623" operator="equal">
      <formula>"CANCELADO"</formula>
    </cfRule>
    <cfRule type="cellIs" dxfId="4908" priority="30624" operator="equal">
      <formula>"NO EJECUTADO"</formula>
    </cfRule>
    <cfRule type="cellIs" dxfId="4907" priority="30625" operator="equal">
      <formula>"FPE"</formula>
    </cfRule>
    <cfRule type="cellIs" dxfId="4906" priority="30626" operator="equal">
      <formula>"AMA"</formula>
    </cfRule>
    <cfRule type="cellIs" dxfId="4905" priority="30627" operator="equal">
      <formula>"SIN DATOS"</formula>
    </cfRule>
    <cfRule type="cellIs" dxfId="4904" priority="30628" operator="equal">
      <formula>"SIN DATOS"</formula>
    </cfRule>
    <cfRule type="cellIs" dxfId="4903" priority="30629" operator="equal">
      <formula>"NO EJECTUTADO"</formula>
    </cfRule>
    <cfRule type="cellIs" dxfId="4902" priority="30630" operator="equal">
      <formula>"FE"</formula>
    </cfRule>
    <cfRule type="cellIs" dxfId="4901" priority="30631" operator="equal">
      <formula>"FE"</formula>
    </cfRule>
  </conditionalFormatting>
  <conditionalFormatting sqref="A561">
    <cfRule type="cellIs" dxfId="4900" priority="30620" operator="equal">
      <formula>"Retirado"</formula>
    </cfRule>
    <cfRule type="cellIs" dxfId="4899" priority="30621" operator="equal">
      <formula>"FSE"</formula>
    </cfRule>
  </conditionalFormatting>
  <conditionalFormatting sqref="H561">
    <cfRule type="duplicateValues" dxfId="4898" priority="30619"/>
  </conditionalFormatting>
  <conditionalFormatting sqref="F561">
    <cfRule type="cellIs" dxfId="4897" priority="30609" operator="equal">
      <formula>"APLAZADO"</formula>
    </cfRule>
    <cfRule type="cellIs" dxfId="4896" priority="30610" operator="equal">
      <formula>"CANCELADO"</formula>
    </cfRule>
    <cfRule type="cellIs" dxfId="4895" priority="30611" operator="equal">
      <formula>"NO EJECUTADO"</formula>
    </cfRule>
    <cfRule type="cellIs" dxfId="4894" priority="30612" operator="equal">
      <formula>"FPE"</formula>
    </cfRule>
    <cfRule type="cellIs" dxfId="4893" priority="30613" operator="equal">
      <formula>"AMA"</formula>
    </cfRule>
    <cfRule type="cellIs" dxfId="4892" priority="30614" operator="equal">
      <formula>"SIN DATOS"</formula>
    </cfRule>
    <cfRule type="cellIs" dxfId="4891" priority="30615" operator="equal">
      <formula>"SIN DATOS"</formula>
    </cfRule>
    <cfRule type="cellIs" dxfId="4890" priority="30616" operator="equal">
      <formula>"NO EJECTUTADO"</formula>
    </cfRule>
    <cfRule type="cellIs" dxfId="4889" priority="30617" operator="equal">
      <formula>"FE"</formula>
    </cfRule>
    <cfRule type="cellIs" dxfId="4888" priority="30618" operator="equal">
      <formula>"FE"</formula>
    </cfRule>
  </conditionalFormatting>
  <conditionalFormatting sqref="F561">
    <cfRule type="cellIs" dxfId="4887" priority="30607" operator="equal">
      <formula>"Retirado"</formula>
    </cfRule>
    <cfRule type="cellIs" dxfId="4886" priority="30608" operator="equal">
      <formula>"FSE"</formula>
    </cfRule>
  </conditionalFormatting>
  <conditionalFormatting sqref="B514">
    <cfRule type="cellIs" dxfId="4885" priority="30572" operator="equal">
      <formula>"Sin éxito"</formula>
    </cfRule>
    <cfRule type="cellIs" dxfId="4884" priority="30573" operator="equal">
      <formula>"Éxito con problemas"</formula>
    </cfRule>
    <cfRule type="cellIs" dxfId="4883" priority="30574" operator="equal">
      <formula>"CANCELADO"</formula>
    </cfRule>
    <cfRule type="cellIs" dxfId="4882" priority="30575" operator="equal">
      <formula>"Aplicada marcha atrás"</formula>
    </cfRule>
    <cfRule type="cellIs" dxfId="4881" priority="30576" operator="equal">
      <formula>"CON ÉXITO"</formula>
    </cfRule>
  </conditionalFormatting>
  <conditionalFormatting sqref="H562:H563">
    <cfRule type="duplicateValues" dxfId="4880" priority="30541"/>
  </conditionalFormatting>
  <conditionalFormatting sqref="A562:A563">
    <cfRule type="cellIs" dxfId="4879" priority="30531" operator="equal">
      <formula>"APLAZADO"</formula>
    </cfRule>
    <cfRule type="cellIs" dxfId="4878" priority="30532" operator="equal">
      <formula>"CANCELADO"</formula>
    </cfRule>
    <cfRule type="cellIs" dxfId="4877" priority="30533" operator="equal">
      <formula>"NO EJECUTADO"</formula>
    </cfRule>
    <cfRule type="cellIs" dxfId="4876" priority="30534" operator="equal">
      <formula>"FPE"</formula>
    </cfRule>
    <cfRule type="cellIs" dxfId="4875" priority="30535" operator="equal">
      <formula>"AMA"</formula>
    </cfRule>
    <cfRule type="cellIs" dxfId="4874" priority="30536" operator="equal">
      <formula>"SIN DATOS"</formula>
    </cfRule>
    <cfRule type="cellIs" dxfId="4873" priority="30537" operator="equal">
      <formula>"SIN DATOS"</formula>
    </cfRule>
    <cfRule type="cellIs" dxfId="4872" priority="30538" operator="equal">
      <formula>"NO EJECTUTADO"</formula>
    </cfRule>
    <cfRule type="cellIs" dxfId="4871" priority="30539" operator="equal">
      <formula>"FE"</formula>
    </cfRule>
    <cfRule type="cellIs" dxfId="4870" priority="30540" operator="equal">
      <formula>"FE"</formula>
    </cfRule>
  </conditionalFormatting>
  <conditionalFormatting sqref="A562:A563">
    <cfRule type="cellIs" dxfId="4869" priority="30529" operator="equal">
      <formula>"Retirado"</formula>
    </cfRule>
    <cfRule type="cellIs" dxfId="4868" priority="30530" operator="equal">
      <formula>"FSE"</formula>
    </cfRule>
  </conditionalFormatting>
  <conditionalFormatting sqref="F562:F563">
    <cfRule type="cellIs" dxfId="4867" priority="30519" operator="equal">
      <formula>"APLAZADO"</formula>
    </cfRule>
    <cfRule type="cellIs" dxfId="4866" priority="30520" operator="equal">
      <formula>"CANCELADO"</formula>
    </cfRule>
    <cfRule type="cellIs" dxfId="4865" priority="30521" operator="equal">
      <formula>"NO EJECUTADO"</formula>
    </cfRule>
    <cfRule type="cellIs" dxfId="4864" priority="30522" operator="equal">
      <formula>"FPE"</formula>
    </cfRule>
    <cfRule type="cellIs" dxfId="4863" priority="30523" operator="equal">
      <formula>"AMA"</formula>
    </cfRule>
    <cfRule type="cellIs" dxfId="4862" priority="30524" operator="equal">
      <formula>"SIN DATOS"</formula>
    </cfRule>
    <cfRule type="cellIs" dxfId="4861" priority="30525" operator="equal">
      <formula>"SIN DATOS"</formula>
    </cfRule>
    <cfRule type="cellIs" dxfId="4860" priority="30526" operator="equal">
      <formula>"NO EJECTUTADO"</formula>
    </cfRule>
    <cfRule type="cellIs" dxfId="4859" priority="30527" operator="equal">
      <formula>"FE"</formula>
    </cfRule>
    <cfRule type="cellIs" dxfId="4858" priority="30528" operator="equal">
      <formula>"FE"</formula>
    </cfRule>
  </conditionalFormatting>
  <conditionalFormatting sqref="F562:F563">
    <cfRule type="cellIs" dxfId="4857" priority="30517" operator="equal">
      <formula>"Retirado"</formula>
    </cfRule>
    <cfRule type="cellIs" dxfId="4856" priority="30518" operator="equal">
      <formula>"FSE"</formula>
    </cfRule>
  </conditionalFormatting>
  <conditionalFormatting sqref="H564">
    <cfRule type="duplicateValues" dxfId="4855" priority="30478"/>
  </conditionalFormatting>
  <conditionalFormatting sqref="A564">
    <cfRule type="cellIs" dxfId="4854" priority="30468" operator="equal">
      <formula>"APLAZADO"</formula>
    </cfRule>
    <cfRule type="cellIs" dxfId="4853" priority="30469" operator="equal">
      <formula>"CANCELADO"</formula>
    </cfRule>
    <cfRule type="cellIs" dxfId="4852" priority="30470" operator="equal">
      <formula>"NO EJECUTADO"</formula>
    </cfRule>
    <cfRule type="cellIs" dxfId="4851" priority="30471" operator="equal">
      <formula>"FPE"</formula>
    </cfRule>
    <cfRule type="cellIs" dxfId="4850" priority="30472" operator="equal">
      <formula>"AMA"</formula>
    </cfRule>
    <cfRule type="cellIs" dxfId="4849" priority="30473" operator="equal">
      <formula>"SIN DATOS"</formula>
    </cfRule>
    <cfRule type="cellIs" dxfId="4848" priority="30474" operator="equal">
      <formula>"SIN DATOS"</formula>
    </cfRule>
    <cfRule type="cellIs" dxfId="4847" priority="30475" operator="equal">
      <formula>"NO EJECTUTADO"</formula>
    </cfRule>
    <cfRule type="cellIs" dxfId="4846" priority="30476" operator="equal">
      <formula>"FE"</formula>
    </cfRule>
    <cfRule type="cellIs" dxfId="4845" priority="30477" operator="equal">
      <formula>"FE"</formula>
    </cfRule>
  </conditionalFormatting>
  <conditionalFormatting sqref="A564">
    <cfRule type="cellIs" dxfId="4844" priority="30466" operator="equal">
      <formula>"Retirado"</formula>
    </cfRule>
    <cfRule type="cellIs" dxfId="4843" priority="30467" operator="equal">
      <formula>"FSE"</formula>
    </cfRule>
  </conditionalFormatting>
  <conditionalFormatting sqref="F564">
    <cfRule type="cellIs" dxfId="4842" priority="30456" operator="equal">
      <formula>"APLAZADO"</formula>
    </cfRule>
    <cfRule type="cellIs" dxfId="4841" priority="30457" operator="equal">
      <formula>"CANCELADO"</formula>
    </cfRule>
    <cfRule type="cellIs" dxfId="4840" priority="30458" operator="equal">
      <formula>"NO EJECUTADO"</formula>
    </cfRule>
    <cfRule type="cellIs" dxfId="4839" priority="30459" operator="equal">
      <formula>"FPE"</formula>
    </cfRule>
    <cfRule type="cellIs" dxfId="4838" priority="30460" operator="equal">
      <formula>"AMA"</formula>
    </cfRule>
    <cfRule type="cellIs" dxfId="4837" priority="30461" operator="equal">
      <formula>"SIN DATOS"</formula>
    </cfRule>
    <cfRule type="cellIs" dxfId="4836" priority="30462" operator="equal">
      <formula>"SIN DATOS"</formula>
    </cfRule>
    <cfRule type="cellIs" dxfId="4835" priority="30463" operator="equal">
      <formula>"NO EJECTUTADO"</formula>
    </cfRule>
    <cfRule type="cellIs" dxfId="4834" priority="30464" operator="equal">
      <formula>"FE"</formula>
    </cfRule>
    <cfRule type="cellIs" dxfId="4833" priority="30465" operator="equal">
      <formula>"FE"</formula>
    </cfRule>
  </conditionalFormatting>
  <conditionalFormatting sqref="F564">
    <cfRule type="cellIs" dxfId="4832" priority="30454" operator="equal">
      <formula>"Retirado"</formula>
    </cfRule>
    <cfRule type="cellIs" dxfId="4831" priority="30455" operator="equal">
      <formula>"FSE"</formula>
    </cfRule>
  </conditionalFormatting>
  <conditionalFormatting sqref="H565">
    <cfRule type="duplicateValues" dxfId="4830" priority="30435"/>
  </conditionalFormatting>
  <conditionalFormatting sqref="A565">
    <cfRule type="cellIs" dxfId="4829" priority="30425" operator="equal">
      <formula>"APLAZADO"</formula>
    </cfRule>
    <cfRule type="cellIs" dxfId="4828" priority="30426" operator="equal">
      <formula>"CANCELADO"</formula>
    </cfRule>
    <cfRule type="cellIs" dxfId="4827" priority="30427" operator="equal">
      <formula>"NO EJECUTADO"</formula>
    </cfRule>
    <cfRule type="cellIs" dxfId="4826" priority="30428" operator="equal">
      <formula>"FPE"</formula>
    </cfRule>
    <cfRule type="cellIs" dxfId="4825" priority="30429" operator="equal">
      <formula>"AMA"</formula>
    </cfRule>
    <cfRule type="cellIs" dxfId="4824" priority="30430" operator="equal">
      <formula>"SIN DATOS"</formula>
    </cfRule>
    <cfRule type="cellIs" dxfId="4823" priority="30431" operator="equal">
      <formula>"SIN DATOS"</formula>
    </cfRule>
    <cfRule type="cellIs" dxfId="4822" priority="30432" operator="equal">
      <formula>"NO EJECTUTADO"</formula>
    </cfRule>
    <cfRule type="cellIs" dxfId="4821" priority="30433" operator="equal">
      <formula>"FE"</formula>
    </cfRule>
    <cfRule type="cellIs" dxfId="4820" priority="30434" operator="equal">
      <formula>"FE"</formula>
    </cfRule>
  </conditionalFormatting>
  <conditionalFormatting sqref="A565">
    <cfRule type="cellIs" dxfId="4819" priority="30423" operator="equal">
      <formula>"Retirado"</formula>
    </cfRule>
    <cfRule type="cellIs" dxfId="4818" priority="30424" operator="equal">
      <formula>"FSE"</formula>
    </cfRule>
  </conditionalFormatting>
  <conditionalFormatting sqref="F565">
    <cfRule type="cellIs" dxfId="4817" priority="30389" operator="equal">
      <formula>"APLAZADO"</formula>
    </cfRule>
    <cfRule type="cellIs" dxfId="4816" priority="30390" operator="equal">
      <formula>"CANCELADO"</formula>
    </cfRule>
    <cfRule type="cellIs" dxfId="4815" priority="30391" operator="equal">
      <formula>"NO EJECUTADO"</formula>
    </cfRule>
    <cfRule type="cellIs" dxfId="4814" priority="30392" operator="equal">
      <formula>"FPE"</formula>
    </cfRule>
    <cfRule type="cellIs" dxfId="4813" priority="30393" operator="equal">
      <formula>"AMA"</formula>
    </cfRule>
    <cfRule type="cellIs" dxfId="4812" priority="30394" operator="equal">
      <formula>"SIN DATOS"</formula>
    </cfRule>
    <cfRule type="cellIs" dxfId="4811" priority="30395" operator="equal">
      <formula>"SIN DATOS"</formula>
    </cfRule>
    <cfRule type="cellIs" dxfId="4810" priority="30396" operator="equal">
      <formula>"NO EJECTUTADO"</formula>
    </cfRule>
    <cfRule type="cellIs" dxfId="4809" priority="30397" operator="equal">
      <formula>"FE"</formula>
    </cfRule>
    <cfRule type="cellIs" dxfId="4808" priority="30398" operator="equal">
      <formula>"FE"</formula>
    </cfRule>
  </conditionalFormatting>
  <conditionalFormatting sqref="F565">
    <cfRule type="cellIs" dxfId="4807" priority="30387" operator="equal">
      <formula>"Retirado"</formula>
    </cfRule>
    <cfRule type="cellIs" dxfId="4806" priority="30388" operator="equal">
      <formula>"FSE"</formula>
    </cfRule>
  </conditionalFormatting>
  <conditionalFormatting sqref="H566">
    <cfRule type="duplicateValues" dxfId="4805" priority="30362"/>
  </conditionalFormatting>
  <conditionalFormatting sqref="A566">
    <cfRule type="cellIs" dxfId="4804" priority="30352" operator="equal">
      <formula>"APLAZADO"</formula>
    </cfRule>
    <cfRule type="cellIs" dxfId="4803" priority="30353" operator="equal">
      <formula>"CANCELADO"</formula>
    </cfRule>
    <cfRule type="cellIs" dxfId="4802" priority="30354" operator="equal">
      <formula>"NO EJECUTADO"</formula>
    </cfRule>
    <cfRule type="cellIs" dxfId="4801" priority="30355" operator="equal">
      <formula>"FPE"</formula>
    </cfRule>
    <cfRule type="cellIs" dxfId="4800" priority="30356" operator="equal">
      <formula>"AMA"</formula>
    </cfRule>
    <cfRule type="cellIs" dxfId="4799" priority="30357" operator="equal">
      <formula>"SIN DATOS"</formula>
    </cfRule>
    <cfRule type="cellIs" dxfId="4798" priority="30358" operator="equal">
      <formula>"SIN DATOS"</formula>
    </cfRule>
    <cfRule type="cellIs" dxfId="4797" priority="30359" operator="equal">
      <formula>"NO EJECTUTADO"</formula>
    </cfRule>
    <cfRule type="cellIs" dxfId="4796" priority="30360" operator="equal">
      <formula>"FE"</formula>
    </cfRule>
    <cfRule type="cellIs" dxfId="4795" priority="30361" operator="equal">
      <formula>"FE"</formula>
    </cfRule>
  </conditionalFormatting>
  <conditionalFormatting sqref="A566">
    <cfRule type="cellIs" dxfId="4794" priority="30350" operator="equal">
      <formula>"Retirado"</formula>
    </cfRule>
    <cfRule type="cellIs" dxfId="4793" priority="30351" operator="equal">
      <formula>"FSE"</formula>
    </cfRule>
  </conditionalFormatting>
  <conditionalFormatting sqref="F566">
    <cfRule type="cellIs" dxfId="4792" priority="30328" operator="equal">
      <formula>"APLAZADO"</formula>
    </cfRule>
    <cfRule type="cellIs" dxfId="4791" priority="30329" operator="equal">
      <formula>"CANCELADO"</formula>
    </cfRule>
    <cfRule type="cellIs" dxfId="4790" priority="30330" operator="equal">
      <formula>"NO EJECUTADO"</formula>
    </cfRule>
    <cfRule type="cellIs" dxfId="4789" priority="30331" operator="equal">
      <formula>"FPE"</formula>
    </cfRule>
    <cfRule type="cellIs" dxfId="4788" priority="30332" operator="equal">
      <formula>"AMA"</formula>
    </cfRule>
    <cfRule type="cellIs" dxfId="4787" priority="30333" operator="equal">
      <formula>"SIN DATOS"</formula>
    </cfRule>
    <cfRule type="cellIs" dxfId="4786" priority="30334" operator="equal">
      <formula>"SIN DATOS"</formula>
    </cfRule>
    <cfRule type="cellIs" dxfId="4785" priority="30335" operator="equal">
      <formula>"NO EJECTUTADO"</formula>
    </cfRule>
    <cfRule type="cellIs" dxfId="4784" priority="30336" operator="equal">
      <formula>"FE"</formula>
    </cfRule>
    <cfRule type="cellIs" dxfId="4783" priority="30337" operator="equal">
      <formula>"FE"</formula>
    </cfRule>
  </conditionalFormatting>
  <conditionalFormatting sqref="F566">
    <cfRule type="cellIs" dxfId="4782" priority="30326" operator="equal">
      <formula>"Retirado"</formula>
    </cfRule>
    <cfRule type="cellIs" dxfId="4781" priority="30327" operator="equal">
      <formula>"FSE"</formula>
    </cfRule>
  </conditionalFormatting>
  <conditionalFormatting sqref="H567">
    <cfRule type="duplicateValues" dxfId="4780" priority="30320"/>
  </conditionalFormatting>
  <conditionalFormatting sqref="A567">
    <cfRule type="cellIs" dxfId="4779" priority="30310" operator="equal">
      <formula>"APLAZADO"</formula>
    </cfRule>
    <cfRule type="cellIs" dxfId="4778" priority="30311" operator="equal">
      <formula>"CANCELADO"</formula>
    </cfRule>
    <cfRule type="cellIs" dxfId="4777" priority="30312" operator="equal">
      <formula>"NO EJECUTADO"</formula>
    </cfRule>
    <cfRule type="cellIs" dxfId="4776" priority="30313" operator="equal">
      <formula>"FPE"</formula>
    </cfRule>
    <cfRule type="cellIs" dxfId="4775" priority="30314" operator="equal">
      <formula>"AMA"</formula>
    </cfRule>
    <cfRule type="cellIs" dxfId="4774" priority="30315" operator="equal">
      <formula>"SIN DATOS"</formula>
    </cfRule>
    <cfRule type="cellIs" dxfId="4773" priority="30316" operator="equal">
      <formula>"SIN DATOS"</formula>
    </cfRule>
    <cfRule type="cellIs" dxfId="4772" priority="30317" operator="equal">
      <formula>"NO EJECTUTADO"</formula>
    </cfRule>
    <cfRule type="cellIs" dxfId="4771" priority="30318" operator="equal">
      <formula>"FE"</formula>
    </cfRule>
    <cfRule type="cellIs" dxfId="4770" priority="30319" operator="equal">
      <formula>"FE"</formula>
    </cfRule>
  </conditionalFormatting>
  <conditionalFormatting sqref="A567">
    <cfRule type="cellIs" dxfId="4769" priority="30308" operator="equal">
      <formula>"Retirado"</formula>
    </cfRule>
    <cfRule type="cellIs" dxfId="4768" priority="30309" operator="equal">
      <formula>"FSE"</formula>
    </cfRule>
  </conditionalFormatting>
  <conditionalFormatting sqref="F567">
    <cfRule type="cellIs" dxfId="4767" priority="30268" operator="equal">
      <formula>"APLAZADO"</formula>
    </cfRule>
    <cfRule type="cellIs" dxfId="4766" priority="30269" operator="equal">
      <formula>"CANCELADO"</formula>
    </cfRule>
    <cfRule type="cellIs" dxfId="4765" priority="30270" operator="equal">
      <formula>"NO EJECUTADO"</formula>
    </cfRule>
    <cfRule type="cellIs" dxfId="4764" priority="30271" operator="equal">
      <formula>"FPE"</formula>
    </cfRule>
    <cfRule type="cellIs" dxfId="4763" priority="30272" operator="equal">
      <formula>"AMA"</formula>
    </cfRule>
    <cfRule type="cellIs" dxfId="4762" priority="30273" operator="equal">
      <formula>"SIN DATOS"</formula>
    </cfRule>
    <cfRule type="cellIs" dxfId="4761" priority="30274" operator="equal">
      <formula>"SIN DATOS"</formula>
    </cfRule>
    <cfRule type="cellIs" dxfId="4760" priority="30275" operator="equal">
      <formula>"NO EJECTUTADO"</formula>
    </cfRule>
    <cfRule type="cellIs" dxfId="4759" priority="30276" operator="equal">
      <formula>"FE"</formula>
    </cfRule>
    <cfRule type="cellIs" dxfId="4758" priority="30277" operator="equal">
      <formula>"FE"</formula>
    </cfRule>
  </conditionalFormatting>
  <conditionalFormatting sqref="F567">
    <cfRule type="cellIs" dxfId="4757" priority="30266" operator="equal">
      <formula>"Retirado"</formula>
    </cfRule>
    <cfRule type="cellIs" dxfId="4756" priority="30267" operator="equal">
      <formula>"FSE"</formula>
    </cfRule>
  </conditionalFormatting>
  <conditionalFormatting sqref="H568">
    <cfRule type="duplicateValues" dxfId="4755" priority="30241"/>
  </conditionalFormatting>
  <conditionalFormatting sqref="A568">
    <cfRule type="cellIs" dxfId="4754" priority="30231" operator="equal">
      <formula>"APLAZADO"</formula>
    </cfRule>
    <cfRule type="cellIs" dxfId="4753" priority="30232" operator="equal">
      <formula>"CANCELADO"</formula>
    </cfRule>
    <cfRule type="cellIs" dxfId="4752" priority="30233" operator="equal">
      <formula>"NO EJECUTADO"</formula>
    </cfRule>
    <cfRule type="cellIs" dxfId="4751" priority="30234" operator="equal">
      <formula>"FPE"</formula>
    </cfRule>
    <cfRule type="cellIs" dxfId="4750" priority="30235" operator="equal">
      <formula>"AMA"</formula>
    </cfRule>
    <cfRule type="cellIs" dxfId="4749" priority="30236" operator="equal">
      <formula>"SIN DATOS"</formula>
    </cfRule>
    <cfRule type="cellIs" dxfId="4748" priority="30237" operator="equal">
      <formula>"SIN DATOS"</formula>
    </cfRule>
    <cfRule type="cellIs" dxfId="4747" priority="30238" operator="equal">
      <formula>"NO EJECTUTADO"</formula>
    </cfRule>
    <cfRule type="cellIs" dxfId="4746" priority="30239" operator="equal">
      <formula>"FE"</formula>
    </cfRule>
    <cfRule type="cellIs" dxfId="4745" priority="30240" operator="equal">
      <formula>"FE"</formula>
    </cfRule>
  </conditionalFormatting>
  <conditionalFormatting sqref="A568">
    <cfRule type="cellIs" dxfId="4744" priority="30229" operator="equal">
      <formula>"Retirado"</formula>
    </cfRule>
    <cfRule type="cellIs" dxfId="4743" priority="30230" operator="equal">
      <formula>"FSE"</formula>
    </cfRule>
  </conditionalFormatting>
  <conditionalFormatting sqref="F568">
    <cfRule type="cellIs" dxfId="4742" priority="30201" operator="equal">
      <formula>"APLAZADO"</formula>
    </cfRule>
    <cfRule type="cellIs" dxfId="4741" priority="30202" operator="equal">
      <formula>"CANCELADO"</formula>
    </cfRule>
    <cfRule type="cellIs" dxfId="4740" priority="30203" operator="equal">
      <formula>"NO EJECUTADO"</formula>
    </cfRule>
    <cfRule type="cellIs" dxfId="4739" priority="30204" operator="equal">
      <formula>"FPE"</formula>
    </cfRule>
    <cfRule type="cellIs" dxfId="4738" priority="30205" operator="equal">
      <formula>"AMA"</formula>
    </cfRule>
    <cfRule type="cellIs" dxfId="4737" priority="30206" operator="equal">
      <formula>"SIN DATOS"</formula>
    </cfRule>
    <cfRule type="cellIs" dxfId="4736" priority="30207" operator="equal">
      <formula>"SIN DATOS"</formula>
    </cfRule>
    <cfRule type="cellIs" dxfId="4735" priority="30208" operator="equal">
      <formula>"NO EJECTUTADO"</formula>
    </cfRule>
    <cfRule type="cellIs" dxfId="4734" priority="30209" operator="equal">
      <formula>"FE"</formula>
    </cfRule>
    <cfRule type="cellIs" dxfId="4733" priority="30210" operator="equal">
      <formula>"FE"</formula>
    </cfRule>
  </conditionalFormatting>
  <conditionalFormatting sqref="F568">
    <cfRule type="cellIs" dxfId="4732" priority="30199" operator="equal">
      <formula>"Retirado"</formula>
    </cfRule>
    <cfRule type="cellIs" dxfId="4731" priority="30200" operator="equal">
      <formula>"FSE"</formula>
    </cfRule>
  </conditionalFormatting>
  <conditionalFormatting sqref="H569">
    <cfRule type="duplicateValues" dxfId="4730" priority="30186"/>
  </conditionalFormatting>
  <conditionalFormatting sqref="A569">
    <cfRule type="cellIs" dxfId="4729" priority="30176" operator="equal">
      <formula>"APLAZADO"</formula>
    </cfRule>
    <cfRule type="cellIs" dxfId="4728" priority="30177" operator="equal">
      <formula>"CANCELADO"</formula>
    </cfRule>
    <cfRule type="cellIs" dxfId="4727" priority="30178" operator="equal">
      <formula>"NO EJECUTADO"</formula>
    </cfRule>
    <cfRule type="cellIs" dxfId="4726" priority="30179" operator="equal">
      <formula>"FPE"</formula>
    </cfRule>
    <cfRule type="cellIs" dxfId="4725" priority="30180" operator="equal">
      <formula>"AMA"</formula>
    </cfRule>
    <cfRule type="cellIs" dxfId="4724" priority="30181" operator="equal">
      <formula>"SIN DATOS"</formula>
    </cfRule>
    <cfRule type="cellIs" dxfId="4723" priority="30182" operator="equal">
      <formula>"SIN DATOS"</formula>
    </cfRule>
    <cfRule type="cellIs" dxfId="4722" priority="30183" operator="equal">
      <formula>"NO EJECTUTADO"</formula>
    </cfRule>
    <cfRule type="cellIs" dxfId="4721" priority="30184" operator="equal">
      <formula>"FE"</formula>
    </cfRule>
    <cfRule type="cellIs" dxfId="4720" priority="30185" operator="equal">
      <formula>"FE"</formula>
    </cfRule>
  </conditionalFormatting>
  <conditionalFormatting sqref="A569">
    <cfRule type="cellIs" dxfId="4719" priority="30174" operator="equal">
      <formula>"Retirado"</formula>
    </cfRule>
    <cfRule type="cellIs" dxfId="4718" priority="30175" operator="equal">
      <formula>"FSE"</formula>
    </cfRule>
  </conditionalFormatting>
  <conditionalFormatting sqref="F569">
    <cfRule type="cellIs" dxfId="4717" priority="30164" operator="equal">
      <formula>"APLAZADO"</formula>
    </cfRule>
    <cfRule type="cellIs" dxfId="4716" priority="30165" operator="equal">
      <formula>"CANCELADO"</formula>
    </cfRule>
    <cfRule type="cellIs" dxfId="4715" priority="30166" operator="equal">
      <formula>"NO EJECUTADO"</formula>
    </cfRule>
    <cfRule type="cellIs" dxfId="4714" priority="30167" operator="equal">
      <formula>"FPE"</formula>
    </cfRule>
    <cfRule type="cellIs" dxfId="4713" priority="30168" operator="equal">
      <formula>"AMA"</formula>
    </cfRule>
    <cfRule type="cellIs" dxfId="4712" priority="30169" operator="equal">
      <formula>"SIN DATOS"</formula>
    </cfRule>
    <cfRule type="cellIs" dxfId="4711" priority="30170" operator="equal">
      <formula>"SIN DATOS"</formula>
    </cfRule>
    <cfRule type="cellIs" dxfId="4710" priority="30171" operator="equal">
      <formula>"NO EJECTUTADO"</formula>
    </cfRule>
    <cfRule type="cellIs" dxfId="4709" priority="30172" operator="equal">
      <formula>"FE"</formula>
    </cfRule>
    <cfRule type="cellIs" dxfId="4708" priority="30173" operator="equal">
      <formula>"FE"</formula>
    </cfRule>
  </conditionalFormatting>
  <conditionalFormatting sqref="F569">
    <cfRule type="cellIs" dxfId="4707" priority="30162" operator="equal">
      <formula>"Retirado"</formula>
    </cfRule>
    <cfRule type="cellIs" dxfId="4706" priority="30163" operator="equal">
      <formula>"FSE"</formula>
    </cfRule>
  </conditionalFormatting>
  <conditionalFormatting sqref="H570">
    <cfRule type="duplicateValues" dxfId="4705" priority="30131"/>
  </conditionalFormatting>
  <conditionalFormatting sqref="A570">
    <cfRule type="cellIs" dxfId="4704" priority="30121" operator="equal">
      <formula>"APLAZADO"</formula>
    </cfRule>
    <cfRule type="cellIs" dxfId="4703" priority="30122" operator="equal">
      <formula>"CANCELADO"</formula>
    </cfRule>
    <cfRule type="cellIs" dxfId="4702" priority="30123" operator="equal">
      <formula>"NO EJECUTADO"</formula>
    </cfRule>
    <cfRule type="cellIs" dxfId="4701" priority="30124" operator="equal">
      <formula>"FPE"</formula>
    </cfRule>
    <cfRule type="cellIs" dxfId="4700" priority="30125" operator="equal">
      <formula>"AMA"</formula>
    </cfRule>
    <cfRule type="cellIs" dxfId="4699" priority="30126" operator="equal">
      <formula>"SIN DATOS"</formula>
    </cfRule>
    <cfRule type="cellIs" dxfId="4698" priority="30127" operator="equal">
      <formula>"SIN DATOS"</formula>
    </cfRule>
    <cfRule type="cellIs" dxfId="4697" priority="30128" operator="equal">
      <formula>"NO EJECTUTADO"</formula>
    </cfRule>
    <cfRule type="cellIs" dxfId="4696" priority="30129" operator="equal">
      <formula>"FE"</formula>
    </cfRule>
    <cfRule type="cellIs" dxfId="4695" priority="30130" operator="equal">
      <formula>"FE"</formula>
    </cfRule>
  </conditionalFormatting>
  <conditionalFormatting sqref="A570">
    <cfRule type="cellIs" dxfId="4694" priority="30119" operator="equal">
      <formula>"Retirado"</formula>
    </cfRule>
    <cfRule type="cellIs" dxfId="4693" priority="30120" operator="equal">
      <formula>"FSE"</formula>
    </cfRule>
  </conditionalFormatting>
  <conditionalFormatting sqref="F570">
    <cfRule type="cellIs" dxfId="4692" priority="30109" operator="equal">
      <formula>"APLAZADO"</formula>
    </cfRule>
    <cfRule type="cellIs" dxfId="4691" priority="30110" operator="equal">
      <formula>"CANCELADO"</formula>
    </cfRule>
    <cfRule type="cellIs" dxfId="4690" priority="30111" operator="equal">
      <formula>"NO EJECUTADO"</formula>
    </cfRule>
    <cfRule type="cellIs" dxfId="4689" priority="30112" operator="equal">
      <formula>"FPE"</formula>
    </cfRule>
    <cfRule type="cellIs" dxfId="4688" priority="30113" operator="equal">
      <formula>"AMA"</formula>
    </cfRule>
    <cfRule type="cellIs" dxfId="4687" priority="30114" operator="equal">
      <formula>"SIN DATOS"</formula>
    </cfRule>
    <cfRule type="cellIs" dxfId="4686" priority="30115" operator="equal">
      <formula>"SIN DATOS"</formula>
    </cfRule>
    <cfRule type="cellIs" dxfId="4685" priority="30116" operator="equal">
      <formula>"NO EJECTUTADO"</formula>
    </cfRule>
    <cfRule type="cellIs" dxfId="4684" priority="30117" operator="equal">
      <formula>"FE"</formula>
    </cfRule>
    <cfRule type="cellIs" dxfId="4683" priority="30118" operator="equal">
      <formula>"FE"</formula>
    </cfRule>
  </conditionalFormatting>
  <conditionalFormatting sqref="F570">
    <cfRule type="cellIs" dxfId="4682" priority="30107" operator="equal">
      <formula>"Retirado"</formula>
    </cfRule>
    <cfRule type="cellIs" dxfId="4681" priority="30108" operator="equal">
      <formula>"FSE"</formula>
    </cfRule>
  </conditionalFormatting>
  <conditionalFormatting sqref="B520">
    <cfRule type="cellIs" dxfId="4680" priority="30005" operator="equal">
      <formula>"Sin éxito"</formula>
    </cfRule>
    <cfRule type="cellIs" dxfId="4679" priority="30006" operator="equal">
      <formula>"Éxito con problemas"</formula>
    </cfRule>
    <cfRule type="cellIs" dxfId="4678" priority="30007" operator="equal">
      <formula>"CANCELADO"</formula>
    </cfRule>
    <cfRule type="cellIs" dxfId="4677" priority="30008" operator="equal">
      <formula>"Aplicada marcha atrás"</formula>
    </cfRule>
    <cfRule type="cellIs" dxfId="4676" priority="30009" operator="equal">
      <formula>"CON ÉXITO"</formula>
    </cfRule>
  </conditionalFormatting>
  <conditionalFormatting sqref="B521">
    <cfRule type="cellIs" dxfId="4675" priority="29922" operator="equal">
      <formula>"Sin éxito"</formula>
    </cfRule>
    <cfRule type="cellIs" dxfId="4674" priority="29923" operator="equal">
      <formula>"Éxito con problemas"</formula>
    </cfRule>
    <cfRule type="cellIs" dxfId="4673" priority="29924" operator="equal">
      <formula>"CANCELADO"</formula>
    </cfRule>
    <cfRule type="cellIs" dxfId="4672" priority="29925" operator="equal">
      <formula>"Aplicada marcha atrás"</formula>
    </cfRule>
    <cfRule type="cellIs" dxfId="4671" priority="29926" operator="equal">
      <formula>"CON ÉXITO"</formula>
    </cfRule>
  </conditionalFormatting>
  <conditionalFormatting sqref="B522">
    <cfRule type="cellIs" dxfId="4670" priority="29833" operator="equal">
      <formula>"Sin éxito"</formula>
    </cfRule>
    <cfRule type="cellIs" dxfId="4669" priority="29834" operator="equal">
      <formula>"Éxito con problemas"</formula>
    </cfRule>
    <cfRule type="cellIs" dxfId="4668" priority="29835" operator="equal">
      <formula>"CANCELADO"</formula>
    </cfRule>
    <cfRule type="cellIs" dxfId="4667" priority="29836" operator="equal">
      <formula>"Aplicada marcha atrás"</formula>
    </cfRule>
    <cfRule type="cellIs" dxfId="4666" priority="29837" operator="equal">
      <formula>"CON ÉXITO"</formula>
    </cfRule>
  </conditionalFormatting>
  <conditionalFormatting sqref="B523">
    <cfRule type="cellIs" dxfId="4665" priority="29744" operator="equal">
      <formula>"Sin éxito"</formula>
    </cfRule>
    <cfRule type="cellIs" dxfId="4664" priority="29745" operator="equal">
      <formula>"Éxito con problemas"</formula>
    </cfRule>
    <cfRule type="cellIs" dxfId="4663" priority="29746" operator="equal">
      <formula>"CANCELADO"</formula>
    </cfRule>
    <cfRule type="cellIs" dxfId="4662" priority="29747" operator="equal">
      <formula>"Aplicada marcha atrás"</formula>
    </cfRule>
    <cfRule type="cellIs" dxfId="4661" priority="29748" operator="equal">
      <formula>"CON ÉXITO"</formula>
    </cfRule>
  </conditionalFormatting>
  <conditionalFormatting sqref="B519">
    <cfRule type="cellIs" dxfId="4660" priority="29673" operator="equal">
      <formula>"Sin éxito"</formula>
    </cfRule>
    <cfRule type="cellIs" dxfId="4659" priority="29674" operator="equal">
      <formula>"Éxito con problemas"</formula>
    </cfRule>
    <cfRule type="cellIs" dxfId="4658" priority="29675" operator="equal">
      <formula>"CANCELADO"</formula>
    </cfRule>
    <cfRule type="cellIs" dxfId="4657" priority="29676" operator="equal">
      <formula>"Aplicada marcha atrás"</formula>
    </cfRule>
    <cfRule type="cellIs" dxfId="4656" priority="29677" operator="equal">
      <formula>"CON ÉXITO"</formula>
    </cfRule>
  </conditionalFormatting>
  <conditionalFormatting sqref="B525">
    <cfRule type="cellIs" dxfId="4655" priority="29571" operator="equal">
      <formula>"Sin éxito"</formula>
    </cfRule>
    <cfRule type="cellIs" dxfId="4654" priority="29572" operator="equal">
      <formula>"Éxito con problemas"</formula>
    </cfRule>
    <cfRule type="cellIs" dxfId="4653" priority="29573" operator="equal">
      <formula>"CANCELADO"</formula>
    </cfRule>
    <cfRule type="cellIs" dxfId="4652" priority="29574" operator="equal">
      <formula>"Aplicada marcha atrás"</formula>
    </cfRule>
    <cfRule type="cellIs" dxfId="4651" priority="29575" operator="equal">
      <formula>"CON ÉXITO"</formula>
    </cfRule>
  </conditionalFormatting>
  <conditionalFormatting sqref="G1 H1016 H734:H767 I752:I753 H1018:H1019 H1021:H1029 H1034 H1089:H1048576 G1054:H1071 G1036:G1052 G1073:H1088">
    <cfRule type="cellIs" dxfId="4650" priority="29570" operator="equal">
      <formula>"Terminado"</formula>
    </cfRule>
  </conditionalFormatting>
  <conditionalFormatting sqref="H571">
    <cfRule type="duplicateValues" dxfId="4649" priority="29544"/>
  </conditionalFormatting>
  <conditionalFormatting sqref="A571">
    <cfRule type="cellIs" dxfId="4648" priority="29534" operator="equal">
      <formula>"APLAZADO"</formula>
    </cfRule>
    <cfRule type="cellIs" dxfId="4647" priority="29535" operator="equal">
      <formula>"CANCELADO"</formula>
    </cfRule>
    <cfRule type="cellIs" dxfId="4646" priority="29536" operator="equal">
      <formula>"NO EJECUTADO"</formula>
    </cfRule>
    <cfRule type="cellIs" dxfId="4645" priority="29537" operator="equal">
      <formula>"FPE"</formula>
    </cfRule>
    <cfRule type="cellIs" dxfId="4644" priority="29538" operator="equal">
      <formula>"AMA"</formula>
    </cfRule>
    <cfRule type="cellIs" dxfId="4643" priority="29539" operator="equal">
      <formula>"SIN DATOS"</formula>
    </cfRule>
    <cfRule type="cellIs" dxfId="4642" priority="29540" operator="equal">
      <formula>"SIN DATOS"</formula>
    </cfRule>
    <cfRule type="cellIs" dxfId="4641" priority="29541" operator="equal">
      <formula>"NO EJECTUTADO"</formula>
    </cfRule>
    <cfRule type="cellIs" dxfId="4640" priority="29542" operator="equal">
      <formula>"FE"</formula>
    </cfRule>
    <cfRule type="cellIs" dxfId="4639" priority="29543" operator="equal">
      <formula>"FE"</formula>
    </cfRule>
  </conditionalFormatting>
  <conditionalFormatting sqref="A571">
    <cfRule type="cellIs" dxfId="4638" priority="29532" operator="equal">
      <formula>"Retirado"</formula>
    </cfRule>
    <cfRule type="cellIs" dxfId="4637" priority="29533" operator="equal">
      <formula>"FSE"</formula>
    </cfRule>
  </conditionalFormatting>
  <conditionalFormatting sqref="F571">
    <cfRule type="cellIs" dxfId="4636" priority="29522" operator="equal">
      <formula>"APLAZADO"</formula>
    </cfRule>
    <cfRule type="cellIs" dxfId="4635" priority="29523" operator="equal">
      <formula>"CANCELADO"</formula>
    </cfRule>
    <cfRule type="cellIs" dxfId="4634" priority="29524" operator="equal">
      <formula>"NO EJECUTADO"</formula>
    </cfRule>
    <cfRule type="cellIs" dxfId="4633" priority="29525" operator="equal">
      <formula>"FPE"</formula>
    </cfRule>
    <cfRule type="cellIs" dxfId="4632" priority="29526" operator="equal">
      <formula>"AMA"</formula>
    </cfRule>
    <cfRule type="cellIs" dxfId="4631" priority="29527" operator="equal">
      <formula>"SIN DATOS"</formula>
    </cfRule>
    <cfRule type="cellIs" dxfId="4630" priority="29528" operator="equal">
      <formula>"SIN DATOS"</formula>
    </cfRule>
    <cfRule type="cellIs" dxfId="4629" priority="29529" operator="equal">
      <formula>"NO EJECTUTADO"</formula>
    </cfRule>
    <cfRule type="cellIs" dxfId="4628" priority="29530" operator="equal">
      <formula>"FE"</formula>
    </cfRule>
    <cfRule type="cellIs" dxfId="4627" priority="29531" operator="equal">
      <formula>"FE"</formula>
    </cfRule>
  </conditionalFormatting>
  <conditionalFormatting sqref="F571">
    <cfRule type="cellIs" dxfId="4626" priority="29520" operator="equal">
      <formula>"Retirado"</formula>
    </cfRule>
    <cfRule type="cellIs" dxfId="4625" priority="29521" operator="equal">
      <formula>"FSE"</formula>
    </cfRule>
  </conditionalFormatting>
  <conditionalFormatting sqref="H572">
    <cfRule type="duplicateValues" dxfId="4624" priority="29488"/>
  </conditionalFormatting>
  <conditionalFormatting sqref="A572">
    <cfRule type="cellIs" dxfId="4623" priority="29478" operator="equal">
      <formula>"APLAZADO"</formula>
    </cfRule>
    <cfRule type="cellIs" dxfId="4622" priority="29479" operator="equal">
      <formula>"CANCELADO"</formula>
    </cfRule>
    <cfRule type="cellIs" dxfId="4621" priority="29480" operator="equal">
      <formula>"NO EJECUTADO"</formula>
    </cfRule>
    <cfRule type="cellIs" dxfId="4620" priority="29481" operator="equal">
      <formula>"FPE"</formula>
    </cfRule>
    <cfRule type="cellIs" dxfId="4619" priority="29482" operator="equal">
      <formula>"AMA"</formula>
    </cfRule>
    <cfRule type="cellIs" dxfId="4618" priority="29483" operator="equal">
      <formula>"SIN DATOS"</formula>
    </cfRule>
    <cfRule type="cellIs" dxfId="4617" priority="29484" operator="equal">
      <formula>"SIN DATOS"</formula>
    </cfRule>
    <cfRule type="cellIs" dxfId="4616" priority="29485" operator="equal">
      <formula>"NO EJECTUTADO"</formula>
    </cfRule>
    <cfRule type="cellIs" dxfId="4615" priority="29486" operator="equal">
      <formula>"FE"</formula>
    </cfRule>
    <cfRule type="cellIs" dxfId="4614" priority="29487" operator="equal">
      <formula>"FE"</formula>
    </cfRule>
  </conditionalFormatting>
  <conditionalFormatting sqref="A572">
    <cfRule type="cellIs" dxfId="4613" priority="29476" operator="equal">
      <formula>"Retirado"</formula>
    </cfRule>
    <cfRule type="cellIs" dxfId="4612" priority="29477" operator="equal">
      <formula>"FSE"</formula>
    </cfRule>
  </conditionalFormatting>
  <conditionalFormatting sqref="F572">
    <cfRule type="cellIs" dxfId="4611" priority="29466" operator="equal">
      <formula>"APLAZADO"</formula>
    </cfRule>
    <cfRule type="cellIs" dxfId="4610" priority="29467" operator="equal">
      <formula>"CANCELADO"</formula>
    </cfRule>
    <cfRule type="cellIs" dxfId="4609" priority="29468" operator="equal">
      <formula>"NO EJECUTADO"</formula>
    </cfRule>
    <cfRule type="cellIs" dxfId="4608" priority="29469" operator="equal">
      <formula>"FPE"</formula>
    </cfRule>
    <cfRule type="cellIs" dxfId="4607" priority="29470" operator="equal">
      <formula>"AMA"</formula>
    </cfRule>
    <cfRule type="cellIs" dxfId="4606" priority="29471" operator="equal">
      <formula>"SIN DATOS"</formula>
    </cfRule>
    <cfRule type="cellIs" dxfId="4605" priority="29472" operator="equal">
      <formula>"SIN DATOS"</formula>
    </cfRule>
    <cfRule type="cellIs" dxfId="4604" priority="29473" operator="equal">
      <formula>"NO EJECTUTADO"</formula>
    </cfRule>
    <cfRule type="cellIs" dxfId="4603" priority="29474" operator="equal">
      <formula>"FE"</formula>
    </cfRule>
    <cfRule type="cellIs" dxfId="4602" priority="29475" operator="equal">
      <formula>"FE"</formula>
    </cfRule>
  </conditionalFormatting>
  <conditionalFormatting sqref="F572">
    <cfRule type="cellIs" dxfId="4601" priority="29464" operator="equal">
      <formula>"Retirado"</formula>
    </cfRule>
    <cfRule type="cellIs" dxfId="4600" priority="29465" operator="equal">
      <formula>"FSE"</formula>
    </cfRule>
  </conditionalFormatting>
  <conditionalFormatting sqref="B572">
    <cfRule type="cellIs" dxfId="4599" priority="29447" operator="equal">
      <formula>"Sin éxito"</formula>
    </cfRule>
    <cfRule type="cellIs" dxfId="4598" priority="29448" operator="equal">
      <formula>"Éxito con problemas"</formula>
    </cfRule>
    <cfRule type="cellIs" dxfId="4597" priority="29449" operator="equal">
      <formula>"CANCELADO"</formula>
    </cfRule>
    <cfRule type="cellIs" dxfId="4596" priority="29450" operator="equal">
      <formula>"Aplicada marcha atrás"</formula>
    </cfRule>
    <cfRule type="cellIs" dxfId="4595" priority="29451" operator="equal">
      <formula>"CON ÉXITO"</formula>
    </cfRule>
  </conditionalFormatting>
  <conditionalFormatting sqref="H573:H576">
    <cfRule type="duplicateValues" dxfId="4594" priority="29444"/>
  </conditionalFormatting>
  <conditionalFormatting sqref="A573 A575">
    <cfRule type="cellIs" dxfId="4593" priority="29434" operator="equal">
      <formula>"APLAZADO"</formula>
    </cfRule>
    <cfRule type="cellIs" dxfId="4592" priority="29435" operator="equal">
      <formula>"CANCELADO"</formula>
    </cfRule>
    <cfRule type="cellIs" dxfId="4591" priority="29436" operator="equal">
      <formula>"NO EJECUTADO"</formula>
    </cfRule>
    <cfRule type="cellIs" dxfId="4590" priority="29437" operator="equal">
      <formula>"FPE"</formula>
    </cfRule>
    <cfRule type="cellIs" dxfId="4589" priority="29438" operator="equal">
      <formula>"AMA"</formula>
    </cfRule>
    <cfRule type="cellIs" dxfId="4588" priority="29439" operator="equal">
      <formula>"SIN DATOS"</formula>
    </cfRule>
    <cfRule type="cellIs" dxfId="4587" priority="29440" operator="equal">
      <formula>"SIN DATOS"</formula>
    </cfRule>
    <cfRule type="cellIs" dxfId="4586" priority="29441" operator="equal">
      <formula>"NO EJECTUTADO"</formula>
    </cfRule>
    <cfRule type="cellIs" dxfId="4585" priority="29442" operator="equal">
      <formula>"FE"</formula>
    </cfRule>
    <cfRule type="cellIs" dxfId="4584" priority="29443" operator="equal">
      <formula>"FE"</formula>
    </cfRule>
  </conditionalFormatting>
  <conditionalFormatting sqref="A573 A575">
    <cfRule type="cellIs" dxfId="4583" priority="29432" operator="equal">
      <formula>"Retirado"</formula>
    </cfRule>
    <cfRule type="cellIs" dxfId="4582" priority="29433" operator="equal">
      <formula>"FSE"</formula>
    </cfRule>
  </conditionalFormatting>
  <conditionalFormatting sqref="F573">
    <cfRule type="cellIs" dxfId="4581" priority="29391" operator="equal">
      <formula>"APLAZADO"</formula>
    </cfRule>
    <cfRule type="cellIs" dxfId="4580" priority="29392" operator="equal">
      <formula>"CANCELADO"</formula>
    </cfRule>
    <cfRule type="cellIs" dxfId="4579" priority="29393" operator="equal">
      <formula>"NO EJECUTADO"</formula>
    </cfRule>
    <cfRule type="cellIs" dxfId="4578" priority="29394" operator="equal">
      <formula>"FPE"</formula>
    </cfRule>
    <cfRule type="cellIs" dxfId="4577" priority="29395" operator="equal">
      <formula>"AMA"</formula>
    </cfRule>
    <cfRule type="cellIs" dxfId="4576" priority="29396" operator="equal">
      <formula>"SIN DATOS"</formula>
    </cfRule>
    <cfRule type="cellIs" dxfId="4575" priority="29397" operator="equal">
      <formula>"SIN DATOS"</formula>
    </cfRule>
    <cfRule type="cellIs" dxfId="4574" priority="29398" operator="equal">
      <formula>"NO EJECTUTADO"</formula>
    </cfRule>
    <cfRule type="cellIs" dxfId="4573" priority="29399" operator="equal">
      <formula>"FE"</formula>
    </cfRule>
    <cfRule type="cellIs" dxfId="4572" priority="29400" operator="equal">
      <formula>"FE"</formula>
    </cfRule>
  </conditionalFormatting>
  <conditionalFormatting sqref="F573">
    <cfRule type="cellIs" dxfId="4571" priority="29389" operator="equal">
      <formula>"Retirado"</formula>
    </cfRule>
    <cfRule type="cellIs" dxfId="4570" priority="29390" operator="equal">
      <formula>"FSE"</formula>
    </cfRule>
  </conditionalFormatting>
  <conditionalFormatting sqref="A576">
    <cfRule type="cellIs" dxfId="4569" priority="29379" operator="equal">
      <formula>"APLAZADO"</formula>
    </cfRule>
    <cfRule type="cellIs" dxfId="4568" priority="29380" operator="equal">
      <formula>"CANCELADO"</formula>
    </cfRule>
    <cfRule type="cellIs" dxfId="4567" priority="29381" operator="equal">
      <formula>"NO EJECUTADO"</formula>
    </cfRule>
    <cfRule type="cellIs" dxfId="4566" priority="29382" operator="equal">
      <formula>"FPE"</formula>
    </cfRule>
    <cfRule type="cellIs" dxfId="4565" priority="29383" operator="equal">
      <formula>"AMA"</formula>
    </cfRule>
    <cfRule type="cellIs" dxfId="4564" priority="29384" operator="equal">
      <formula>"SIN DATOS"</formula>
    </cfRule>
    <cfRule type="cellIs" dxfId="4563" priority="29385" operator="equal">
      <formula>"SIN DATOS"</formula>
    </cfRule>
    <cfRule type="cellIs" dxfId="4562" priority="29386" operator="equal">
      <formula>"NO EJECTUTADO"</formula>
    </cfRule>
    <cfRule type="cellIs" dxfId="4561" priority="29387" operator="equal">
      <formula>"FE"</formula>
    </cfRule>
    <cfRule type="cellIs" dxfId="4560" priority="29388" operator="equal">
      <formula>"FE"</formula>
    </cfRule>
  </conditionalFormatting>
  <conditionalFormatting sqref="A576">
    <cfRule type="cellIs" dxfId="4559" priority="29377" operator="equal">
      <formula>"Retirado"</formula>
    </cfRule>
    <cfRule type="cellIs" dxfId="4558" priority="29378" operator="equal">
      <formula>"FSE"</formula>
    </cfRule>
  </conditionalFormatting>
  <conditionalFormatting sqref="F576">
    <cfRule type="cellIs" dxfId="4557" priority="29367" operator="equal">
      <formula>"APLAZADO"</formula>
    </cfRule>
    <cfRule type="cellIs" dxfId="4556" priority="29368" operator="equal">
      <formula>"CANCELADO"</formula>
    </cfRule>
    <cfRule type="cellIs" dxfId="4555" priority="29369" operator="equal">
      <formula>"NO EJECUTADO"</formula>
    </cfRule>
    <cfRule type="cellIs" dxfId="4554" priority="29370" operator="equal">
      <formula>"FPE"</formula>
    </cfRule>
    <cfRule type="cellIs" dxfId="4553" priority="29371" operator="equal">
      <formula>"AMA"</formula>
    </cfRule>
    <cfRule type="cellIs" dxfId="4552" priority="29372" operator="equal">
      <formula>"SIN DATOS"</formula>
    </cfRule>
    <cfRule type="cellIs" dxfId="4551" priority="29373" operator="equal">
      <formula>"SIN DATOS"</formula>
    </cfRule>
    <cfRule type="cellIs" dxfId="4550" priority="29374" operator="equal">
      <formula>"NO EJECTUTADO"</formula>
    </cfRule>
    <cfRule type="cellIs" dxfId="4549" priority="29375" operator="equal">
      <formula>"FE"</formula>
    </cfRule>
    <cfRule type="cellIs" dxfId="4548" priority="29376" operator="equal">
      <formula>"FE"</formula>
    </cfRule>
  </conditionalFormatting>
  <conditionalFormatting sqref="F576">
    <cfRule type="cellIs" dxfId="4547" priority="29365" operator="equal">
      <formula>"Retirado"</formula>
    </cfRule>
    <cfRule type="cellIs" dxfId="4546" priority="29366" operator="equal">
      <formula>"FSE"</formula>
    </cfRule>
  </conditionalFormatting>
  <conditionalFormatting sqref="B524">
    <cfRule type="cellIs" dxfId="4545" priority="29263" operator="equal">
      <formula>"Sin éxito"</formula>
    </cfRule>
    <cfRule type="cellIs" dxfId="4544" priority="29264" operator="equal">
      <formula>"Éxito con problemas"</formula>
    </cfRule>
    <cfRule type="cellIs" dxfId="4543" priority="29265" operator="equal">
      <formula>"CANCELADO"</formula>
    </cfRule>
    <cfRule type="cellIs" dxfId="4542" priority="29266" operator="equal">
      <formula>"Aplicada marcha atrás"</formula>
    </cfRule>
    <cfRule type="cellIs" dxfId="4541" priority="29267" operator="equal">
      <formula>"CON ÉXITO"</formula>
    </cfRule>
  </conditionalFormatting>
  <conditionalFormatting sqref="H577:H578">
    <cfRule type="duplicateValues" dxfId="4540" priority="29250"/>
  </conditionalFormatting>
  <conditionalFormatting sqref="A577:A578">
    <cfRule type="cellIs" dxfId="4539" priority="29240" operator="equal">
      <formula>"APLAZADO"</formula>
    </cfRule>
    <cfRule type="cellIs" dxfId="4538" priority="29241" operator="equal">
      <formula>"CANCELADO"</formula>
    </cfRule>
    <cfRule type="cellIs" dxfId="4537" priority="29242" operator="equal">
      <formula>"NO EJECUTADO"</formula>
    </cfRule>
    <cfRule type="cellIs" dxfId="4536" priority="29243" operator="equal">
      <formula>"FPE"</formula>
    </cfRule>
    <cfRule type="cellIs" dxfId="4535" priority="29244" operator="equal">
      <formula>"AMA"</formula>
    </cfRule>
    <cfRule type="cellIs" dxfId="4534" priority="29245" operator="equal">
      <formula>"SIN DATOS"</formula>
    </cfRule>
    <cfRule type="cellIs" dxfId="4533" priority="29246" operator="equal">
      <formula>"SIN DATOS"</formula>
    </cfRule>
    <cfRule type="cellIs" dxfId="4532" priority="29247" operator="equal">
      <formula>"NO EJECTUTADO"</formula>
    </cfRule>
    <cfRule type="cellIs" dxfId="4531" priority="29248" operator="equal">
      <formula>"FE"</formula>
    </cfRule>
    <cfRule type="cellIs" dxfId="4530" priority="29249" operator="equal">
      <formula>"FE"</formula>
    </cfRule>
  </conditionalFormatting>
  <conditionalFormatting sqref="A577:A578">
    <cfRule type="cellIs" dxfId="4529" priority="29238" operator="equal">
      <formula>"Retirado"</formula>
    </cfRule>
    <cfRule type="cellIs" dxfId="4528" priority="29239" operator="equal">
      <formula>"FSE"</formula>
    </cfRule>
  </conditionalFormatting>
  <conditionalFormatting sqref="F577">
    <cfRule type="cellIs" dxfId="4527" priority="29228" operator="equal">
      <formula>"APLAZADO"</formula>
    </cfRule>
    <cfRule type="cellIs" dxfId="4526" priority="29229" operator="equal">
      <formula>"CANCELADO"</formula>
    </cfRule>
    <cfRule type="cellIs" dxfId="4525" priority="29230" operator="equal">
      <formula>"NO EJECUTADO"</formula>
    </cfRule>
    <cfRule type="cellIs" dxfId="4524" priority="29231" operator="equal">
      <formula>"FPE"</formula>
    </cfRule>
    <cfRule type="cellIs" dxfId="4523" priority="29232" operator="equal">
      <formula>"AMA"</formula>
    </cfRule>
    <cfRule type="cellIs" dxfId="4522" priority="29233" operator="equal">
      <formula>"SIN DATOS"</formula>
    </cfRule>
    <cfRule type="cellIs" dxfId="4521" priority="29234" operator="equal">
      <formula>"SIN DATOS"</formula>
    </cfRule>
    <cfRule type="cellIs" dxfId="4520" priority="29235" operator="equal">
      <formula>"NO EJECTUTADO"</formula>
    </cfRule>
    <cfRule type="cellIs" dxfId="4519" priority="29236" operator="equal">
      <formula>"FE"</formula>
    </cfRule>
    <cfRule type="cellIs" dxfId="4518" priority="29237" operator="equal">
      <formula>"FE"</formula>
    </cfRule>
  </conditionalFormatting>
  <conditionalFormatting sqref="F577">
    <cfRule type="cellIs" dxfId="4517" priority="29226" operator="equal">
      <formula>"Retirado"</formula>
    </cfRule>
    <cfRule type="cellIs" dxfId="4516" priority="29227" operator="equal">
      <formula>"FSE"</formula>
    </cfRule>
  </conditionalFormatting>
  <conditionalFormatting sqref="H579:H581">
    <cfRule type="duplicateValues" dxfId="4515" priority="29150"/>
  </conditionalFormatting>
  <conditionalFormatting sqref="A579:A581">
    <cfRule type="cellIs" dxfId="4514" priority="29140" operator="equal">
      <formula>"APLAZADO"</formula>
    </cfRule>
    <cfRule type="cellIs" dxfId="4513" priority="29141" operator="equal">
      <formula>"CANCELADO"</formula>
    </cfRule>
    <cfRule type="cellIs" dxfId="4512" priority="29142" operator="equal">
      <formula>"NO EJECUTADO"</formula>
    </cfRule>
    <cfRule type="cellIs" dxfId="4511" priority="29143" operator="equal">
      <formula>"FPE"</formula>
    </cfRule>
    <cfRule type="cellIs" dxfId="4510" priority="29144" operator="equal">
      <formula>"AMA"</formula>
    </cfRule>
    <cfRule type="cellIs" dxfId="4509" priority="29145" operator="equal">
      <formula>"SIN DATOS"</formula>
    </cfRule>
    <cfRule type="cellIs" dxfId="4508" priority="29146" operator="equal">
      <formula>"SIN DATOS"</formula>
    </cfRule>
    <cfRule type="cellIs" dxfId="4507" priority="29147" operator="equal">
      <formula>"NO EJECTUTADO"</formula>
    </cfRule>
    <cfRule type="cellIs" dxfId="4506" priority="29148" operator="equal">
      <formula>"FE"</formula>
    </cfRule>
    <cfRule type="cellIs" dxfId="4505" priority="29149" operator="equal">
      <formula>"FE"</formula>
    </cfRule>
  </conditionalFormatting>
  <conditionalFormatting sqref="A579:A581">
    <cfRule type="cellIs" dxfId="4504" priority="29138" operator="equal">
      <formula>"Retirado"</formula>
    </cfRule>
    <cfRule type="cellIs" dxfId="4503" priority="29139" operator="equal">
      <formula>"FSE"</formula>
    </cfRule>
  </conditionalFormatting>
  <conditionalFormatting sqref="F579:F580">
    <cfRule type="cellIs" dxfId="4502" priority="29128" operator="equal">
      <formula>"APLAZADO"</formula>
    </cfRule>
    <cfRule type="cellIs" dxfId="4501" priority="29129" operator="equal">
      <formula>"CANCELADO"</formula>
    </cfRule>
    <cfRule type="cellIs" dxfId="4500" priority="29130" operator="equal">
      <formula>"NO EJECUTADO"</formula>
    </cfRule>
    <cfRule type="cellIs" dxfId="4499" priority="29131" operator="equal">
      <formula>"FPE"</formula>
    </cfRule>
    <cfRule type="cellIs" dxfId="4498" priority="29132" operator="equal">
      <formula>"AMA"</formula>
    </cfRule>
    <cfRule type="cellIs" dxfId="4497" priority="29133" operator="equal">
      <formula>"SIN DATOS"</formula>
    </cfRule>
    <cfRule type="cellIs" dxfId="4496" priority="29134" operator="equal">
      <formula>"SIN DATOS"</formula>
    </cfRule>
    <cfRule type="cellIs" dxfId="4495" priority="29135" operator="equal">
      <formula>"NO EJECTUTADO"</formula>
    </cfRule>
    <cfRule type="cellIs" dxfId="4494" priority="29136" operator="equal">
      <formula>"FE"</formula>
    </cfRule>
    <cfRule type="cellIs" dxfId="4493" priority="29137" operator="equal">
      <formula>"FE"</formula>
    </cfRule>
  </conditionalFormatting>
  <conditionalFormatting sqref="F579:F580">
    <cfRule type="cellIs" dxfId="4492" priority="29126" operator="equal">
      <formula>"Retirado"</formula>
    </cfRule>
    <cfRule type="cellIs" dxfId="4491" priority="29127" operator="equal">
      <formula>"FSE"</formula>
    </cfRule>
  </conditionalFormatting>
  <conditionalFormatting sqref="A582">
    <cfRule type="cellIs" dxfId="4490" priority="29085" operator="equal">
      <formula>"APLAZADO"</formula>
    </cfRule>
    <cfRule type="cellIs" dxfId="4489" priority="29086" operator="equal">
      <formula>"CANCELADO"</formula>
    </cfRule>
    <cfRule type="cellIs" dxfId="4488" priority="29087" operator="equal">
      <formula>"NO EJECUTADO"</formula>
    </cfRule>
    <cfRule type="cellIs" dxfId="4487" priority="29088" operator="equal">
      <formula>"FPE"</formula>
    </cfRule>
    <cfRule type="cellIs" dxfId="4486" priority="29089" operator="equal">
      <formula>"AMA"</formula>
    </cfRule>
    <cfRule type="cellIs" dxfId="4485" priority="29090" operator="equal">
      <formula>"SIN DATOS"</formula>
    </cfRule>
    <cfRule type="cellIs" dxfId="4484" priority="29091" operator="equal">
      <formula>"SIN DATOS"</formula>
    </cfRule>
    <cfRule type="cellIs" dxfId="4483" priority="29092" operator="equal">
      <formula>"NO EJECTUTADO"</formula>
    </cfRule>
    <cfRule type="cellIs" dxfId="4482" priority="29093" operator="equal">
      <formula>"FE"</formula>
    </cfRule>
    <cfRule type="cellIs" dxfId="4481" priority="29094" operator="equal">
      <formula>"FE"</formula>
    </cfRule>
  </conditionalFormatting>
  <conditionalFormatting sqref="A582">
    <cfRule type="cellIs" dxfId="4480" priority="29083" operator="equal">
      <formula>"Retirado"</formula>
    </cfRule>
    <cfRule type="cellIs" dxfId="4479" priority="29084" operator="equal">
      <formula>"FSE"</formula>
    </cfRule>
  </conditionalFormatting>
  <conditionalFormatting sqref="H582">
    <cfRule type="duplicateValues" dxfId="4478" priority="29082"/>
  </conditionalFormatting>
  <conditionalFormatting sqref="F582">
    <cfRule type="cellIs" dxfId="4477" priority="29072" operator="equal">
      <formula>"APLAZADO"</formula>
    </cfRule>
    <cfRule type="cellIs" dxfId="4476" priority="29073" operator="equal">
      <formula>"CANCELADO"</formula>
    </cfRule>
    <cfRule type="cellIs" dxfId="4475" priority="29074" operator="equal">
      <formula>"NO EJECUTADO"</formula>
    </cfRule>
    <cfRule type="cellIs" dxfId="4474" priority="29075" operator="equal">
      <formula>"FPE"</formula>
    </cfRule>
    <cfRule type="cellIs" dxfId="4473" priority="29076" operator="equal">
      <formula>"AMA"</formula>
    </cfRule>
    <cfRule type="cellIs" dxfId="4472" priority="29077" operator="equal">
      <formula>"SIN DATOS"</formula>
    </cfRule>
    <cfRule type="cellIs" dxfId="4471" priority="29078" operator="equal">
      <formula>"SIN DATOS"</formula>
    </cfRule>
    <cfRule type="cellIs" dxfId="4470" priority="29079" operator="equal">
      <formula>"NO EJECTUTADO"</formula>
    </cfRule>
    <cfRule type="cellIs" dxfId="4469" priority="29080" operator="equal">
      <formula>"FE"</formula>
    </cfRule>
    <cfRule type="cellIs" dxfId="4468" priority="29081" operator="equal">
      <formula>"FE"</formula>
    </cfRule>
  </conditionalFormatting>
  <conditionalFormatting sqref="F582">
    <cfRule type="cellIs" dxfId="4467" priority="29070" operator="equal">
      <formula>"Retirado"</formula>
    </cfRule>
    <cfRule type="cellIs" dxfId="4466" priority="29071" operator="equal">
      <formula>"FSE"</formula>
    </cfRule>
  </conditionalFormatting>
  <conditionalFormatting sqref="A583">
    <cfRule type="cellIs" dxfId="4465" priority="29034" operator="equal">
      <formula>"APLAZADO"</formula>
    </cfRule>
    <cfRule type="cellIs" dxfId="4464" priority="29035" operator="equal">
      <formula>"CANCELADO"</formula>
    </cfRule>
    <cfRule type="cellIs" dxfId="4463" priority="29036" operator="equal">
      <formula>"NO EJECUTADO"</formula>
    </cfRule>
    <cfRule type="cellIs" dxfId="4462" priority="29037" operator="equal">
      <formula>"FPE"</formula>
    </cfRule>
    <cfRule type="cellIs" dxfId="4461" priority="29038" operator="equal">
      <formula>"AMA"</formula>
    </cfRule>
    <cfRule type="cellIs" dxfId="4460" priority="29039" operator="equal">
      <formula>"SIN DATOS"</formula>
    </cfRule>
    <cfRule type="cellIs" dxfId="4459" priority="29040" operator="equal">
      <formula>"SIN DATOS"</formula>
    </cfRule>
    <cfRule type="cellIs" dxfId="4458" priority="29041" operator="equal">
      <formula>"NO EJECTUTADO"</formula>
    </cfRule>
    <cfRule type="cellIs" dxfId="4457" priority="29042" operator="equal">
      <formula>"FE"</formula>
    </cfRule>
    <cfRule type="cellIs" dxfId="4456" priority="29043" operator="equal">
      <formula>"FE"</formula>
    </cfRule>
  </conditionalFormatting>
  <conditionalFormatting sqref="A583">
    <cfRule type="cellIs" dxfId="4455" priority="29032" operator="equal">
      <formula>"Retirado"</formula>
    </cfRule>
    <cfRule type="cellIs" dxfId="4454" priority="29033" operator="equal">
      <formula>"FSE"</formula>
    </cfRule>
  </conditionalFormatting>
  <conditionalFormatting sqref="F583">
    <cfRule type="cellIs" dxfId="4453" priority="29022" operator="equal">
      <formula>"APLAZADO"</formula>
    </cfRule>
    <cfRule type="cellIs" dxfId="4452" priority="29023" operator="equal">
      <formula>"CANCELADO"</formula>
    </cfRule>
    <cfRule type="cellIs" dxfId="4451" priority="29024" operator="equal">
      <formula>"NO EJECUTADO"</formula>
    </cfRule>
    <cfRule type="cellIs" dxfId="4450" priority="29025" operator="equal">
      <formula>"FPE"</formula>
    </cfRule>
    <cfRule type="cellIs" dxfId="4449" priority="29026" operator="equal">
      <formula>"AMA"</formula>
    </cfRule>
    <cfRule type="cellIs" dxfId="4448" priority="29027" operator="equal">
      <formula>"SIN DATOS"</formula>
    </cfRule>
    <cfRule type="cellIs" dxfId="4447" priority="29028" operator="equal">
      <formula>"SIN DATOS"</formula>
    </cfRule>
    <cfRule type="cellIs" dxfId="4446" priority="29029" operator="equal">
      <formula>"NO EJECTUTADO"</formula>
    </cfRule>
    <cfRule type="cellIs" dxfId="4445" priority="29030" operator="equal">
      <formula>"FE"</formula>
    </cfRule>
    <cfRule type="cellIs" dxfId="4444" priority="29031" operator="equal">
      <formula>"FE"</formula>
    </cfRule>
  </conditionalFormatting>
  <conditionalFormatting sqref="F583">
    <cfRule type="cellIs" dxfId="4443" priority="29020" operator="equal">
      <formula>"Retirado"</formula>
    </cfRule>
    <cfRule type="cellIs" dxfId="4442" priority="29021" operator="equal">
      <formula>"FSE"</formula>
    </cfRule>
  </conditionalFormatting>
  <conditionalFormatting sqref="H583">
    <cfRule type="duplicateValues" dxfId="4441" priority="29001"/>
  </conditionalFormatting>
  <conditionalFormatting sqref="B527">
    <cfRule type="cellIs" dxfId="4440" priority="28891" operator="equal">
      <formula>"Sin éxito"</formula>
    </cfRule>
    <cfRule type="cellIs" dxfId="4439" priority="28892" operator="equal">
      <formula>"Éxito con problemas"</formula>
    </cfRule>
    <cfRule type="cellIs" dxfId="4438" priority="28893" operator="equal">
      <formula>"CANCELADO"</formula>
    </cfRule>
    <cfRule type="cellIs" dxfId="4437" priority="28894" operator="equal">
      <formula>"Aplicada marcha atrás"</formula>
    </cfRule>
    <cfRule type="cellIs" dxfId="4436" priority="28895" operator="equal">
      <formula>"CON ÉXITO"</formula>
    </cfRule>
  </conditionalFormatting>
  <conditionalFormatting sqref="A584">
    <cfRule type="cellIs" dxfId="4435" priority="28868" operator="equal">
      <formula>"APLAZADO"</formula>
    </cfRule>
    <cfRule type="cellIs" dxfId="4434" priority="28869" operator="equal">
      <formula>"CANCELADO"</formula>
    </cfRule>
    <cfRule type="cellIs" dxfId="4433" priority="28870" operator="equal">
      <formula>"NO EJECUTADO"</formula>
    </cfRule>
    <cfRule type="cellIs" dxfId="4432" priority="28871" operator="equal">
      <formula>"FPE"</formula>
    </cfRule>
    <cfRule type="cellIs" dxfId="4431" priority="28872" operator="equal">
      <formula>"AMA"</formula>
    </cfRule>
    <cfRule type="cellIs" dxfId="4430" priority="28873" operator="equal">
      <formula>"SIN DATOS"</formula>
    </cfRule>
    <cfRule type="cellIs" dxfId="4429" priority="28874" operator="equal">
      <formula>"SIN DATOS"</formula>
    </cfRule>
    <cfRule type="cellIs" dxfId="4428" priority="28875" operator="equal">
      <formula>"NO EJECTUTADO"</formula>
    </cfRule>
    <cfRule type="cellIs" dxfId="4427" priority="28876" operator="equal">
      <formula>"FE"</formula>
    </cfRule>
    <cfRule type="cellIs" dxfId="4426" priority="28877" operator="equal">
      <formula>"FE"</formula>
    </cfRule>
  </conditionalFormatting>
  <conditionalFormatting sqref="A584">
    <cfRule type="cellIs" dxfId="4425" priority="28866" operator="equal">
      <formula>"Retirado"</formula>
    </cfRule>
    <cfRule type="cellIs" dxfId="4424" priority="28867" operator="equal">
      <formula>"FSE"</formula>
    </cfRule>
  </conditionalFormatting>
  <conditionalFormatting sqref="H584">
    <cfRule type="duplicateValues" dxfId="4423" priority="28865"/>
  </conditionalFormatting>
  <conditionalFormatting sqref="F584">
    <cfRule type="cellIs" dxfId="4422" priority="28812" operator="equal">
      <formula>"APLAZADO"</formula>
    </cfRule>
    <cfRule type="cellIs" dxfId="4421" priority="28813" operator="equal">
      <formula>"CANCELADO"</formula>
    </cfRule>
    <cfRule type="cellIs" dxfId="4420" priority="28814" operator="equal">
      <formula>"NO EJECUTADO"</formula>
    </cfRule>
    <cfRule type="cellIs" dxfId="4419" priority="28815" operator="equal">
      <formula>"FPE"</formula>
    </cfRule>
    <cfRule type="cellIs" dxfId="4418" priority="28816" operator="equal">
      <formula>"AMA"</formula>
    </cfRule>
    <cfRule type="cellIs" dxfId="4417" priority="28817" operator="equal">
      <formula>"SIN DATOS"</formula>
    </cfRule>
    <cfRule type="cellIs" dxfId="4416" priority="28818" operator="equal">
      <formula>"SIN DATOS"</formula>
    </cfRule>
    <cfRule type="cellIs" dxfId="4415" priority="28819" operator="equal">
      <formula>"NO EJECTUTADO"</formula>
    </cfRule>
    <cfRule type="cellIs" dxfId="4414" priority="28820" operator="equal">
      <formula>"FE"</formula>
    </cfRule>
    <cfRule type="cellIs" dxfId="4413" priority="28821" operator="equal">
      <formula>"FE"</formula>
    </cfRule>
  </conditionalFormatting>
  <conditionalFormatting sqref="F584">
    <cfRule type="cellIs" dxfId="4412" priority="28810" operator="equal">
      <formula>"Retirado"</formula>
    </cfRule>
    <cfRule type="cellIs" dxfId="4411" priority="28811" operator="equal">
      <formula>"FSE"</formula>
    </cfRule>
  </conditionalFormatting>
  <conditionalFormatting sqref="B526">
    <cfRule type="cellIs" dxfId="4410" priority="28708" operator="equal">
      <formula>"Sin éxito"</formula>
    </cfRule>
    <cfRule type="cellIs" dxfId="4409" priority="28709" operator="equal">
      <formula>"Éxito con problemas"</formula>
    </cfRule>
    <cfRule type="cellIs" dxfId="4408" priority="28710" operator="equal">
      <formula>"CANCELADO"</formula>
    </cfRule>
    <cfRule type="cellIs" dxfId="4407" priority="28711" operator="equal">
      <formula>"Aplicada marcha atrás"</formula>
    </cfRule>
    <cfRule type="cellIs" dxfId="4406" priority="28712" operator="equal">
      <formula>"CON ÉXITO"</formula>
    </cfRule>
  </conditionalFormatting>
  <conditionalFormatting sqref="A585">
    <cfRule type="cellIs" dxfId="4405" priority="28693" operator="equal">
      <formula>"APLAZADO"</formula>
    </cfRule>
    <cfRule type="cellIs" dxfId="4404" priority="28694" operator="equal">
      <formula>"CANCELADO"</formula>
    </cfRule>
    <cfRule type="cellIs" dxfId="4403" priority="28695" operator="equal">
      <formula>"NO EJECUTADO"</formula>
    </cfRule>
    <cfRule type="cellIs" dxfId="4402" priority="28696" operator="equal">
      <formula>"FPE"</formula>
    </cfRule>
    <cfRule type="cellIs" dxfId="4401" priority="28697" operator="equal">
      <formula>"AMA"</formula>
    </cfRule>
    <cfRule type="cellIs" dxfId="4400" priority="28698" operator="equal">
      <formula>"SIN DATOS"</formula>
    </cfRule>
    <cfRule type="cellIs" dxfId="4399" priority="28699" operator="equal">
      <formula>"SIN DATOS"</formula>
    </cfRule>
    <cfRule type="cellIs" dxfId="4398" priority="28700" operator="equal">
      <formula>"NO EJECTUTADO"</formula>
    </cfRule>
    <cfRule type="cellIs" dxfId="4397" priority="28701" operator="equal">
      <formula>"FE"</formula>
    </cfRule>
    <cfRule type="cellIs" dxfId="4396" priority="28702" operator="equal">
      <formula>"FE"</formula>
    </cfRule>
  </conditionalFormatting>
  <conditionalFormatting sqref="A585">
    <cfRule type="cellIs" dxfId="4395" priority="28691" operator="equal">
      <formula>"Retirado"</formula>
    </cfRule>
    <cfRule type="cellIs" dxfId="4394" priority="28692" operator="equal">
      <formula>"FSE"</formula>
    </cfRule>
  </conditionalFormatting>
  <conditionalFormatting sqref="H585">
    <cfRule type="duplicateValues" dxfId="4393" priority="28690"/>
  </conditionalFormatting>
  <conditionalFormatting sqref="F585">
    <cfRule type="cellIs" dxfId="4392" priority="28680" operator="equal">
      <formula>"APLAZADO"</formula>
    </cfRule>
    <cfRule type="cellIs" dxfId="4391" priority="28681" operator="equal">
      <formula>"CANCELADO"</formula>
    </cfRule>
    <cfRule type="cellIs" dxfId="4390" priority="28682" operator="equal">
      <formula>"NO EJECUTADO"</formula>
    </cfRule>
    <cfRule type="cellIs" dxfId="4389" priority="28683" operator="equal">
      <formula>"FPE"</formula>
    </cfRule>
    <cfRule type="cellIs" dxfId="4388" priority="28684" operator="equal">
      <formula>"AMA"</formula>
    </cfRule>
    <cfRule type="cellIs" dxfId="4387" priority="28685" operator="equal">
      <formula>"SIN DATOS"</formula>
    </cfRule>
    <cfRule type="cellIs" dxfId="4386" priority="28686" operator="equal">
      <formula>"SIN DATOS"</formula>
    </cfRule>
    <cfRule type="cellIs" dxfId="4385" priority="28687" operator="equal">
      <formula>"NO EJECTUTADO"</formula>
    </cfRule>
    <cfRule type="cellIs" dxfId="4384" priority="28688" operator="equal">
      <formula>"FE"</formula>
    </cfRule>
    <cfRule type="cellIs" dxfId="4383" priority="28689" operator="equal">
      <formula>"FE"</formula>
    </cfRule>
  </conditionalFormatting>
  <conditionalFormatting sqref="F585">
    <cfRule type="cellIs" dxfId="4382" priority="28678" operator="equal">
      <formula>"Retirado"</formula>
    </cfRule>
    <cfRule type="cellIs" dxfId="4381" priority="28679" operator="equal">
      <formula>"FSE"</formula>
    </cfRule>
  </conditionalFormatting>
  <conditionalFormatting sqref="B528:B529">
    <cfRule type="cellIs" dxfId="4380" priority="28520" operator="equal">
      <formula>"Sin éxito"</formula>
    </cfRule>
    <cfRule type="cellIs" dxfId="4379" priority="28521" operator="equal">
      <formula>"Éxito con problemas"</formula>
    </cfRule>
    <cfRule type="cellIs" dxfId="4378" priority="28522" operator="equal">
      <formula>"CANCELADO"</formula>
    </cfRule>
    <cfRule type="cellIs" dxfId="4377" priority="28523" operator="equal">
      <formula>"Aplicada marcha atrás"</formula>
    </cfRule>
    <cfRule type="cellIs" dxfId="4376" priority="28524" operator="equal">
      <formula>"CON ÉXITO"</formula>
    </cfRule>
  </conditionalFormatting>
  <conditionalFormatting sqref="B530">
    <cfRule type="cellIs" dxfId="4375" priority="28402" operator="equal">
      <formula>"Sin éxito"</formula>
    </cfRule>
    <cfRule type="cellIs" dxfId="4374" priority="28403" operator="equal">
      <formula>"Éxito con problemas"</formula>
    </cfRule>
    <cfRule type="cellIs" dxfId="4373" priority="28404" operator="equal">
      <formula>"CANCELADO"</formula>
    </cfRule>
    <cfRule type="cellIs" dxfId="4372" priority="28405" operator="equal">
      <formula>"Aplicada marcha atrás"</formula>
    </cfRule>
    <cfRule type="cellIs" dxfId="4371" priority="28406" operator="equal">
      <formula>"CON ÉXITO"</formula>
    </cfRule>
  </conditionalFormatting>
  <conditionalFormatting sqref="H586">
    <cfRule type="duplicateValues" dxfId="4370" priority="28381"/>
  </conditionalFormatting>
  <conditionalFormatting sqref="A586">
    <cfRule type="cellIs" dxfId="4369" priority="28371" operator="equal">
      <formula>"APLAZADO"</formula>
    </cfRule>
    <cfRule type="cellIs" dxfId="4368" priority="28372" operator="equal">
      <formula>"CANCELADO"</formula>
    </cfRule>
    <cfRule type="cellIs" dxfId="4367" priority="28373" operator="equal">
      <formula>"NO EJECUTADO"</formula>
    </cfRule>
    <cfRule type="cellIs" dxfId="4366" priority="28374" operator="equal">
      <formula>"FPE"</formula>
    </cfRule>
    <cfRule type="cellIs" dxfId="4365" priority="28375" operator="equal">
      <formula>"AMA"</formula>
    </cfRule>
    <cfRule type="cellIs" dxfId="4364" priority="28376" operator="equal">
      <formula>"SIN DATOS"</formula>
    </cfRule>
    <cfRule type="cellIs" dxfId="4363" priority="28377" operator="equal">
      <formula>"SIN DATOS"</formula>
    </cfRule>
    <cfRule type="cellIs" dxfId="4362" priority="28378" operator="equal">
      <formula>"NO EJECTUTADO"</formula>
    </cfRule>
    <cfRule type="cellIs" dxfId="4361" priority="28379" operator="equal">
      <formula>"FE"</formula>
    </cfRule>
    <cfRule type="cellIs" dxfId="4360" priority="28380" operator="equal">
      <formula>"FE"</formula>
    </cfRule>
  </conditionalFormatting>
  <conditionalFormatting sqref="A586">
    <cfRule type="cellIs" dxfId="4359" priority="28369" operator="equal">
      <formula>"Retirado"</formula>
    </cfRule>
    <cfRule type="cellIs" dxfId="4358" priority="28370" operator="equal">
      <formula>"FSE"</formula>
    </cfRule>
  </conditionalFormatting>
  <conditionalFormatting sqref="F586">
    <cfRule type="cellIs" dxfId="4357" priority="28359" operator="equal">
      <formula>"APLAZADO"</formula>
    </cfRule>
    <cfRule type="cellIs" dxfId="4356" priority="28360" operator="equal">
      <formula>"CANCELADO"</formula>
    </cfRule>
    <cfRule type="cellIs" dxfId="4355" priority="28361" operator="equal">
      <formula>"NO EJECUTADO"</formula>
    </cfRule>
    <cfRule type="cellIs" dxfId="4354" priority="28362" operator="equal">
      <formula>"FPE"</formula>
    </cfRule>
    <cfRule type="cellIs" dxfId="4353" priority="28363" operator="equal">
      <formula>"AMA"</formula>
    </cfRule>
    <cfRule type="cellIs" dxfId="4352" priority="28364" operator="equal">
      <formula>"SIN DATOS"</formula>
    </cfRule>
    <cfRule type="cellIs" dxfId="4351" priority="28365" operator="equal">
      <formula>"SIN DATOS"</formula>
    </cfRule>
    <cfRule type="cellIs" dxfId="4350" priority="28366" operator="equal">
      <formula>"NO EJECTUTADO"</formula>
    </cfRule>
    <cfRule type="cellIs" dxfId="4349" priority="28367" operator="equal">
      <formula>"FE"</formula>
    </cfRule>
    <cfRule type="cellIs" dxfId="4348" priority="28368" operator="equal">
      <formula>"FE"</formula>
    </cfRule>
  </conditionalFormatting>
  <conditionalFormatting sqref="F586">
    <cfRule type="cellIs" dxfId="4347" priority="28357" operator="equal">
      <formula>"Retirado"</formula>
    </cfRule>
    <cfRule type="cellIs" dxfId="4346" priority="28358" operator="equal">
      <formula>"FSE"</formula>
    </cfRule>
  </conditionalFormatting>
  <conditionalFormatting sqref="A587:A592">
    <cfRule type="cellIs" dxfId="4345" priority="28140" operator="equal">
      <formula>"APLAZADO"</formula>
    </cfRule>
    <cfRule type="cellIs" dxfId="4344" priority="28141" operator="equal">
      <formula>"CANCELADO"</formula>
    </cfRule>
    <cfRule type="cellIs" dxfId="4343" priority="28142" operator="equal">
      <formula>"NO EJECUTADO"</formula>
    </cfRule>
    <cfRule type="cellIs" dxfId="4342" priority="28143" operator="equal">
      <formula>"FPE"</formula>
    </cfRule>
    <cfRule type="cellIs" dxfId="4341" priority="28144" operator="equal">
      <formula>"AMA"</formula>
    </cfRule>
    <cfRule type="cellIs" dxfId="4340" priority="28145" operator="equal">
      <formula>"SIN DATOS"</formula>
    </cfRule>
    <cfRule type="cellIs" dxfId="4339" priority="28146" operator="equal">
      <formula>"SIN DATOS"</formula>
    </cfRule>
    <cfRule type="cellIs" dxfId="4338" priority="28147" operator="equal">
      <formula>"NO EJECTUTADO"</formula>
    </cfRule>
    <cfRule type="cellIs" dxfId="4337" priority="28148" operator="equal">
      <formula>"FE"</formula>
    </cfRule>
    <cfRule type="cellIs" dxfId="4336" priority="28149" operator="equal">
      <formula>"FE"</formula>
    </cfRule>
  </conditionalFormatting>
  <conditionalFormatting sqref="A587:A592">
    <cfRule type="cellIs" dxfId="4335" priority="28138" operator="equal">
      <formula>"Retirado"</formula>
    </cfRule>
    <cfRule type="cellIs" dxfId="4334" priority="28139" operator="equal">
      <formula>"FSE"</formula>
    </cfRule>
  </conditionalFormatting>
  <conditionalFormatting sqref="F587:F588 F590 F592">
    <cfRule type="cellIs" dxfId="4333" priority="28128" operator="equal">
      <formula>"APLAZADO"</formula>
    </cfRule>
    <cfRule type="cellIs" dxfId="4332" priority="28129" operator="equal">
      <formula>"CANCELADO"</formula>
    </cfRule>
    <cfRule type="cellIs" dxfId="4331" priority="28130" operator="equal">
      <formula>"NO EJECUTADO"</formula>
    </cfRule>
    <cfRule type="cellIs" dxfId="4330" priority="28131" operator="equal">
      <formula>"FPE"</formula>
    </cfRule>
    <cfRule type="cellIs" dxfId="4329" priority="28132" operator="equal">
      <formula>"AMA"</formula>
    </cfRule>
    <cfRule type="cellIs" dxfId="4328" priority="28133" operator="equal">
      <formula>"SIN DATOS"</formula>
    </cfRule>
    <cfRule type="cellIs" dxfId="4327" priority="28134" operator="equal">
      <formula>"SIN DATOS"</formula>
    </cfRule>
    <cfRule type="cellIs" dxfId="4326" priority="28135" operator="equal">
      <formula>"NO EJECTUTADO"</formula>
    </cfRule>
    <cfRule type="cellIs" dxfId="4325" priority="28136" operator="equal">
      <formula>"FE"</formula>
    </cfRule>
    <cfRule type="cellIs" dxfId="4324" priority="28137" operator="equal">
      <formula>"FE"</formula>
    </cfRule>
  </conditionalFormatting>
  <conditionalFormatting sqref="F587:F588 F590 F592">
    <cfRule type="cellIs" dxfId="4323" priority="28126" operator="equal">
      <formula>"Retirado"</formula>
    </cfRule>
    <cfRule type="cellIs" dxfId="4322" priority="28127" operator="equal">
      <formula>"FSE"</formula>
    </cfRule>
  </conditionalFormatting>
  <conditionalFormatting sqref="H587:H592">
    <cfRule type="duplicateValues" dxfId="4321" priority="28125"/>
  </conditionalFormatting>
  <conditionalFormatting sqref="B532">
    <cfRule type="cellIs" dxfId="4320" priority="27972" operator="equal">
      <formula>"Sin éxito"</formula>
    </cfRule>
    <cfRule type="cellIs" dxfId="4319" priority="27973" operator="equal">
      <formula>"Éxito con problemas"</formula>
    </cfRule>
    <cfRule type="cellIs" dxfId="4318" priority="27974" operator="equal">
      <formula>"CANCELADO"</formula>
    </cfRule>
    <cfRule type="cellIs" dxfId="4317" priority="27975" operator="equal">
      <formula>"Aplicada marcha atrás"</formula>
    </cfRule>
    <cfRule type="cellIs" dxfId="4316" priority="27976" operator="equal">
      <formula>"CON ÉXITO"</formula>
    </cfRule>
  </conditionalFormatting>
  <conditionalFormatting sqref="B533">
    <cfRule type="cellIs" dxfId="4315" priority="27841" operator="equal">
      <formula>"Sin éxito"</formula>
    </cfRule>
    <cfRule type="cellIs" dxfId="4314" priority="27842" operator="equal">
      <formula>"Éxito con problemas"</formula>
    </cfRule>
    <cfRule type="cellIs" dxfId="4313" priority="27843" operator="equal">
      <formula>"CANCELADO"</formula>
    </cfRule>
    <cfRule type="cellIs" dxfId="4312" priority="27844" operator="equal">
      <formula>"Aplicada marcha atrás"</formula>
    </cfRule>
    <cfRule type="cellIs" dxfId="4311" priority="27845" operator="equal">
      <formula>"CON ÉXITO"</formula>
    </cfRule>
  </conditionalFormatting>
  <conditionalFormatting sqref="B534">
    <cfRule type="cellIs" dxfId="4310" priority="27710" operator="equal">
      <formula>"Sin éxito"</formula>
    </cfRule>
    <cfRule type="cellIs" dxfId="4309" priority="27711" operator="equal">
      <formula>"Éxito con problemas"</formula>
    </cfRule>
    <cfRule type="cellIs" dxfId="4308" priority="27712" operator="equal">
      <formula>"CANCELADO"</formula>
    </cfRule>
    <cfRule type="cellIs" dxfId="4307" priority="27713" operator="equal">
      <formula>"Aplicada marcha atrás"</formula>
    </cfRule>
    <cfRule type="cellIs" dxfId="4306" priority="27714" operator="equal">
      <formula>"CON ÉXITO"</formula>
    </cfRule>
  </conditionalFormatting>
  <conditionalFormatting sqref="H593:H594">
    <cfRule type="duplicateValues" dxfId="4305" priority="27546"/>
  </conditionalFormatting>
  <conditionalFormatting sqref="A593:A594">
    <cfRule type="cellIs" dxfId="4304" priority="27536" operator="equal">
      <formula>"APLAZADO"</formula>
    </cfRule>
    <cfRule type="cellIs" dxfId="4303" priority="27537" operator="equal">
      <formula>"CANCELADO"</formula>
    </cfRule>
    <cfRule type="cellIs" dxfId="4302" priority="27538" operator="equal">
      <formula>"NO EJECUTADO"</formula>
    </cfRule>
    <cfRule type="cellIs" dxfId="4301" priority="27539" operator="equal">
      <formula>"FPE"</formula>
    </cfRule>
    <cfRule type="cellIs" dxfId="4300" priority="27540" operator="equal">
      <formula>"AMA"</formula>
    </cfRule>
    <cfRule type="cellIs" dxfId="4299" priority="27541" operator="equal">
      <formula>"SIN DATOS"</formula>
    </cfRule>
    <cfRule type="cellIs" dxfId="4298" priority="27542" operator="equal">
      <formula>"SIN DATOS"</formula>
    </cfRule>
    <cfRule type="cellIs" dxfId="4297" priority="27543" operator="equal">
      <formula>"NO EJECTUTADO"</formula>
    </cfRule>
    <cfRule type="cellIs" dxfId="4296" priority="27544" operator="equal">
      <formula>"FE"</formula>
    </cfRule>
    <cfRule type="cellIs" dxfId="4295" priority="27545" operator="equal">
      <formula>"FE"</formula>
    </cfRule>
  </conditionalFormatting>
  <conditionalFormatting sqref="A593:A594">
    <cfRule type="cellIs" dxfId="4294" priority="27534" operator="equal">
      <formula>"Retirado"</formula>
    </cfRule>
    <cfRule type="cellIs" dxfId="4293" priority="27535" operator="equal">
      <formula>"FSE"</formula>
    </cfRule>
  </conditionalFormatting>
  <conditionalFormatting sqref="F593:F594">
    <cfRule type="cellIs" dxfId="4292" priority="27512" operator="equal">
      <formula>"APLAZADO"</formula>
    </cfRule>
    <cfRule type="cellIs" dxfId="4291" priority="27513" operator="equal">
      <formula>"CANCELADO"</formula>
    </cfRule>
    <cfRule type="cellIs" dxfId="4290" priority="27514" operator="equal">
      <formula>"NO EJECUTADO"</formula>
    </cfRule>
    <cfRule type="cellIs" dxfId="4289" priority="27515" operator="equal">
      <formula>"FPE"</formula>
    </cfRule>
    <cfRule type="cellIs" dxfId="4288" priority="27516" operator="equal">
      <formula>"AMA"</formula>
    </cfRule>
    <cfRule type="cellIs" dxfId="4287" priority="27517" operator="equal">
      <formula>"SIN DATOS"</formula>
    </cfRule>
    <cfRule type="cellIs" dxfId="4286" priority="27518" operator="equal">
      <formula>"SIN DATOS"</formula>
    </cfRule>
    <cfRule type="cellIs" dxfId="4285" priority="27519" operator="equal">
      <formula>"NO EJECTUTADO"</formula>
    </cfRule>
    <cfRule type="cellIs" dxfId="4284" priority="27520" operator="equal">
      <formula>"FE"</formula>
    </cfRule>
    <cfRule type="cellIs" dxfId="4283" priority="27521" operator="equal">
      <formula>"FE"</formula>
    </cfRule>
  </conditionalFormatting>
  <conditionalFormatting sqref="F593:F594">
    <cfRule type="cellIs" dxfId="4282" priority="27510" operator="equal">
      <formula>"Retirado"</formula>
    </cfRule>
    <cfRule type="cellIs" dxfId="4281" priority="27511" operator="equal">
      <formula>"FSE"</formula>
    </cfRule>
  </conditionalFormatting>
  <conditionalFormatting sqref="A595:A596">
    <cfRule type="cellIs" dxfId="4280" priority="27499" operator="equal">
      <formula>"APLAZADO"</formula>
    </cfRule>
    <cfRule type="cellIs" dxfId="4279" priority="27500" operator="equal">
      <formula>"CANCELADO"</formula>
    </cfRule>
    <cfRule type="cellIs" dxfId="4278" priority="27501" operator="equal">
      <formula>"NO EJECUTADO"</formula>
    </cfRule>
    <cfRule type="cellIs" dxfId="4277" priority="27502" operator="equal">
      <formula>"FPE"</formula>
    </cfRule>
    <cfRule type="cellIs" dxfId="4276" priority="27503" operator="equal">
      <formula>"AMA"</formula>
    </cfRule>
    <cfRule type="cellIs" dxfId="4275" priority="27504" operator="equal">
      <formula>"SIN DATOS"</formula>
    </cfRule>
    <cfRule type="cellIs" dxfId="4274" priority="27505" operator="equal">
      <formula>"SIN DATOS"</formula>
    </cfRule>
    <cfRule type="cellIs" dxfId="4273" priority="27506" operator="equal">
      <formula>"NO EJECTUTADO"</formula>
    </cfRule>
    <cfRule type="cellIs" dxfId="4272" priority="27507" operator="equal">
      <formula>"FE"</formula>
    </cfRule>
    <cfRule type="cellIs" dxfId="4271" priority="27508" operator="equal">
      <formula>"FE"</formula>
    </cfRule>
  </conditionalFormatting>
  <conditionalFormatting sqref="A595:A596">
    <cfRule type="cellIs" dxfId="4270" priority="27497" operator="equal">
      <formula>"Retirado"</formula>
    </cfRule>
    <cfRule type="cellIs" dxfId="4269" priority="27498" operator="equal">
      <formula>"FSE"</formula>
    </cfRule>
  </conditionalFormatting>
  <conditionalFormatting sqref="H595:H596">
    <cfRule type="duplicateValues" dxfId="4268" priority="27496"/>
  </conditionalFormatting>
  <conditionalFormatting sqref="F595">
    <cfRule type="cellIs" dxfId="4267" priority="27461" operator="equal">
      <formula>"APLAZADO"</formula>
    </cfRule>
    <cfRule type="cellIs" dxfId="4266" priority="27462" operator="equal">
      <formula>"CANCELADO"</formula>
    </cfRule>
    <cfRule type="cellIs" dxfId="4265" priority="27463" operator="equal">
      <formula>"NO EJECUTADO"</formula>
    </cfRule>
    <cfRule type="cellIs" dxfId="4264" priority="27464" operator="equal">
      <formula>"FPE"</formula>
    </cfRule>
    <cfRule type="cellIs" dxfId="4263" priority="27465" operator="equal">
      <formula>"AMA"</formula>
    </cfRule>
    <cfRule type="cellIs" dxfId="4262" priority="27466" operator="equal">
      <formula>"SIN DATOS"</formula>
    </cfRule>
    <cfRule type="cellIs" dxfId="4261" priority="27467" operator="equal">
      <formula>"SIN DATOS"</formula>
    </cfRule>
    <cfRule type="cellIs" dxfId="4260" priority="27468" operator="equal">
      <formula>"NO EJECTUTADO"</formula>
    </cfRule>
    <cfRule type="cellIs" dxfId="4259" priority="27469" operator="equal">
      <formula>"FE"</formula>
    </cfRule>
    <cfRule type="cellIs" dxfId="4258" priority="27470" operator="equal">
      <formula>"FE"</formula>
    </cfRule>
  </conditionalFormatting>
  <conditionalFormatting sqref="F595">
    <cfRule type="cellIs" dxfId="4257" priority="27459" operator="equal">
      <formula>"Retirado"</formula>
    </cfRule>
    <cfRule type="cellIs" dxfId="4256" priority="27460" operator="equal">
      <formula>"FSE"</formula>
    </cfRule>
  </conditionalFormatting>
  <conditionalFormatting sqref="F596">
    <cfRule type="cellIs" dxfId="4255" priority="27449" operator="equal">
      <formula>"APLAZADO"</formula>
    </cfRule>
    <cfRule type="cellIs" dxfId="4254" priority="27450" operator="equal">
      <formula>"CANCELADO"</formula>
    </cfRule>
    <cfRule type="cellIs" dxfId="4253" priority="27451" operator="equal">
      <formula>"NO EJECUTADO"</formula>
    </cfRule>
    <cfRule type="cellIs" dxfId="4252" priority="27452" operator="equal">
      <formula>"FPE"</formula>
    </cfRule>
    <cfRule type="cellIs" dxfId="4251" priority="27453" operator="equal">
      <formula>"AMA"</formula>
    </cfRule>
    <cfRule type="cellIs" dxfId="4250" priority="27454" operator="equal">
      <formula>"SIN DATOS"</formula>
    </cfRule>
    <cfRule type="cellIs" dxfId="4249" priority="27455" operator="equal">
      <formula>"SIN DATOS"</formula>
    </cfRule>
    <cfRule type="cellIs" dxfId="4248" priority="27456" operator="equal">
      <formula>"NO EJECTUTADO"</formula>
    </cfRule>
    <cfRule type="cellIs" dxfId="4247" priority="27457" operator="equal">
      <formula>"FE"</formula>
    </cfRule>
    <cfRule type="cellIs" dxfId="4246" priority="27458" operator="equal">
      <formula>"FE"</formula>
    </cfRule>
  </conditionalFormatting>
  <conditionalFormatting sqref="F596">
    <cfRule type="cellIs" dxfId="4245" priority="27447" operator="equal">
      <formula>"Retirado"</formula>
    </cfRule>
    <cfRule type="cellIs" dxfId="4244" priority="27448" operator="equal">
      <formula>"FSE"</formula>
    </cfRule>
  </conditionalFormatting>
  <conditionalFormatting sqref="A597">
    <cfRule type="cellIs" dxfId="4243" priority="27383" operator="equal">
      <formula>"APLAZADO"</formula>
    </cfRule>
    <cfRule type="cellIs" dxfId="4242" priority="27384" operator="equal">
      <formula>"CANCELADO"</formula>
    </cfRule>
    <cfRule type="cellIs" dxfId="4241" priority="27385" operator="equal">
      <formula>"NO EJECUTADO"</formula>
    </cfRule>
    <cfRule type="cellIs" dxfId="4240" priority="27386" operator="equal">
      <formula>"FPE"</formula>
    </cfRule>
    <cfRule type="cellIs" dxfId="4239" priority="27387" operator="equal">
      <formula>"AMA"</formula>
    </cfRule>
    <cfRule type="cellIs" dxfId="4238" priority="27388" operator="equal">
      <formula>"SIN DATOS"</formula>
    </cfRule>
    <cfRule type="cellIs" dxfId="4237" priority="27389" operator="equal">
      <formula>"SIN DATOS"</formula>
    </cfRule>
    <cfRule type="cellIs" dxfId="4236" priority="27390" operator="equal">
      <formula>"NO EJECTUTADO"</formula>
    </cfRule>
    <cfRule type="cellIs" dxfId="4235" priority="27391" operator="equal">
      <formula>"FE"</formula>
    </cfRule>
    <cfRule type="cellIs" dxfId="4234" priority="27392" operator="equal">
      <formula>"FE"</formula>
    </cfRule>
  </conditionalFormatting>
  <conditionalFormatting sqref="A597">
    <cfRule type="cellIs" dxfId="4233" priority="27381" operator="equal">
      <formula>"Retirado"</formula>
    </cfRule>
    <cfRule type="cellIs" dxfId="4232" priority="27382" operator="equal">
      <formula>"FSE"</formula>
    </cfRule>
  </conditionalFormatting>
  <conditionalFormatting sqref="H597">
    <cfRule type="duplicateValues" dxfId="4231" priority="27380"/>
  </conditionalFormatting>
  <conditionalFormatting sqref="F597">
    <cfRule type="cellIs" dxfId="4230" priority="27370" operator="equal">
      <formula>"APLAZADO"</formula>
    </cfRule>
    <cfRule type="cellIs" dxfId="4229" priority="27371" operator="equal">
      <formula>"CANCELADO"</formula>
    </cfRule>
    <cfRule type="cellIs" dxfId="4228" priority="27372" operator="equal">
      <formula>"NO EJECUTADO"</formula>
    </cfRule>
    <cfRule type="cellIs" dxfId="4227" priority="27373" operator="equal">
      <formula>"FPE"</formula>
    </cfRule>
    <cfRule type="cellIs" dxfId="4226" priority="27374" operator="equal">
      <formula>"AMA"</formula>
    </cfRule>
    <cfRule type="cellIs" dxfId="4225" priority="27375" operator="equal">
      <formula>"SIN DATOS"</formula>
    </cfRule>
    <cfRule type="cellIs" dxfId="4224" priority="27376" operator="equal">
      <formula>"SIN DATOS"</formula>
    </cfRule>
    <cfRule type="cellIs" dxfId="4223" priority="27377" operator="equal">
      <formula>"NO EJECTUTADO"</formula>
    </cfRule>
    <cfRule type="cellIs" dxfId="4222" priority="27378" operator="equal">
      <formula>"FE"</formula>
    </cfRule>
    <cfRule type="cellIs" dxfId="4221" priority="27379" operator="equal">
      <formula>"FE"</formula>
    </cfRule>
  </conditionalFormatting>
  <conditionalFormatting sqref="F597">
    <cfRule type="cellIs" dxfId="4220" priority="27368" operator="equal">
      <formula>"Retirado"</formula>
    </cfRule>
    <cfRule type="cellIs" dxfId="4219" priority="27369" operator="equal">
      <formula>"FSE"</formula>
    </cfRule>
  </conditionalFormatting>
  <conditionalFormatting sqref="H598">
    <cfRule type="duplicateValues" dxfId="4218" priority="27271"/>
  </conditionalFormatting>
  <conditionalFormatting sqref="A598">
    <cfRule type="cellIs" dxfId="4217" priority="27261" operator="equal">
      <formula>"APLAZADO"</formula>
    </cfRule>
    <cfRule type="cellIs" dxfId="4216" priority="27262" operator="equal">
      <formula>"CANCELADO"</formula>
    </cfRule>
    <cfRule type="cellIs" dxfId="4215" priority="27263" operator="equal">
      <formula>"NO EJECUTADO"</formula>
    </cfRule>
    <cfRule type="cellIs" dxfId="4214" priority="27264" operator="equal">
      <formula>"FPE"</formula>
    </cfRule>
    <cfRule type="cellIs" dxfId="4213" priority="27265" operator="equal">
      <formula>"AMA"</formula>
    </cfRule>
    <cfRule type="cellIs" dxfId="4212" priority="27266" operator="equal">
      <formula>"SIN DATOS"</formula>
    </cfRule>
    <cfRule type="cellIs" dxfId="4211" priority="27267" operator="equal">
      <formula>"SIN DATOS"</formula>
    </cfRule>
    <cfRule type="cellIs" dxfId="4210" priority="27268" operator="equal">
      <formula>"NO EJECTUTADO"</formula>
    </cfRule>
    <cfRule type="cellIs" dxfId="4209" priority="27269" operator="equal">
      <formula>"FE"</formula>
    </cfRule>
    <cfRule type="cellIs" dxfId="4208" priority="27270" operator="equal">
      <formula>"FE"</formula>
    </cfRule>
  </conditionalFormatting>
  <conditionalFormatting sqref="A598">
    <cfRule type="cellIs" dxfId="4207" priority="27259" operator="equal">
      <formula>"Retirado"</formula>
    </cfRule>
    <cfRule type="cellIs" dxfId="4206" priority="27260" operator="equal">
      <formula>"FSE"</formula>
    </cfRule>
  </conditionalFormatting>
  <conditionalFormatting sqref="F598">
    <cfRule type="cellIs" dxfId="4205" priority="27249" operator="equal">
      <formula>"APLAZADO"</formula>
    </cfRule>
    <cfRule type="cellIs" dxfId="4204" priority="27250" operator="equal">
      <formula>"CANCELADO"</formula>
    </cfRule>
    <cfRule type="cellIs" dxfId="4203" priority="27251" operator="equal">
      <formula>"NO EJECUTADO"</formula>
    </cfRule>
    <cfRule type="cellIs" dxfId="4202" priority="27252" operator="equal">
      <formula>"FPE"</formula>
    </cfRule>
    <cfRule type="cellIs" dxfId="4201" priority="27253" operator="equal">
      <formula>"AMA"</formula>
    </cfRule>
    <cfRule type="cellIs" dxfId="4200" priority="27254" operator="equal">
      <formula>"SIN DATOS"</formula>
    </cfRule>
    <cfRule type="cellIs" dxfId="4199" priority="27255" operator="equal">
      <formula>"SIN DATOS"</formula>
    </cfRule>
    <cfRule type="cellIs" dxfId="4198" priority="27256" operator="equal">
      <formula>"NO EJECTUTADO"</formula>
    </cfRule>
    <cfRule type="cellIs" dxfId="4197" priority="27257" operator="equal">
      <formula>"FE"</formula>
    </cfRule>
    <cfRule type="cellIs" dxfId="4196" priority="27258" operator="equal">
      <formula>"FE"</formula>
    </cfRule>
  </conditionalFormatting>
  <conditionalFormatting sqref="F598">
    <cfRule type="cellIs" dxfId="4195" priority="27247" operator="equal">
      <formula>"Retirado"</formula>
    </cfRule>
    <cfRule type="cellIs" dxfId="4194" priority="27248" operator="equal">
      <formula>"FSE"</formula>
    </cfRule>
  </conditionalFormatting>
  <conditionalFormatting sqref="H599">
    <cfRule type="duplicateValues" dxfId="4193" priority="27099"/>
  </conditionalFormatting>
  <conditionalFormatting sqref="A599">
    <cfRule type="cellIs" dxfId="4192" priority="27076" operator="equal">
      <formula>"APLAZADO"</formula>
    </cfRule>
    <cfRule type="cellIs" dxfId="4191" priority="27077" operator="equal">
      <formula>"CANCELADO"</formula>
    </cfRule>
    <cfRule type="cellIs" dxfId="4190" priority="27078" operator="equal">
      <formula>"NO EJECUTADO"</formula>
    </cfRule>
    <cfRule type="cellIs" dxfId="4189" priority="27079" operator="equal">
      <formula>"FPE"</formula>
    </cfRule>
    <cfRule type="cellIs" dxfId="4188" priority="27080" operator="equal">
      <formula>"AMA"</formula>
    </cfRule>
    <cfRule type="cellIs" dxfId="4187" priority="27081" operator="equal">
      <formula>"SIN DATOS"</formula>
    </cfRule>
    <cfRule type="cellIs" dxfId="4186" priority="27082" operator="equal">
      <formula>"SIN DATOS"</formula>
    </cfRule>
    <cfRule type="cellIs" dxfId="4185" priority="27083" operator="equal">
      <formula>"NO EJECTUTADO"</formula>
    </cfRule>
    <cfRule type="cellIs" dxfId="4184" priority="27084" operator="equal">
      <formula>"FE"</formula>
    </cfRule>
    <cfRule type="cellIs" dxfId="4183" priority="27085" operator="equal">
      <formula>"FE"</formula>
    </cfRule>
  </conditionalFormatting>
  <conditionalFormatting sqref="A599">
    <cfRule type="cellIs" dxfId="4182" priority="27074" operator="equal">
      <formula>"Retirado"</formula>
    </cfRule>
    <cfRule type="cellIs" dxfId="4181" priority="27075" operator="equal">
      <formula>"FSE"</formula>
    </cfRule>
  </conditionalFormatting>
  <conditionalFormatting sqref="F599">
    <cfRule type="cellIs" dxfId="4180" priority="27064" operator="equal">
      <formula>"APLAZADO"</formula>
    </cfRule>
    <cfRule type="cellIs" dxfId="4179" priority="27065" operator="equal">
      <formula>"CANCELADO"</formula>
    </cfRule>
    <cfRule type="cellIs" dxfId="4178" priority="27066" operator="equal">
      <formula>"NO EJECUTADO"</formula>
    </cfRule>
    <cfRule type="cellIs" dxfId="4177" priority="27067" operator="equal">
      <formula>"FPE"</formula>
    </cfRule>
    <cfRule type="cellIs" dxfId="4176" priority="27068" operator="equal">
      <formula>"AMA"</formula>
    </cfRule>
    <cfRule type="cellIs" dxfId="4175" priority="27069" operator="equal">
      <formula>"SIN DATOS"</formula>
    </cfRule>
    <cfRule type="cellIs" dxfId="4174" priority="27070" operator="equal">
      <formula>"SIN DATOS"</formula>
    </cfRule>
    <cfRule type="cellIs" dxfId="4173" priority="27071" operator="equal">
      <formula>"NO EJECTUTADO"</formula>
    </cfRule>
    <cfRule type="cellIs" dxfId="4172" priority="27072" operator="equal">
      <formula>"FE"</formula>
    </cfRule>
    <cfRule type="cellIs" dxfId="4171" priority="27073" operator="equal">
      <formula>"FE"</formula>
    </cfRule>
  </conditionalFormatting>
  <conditionalFormatting sqref="F599">
    <cfRule type="cellIs" dxfId="4170" priority="27062" operator="equal">
      <formula>"Retirado"</formula>
    </cfRule>
    <cfRule type="cellIs" dxfId="4169" priority="27063" operator="equal">
      <formula>"FSE"</formula>
    </cfRule>
  </conditionalFormatting>
  <conditionalFormatting sqref="B531">
    <cfRule type="cellIs" dxfId="4168" priority="26931" operator="equal">
      <formula>"Sin éxito"</formula>
    </cfRule>
    <cfRule type="cellIs" dxfId="4167" priority="26932" operator="equal">
      <formula>"Éxito con problemas"</formula>
    </cfRule>
    <cfRule type="cellIs" dxfId="4166" priority="26933" operator="equal">
      <formula>"CANCELADO"</formula>
    </cfRule>
    <cfRule type="cellIs" dxfId="4165" priority="26934" operator="equal">
      <formula>"Aplicada marcha atrás"</formula>
    </cfRule>
    <cfRule type="cellIs" dxfId="4164" priority="26935" operator="equal">
      <formula>"CON ÉXITO"</formula>
    </cfRule>
  </conditionalFormatting>
  <conditionalFormatting sqref="B535">
    <cfRule type="cellIs" dxfId="4163" priority="26787" operator="equal">
      <formula>"Sin éxito"</formula>
    </cfRule>
    <cfRule type="cellIs" dxfId="4162" priority="26788" operator="equal">
      <formula>"Éxito con problemas"</formula>
    </cfRule>
    <cfRule type="cellIs" dxfId="4161" priority="26789" operator="equal">
      <formula>"CANCELADO"</formula>
    </cfRule>
    <cfRule type="cellIs" dxfId="4160" priority="26790" operator="equal">
      <formula>"Aplicada marcha atrás"</formula>
    </cfRule>
    <cfRule type="cellIs" dxfId="4159" priority="26791" operator="equal">
      <formula>"CON ÉXITO"</formula>
    </cfRule>
  </conditionalFormatting>
  <conditionalFormatting sqref="B536">
    <cfRule type="cellIs" dxfId="4158" priority="26604" operator="equal">
      <formula>"Sin éxito"</formula>
    </cfRule>
    <cfRule type="cellIs" dxfId="4157" priority="26605" operator="equal">
      <formula>"Éxito con problemas"</formula>
    </cfRule>
    <cfRule type="cellIs" dxfId="4156" priority="26606" operator="equal">
      <formula>"CANCELADO"</formula>
    </cfRule>
    <cfRule type="cellIs" dxfId="4155" priority="26607" operator="equal">
      <formula>"Aplicada marcha atrás"</formula>
    </cfRule>
    <cfRule type="cellIs" dxfId="4154" priority="26608" operator="equal">
      <formula>"CON ÉXITO"</formula>
    </cfRule>
  </conditionalFormatting>
  <conditionalFormatting sqref="B537">
    <cfRule type="cellIs" dxfId="4153" priority="26336" operator="equal">
      <formula>"Sin éxito"</formula>
    </cfRule>
    <cfRule type="cellIs" dxfId="4152" priority="26337" operator="equal">
      <formula>"Éxito con problemas"</formula>
    </cfRule>
    <cfRule type="cellIs" dxfId="4151" priority="26338" operator="equal">
      <formula>"CANCELADO"</formula>
    </cfRule>
    <cfRule type="cellIs" dxfId="4150" priority="26339" operator="equal">
      <formula>"Aplicada marcha atrás"</formula>
    </cfRule>
    <cfRule type="cellIs" dxfId="4149" priority="26340" operator="equal">
      <formula>"CON ÉXITO"</formula>
    </cfRule>
  </conditionalFormatting>
  <conditionalFormatting sqref="B538">
    <cfRule type="cellIs" dxfId="4148" priority="26080" operator="equal">
      <formula>"Sin éxito"</formula>
    </cfRule>
    <cfRule type="cellIs" dxfId="4147" priority="26081" operator="equal">
      <formula>"Éxito con problemas"</formula>
    </cfRule>
    <cfRule type="cellIs" dxfId="4146" priority="26082" operator="equal">
      <formula>"CANCELADO"</formula>
    </cfRule>
    <cfRule type="cellIs" dxfId="4145" priority="26083" operator="equal">
      <formula>"Aplicada marcha atrás"</formula>
    </cfRule>
    <cfRule type="cellIs" dxfId="4144" priority="26084" operator="equal">
      <formula>"CON ÉXITO"</formula>
    </cfRule>
  </conditionalFormatting>
  <conditionalFormatting sqref="B539">
    <cfRule type="cellIs" dxfId="4143" priority="25800" operator="equal">
      <formula>"Sin éxito"</formula>
    </cfRule>
    <cfRule type="cellIs" dxfId="4142" priority="25801" operator="equal">
      <formula>"Éxito con problemas"</formula>
    </cfRule>
    <cfRule type="cellIs" dxfId="4141" priority="25802" operator="equal">
      <formula>"CANCELADO"</formula>
    </cfRule>
    <cfRule type="cellIs" dxfId="4140" priority="25803" operator="equal">
      <formula>"Aplicada marcha atrás"</formula>
    </cfRule>
    <cfRule type="cellIs" dxfId="4139" priority="25804" operator="equal">
      <formula>"CON ÉXITO"</formula>
    </cfRule>
  </conditionalFormatting>
  <conditionalFormatting sqref="H600">
    <cfRule type="duplicateValues" dxfId="4138" priority="25787"/>
  </conditionalFormatting>
  <conditionalFormatting sqref="A600">
    <cfRule type="cellIs" dxfId="4137" priority="25777" operator="equal">
      <formula>"APLAZADO"</formula>
    </cfRule>
    <cfRule type="cellIs" dxfId="4136" priority="25778" operator="equal">
      <formula>"CANCELADO"</formula>
    </cfRule>
    <cfRule type="cellIs" dxfId="4135" priority="25779" operator="equal">
      <formula>"NO EJECUTADO"</formula>
    </cfRule>
    <cfRule type="cellIs" dxfId="4134" priority="25780" operator="equal">
      <formula>"FPE"</formula>
    </cfRule>
    <cfRule type="cellIs" dxfId="4133" priority="25781" operator="equal">
      <formula>"AMA"</formula>
    </cfRule>
    <cfRule type="cellIs" dxfId="4132" priority="25782" operator="equal">
      <formula>"SIN DATOS"</formula>
    </cfRule>
    <cfRule type="cellIs" dxfId="4131" priority="25783" operator="equal">
      <formula>"SIN DATOS"</formula>
    </cfRule>
    <cfRule type="cellIs" dxfId="4130" priority="25784" operator="equal">
      <formula>"NO EJECTUTADO"</formula>
    </cfRule>
    <cfRule type="cellIs" dxfId="4129" priority="25785" operator="equal">
      <formula>"FE"</formula>
    </cfRule>
    <cfRule type="cellIs" dxfId="4128" priority="25786" operator="equal">
      <formula>"FE"</formula>
    </cfRule>
  </conditionalFormatting>
  <conditionalFormatting sqref="A600">
    <cfRule type="cellIs" dxfId="4127" priority="25775" operator="equal">
      <formula>"Retirado"</formula>
    </cfRule>
    <cfRule type="cellIs" dxfId="4126" priority="25776" operator="equal">
      <formula>"FSE"</formula>
    </cfRule>
  </conditionalFormatting>
  <conditionalFormatting sqref="F600">
    <cfRule type="cellIs" dxfId="4125" priority="25765" operator="equal">
      <formula>"APLAZADO"</formula>
    </cfRule>
    <cfRule type="cellIs" dxfId="4124" priority="25766" operator="equal">
      <formula>"CANCELADO"</formula>
    </cfRule>
    <cfRule type="cellIs" dxfId="4123" priority="25767" operator="equal">
      <formula>"NO EJECUTADO"</formula>
    </cfRule>
    <cfRule type="cellIs" dxfId="4122" priority="25768" operator="equal">
      <formula>"FPE"</formula>
    </cfRule>
    <cfRule type="cellIs" dxfId="4121" priority="25769" operator="equal">
      <formula>"AMA"</formula>
    </cfRule>
    <cfRule type="cellIs" dxfId="4120" priority="25770" operator="equal">
      <formula>"SIN DATOS"</formula>
    </cfRule>
    <cfRule type="cellIs" dxfId="4119" priority="25771" operator="equal">
      <formula>"SIN DATOS"</formula>
    </cfRule>
    <cfRule type="cellIs" dxfId="4118" priority="25772" operator="equal">
      <formula>"NO EJECTUTADO"</formula>
    </cfRule>
    <cfRule type="cellIs" dxfId="4117" priority="25773" operator="equal">
      <formula>"FE"</formula>
    </cfRule>
    <cfRule type="cellIs" dxfId="4116" priority="25774" operator="equal">
      <formula>"FE"</formula>
    </cfRule>
  </conditionalFormatting>
  <conditionalFormatting sqref="F600">
    <cfRule type="cellIs" dxfId="4115" priority="25763" operator="equal">
      <formula>"Retirado"</formula>
    </cfRule>
    <cfRule type="cellIs" dxfId="4114" priority="25764" operator="equal">
      <formula>"FSE"</formula>
    </cfRule>
  </conditionalFormatting>
  <conditionalFormatting sqref="B600">
    <cfRule type="cellIs" dxfId="4113" priority="25746" operator="equal">
      <formula>"Sin éxito"</formula>
    </cfRule>
    <cfRule type="cellIs" dxfId="4112" priority="25747" operator="equal">
      <formula>"Éxito con problemas"</formula>
    </cfRule>
    <cfRule type="cellIs" dxfId="4111" priority="25748" operator="equal">
      <formula>"CANCELADO"</formula>
    </cfRule>
    <cfRule type="cellIs" dxfId="4110" priority="25749" operator="equal">
      <formula>"Aplicada marcha atrás"</formula>
    </cfRule>
    <cfRule type="cellIs" dxfId="4109" priority="25750" operator="equal">
      <formula>"CON ÉXITO"</formula>
    </cfRule>
  </conditionalFormatting>
  <conditionalFormatting sqref="H601">
    <cfRule type="duplicateValues" dxfId="4108" priority="25684"/>
  </conditionalFormatting>
  <conditionalFormatting sqref="A601">
    <cfRule type="cellIs" dxfId="4107" priority="25674" operator="equal">
      <formula>"APLAZADO"</formula>
    </cfRule>
    <cfRule type="cellIs" dxfId="4106" priority="25675" operator="equal">
      <formula>"CANCELADO"</formula>
    </cfRule>
    <cfRule type="cellIs" dxfId="4105" priority="25676" operator="equal">
      <formula>"NO EJECUTADO"</formula>
    </cfRule>
    <cfRule type="cellIs" dxfId="4104" priority="25677" operator="equal">
      <formula>"FPE"</formula>
    </cfRule>
    <cfRule type="cellIs" dxfId="4103" priority="25678" operator="equal">
      <formula>"AMA"</formula>
    </cfRule>
    <cfRule type="cellIs" dxfId="4102" priority="25679" operator="equal">
      <formula>"SIN DATOS"</formula>
    </cfRule>
    <cfRule type="cellIs" dxfId="4101" priority="25680" operator="equal">
      <formula>"SIN DATOS"</formula>
    </cfRule>
    <cfRule type="cellIs" dxfId="4100" priority="25681" operator="equal">
      <formula>"NO EJECTUTADO"</formula>
    </cfRule>
    <cfRule type="cellIs" dxfId="4099" priority="25682" operator="equal">
      <formula>"FE"</formula>
    </cfRule>
    <cfRule type="cellIs" dxfId="4098" priority="25683" operator="equal">
      <formula>"FE"</formula>
    </cfRule>
  </conditionalFormatting>
  <conditionalFormatting sqref="A601">
    <cfRule type="cellIs" dxfId="4097" priority="25672" operator="equal">
      <formula>"Retirado"</formula>
    </cfRule>
    <cfRule type="cellIs" dxfId="4096" priority="25673" operator="equal">
      <formula>"FSE"</formula>
    </cfRule>
  </conditionalFormatting>
  <conditionalFormatting sqref="F601">
    <cfRule type="cellIs" dxfId="4095" priority="25662" operator="equal">
      <formula>"APLAZADO"</formula>
    </cfRule>
    <cfRule type="cellIs" dxfId="4094" priority="25663" operator="equal">
      <formula>"CANCELADO"</formula>
    </cfRule>
    <cfRule type="cellIs" dxfId="4093" priority="25664" operator="equal">
      <formula>"NO EJECUTADO"</formula>
    </cfRule>
    <cfRule type="cellIs" dxfId="4092" priority="25665" operator="equal">
      <formula>"FPE"</formula>
    </cfRule>
    <cfRule type="cellIs" dxfId="4091" priority="25666" operator="equal">
      <formula>"AMA"</formula>
    </cfRule>
    <cfRule type="cellIs" dxfId="4090" priority="25667" operator="equal">
      <formula>"SIN DATOS"</formula>
    </cfRule>
    <cfRule type="cellIs" dxfId="4089" priority="25668" operator="equal">
      <formula>"SIN DATOS"</formula>
    </cfRule>
    <cfRule type="cellIs" dxfId="4088" priority="25669" operator="equal">
      <formula>"NO EJECTUTADO"</formula>
    </cfRule>
    <cfRule type="cellIs" dxfId="4087" priority="25670" operator="equal">
      <formula>"FE"</formula>
    </cfRule>
    <cfRule type="cellIs" dxfId="4086" priority="25671" operator="equal">
      <formula>"FE"</formula>
    </cfRule>
  </conditionalFormatting>
  <conditionalFormatting sqref="F601">
    <cfRule type="cellIs" dxfId="4085" priority="25660" operator="equal">
      <formula>"Retirado"</formula>
    </cfRule>
    <cfRule type="cellIs" dxfId="4084" priority="25661" operator="equal">
      <formula>"FSE"</formula>
    </cfRule>
  </conditionalFormatting>
  <conditionalFormatting sqref="B601">
    <cfRule type="cellIs" dxfId="4083" priority="25411" operator="equal">
      <formula>"Sin éxito"</formula>
    </cfRule>
    <cfRule type="cellIs" dxfId="4082" priority="25412" operator="equal">
      <formula>"Éxito con problemas"</formula>
    </cfRule>
    <cfRule type="cellIs" dxfId="4081" priority="25413" operator="equal">
      <formula>"CANCELADO"</formula>
    </cfRule>
    <cfRule type="cellIs" dxfId="4080" priority="25414" operator="equal">
      <formula>"Aplicada marcha atrás"</formula>
    </cfRule>
    <cfRule type="cellIs" dxfId="4079" priority="25415" operator="equal">
      <formula>"CON ÉXITO"</formula>
    </cfRule>
  </conditionalFormatting>
  <conditionalFormatting sqref="B540">
    <cfRule type="cellIs" dxfId="4078" priority="25115" operator="equal">
      <formula>"Sin éxito"</formula>
    </cfRule>
    <cfRule type="cellIs" dxfId="4077" priority="25116" operator="equal">
      <formula>"Éxito con problemas"</formula>
    </cfRule>
    <cfRule type="cellIs" dxfId="4076" priority="25117" operator="equal">
      <formula>"CANCELADO"</formula>
    </cfRule>
    <cfRule type="cellIs" dxfId="4075" priority="25118" operator="equal">
      <formula>"Aplicada marcha atrás"</formula>
    </cfRule>
    <cfRule type="cellIs" dxfId="4074" priority="25119" operator="equal">
      <formula>"CON ÉXITO"</formula>
    </cfRule>
  </conditionalFormatting>
  <conditionalFormatting sqref="B541">
    <cfRule type="cellIs" dxfId="4073" priority="24783" operator="equal">
      <formula>"Sin éxito"</formula>
    </cfRule>
    <cfRule type="cellIs" dxfId="4072" priority="24784" operator="equal">
      <formula>"Éxito con problemas"</formula>
    </cfRule>
    <cfRule type="cellIs" dxfId="4071" priority="24785" operator="equal">
      <formula>"CANCELADO"</formula>
    </cfRule>
    <cfRule type="cellIs" dxfId="4070" priority="24786" operator="equal">
      <formula>"Aplicada marcha atrás"</formula>
    </cfRule>
    <cfRule type="cellIs" dxfId="4069" priority="24787" operator="equal">
      <formula>"CON ÉXITO"</formula>
    </cfRule>
  </conditionalFormatting>
  <conditionalFormatting sqref="H602">
    <cfRule type="duplicateValues" dxfId="4068" priority="24428"/>
  </conditionalFormatting>
  <conditionalFormatting sqref="A602">
    <cfRule type="cellIs" dxfId="4067" priority="24418" operator="equal">
      <formula>"APLAZADO"</formula>
    </cfRule>
    <cfRule type="cellIs" dxfId="4066" priority="24419" operator="equal">
      <formula>"CANCELADO"</formula>
    </cfRule>
    <cfRule type="cellIs" dxfId="4065" priority="24420" operator="equal">
      <formula>"NO EJECUTADO"</formula>
    </cfRule>
    <cfRule type="cellIs" dxfId="4064" priority="24421" operator="equal">
      <formula>"FPE"</formula>
    </cfRule>
    <cfRule type="cellIs" dxfId="4063" priority="24422" operator="equal">
      <formula>"AMA"</formula>
    </cfRule>
    <cfRule type="cellIs" dxfId="4062" priority="24423" operator="equal">
      <formula>"SIN DATOS"</formula>
    </cfRule>
    <cfRule type="cellIs" dxfId="4061" priority="24424" operator="equal">
      <formula>"SIN DATOS"</formula>
    </cfRule>
    <cfRule type="cellIs" dxfId="4060" priority="24425" operator="equal">
      <formula>"NO EJECTUTADO"</formula>
    </cfRule>
    <cfRule type="cellIs" dxfId="4059" priority="24426" operator="equal">
      <formula>"FE"</formula>
    </cfRule>
    <cfRule type="cellIs" dxfId="4058" priority="24427" operator="equal">
      <formula>"FE"</formula>
    </cfRule>
  </conditionalFormatting>
  <conditionalFormatting sqref="A602">
    <cfRule type="cellIs" dxfId="4057" priority="24416" operator="equal">
      <formula>"Retirado"</formula>
    </cfRule>
    <cfRule type="cellIs" dxfId="4056" priority="24417" operator="equal">
      <formula>"FSE"</formula>
    </cfRule>
  </conditionalFormatting>
  <conditionalFormatting sqref="B602">
    <cfRule type="cellIs" dxfId="4055" priority="24399" operator="equal">
      <formula>"Sin éxito"</formula>
    </cfRule>
    <cfRule type="cellIs" dxfId="4054" priority="24400" operator="equal">
      <formula>"Éxito con problemas"</formula>
    </cfRule>
    <cfRule type="cellIs" dxfId="4053" priority="24401" operator="equal">
      <formula>"CANCELADO"</formula>
    </cfRule>
    <cfRule type="cellIs" dxfId="4052" priority="24402" operator="equal">
      <formula>"Aplicada marcha atrás"</formula>
    </cfRule>
    <cfRule type="cellIs" dxfId="4051" priority="24403" operator="equal">
      <formula>"CON ÉXITO"</formula>
    </cfRule>
  </conditionalFormatting>
  <conditionalFormatting sqref="F602">
    <cfRule type="cellIs" dxfId="4050" priority="24387" operator="equal">
      <formula>"APLAZADO"</formula>
    </cfRule>
    <cfRule type="cellIs" dxfId="4049" priority="24388" operator="equal">
      <formula>"CANCELADO"</formula>
    </cfRule>
    <cfRule type="cellIs" dxfId="4048" priority="24389" operator="equal">
      <formula>"NO EJECUTADO"</formula>
    </cfRule>
    <cfRule type="cellIs" dxfId="4047" priority="24390" operator="equal">
      <formula>"FPE"</formula>
    </cfRule>
    <cfRule type="cellIs" dxfId="4046" priority="24391" operator="equal">
      <formula>"AMA"</formula>
    </cfRule>
    <cfRule type="cellIs" dxfId="4045" priority="24392" operator="equal">
      <formula>"SIN DATOS"</formula>
    </cfRule>
    <cfRule type="cellIs" dxfId="4044" priority="24393" operator="equal">
      <formula>"SIN DATOS"</formula>
    </cfRule>
    <cfRule type="cellIs" dxfId="4043" priority="24394" operator="equal">
      <formula>"NO EJECTUTADO"</formula>
    </cfRule>
    <cfRule type="cellIs" dxfId="4042" priority="24395" operator="equal">
      <formula>"FE"</formula>
    </cfRule>
    <cfRule type="cellIs" dxfId="4041" priority="24396" operator="equal">
      <formula>"FE"</formula>
    </cfRule>
  </conditionalFormatting>
  <conditionalFormatting sqref="F602">
    <cfRule type="cellIs" dxfId="4040" priority="24385" operator="equal">
      <formula>"Retirado"</formula>
    </cfRule>
    <cfRule type="cellIs" dxfId="4039" priority="24386" operator="equal">
      <formula>"FSE"</formula>
    </cfRule>
  </conditionalFormatting>
  <conditionalFormatting sqref="B544:B545">
    <cfRule type="cellIs" dxfId="4038" priority="24044" operator="equal">
      <formula>"Sin éxito"</formula>
    </cfRule>
    <cfRule type="cellIs" dxfId="4037" priority="24045" operator="equal">
      <formula>"Éxito con problemas"</formula>
    </cfRule>
    <cfRule type="cellIs" dxfId="4036" priority="24046" operator="equal">
      <formula>"CANCELADO"</formula>
    </cfRule>
    <cfRule type="cellIs" dxfId="4035" priority="24047" operator="equal">
      <formula>"Aplicada marcha atrás"</formula>
    </cfRule>
    <cfRule type="cellIs" dxfId="4034" priority="24048" operator="equal">
      <formula>"CON ÉXITO"</formula>
    </cfRule>
  </conditionalFormatting>
  <conditionalFormatting sqref="H603">
    <cfRule type="duplicateValues" dxfId="4033" priority="23930"/>
  </conditionalFormatting>
  <conditionalFormatting sqref="A603">
    <cfRule type="cellIs" dxfId="4032" priority="23907" operator="equal">
      <formula>"APLAZADO"</formula>
    </cfRule>
    <cfRule type="cellIs" dxfId="4031" priority="23908" operator="equal">
      <formula>"CANCELADO"</formula>
    </cfRule>
    <cfRule type="cellIs" dxfId="4030" priority="23909" operator="equal">
      <formula>"NO EJECUTADO"</formula>
    </cfRule>
    <cfRule type="cellIs" dxfId="4029" priority="23910" operator="equal">
      <formula>"FPE"</formula>
    </cfRule>
    <cfRule type="cellIs" dxfId="4028" priority="23911" operator="equal">
      <formula>"AMA"</formula>
    </cfRule>
    <cfRule type="cellIs" dxfId="4027" priority="23912" operator="equal">
      <formula>"SIN DATOS"</formula>
    </cfRule>
    <cfRule type="cellIs" dxfId="4026" priority="23913" operator="equal">
      <formula>"SIN DATOS"</formula>
    </cfRule>
    <cfRule type="cellIs" dxfId="4025" priority="23914" operator="equal">
      <formula>"NO EJECTUTADO"</formula>
    </cfRule>
    <cfRule type="cellIs" dxfId="4024" priority="23915" operator="equal">
      <formula>"FE"</formula>
    </cfRule>
    <cfRule type="cellIs" dxfId="4023" priority="23916" operator="equal">
      <formula>"FE"</formula>
    </cfRule>
  </conditionalFormatting>
  <conditionalFormatting sqref="A603">
    <cfRule type="cellIs" dxfId="4022" priority="23905" operator="equal">
      <formula>"Retirado"</formula>
    </cfRule>
    <cfRule type="cellIs" dxfId="4021" priority="23906" operator="equal">
      <formula>"FSE"</formula>
    </cfRule>
  </conditionalFormatting>
  <conditionalFormatting sqref="B603">
    <cfRule type="cellIs" dxfId="4020" priority="23761" operator="equal">
      <formula>"Sin éxito"</formula>
    </cfRule>
    <cfRule type="cellIs" dxfId="4019" priority="23762" operator="equal">
      <formula>"Éxito con problemas"</formula>
    </cfRule>
    <cfRule type="cellIs" dxfId="4018" priority="23763" operator="equal">
      <formula>"CANCELADO"</formula>
    </cfRule>
    <cfRule type="cellIs" dxfId="4017" priority="23764" operator="equal">
      <formula>"Aplicada marcha atrás"</formula>
    </cfRule>
    <cfRule type="cellIs" dxfId="4016" priority="23765" operator="equal">
      <formula>"CON ÉXITO"</formula>
    </cfRule>
  </conditionalFormatting>
  <conditionalFormatting sqref="F603">
    <cfRule type="cellIs" dxfId="4015" priority="23751" operator="equal">
      <formula>"APLAZADO"</formula>
    </cfRule>
    <cfRule type="cellIs" dxfId="4014" priority="23752" operator="equal">
      <formula>"CANCELADO"</formula>
    </cfRule>
    <cfRule type="cellIs" dxfId="4013" priority="23753" operator="equal">
      <formula>"NO EJECUTADO"</formula>
    </cfRule>
    <cfRule type="cellIs" dxfId="4012" priority="23754" operator="equal">
      <formula>"FPE"</formula>
    </cfRule>
    <cfRule type="cellIs" dxfId="4011" priority="23755" operator="equal">
      <formula>"AMA"</formula>
    </cfRule>
    <cfRule type="cellIs" dxfId="4010" priority="23756" operator="equal">
      <formula>"SIN DATOS"</formula>
    </cfRule>
    <cfRule type="cellIs" dxfId="4009" priority="23757" operator="equal">
      <formula>"SIN DATOS"</formula>
    </cfRule>
    <cfRule type="cellIs" dxfId="4008" priority="23758" operator="equal">
      <formula>"NO EJECTUTADO"</formula>
    </cfRule>
    <cfRule type="cellIs" dxfId="4007" priority="23759" operator="equal">
      <formula>"FE"</formula>
    </cfRule>
    <cfRule type="cellIs" dxfId="4006" priority="23760" operator="equal">
      <formula>"FE"</formula>
    </cfRule>
  </conditionalFormatting>
  <conditionalFormatting sqref="F603">
    <cfRule type="cellIs" dxfId="4005" priority="23749" operator="equal">
      <formula>"Retirado"</formula>
    </cfRule>
    <cfRule type="cellIs" dxfId="4004" priority="23750" operator="equal">
      <formula>"FSE"</formula>
    </cfRule>
  </conditionalFormatting>
  <conditionalFormatting sqref="B546">
    <cfRule type="cellIs" dxfId="4003" priority="23342" operator="equal">
      <formula>"Sin éxito"</formula>
    </cfRule>
    <cfRule type="cellIs" dxfId="4002" priority="23343" operator="equal">
      <formula>"Éxito con problemas"</formula>
    </cfRule>
    <cfRule type="cellIs" dxfId="4001" priority="23344" operator="equal">
      <formula>"CANCELADO"</formula>
    </cfRule>
    <cfRule type="cellIs" dxfId="4000" priority="23345" operator="equal">
      <formula>"Aplicada marcha atrás"</formula>
    </cfRule>
    <cfRule type="cellIs" dxfId="3999" priority="23346" operator="equal">
      <formula>"CON ÉXITO"</formula>
    </cfRule>
  </conditionalFormatting>
  <conditionalFormatting sqref="H604:H605">
    <cfRule type="duplicateValues" dxfId="3998" priority="23341"/>
  </conditionalFormatting>
  <conditionalFormatting sqref="A604">
    <cfRule type="cellIs" dxfId="3997" priority="23331" operator="equal">
      <formula>"APLAZADO"</formula>
    </cfRule>
    <cfRule type="cellIs" dxfId="3996" priority="23332" operator="equal">
      <formula>"CANCELADO"</formula>
    </cfRule>
    <cfRule type="cellIs" dxfId="3995" priority="23333" operator="equal">
      <formula>"NO EJECUTADO"</formula>
    </cfRule>
    <cfRule type="cellIs" dxfId="3994" priority="23334" operator="equal">
      <formula>"FPE"</formula>
    </cfRule>
    <cfRule type="cellIs" dxfId="3993" priority="23335" operator="equal">
      <formula>"AMA"</formula>
    </cfRule>
    <cfRule type="cellIs" dxfId="3992" priority="23336" operator="equal">
      <formula>"SIN DATOS"</formula>
    </cfRule>
    <cfRule type="cellIs" dxfId="3991" priority="23337" operator="equal">
      <formula>"SIN DATOS"</formula>
    </cfRule>
    <cfRule type="cellIs" dxfId="3990" priority="23338" operator="equal">
      <formula>"NO EJECTUTADO"</formula>
    </cfRule>
    <cfRule type="cellIs" dxfId="3989" priority="23339" operator="equal">
      <formula>"FE"</formula>
    </cfRule>
    <cfRule type="cellIs" dxfId="3988" priority="23340" operator="equal">
      <formula>"FE"</formula>
    </cfRule>
  </conditionalFormatting>
  <conditionalFormatting sqref="A604">
    <cfRule type="cellIs" dxfId="3987" priority="23329" operator="equal">
      <formula>"Retirado"</formula>
    </cfRule>
    <cfRule type="cellIs" dxfId="3986" priority="23330" operator="equal">
      <formula>"FSE"</formula>
    </cfRule>
  </conditionalFormatting>
  <conditionalFormatting sqref="F604">
    <cfRule type="cellIs" dxfId="3985" priority="23319" operator="equal">
      <formula>"APLAZADO"</formula>
    </cfRule>
    <cfRule type="cellIs" dxfId="3984" priority="23320" operator="equal">
      <formula>"CANCELADO"</formula>
    </cfRule>
    <cfRule type="cellIs" dxfId="3983" priority="23321" operator="equal">
      <formula>"NO EJECUTADO"</formula>
    </cfRule>
    <cfRule type="cellIs" dxfId="3982" priority="23322" operator="equal">
      <formula>"FPE"</formula>
    </cfRule>
    <cfRule type="cellIs" dxfId="3981" priority="23323" operator="equal">
      <formula>"AMA"</formula>
    </cfRule>
    <cfRule type="cellIs" dxfId="3980" priority="23324" operator="equal">
      <formula>"SIN DATOS"</formula>
    </cfRule>
    <cfRule type="cellIs" dxfId="3979" priority="23325" operator="equal">
      <formula>"SIN DATOS"</formula>
    </cfRule>
    <cfRule type="cellIs" dxfId="3978" priority="23326" operator="equal">
      <formula>"NO EJECTUTADO"</formula>
    </cfRule>
    <cfRule type="cellIs" dxfId="3977" priority="23327" operator="equal">
      <formula>"FE"</formula>
    </cfRule>
    <cfRule type="cellIs" dxfId="3976" priority="23328" operator="equal">
      <formula>"FE"</formula>
    </cfRule>
  </conditionalFormatting>
  <conditionalFormatting sqref="F604">
    <cfRule type="cellIs" dxfId="3975" priority="23317" operator="equal">
      <formula>"Retirado"</formula>
    </cfRule>
    <cfRule type="cellIs" dxfId="3974" priority="23318" operator="equal">
      <formula>"FSE"</formula>
    </cfRule>
  </conditionalFormatting>
  <conditionalFormatting sqref="B604:B605">
    <cfRule type="cellIs" dxfId="3973" priority="23300" operator="equal">
      <formula>"Sin éxito"</formula>
    </cfRule>
    <cfRule type="cellIs" dxfId="3972" priority="23301" operator="equal">
      <formula>"Éxito con problemas"</formula>
    </cfRule>
    <cfRule type="cellIs" dxfId="3971" priority="23302" operator="equal">
      <formula>"CANCELADO"</formula>
    </cfRule>
    <cfRule type="cellIs" dxfId="3970" priority="23303" operator="equal">
      <formula>"Aplicada marcha atrás"</formula>
    </cfRule>
    <cfRule type="cellIs" dxfId="3969" priority="23304" operator="equal">
      <formula>"CON ÉXITO"</formula>
    </cfRule>
  </conditionalFormatting>
  <conditionalFormatting sqref="A605">
    <cfRule type="cellIs" dxfId="3968" priority="23288" operator="equal">
      <formula>"APLAZADO"</formula>
    </cfRule>
    <cfRule type="cellIs" dxfId="3967" priority="23289" operator="equal">
      <formula>"CANCELADO"</formula>
    </cfRule>
    <cfRule type="cellIs" dxfId="3966" priority="23290" operator="equal">
      <formula>"NO EJECUTADO"</formula>
    </cfRule>
    <cfRule type="cellIs" dxfId="3965" priority="23291" operator="equal">
      <formula>"FPE"</formula>
    </cfRule>
    <cfRule type="cellIs" dxfId="3964" priority="23292" operator="equal">
      <formula>"AMA"</formula>
    </cfRule>
    <cfRule type="cellIs" dxfId="3963" priority="23293" operator="equal">
      <formula>"SIN DATOS"</formula>
    </cfRule>
    <cfRule type="cellIs" dxfId="3962" priority="23294" operator="equal">
      <formula>"SIN DATOS"</formula>
    </cfRule>
    <cfRule type="cellIs" dxfId="3961" priority="23295" operator="equal">
      <formula>"NO EJECTUTADO"</formula>
    </cfRule>
    <cfRule type="cellIs" dxfId="3960" priority="23296" operator="equal">
      <formula>"FE"</formula>
    </cfRule>
    <cfRule type="cellIs" dxfId="3959" priority="23297" operator="equal">
      <formula>"FE"</formula>
    </cfRule>
  </conditionalFormatting>
  <conditionalFormatting sqref="A605">
    <cfRule type="cellIs" dxfId="3958" priority="23286" operator="equal">
      <formula>"Retirado"</formula>
    </cfRule>
    <cfRule type="cellIs" dxfId="3957" priority="23287" operator="equal">
      <formula>"FSE"</formula>
    </cfRule>
  </conditionalFormatting>
  <conditionalFormatting sqref="F605">
    <cfRule type="cellIs" dxfId="3956" priority="23276" operator="equal">
      <formula>"APLAZADO"</formula>
    </cfRule>
    <cfRule type="cellIs" dxfId="3955" priority="23277" operator="equal">
      <formula>"CANCELADO"</formula>
    </cfRule>
    <cfRule type="cellIs" dxfId="3954" priority="23278" operator="equal">
      <formula>"NO EJECUTADO"</formula>
    </cfRule>
    <cfRule type="cellIs" dxfId="3953" priority="23279" operator="equal">
      <formula>"FPE"</formula>
    </cfRule>
    <cfRule type="cellIs" dxfId="3952" priority="23280" operator="equal">
      <formula>"AMA"</formula>
    </cfRule>
    <cfRule type="cellIs" dxfId="3951" priority="23281" operator="equal">
      <formula>"SIN DATOS"</formula>
    </cfRule>
    <cfRule type="cellIs" dxfId="3950" priority="23282" operator="equal">
      <formula>"SIN DATOS"</formula>
    </cfRule>
    <cfRule type="cellIs" dxfId="3949" priority="23283" operator="equal">
      <formula>"NO EJECTUTADO"</formula>
    </cfRule>
    <cfRule type="cellIs" dxfId="3948" priority="23284" operator="equal">
      <formula>"FE"</formula>
    </cfRule>
    <cfRule type="cellIs" dxfId="3947" priority="23285" operator="equal">
      <formula>"FE"</formula>
    </cfRule>
  </conditionalFormatting>
  <conditionalFormatting sqref="F605">
    <cfRule type="cellIs" dxfId="3946" priority="23274" operator="equal">
      <formula>"Retirado"</formula>
    </cfRule>
    <cfRule type="cellIs" dxfId="3945" priority="23275" operator="equal">
      <formula>"FSE"</formula>
    </cfRule>
  </conditionalFormatting>
  <conditionalFormatting sqref="H606">
    <cfRule type="duplicateValues" dxfId="3944" priority="23198"/>
  </conditionalFormatting>
  <conditionalFormatting sqref="A606">
    <cfRule type="cellIs" dxfId="3943" priority="23188" operator="equal">
      <formula>"APLAZADO"</formula>
    </cfRule>
    <cfRule type="cellIs" dxfId="3942" priority="23189" operator="equal">
      <formula>"CANCELADO"</formula>
    </cfRule>
    <cfRule type="cellIs" dxfId="3941" priority="23190" operator="equal">
      <formula>"NO EJECUTADO"</formula>
    </cfRule>
    <cfRule type="cellIs" dxfId="3940" priority="23191" operator="equal">
      <formula>"FPE"</formula>
    </cfRule>
    <cfRule type="cellIs" dxfId="3939" priority="23192" operator="equal">
      <formula>"AMA"</formula>
    </cfRule>
    <cfRule type="cellIs" dxfId="3938" priority="23193" operator="equal">
      <formula>"SIN DATOS"</formula>
    </cfRule>
    <cfRule type="cellIs" dxfId="3937" priority="23194" operator="equal">
      <formula>"SIN DATOS"</formula>
    </cfRule>
    <cfRule type="cellIs" dxfId="3936" priority="23195" operator="equal">
      <formula>"NO EJECTUTADO"</formula>
    </cfRule>
    <cfRule type="cellIs" dxfId="3935" priority="23196" operator="equal">
      <formula>"FE"</formula>
    </cfRule>
    <cfRule type="cellIs" dxfId="3934" priority="23197" operator="equal">
      <formula>"FE"</formula>
    </cfRule>
  </conditionalFormatting>
  <conditionalFormatting sqref="A606">
    <cfRule type="cellIs" dxfId="3933" priority="23186" operator="equal">
      <formula>"Retirado"</formula>
    </cfRule>
    <cfRule type="cellIs" dxfId="3932" priority="23187" operator="equal">
      <formula>"FSE"</formula>
    </cfRule>
  </conditionalFormatting>
  <conditionalFormatting sqref="B606">
    <cfRule type="cellIs" dxfId="3931" priority="23180" operator="equal">
      <formula>"Sin éxito"</formula>
    </cfRule>
    <cfRule type="cellIs" dxfId="3930" priority="23181" operator="equal">
      <formula>"Éxito con problemas"</formula>
    </cfRule>
    <cfRule type="cellIs" dxfId="3929" priority="23182" operator="equal">
      <formula>"CANCELADO"</formula>
    </cfRule>
    <cfRule type="cellIs" dxfId="3928" priority="23183" operator="equal">
      <formula>"Aplicada marcha atrás"</formula>
    </cfRule>
    <cfRule type="cellIs" dxfId="3927" priority="23184" operator="equal">
      <formula>"CON ÉXITO"</formula>
    </cfRule>
  </conditionalFormatting>
  <conditionalFormatting sqref="F606">
    <cfRule type="cellIs" dxfId="3926" priority="23164" operator="equal">
      <formula>"APLAZADO"</formula>
    </cfRule>
    <cfRule type="cellIs" dxfId="3925" priority="23165" operator="equal">
      <formula>"CANCELADO"</formula>
    </cfRule>
    <cfRule type="cellIs" dxfId="3924" priority="23166" operator="equal">
      <formula>"NO EJECUTADO"</formula>
    </cfRule>
    <cfRule type="cellIs" dxfId="3923" priority="23167" operator="equal">
      <formula>"FPE"</formula>
    </cfRule>
    <cfRule type="cellIs" dxfId="3922" priority="23168" operator="equal">
      <formula>"AMA"</formula>
    </cfRule>
    <cfRule type="cellIs" dxfId="3921" priority="23169" operator="equal">
      <formula>"SIN DATOS"</formula>
    </cfRule>
    <cfRule type="cellIs" dxfId="3920" priority="23170" operator="equal">
      <formula>"SIN DATOS"</formula>
    </cfRule>
    <cfRule type="cellIs" dxfId="3919" priority="23171" operator="equal">
      <formula>"NO EJECTUTADO"</formula>
    </cfRule>
    <cfRule type="cellIs" dxfId="3918" priority="23172" operator="equal">
      <formula>"FE"</formula>
    </cfRule>
    <cfRule type="cellIs" dxfId="3917" priority="23173" operator="equal">
      <formula>"FE"</formula>
    </cfRule>
  </conditionalFormatting>
  <conditionalFormatting sqref="F606">
    <cfRule type="cellIs" dxfId="3916" priority="23162" operator="equal">
      <formula>"Retirado"</formula>
    </cfRule>
    <cfRule type="cellIs" dxfId="3915" priority="23163" operator="equal">
      <formula>"FSE"</formula>
    </cfRule>
  </conditionalFormatting>
  <conditionalFormatting sqref="H607:H608">
    <cfRule type="duplicateValues" dxfId="3914" priority="23136"/>
  </conditionalFormatting>
  <conditionalFormatting sqref="A607:A608">
    <cfRule type="cellIs" dxfId="3913" priority="23126" operator="equal">
      <formula>"APLAZADO"</formula>
    </cfRule>
    <cfRule type="cellIs" dxfId="3912" priority="23127" operator="equal">
      <formula>"CANCELADO"</formula>
    </cfRule>
    <cfRule type="cellIs" dxfId="3911" priority="23128" operator="equal">
      <formula>"NO EJECUTADO"</formula>
    </cfRule>
    <cfRule type="cellIs" dxfId="3910" priority="23129" operator="equal">
      <formula>"FPE"</formula>
    </cfRule>
    <cfRule type="cellIs" dxfId="3909" priority="23130" operator="equal">
      <formula>"AMA"</formula>
    </cfRule>
    <cfRule type="cellIs" dxfId="3908" priority="23131" operator="equal">
      <formula>"SIN DATOS"</formula>
    </cfRule>
    <cfRule type="cellIs" dxfId="3907" priority="23132" operator="equal">
      <formula>"SIN DATOS"</formula>
    </cfRule>
    <cfRule type="cellIs" dxfId="3906" priority="23133" operator="equal">
      <formula>"NO EJECTUTADO"</formula>
    </cfRule>
    <cfRule type="cellIs" dxfId="3905" priority="23134" operator="equal">
      <formula>"FE"</formula>
    </cfRule>
    <cfRule type="cellIs" dxfId="3904" priority="23135" operator="equal">
      <formula>"FE"</formula>
    </cfRule>
  </conditionalFormatting>
  <conditionalFormatting sqref="A607:A608">
    <cfRule type="cellIs" dxfId="3903" priority="23124" operator="equal">
      <formula>"Retirado"</formula>
    </cfRule>
    <cfRule type="cellIs" dxfId="3902" priority="23125" operator="equal">
      <formula>"FSE"</formula>
    </cfRule>
  </conditionalFormatting>
  <conditionalFormatting sqref="F607:F608">
    <cfRule type="cellIs" dxfId="3901" priority="23102" operator="equal">
      <formula>"APLAZADO"</formula>
    </cfRule>
    <cfRule type="cellIs" dxfId="3900" priority="23103" operator="equal">
      <formula>"CANCELADO"</formula>
    </cfRule>
    <cfRule type="cellIs" dxfId="3899" priority="23104" operator="equal">
      <formula>"NO EJECUTADO"</formula>
    </cfRule>
    <cfRule type="cellIs" dxfId="3898" priority="23105" operator="equal">
      <formula>"FPE"</formula>
    </cfRule>
    <cfRule type="cellIs" dxfId="3897" priority="23106" operator="equal">
      <formula>"AMA"</formula>
    </cfRule>
    <cfRule type="cellIs" dxfId="3896" priority="23107" operator="equal">
      <formula>"SIN DATOS"</formula>
    </cfRule>
    <cfRule type="cellIs" dxfId="3895" priority="23108" operator="equal">
      <formula>"SIN DATOS"</formula>
    </cfRule>
    <cfRule type="cellIs" dxfId="3894" priority="23109" operator="equal">
      <formula>"NO EJECTUTADO"</formula>
    </cfRule>
    <cfRule type="cellIs" dxfId="3893" priority="23110" operator="equal">
      <formula>"FE"</formula>
    </cfRule>
    <cfRule type="cellIs" dxfId="3892" priority="23111" operator="equal">
      <formula>"FE"</formula>
    </cfRule>
  </conditionalFormatting>
  <conditionalFormatting sqref="F607:F608">
    <cfRule type="cellIs" dxfId="3891" priority="23100" operator="equal">
      <formula>"Retirado"</formula>
    </cfRule>
    <cfRule type="cellIs" dxfId="3890" priority="23101" operator="equal">
      <formula>"FSE"</formula>
    </cfRule>
  </conditionalFormatting>
  <conditionalFormatting sqref="B607:B608">
    <cfRule type="cellIs" dxfId="3889" priority="23010" operator="equal">
      <formula>"Sin éxito"</formula>
    </cfRule>
    <cfRule type="cellIs" dxfId="3888" priority="23011" operator="equal">
      <formula>"Éxito con problemas"</formula>
    </cfRule>
    <cfRule type="cellIs" dxfId="3887" priority="23012" operator="equal">
      <formula>"CANCELADO"</formula>
    </cfRule>
    <cfRule type="cellIs" dxfId="3886" priority="23013" operator="equal">
      <formula>"Aplicada marcha atrás"</formula>
    </cfRule>
    <cfRule type="cellIs" dxfId="3885" priority="23014" operator="equal">
      <formula>"CON ÉXITO"</formula>
    </cfRule>
  </conditionalFormatting>
  <conditionalFormatting sqref="B549">
    <cfRule type="cellIs" dxfId="3884" priority="22554" operator="equal">
      <formula>"Sin éxito"</formula>
    </cfRule>
    <cfRule type="cellIs" dxfId="3883" priority="22555" operator="equal">
      <formula>"Éxito con problemas"</formula>
    </cfRule>
    <cfRule type="cellIs" dxfId="3882" priority="22556" operator="equal">
      <formula>"CANCELADO"</formula>
    </cfRule>
    <cfRule type="cellIs" dxfId="3881" priority="22557" operator="equal">
      <formula>"Aplicada marcha atrás"</formula>
    </cfRule>
    <cfRule type="cellIs" dxfId="3880" priority="22558" operator="equal">
      <formula>"CON ÉXITO"</formula>
    </cfRule>
  </conditionalFormatting>
  <conditionalFormatting sqref="B550">
    <cfRule type="cellIs" dxfId="3879" priority="22087" operator="equal">
      <formula>"Sin éxito"</formula>
    </cfRule>
    <cfRule type="cellIs" dxfId="3878" priority="22088" operator="equal">
      <formula>"Éxito con problemas"</formula>
    </cfRule>
    <cfRule type="cellIs" dxfId="3877" priority="22089" operator="equal">
      <formula>"CANCELADO"</formula>
    </cfRule>
    <cfRule type="cellIs" dxfId="3876" priority="22090" operator="equal">
      <formula>"Aplicada marcha atrás"</formula>
    </cfRule>
    <cfRule type="cellIs" dxfId="3875" priority="22091" operator="equal">
      <formula>"CON ÉXITO"</formula>
    </cfRule>
  </conditionalFormatting>
  <conditionalFormatting sqref="B551:B552">
    <cfRule type="cellIs" dxfId="3874" priority="21585" operator="equal">
      <formula>"Sin éxito"</formula>
    </cfRule>
    <cfRule type="cellIs" dxfId="3873" priority="21586" operator="equal">
      <formula>"Éxito con problemas"</formula>
    </cfRule>
    <cfRule type="cellIs" dxfId="3872" priority="21587" operator="equal">
      <formula>"CANCELADO"</formula>
    </cfRule>
    <cfRule type="cellIs" dxfId="3871" priority="21588" operator="equal">
      <formula>"Aplicada marcha atrás"</formula>
    </cfRule>
    <cfRule type="cellIs" dxfId="3870" priority="21589" operator="equal">
      <formula>"CON ÉXITO"</formula>
    </cfRule>
  </conditionalFormatting>
  <conditionalFormatting sqref="B553">
    <cfRule type="cellIs" dxfId="3869" priority="21044" operator="equal">
      <formula>"Sin éxito"</formula>
    </cfRule>
    <cfRule type="cellIs" dxfId="3868" priority="21045" operator="equal">
      <formula>"Éxito con problemas"</formula>
    </cfRule>
    <cfRule type="cellIs" dxfId="3867" priority="21046" operator="equal">
      <formula>"CANCELADO"</formula>
    </cfRule>
    <cfRule type="cellIs" dxfId="3866" priority="21047" operator="equal">
      <formula>"Aplicada marcha atrás"</formula>
    </cfRule>
    <cfRule type="cellIs" dxfId="3865" priority="21048" operator="equal">
      <formula>"CON ÉXITO"</formula>
    </cfRule>
  </conditionalFormatting>
  <conditionalFormatting sqref="B554:B555">
    <cfRule type="cellIs" dxfId="3864" priority="20476" operator="equal">
      <formula>"Sin éxito"</formula>
    </cfRule>
    <cfRule type="cellIs" dxfId="3863" priority="20477" operator="equal">
      <formula>"Éxito con problemas"</formula>
    </cfRule>
    <cfRule type="cellIs" dxfId="3862" priority="20478" operator="equal">
      <formula>"CANCELADO"</formula>
    </cfRule>
    <cfRule type="cellIs" dxfId="3861" priority="20479" operator="equal">
      <formula>"Aplicada marcha atrás"</formula>
    </cfRule>
    <cfRule type="cellIs" dxfId="3860" priority="20480" operator="equal">
      <formula>"CON ÉXITO"</formula>
    </cfRule>
  </conditionalFormatting>
  <conditionalFormatting sqref="B556">
    <cfRule type="cellIs" dxfId="3859" priority="19874" operator="equal">
      <formula>"Sin éxito"</formula>
    </cfRule>
    <cfRule type="cellIs" dxfId="3858" priority="19875" operator="equal">
      <formula>"Éxito con problemas"</formula>
    </cfRule>
    <cfRule type="cellIs" dxfId="3857" priority="19876" operator="equal">
      <formula>"CANCELADO"</formula>
    </cfRule>
    <cfRule type="cellIs" dxfId="3856" priority="19877" operator="equal">
      <formula>"Aplicada marcha atrás"</formula>
    </cfRule>
    <cfRule type="cellIs" dxfId="3855" priority="19878" operator="equal">
      <formula>"CON ÉXITO"</formula>
    </cfRule>
  </conditionalFormatting>
  <conditionalFormatting sqref="B557:B558">
    <cfRule type="cellIs" dxfId="3854" priority="19259" operator="equal">
      <formula>"Sin éxito"</formula>
    </cfRule>
    <cfRule type="cellIs" dxfId="3853" priority="19260" operator="equal">
      <formula>"Éxito con problemas"</formula>
    </cfRule>
    <cfRule type="cellIs" dxfId="3852" priority="19261" operator="equal">
      <formula>"CANCELADO"</formula>
    </cfRule>
    <cfRule type="cellIs" dxfId="3851" priority="19262" operator="equal">
      <formula>"Aplicada marcha atrás"</formula>
    </cfRule>
    <cfRule type="cellIs" dxfId="3850" priority="19263" operator="equal">
      <formula>"CON ÉXITO"</formula>
    </cfRule>
  </conditionalFormatting>
  <conditionalFormatting sqref="B559">
    <cfRule type="cellIs" dxfId="3849" priority="18618" operator="equal">
      <formula>"Sin éxito"</formula>
    </cfRule>
    <cfRule type="cellIs" dxfId="3848" priority="18619" operator="equal">
      <formula>"Éxito con problemas"</formula>
    </cfRule>
    <cfRule type="cellIs" dxfId="3847" priority="18620" operator="equal">
      <formula>"CANCELADO"</formula>
    </cfRule>
    <cfRule type="cellIs" dxfId="3846" priority="18621" operator="equal">
      <formula>"Aplicada marcha atrás"</formula>
    </cfRule>
    <cfRule type="cellIs" dxfId="3845" priority="18622" operator="equal">
      <formula>"CON ÉXITO"</formula>
    </cfRule>
  </conditionalFormatting>
  <conditionalFormatting sqref="B560">
    <cfRule type="cellIs" dxfId="3844" priority="17964" operator="equal">
      <formula>"Sin éxito"</formula>
    </cfRule>
    <cfRule type="cellIs" dxfId="3843" priority="17965" operator="equal">
      <formula>"Éxito con problemas"</formula>
    </cfRule>
    <cfRule type="cellIs" dxfId="3842" priority="17966" operator="equal">
      <formula>"CANCELADO"</formula>
    </cfRule>
    <cfRule type="cellIs" dxfId="3841" priority="17967" operator="equal">
      <formula>"Aplicada marcha atrás"</formula>
    </cfRule>
    <cfRule type="cellIs" dxfId="3840" priority="17968" operator="equal">
      <formula>"CON ÉXITO"</formula>
    </cfRule>
  </conditionalFormatting>
  <conditionalFormatting sqref="A609:A610">
    <cfRule type="cellIs" dxfId="3839" priority="17954" operator="equal">
      <formula>"APLAZADO"</formula>
    </cfRule>
    <cfRule type="cellIs" dxfId="3838" priority="17955" operator="equal">
      <formula>"CANCELADO"</formula>
    </cfRule>
    <cfRule type="cellIs" dxfId="3837" priority="17956" operator="equal">
      <formula>"NO EJECUTADO"</formula>
    </cfRule>
    <cfRule type="cellIs" dxfId="3836" priority="17957" operator="equal">
      <formula>"FPE"</formula>
    </cfRule>
    <cfRule type="cellIs" dxfId="3835" priority="17958" operator="equal">
      <formula>"AMA"</formula>
    </cfRule>
    <cfRule type="cellIs" dxfId="3834" priority="17959" operator="equal">
      <formula>"SIN DATOS"</formula>
    </cfRule>
    <cfRule type="cellIs" dxfId="3833" priority="17960" operator="equal">
      <formula>"SIN DATOS"</formula>
    </cfRule>
    <cfRule type="cellIs" dxfId="3832" priority="17961" operator="equal">
      <formula>"NO EJECTUTADO"</formula>
    </cfRule>
    <cfRule type="cellIs" dxfId="3831" priority="17962" operator="equal">
      <formula>"FE"</formula>
    </cfRule>
    <cfRule type="cellIs" dxfId="3830" priority="17963" operator="equal">
      <formula>"FE"</formula>
    </cfRule>
  </conditionalFormatting>
  <conditionalFormatting sqref="A609:A610">
    <cfRule type="cellIs" dxfId="3829" priority="17952" operator="equal">
      <formula>"Retirado"</formula>
    </cfRule>
    <cfRule type="cellIs" dxfId="3828" priority="17953" operator="equal">
      <formula>"FSE"</formula>
    </cfRule>
  </conditionalFormatting>
  <conditionalFormatting sqref="H609:H610">
    <cfRule type="duplicateValues" dxfId="3827" priority="17951"/>
  </conditionalFormatting>
  <conditionalFormatting sqref="F609">
    <cfRule type="cellIs" dxfId="3826" priority="17941" operator="equal">
      <formula>"APLAZADO"</formula>
    </cfRule>
    <cfRule type="cellIs" dxfId="3825" priority="17942" operator="equal">
      <formula>"CANCELADO"</formula>
    </cfRule>
    <cfRule type="cellIs" dxfId="3824" priority="17943" operator="equal">
      <formula>"NO EJECUTADO"</formula>
    </cfRule>
    <cfRule type="cellIs" dxfId="3823" priority="17944" operator="equal">
      <formula>"FPE"</formula>
    </cfRule>
    <cfRule type="cellIs" dxfId="3822" priority="17945" operator="equal">
      <formula>"AMA"</formula>
    </cfRule>
    <cfRule type="cellIs" dxfId="3821" priority="17946" operator="equal">
      <formula>"SIN DATOS"</formula>
    </cfRule>
    <cfRule type="cellIs" dxfId="3820" priority="17947" operator="equal">
      <formula>"SIN DATOS"</formula>
    </cfRule>
    <cfRule type="cellIs" dxfId="3819" priority="17948" operator="equal">
      <formula>"NO EJECTUTADO"</formula>
    </cfRule>
    <cfRule type="cellIs" dxfId="3818" priority="17949" operator="equal">
      <formula>"FE"</formula>
    </cfRule>
    <cfRule type="cellIs" dxfId="3817" priority="17950" operator="equal">
      <formula>"FE"</formula>
    </cfRule>
  </conditionalFormatting>
  <conditionalFormatting sqref="F609">
    <cfRule type="cellIs" dxfId="3816" priority="17939" operator="equal">
      <formula>"Retirado"</formula>
    </cfRule>
    <cfRule type="cellIs" dxfId="3815" priority="17940" operator="equal">
      <formula>"FSE"</formula>
    </cfRule>
  </conditionalFormatting>
  <conditionalFormatting sqref="B609:B610">
    <cfRule type="cellIs" dxfId="3814" priority="17922" operator="equal">
      <formula>"Sin éxito"</formula>
    </cfRule>
    <cfRule type="cellIs" dxfId="3813" priority="17923" operator="equal">
      <formula>"Éxito con problemas"</formula>
    </cfRule>
    <cfRule type="cellIs" dxfId="3812" priority="17924" operator="equal">
      <formula>"CANCELADO"</formula>
    </cfRule>
    <cfRule type="cellIs" dxfId="3811" priority="17925" operator="equal">
      <formula>"Aplicada marcha atrás"</formula>
    </cfRule>
    <cfRule type="cellIs" dxfId="3810" priority="17926" operator="equal">
      <formula>"CON ÉXITO"</formula>
    </cfRule>
  </conditionalFormatting>
  <conditionalFormatting sqref="A611:A612">
    <cfRule type="cellIs" dxfId="3809" priority="17150" operator="equal">
      <formula>"APLAZADO"</formula>
    </cfRule>
    <cfRule type="cellIs" dxfId="3808" priority="17151" operator="equal">
      <formula>"CANCELADO"</formula>
    </cfRule>
    <cfRule type="cellIs" dxfId="3807" priority="17152" operator="equal">
      <formula>"NO EJECUTADO"</formula>
    </cfRule>
    <cfRule type="cellIs" dxfId="3806" priority="17153" operator="equal">
      <formula>"FPE"</formula>
    </cfRule>
    <cfRule type="cellIs" dxfId="3805" priority="17154" operator="equal">
      <formula>"AMA"</formula>
    </cfRule>
    <cfRule type="cellIs" dxfId="3804" priority="17155" operator="equal">
      <formula>"SIN DATOS"</formula>
    </cfRule>
    <cfRule type="cellIs" dxfId="3803" priority="17156" operator="equal">
      <formula>"SIN DATOS"</formula>
    </cfRule>
    <cfRule type="cellIs" dxfId="3802" priority="17157" operator="equal">
      <formula>"NO EJECTUTADO"</formula>
    </cfRule>
    <cfRule type="cellIs" dxfId="3801" priority="17158" operator="equal">
      <formula>"FE"</formula>
    </cfRule>
    <cfRule type="cellIs" dxfId="3800" priority="17159" operator="equal">
      <formula>"FE"</formula>
    </cfRule>
  </conditionalFormatting>
  <conditionalFormatting sqref="A611:A612">
    <cfRule type="cellIs" dxfId="3799" priority="17148" operator="equal">
      <formula>"Retirado"</formula>
    </cfRule>
    <cfRule type="cellIs" dxfId="3798" priority="17149" operator="equal">
      <formula>"FSE"</formula>
    </cfRule>
  </conditionalFormatting>
  <conditionalFormatting sqref="H611:H612">
    <cfRule type="duplicateValues" dxfId="3797" priority="17147"/>
  </conditionalFormatting>
  <conditionalFormatting sqref="F611">
    <cfRule type="cellIs" dxfId="3796" priority="17137" operator="equal">
      <formula>"APLAZADO"</formula>
    </cfRule>
    <cfRule type="cellIs" dxfId="3795" priority="17138" operator="equal">
      <formula>"CANCELADO"</formula>
    </cfRule>
    <cfRule type="cellIs" dxfId="3794" priority="17139" operator="equal">
      <formula>"NO EJECUTADO"</formula>
    </cfRule>
    <cfRule type="cellIs" dxfId="3793" priority="17140" operator="equal">
      <formula>"FPE"</formula>
    </cfRule>
    <cfRule type="cellIs" dxfId="3792" priority="17141" operator="equal">
      <formula>"AMA"</formula>
    </cfRule>
    <cfRule type="cellIs" dxfId="3791" priority="17142" operator="equal">
      <formula>"SIN DATOS"</formula>
    </cfRule>
    <cfRule type="cellIs" dxfId="3790" priority="17143" operator="equal">
      <formula>"SIN DATOS"</formula>
    </cfRule>
    <cfRule type="cellIs" dxfId="3789" priority="17144" operator="equal">
      <formula>"NO EJECTUTADO"</formula>
    </cfRule>
    <cfRule type="cellIs" dxfId="3788" priority="17145" operator="equal">
      <formula>"FE"</formula>
    </cfRule>
    <cfRule type="cellIs" dxfId="3787" priority="17146" operator="equal">
      <formula>"FE"</formula>
    </cfRule>
  </conditionalFormatting>
  <conditionalFormatting sqref="F611">
    <cfRule type="cellIs" dxfId="3786" priority="17135" operator="equal">
      <formula>"Retirado"</formula>
    </cfRule>
    <cfRule type="cellIs" dxfId="3785" priority="17136" operator="equal">
      <formula>"FSE"</formula>
    </cfRule>
  </conditionalFormatting>
  <conditionalFormatting sqref="B611:B612">
    <cfRule type="cellIs" dxfId="3784" priority="16780" operator="equal">
      <formula>"Sin éxito"</formula>
    </cfRule>
    <cfRule type="cellIs" dxfId="3783" priority="16781" operator="equal">
      <formula>"Éxito con problemas"</formula>
    </cfRule>
    <cfRule type="cellIs" dxfId="3782" priority="16782" operator="equal">
      <formula>"CANCELADO"</formula>
    </cfRule>
    <cfRule type="cellIs" dxfId="3781" priority="16783" operator="equal">
      <formula>"Aplicada marcha atrás"</formula>
    </cfRule>
    <cfRule type="cellIs" dxfId="3780" priority="16784" operator="equal">
      <formula>"CON ÉXITO"</formula>
    </cfRule>
  </conditionalFormatting>
  <conditionalFormatting sqref="B561">
    <cfRule type="cellIs" dxfId="3779" priority="16087" operator="equal">
      <formula>"Sin éxito"</formula>
    </cfRule>
    <cfRule type="cellIs" dxfId="3778" priority="16088" operator="equal">
      <formula>"Éxito con problemas"</formula>
    </cfRule>
    <cfRule type="cellIs" dxfId="3777" priority="16089" operator="equal">
      <formula>"CANCELADO"</formula>
    </cfRule>
    <cfRule type="cellIs" dxfId="3776" priority="16090" operator="equal">
      <formula>"Aplicada marcha atrás"</formula>
    </cfRule>
    <cfRule type="cellIs" dxfId="3775" priority="16091" operator="equal">
      <formula>"CON ÉXITO"</formula>
    </cfRule>
  </conditionalFormatting>
  <conditionalFormatting sqref="B562">
    <cfRule type="cellIs" dxfId="3774" priority="15328" operator="equal">
      <formula>"Sin éxito"</formula>
    </cfRule>
    <cfRule type="cellIs" dxfId="3773" priority="15329" operator="equal">
      <formula>"Éxito con problemas"</formula>
    </cfRule>
    <cfRule type="cellIs" dxfId="3772" priority="15330" operator="equal">
      <formula>"CANCELADO"</formula>
    </cfRule>
    <cfRule type="cellIs" dxfId="3771" priority="15331" operator="equal">
      <formula>"Aplicada marcha atrás"</formula>
    </cfRule>
    <cfRule type="cellIs" dxfId="3770" priority="15332" operator="equal">
      <formula>"CON ÉXITO"</formula>
    </cfRule>
  </conditionalFormatting>
  <conditionalFormatting sqref="B563">
    <cfRule type="cellIs" dxfId="3769" priority="14569" operator="equal">
      <formula>"Sin éxito"</formula>
    </cfRule>
    <cfRule type="cellIs" dxfId="3768" priority="14570" operator="equal">
      <formula>"Éxito con problemas"</formula>
    </cfRule>
    <cfRule type="cellIs" dxfId="3767" priority="14571" operator="equal">
      <formula>"CANCELADO"</formula>
    </cfRule>
    <cfRule type="cellIs" dxfId="3766" priority="14572" operator="equal">
      <formula>"Aplicada marcha atrás"</formula>
    </cfRule>
    <cfRule type="cellIs" dxfId="3765" priority="14573" operator="equal">
      <formula>"CON ÉXITO"</formula>
    </cfRule>
  </conditionalFormatting>
  <conditionalFormatting sqref="B564">
    <cfRule type="cellIs" dxfId="3764" priority="13757" operator="equal">
      <formula>"Sin éxito"</formula>
    </cfRule>
    <cfRule type="cellIs" dxfId="3763" priority="13758" operator="equal">
      <formula>"Éxito con problemas"</formula>
    </cfRule>
    <cfRule type="cellIs" dxfId="3762" priority="13759" operator="equal">
      <formula>"CANCELADO"</formula>
    </cfRule>
    <cfRule type="cellIs" dxfId="3761" priority="13760" operator="equal">
      <formula>"Aplicada marcha atrás"</formula>
    </cfRule>
    <cfRule type="cellIs" dxfId="3760" priority="13761" operator="equal">
      <formula>"CON ÉXITO"</formula>
    </cfRule>
  </conditionalFormatting>
  <conditionalFormatting sqref="B565">
    <cfRule type="cellIs" dxfId="3759" priority="12919" operator="equal">
      <formula>"Sin éxito"</formula>
    </cfRule>
    <cfRule type="cellIs" dxfId="3758" priority="12920" operator="equal">
      <formula>"Éxito con problemas"</formula>
    </cfRule>
    <cfRule type="cellIs" dxfId="3757" priority="12921" operator="equal">
      <formula>"CANCELADO"</formula>
    </cfRule>
    <cfRule type="cellIs" dxfId="3756" priority="12922" operator="equal">
      <formula>"Aplicada marcha atrás"</formula>
    </cfRule>
    <cfRule type="cellIs" dxfId="3755" priority="12923" operator="equal">
      <formula>"CON ÉXITO"</formula>
    </cfRule>
  </conditionalFormatting>
  <conditionalFormatting sqref="B566">
    <cfRule type="cellIs" dxfId="3754" priority="12074" operator="equal">
      <formula>"Sin éxito"</formula>
    </cfRule>
    <cfRule type="cellIs" dxfId="3753" priority="12075" operator="equal">
      <formula>"Éxito con problemas"</formula>
    </cfRule>
    <cfRule type="cellIs" dxfId="3752" priority="12076" operator="equal">
      <formula>"CANCELADO"</formula>
    </cfRule>
    <cfRule type="cellIs" dxfId="3751" priority="12077" operator="equal">
      <formula>"Aplicada marcha atrás"</formula>
    </cfRule>
    <cfRule type="cellIs" dxfId="3750" priority="12078" operator="equal">
      <formula>"CON ÉXITO"</formula>
    </cfRule>
  </conditionalFormatting>
  <conditionalFormatting sqref="B568">
    <cfRule type="cellIs" dxfId="3749" priority="11222" operator="equal">
      <formula>"Sin éxito"</formula>
    </cfRule>
    <cfRule type="cellIs" dxfId="3748" priority="11223" operator="equal">
      <formula>"Éxito con problemas"</formula>
    </cfRule>
    <cfRule type="cellIs" dxfId="3747" priority="11224" operator="equal">
      <formula>"CANCELADO"</formula>
    </cfRule>
    <cfRule type="cellIs" dxfId="3746" priority="11225" operator="equal">
      <formula>"Aplicada marcha atrás"</formula>
    </cfRule>
    <cfRule type="cellIs" dxfId="3745" priority="11226" operator="equal">
      <formula>"CON ÉXITO"</formula>
    </cfRule>
  </conditionalFormatting>
  <conditionalFormatting sqref="B567">
    <cfRule type="cellIs" dxfId="3744" priority="11217" operator="equal">
      <formula>"Sin éxito"</formula>
    </cfRule>
    <cfRule type="cellIs" dxfId="3743" priority="11218" operator="equal">
      <formula>"Éxito con problemas"</formula>
    </cfRule>
    <cfRule type="cellIs" dxfId="3742" priority="11219" operator="equal">
      <formula>"CANCELADO"</formula>
    </cfRule>
    <cfRule type="cellIs" dxfId="3741" priority="11220" operator="equal">
      <formula>"Aplicada marcha atrás"</formula>
    </cfRule>
    <cfRule type="cellIs" dxfId="3740" priority="11221" operator="equal">
      <formula>"CON ÉXITO"</formula>
    </cfRule>
  </conditionalFormatting>
  <conditionalFormatting sqref="B569">
    <cfRule type="cellIs" dxfId="3739" priority="9346" operator="equal">
      <formula>"Sin éxito"</formula>
    </cfRule>
    <cfRule type="cellIs" dxfId="3738" priority="9347" operator="equal">
      <formula>"Éxito con problemas"</formula>
    </cfRule>
    <cfRule type="cellIs" dxfId="3737" priority="9348" operator="equal">
      <formula>"CANCELADO"</formula>
    </cfRule>
    <cfRule type="cellIs" dxfId="3736" priority="9349" operator="equal">
      <formula>"Aplicada marcha atrás"</formula>
    </cfRule>
    <cfRule type="cellIs" dxfId="3735" priority="9350" operator="equal">
      <formula>"CON ÉXITO"</formula>
    </cfRule>
  </conditionalFormatting>
  <conditionalFormatting sqref="B570">
    <cfRule type="cellIs" dxfId="3734" priority="8348" operator="equal">
      <formula>"Sin éxito"</formula>
    </cfRule>
    <cfRule type="cellIs" dxfId="3733" priority="8349" operator="equal">
      <formula>"Éxito con problemas"</formula>
    </cfRule>
    <cfRule type="cellIs" dxfId="3732" priority="8350" operator="equal">
      <formula>"CANCELADO"</formula>
    </cfRule>
    <cfRule type="cellIs" dxfId="3731" priority="8351" operator="equal">
      <formula>"Aplicada marcha atrás"</formula>
    </cfRule>
    <cfRule type="cellIs" dxfId="3730" priority="8352" operator="equal">
      <formula>"CON ÉXITO"</formula>
    </cfRule>
  </conditionalFormatting>
  <conditionalFormatting sqref="B571">
    <cfRule type="cellIs" dxfId="3729" priority="7350" operator="equal">
      <formula>"Sin éxito"</formula>
    </cfRule>
    <cfRule type="cellIs" dxfId="3728" priority="7351" operator="equal">
      <formula>"Éxito con problemas"</formula>
    </cfRule>
    <cfRule type="cellIs" dxfId="3727" priority="7352" operator="equal">
      <formula>"CANCELADO"</formula>
    </cfRule>
    <cfRule type="cellIs" dxfId="3726" priority="7353" operator="equal">
      <formula>"Aplicada marcha atrás"</formula>
    </cfRule>
    <cfRule type="cellIs" dxfId="3725" priority="7354" operator="equal">
      <formula>"CON ÉXITO"</formula>
    </cfRule>
  </conditionalFormatting>
  <conditionalFormatting sqref="A613:A614">
    <cfRule type="cellIs" dxfId="3724" priority="7326" operator="equal">
      <formula>"APLAZADO"</formula>
    </cfRule>
    <cfRule type="cellIs" dxfId="3723" priority="7327" operator="equal">
      <formula>"CANCELADO"</formula>
    </cfRule>
    <cfRule type="cellIs" dxfId="3722" priority="7328" operator="equal">
      <formula>"NO EJECUTADO"</formula>
    </cfRule>
    <cfRule type="cellIs" dxfId="3721" priority="7329" operator="equal">
      <formula>"FPE"</formula>
    </cfRule>
    <cfRule type="cellIs" dxfId="3720" priority="7330" operator="equal">
      <formula>"AMA"</formula>
    </cfRule>
    <cfRule type="cellIs" dxfId="3719" priority="7331" operator="equal">
      <formula>"SIN DATOS"</formula>
    </cfRule>
    <cfRule type="cellIs" dxfId="3718" priority="7332" operator="equal">
      <formula>"SIN DATOS"</formula>
    </cfRule>
    <cfRule type="cellIs" dxfId="3717" priority="7333" operator="equal">
      <formula>"NO EJECTUTADO"</formula>
    </cfRule>
    <cfRule type="cellIs" dxfId="3716" priority="7334" operator="equal">
      <formula>"FE"</formula>
    </cfRule>
    <cfRule type="cellIs" dxfId="3715" priority="7335" operator="equal">
      <formula>"FE"</formula>
    </cfRule>
  </conditionalFormatting>
  <conditionalFormatting sqref="A613:A614">
    <cfRule type="cellIs" dxfId="3714" priority="7324" operator="equal">
      <formula>"Retirado"</formula>
    </cfRule>
    <cfRule type="cellIs" dxfId="3713" priority="7325" operator="equal">
      <formula>"FSE"</formula>
    </cfRule>
  </conditionalFormatting>
  <conditionalFormatting sqref="H613:H614">
    <cfRule type="duplicateValues" dxfId="3712" priority="7323"/>
  </conditionalFormatting>
  <conditionalFormatting sqref="F613">
    <cfRule type="cellIs" dxfId="3711" priority="7313" operator="equal">
      <formula>"APLAZADO"</formula>
    </cfRule>
    <cfRule type="cellIs" dxfId="3710" priority="7314" operator="equal">
      <formula>"CANCELADO"</formula>
    </cfRule>
    <cfRule type="cellIs" dxfId="3709" priority="7315" operator="equal">
      <formula>"NO EJECUTADO"</formula>
    </cfRule>
    <cfRule type="cellIs" dxfId="3708" priority="7316" operator="equal">
      <formula>"FPE"</formula>
    </cfRule>
    <cfRule type="cellIs" dxfId="3707" priority="7317" operator="equal">
      <formula>"AMA"</formula>
    </cfRule>
    <cfRule type="cellIs" dxfId="3706" priority="7318" operator="equal">
      <formula>"SIN DATOS"</formula>
    </cfRule>
    <cfRule type="cellIs" dxfId="3705" priority="7319" operator="equal">
      <formula>"SIN DATOS"</formula>
    </cfRule>
    <cfRule type="cellIs" dxfId="3704" priority="7320" operator="equal">
      <formula>"NO EJECTUTADO"</formula>
    </cfRule>
    <cfRule type="cellIs" dxfId="3703" priority="7321" operator="equal">
      <formula>"FE"</formula>
    </cfRule>
    <cfRule type="cellIs" dxfId="3702" priority="7322" operator="equal">
      <formula>"FE"</formula>
    </cfRule>
  </conditionalFormatting>
  <conditionalFormatting sqref="F613">
    <cfRule type="cellIs" dxfId="3701" priority="7311" operator="equal">
      <formula>"Retirado"</formula>
    </cfRule>
    <cfRule type="cellIs" dxfId="3700" priority="7312" operator="equal">
      <formula>"FSE"</formula>
    </cfRule>
  </conditionalFormatting>
  <conditionalFormatting sqref="B613:B614">
    <cfRule type="cellIs" dxfId="3699" priority="6769" operator="equal">
      <formula>"Sin éxito"</formula>
    </cfRule>
    <cfRule type="cellIs" dxfId="3698" priority="6770" operator="equal">
      <formula>"Éxito con problemas"</formula>
    </cfRule>
    <cfRule type="cellIs" dxfId="3697" priority="6771" operator="equal">
      <formula>"CANCELADO"</formula>
    </cfRule>
    <cfRule type="cellIs" dxfId="3696" priority="6772" operator="equal">
      <formula>"Aplicada marcha atrás"</formula>
    </cfRule>
    <cfRule type="cellIs" dxfId="3695" priority="6773" operator="equal">
      <formula>"CON ÉXITO"</formula>
    </cfRule>
  </conditionalFormatting>
  <conditionalFormatting sqref="B573:B575">
    <cfRule type="cellIs" dxfId="3694" priority="6635" operator="equal">
      <formula>"Sin éxito"</formula>
    </cfRule>
    <cfRule type="cellIs" dxfId="3693" priority="6636" operator="equal">
      <formula>"Éxito con problemas"</formula>
    </cfRule>
    <cfRule type="cellIs" dxfId="3692" priority="6637" operator="equal">
      <formula>"CANCELADO"</formula>
    </cfRule>
    <cfRule type="cellIs" dxfId="3691" priority="6638" operator="equal">
      <formula>"Aplicada marcha atrás"</formula>
    </cfRule>
    <cfRule type="cellIs" dxfId="3690" priority="6639" operator="equal">
      <formula>"CON ÉXITO"</formula>
    </cfRule>
  </conditionalFormatting>
  <conditionalFormatting sqref="B576">
    <cfRule type="cellIs" dxfId="3689" priority="6616" operator="equal">
      <formula>"Sin éxito"</formula>
    </cfRule>
    <cfRule type="cellIs" dxfId="3688" priority="6617" operator="equal">
      <formula>"Éxito con problemas"</formula>
    </cfRule>
    <cfRule type="cellIs" dxfId="3687" priority="6618" operator="equal">
      <formula>"CANCELADO"</formula>
    </cfRule>
    <cfRule type="cellIs" dxfId="3686" priority="6619" operator="equal">
      <formula>"Aplicada marcha atrás"</formula>
    </cfRule>
    <cfRule type="cellIs" dxfId="3685" priority="6620" operator="equal">
      <formula>"CON ÉXITO"</formula>
    </cfRule>
  </conditionalFormatting>
  <conditionalFormatting sqref="B577:B578">
    <cfRule type="cellIs" dxfId="3684" priority="6597" operator="equal">
      <formula>"Sin éxito"</formula>
    </cfRule>
    <cfRule type="cellIs" dxfId="3683" priority="6598" operator="equal">
      <formula>"Éxito con problemas"</formula>
    </cfRule>
    <cfRule type="cellIs" dxfId="3682" priority="6599" operator="equal">
      <formula>"CANCELADO"</formula>
    </cfRule>
    <cfRule type="cellIs" dxfId="3681" priority="6600" operator="equal">
      <formula>"Aplicada marcha atrás"</formula>
    </cfRule>
    <cfRule type="cellIs" dxfId="3680" priority="6601" operator="equal">
      <formula>"CON ÉXITO"</formula>
    </cfRule>
  </conditionalFormatting>
  <conditionalFormatting sqref="B579">
    <cfRule type="cellIs" dxfId="3679" priority="6578" operator="equal">
      <formula>"Sin éxito"</formula>
    </cfRule>
    <cfRule type="cellIs" dxfId="3678" priority="6579" operator="equal">
      <formula>"Éxito con problemas"</formula>
    </cfRule>
    <cfRule type="cellIs" dxfId="3677" priority="6580" operator="equal">
      <formula>"CANCELADO"</formula>
    </cfRule>
    <cfRule type="cellIs" dxfId="3676" priority="6581" operator="equal">
      <formula>"Aplicada marcha atrás"</formula>
    </cfRule>
    <cfRule type="cellIs" dxfId="3675" priority="6582" operator="equal">
      <formula>"CON ÉXITO"</formula>
    </cfRule>
  </conditionalFormatting>
  <conditionalFormatting sqref="B580:B581">
    <cfRule type="cellIs" dxfId="3674" priority="6559" operator="equal">
      <formula>"Sin éxito"</formula>
    </cfRule>
    <cfRule type="cellIs" dxfId="3673" priority="6560" operator="equal">
      <formula>"Éxito con problemas"</formula>
    </cfRule>
    <cfRule type="cellIs" dxfId="3672" priority="6561" operator="equal">
      <formula>"CANCELADO"</formula>
    </cfRule>
    <cfRule type="cellIs" dxfId="3671" priority="6562" operator="equal">
      <formula>"Aplicada marcha atrás"</formula>
    </cfRule>
    <cfRule type="cellIs" dxfId="3670" priority="6563" operator="equal">
      <formula>"CON ÉXITO"</formula>
    </cfRule>
  </conditionalFormatting>
  <conditionalFormatting sqref="B582">
    <cfRule type="cellIs" dxfId="3669" priority="6540" operator="equal">
      <formula>"Sin éxito"</formula>
    </cfRule>
    <cfRule type="cellIs" dxfId="3668" priority="6541" operator="equal">
      <formula>"Éxito con problemas"</formula>
    </cfRule>
    <cfRule type="cellIs" dxfId="3667" priority="6542" operator="equal">
      <formula>"CANCELADO"</formula>
    </cfRule>
    <cfRule type="cellIs" dxfId="3666" priority="6543" operator="equal">
      <formula>"Aplicada marcha atrás"</formula>
    </cfRule>
    <cfRule type="cellIs" dxfId="3665" priority="6544" operator="equal">
      <formula>"CON ÉXITO"</formula>
    </cfRule>
  </conditionalFormatting>
  <conditionalFormatting sqref="A615">
    <cfRule type="cellIs" dxfId="3664" priority="6478" operator="equal">
      <formula>"APLAZADO"</formula>
    </cfRule>
    <cfRule type="cellIs" dxfId="3663" priority="6479" operator="equal">
      <formula>"CANCELADO"</formula>
    </cfRule>
    <cfRule type="cellIs" dxfId="3662" priority="6480" operator="equal">
      <formula>"NO EJECUTADO"</formula>
    </cfRule>
    <cfRule type="cellIs" dxfId="3661" priority="6481" operator="equal">
      <formula>"FPE"</formula>
    </cfRule>
    <cfRule type="cellIs" dxfId="3660" priority="6482" operator="equal">
      <formula>"AMA"</formula>
    </cfRule>
    <cfRule type="cellIs" dxfId="3659" priority="6483" operator="equal">
      <formula>"SIN DATOS"</formula>
    </cfRule>
    <cfRule type="cellIs" dxfId="3658" priority="6484" operator="equal">
      <formula>"SIN DATOS"</formula>
    </cfRule>
    <cfRule type="cellIs" dxfId="3657" priority="6485" operator="equal">
      <formula>"NO EJECTUTADO"</formula>
    </cfRule>
    <cfRule type="cellIs" dxfId="3656" priority="6486" operator="equal">
      <formula>"FE"</formula>
    </cfRule>
    <cfRule type="cellIs" dxfId="3655" priority="6487" operator="equal">
      <formula>"FE"</formula>
    </cfRule>
  </conditionalFormatting>
  <conditionalFormatting sqref="A615">
    <cfRule type="cellIs" dxfId="3654" priority="6476" operator="equal">
      <formula>"Retirado"</formula>
    </cfRule>
    <cfRule type="cellIs" dxfId="3653" priority="6477" operator="equal">
      <formula>"FSE"</formula>
    </cfRule>
  </conditionalFormatting>
  <conditionalFormatting sqref="H615">
    <cfRule type="duplicateValues" dxfId="3652" priority="6475"/>
  </conditionalFormatting>
  <conditionalFormatting sqref="B615">
    <cfRule type="cellIs" dxfId="3651" priority="6470" operator="equal">
      <formula>"Sin éxito"</formula>
    </cfRule>
    <cfRule type="cellIs" dxfId="3650" priority="6471" operator="equal">
      <formula>"Éxito con problemas"</formula>
    </cfRule>
    <cfRule type="cellIs" dxfId="3649" priority="6472" operator="equal">
      <formula>"CANCELADO"</formula>
    </cfRule>
    <cfRule type="cellIs" dxfId="3648" priority="6473" operator="equal">
      <formula>"Aplicada marcha atrás"</formula>
    </cfRule>
    <cfRule type="cellIs" dxfId="3647" priority="6474" operator="equal">
      <formula>"CON ÉXITO"</formula>
    </cfRule>
  </conditionalFormatting>
  <conditionalFormatting sqref="F615">
    <cfRule type="cellIs" dxfId="3646" priority="6460" operator="equal">
      <formula>"APLAZADO"</formula>
    </cfRule>
    <cfRule type="cellIs" dxfId="3645" priority="6461" operator="equal">
      <formula>"CANCELADO"</formula>
    </cfRule>
    <cfRule type="cellIs" dxfId="3644" priority="6462" operator="equal">
      <formula>"NO EJECUTADO"</formula>
    </cfRule>
    <cfRule type="cellIs" dxfId="3643" priority="6463" operator="equal">
      <formula>"FPE"</formula>
    </cfRule>
    <cfRule type="cellIs" dxfId="3642" priority="6464" operator="equal">
      <formula>"AMA"</formula>
    </cfRule>
    <cfRule type="cellIs" dxfId="3641" priority="6465" operator="equal">
      <formula>"SIN DATOS"</formula>
    </cfRule>
    <cfRule type="cellIs" dxfId="3640" priority="6466" operator="equal">
      <formula>"SIN DATOS"</formula>
    </cfRule>
    <cfRule type="cellIs" dxfId="3639" priority="6467" operator="equal">
      <formula>"NO EJECTUTADO"</formula>
    </cfRule>
    <cfRule type="cellIs" dxfId="3638" priority="6468" operator="equal">
      <formula>"FE"</formula>
    </cfRule>
    <cfRule type="cellIs" dxfId="3637" priority="6469" operator="equal">
      <formula>"FE"</formula>
    </cfRule>
  </conditionalFormatting>
  <conditionalFormatting sqref="F615">
    <cfRule type="cellIs" dxfId="3636" priority="6458" operator="equal">
      <formula>"Retirado"</formula>
    </cfRule>
    <cfRule type="cellIs" dxfId="3635" priority="6459" operator="equal">
      <formula>"FSE"</formula>
    </cfRule>
  </conditionalFormatting>
  <conditionalFormatting sqref="H616:H617">
    <cfRule type="duplicateValues" dxfId="3634" priority="6449"/>
  </conditionalFormatting>
  <conditionalFormatting sqref="A616:A617">
    <cfRule type="cellIs" dxfId="3633" priority="6439" operator="equal">
      <formula>"APLAZADO"</formula>
    </cfRule>
    <cfRule type="cellIs" dxfId="3632" priority="6440" operator="equal">
      <formula>"CANCELADO"</formula>
    </cfRule>
    <cfRule type="cellIs" dxfId="3631" priority="6441" operator="equal">
      <formula>"NO EJECUTADO"</formula>
    </cfRule>
    <cfRule type="cellIs" dxfId="3630" priority="6442" operator="equal">
      <formula>"FPE"</formula>
    </cfRule>
    <cfRule type="cellIs" dxfId="3629" priority="6443" operator="equal">
      <formula>"AMA"</formula>
    </cfRule>
    <cfRule type="cellIs" dxfId="3628" priority="6444" operator="equal">
      <formula>"SIN DATOS"</formula>
    </cfRule>
    <cfRule type="cellIs" dxfId="3627" priority="6445" operator="equal">
      <formula>"SIN DATOS"</formula>
    </cfRule>
    <cfRule type="cellIs" dxfId="3626" priority="6446" operator="equal">
      <formula>"NO EJECTUTADO"</formula>
    </cfRule>
    <cfRule type="cellIs" dxfId="3625" priority="6447" operator="equal">
      <formula>"FE"</formula>
    </cfRule>
    <cfRule type="cellIs" dxfId="3624" priority="6448" operator="equal">
      <formula>"FE"</formula>
    </cfRule>
  </conditionalFormatting>
  <conditionalFormatting sqref="A616:A617">
    <cfRule type="cellIs" dxfId="3623" priority="6437" operator="equal">
      <formula>"Retirado"</formula>
    </cfRule>
    <cfRule type="cellIs" dxfId="3622" priority="6438" operator="equal">
      <formula>"FSE"</formula>
    </cfRule>
  </conditionalFormatting>
  <conditionalFormatting sqref="B616:B617">
    <cfRule type="cellIs" dxfId="3621" priority="6408" operator="equal">
      <formula>"Sin éxito"</formula>
    </cfRule>
    <cfRule type="cellIs" dxfId="3620" priority="6409" operator="equal">
      <formula>"Éxito con problemas"</formula>
    </cfRule>
    <cfRule type="cellIs" dxfId="3619" priority="6410" operator="equal">
      <formula>"CANCELADO"</formula>
    </cfRule>
    <cfRule type="cellIs" dxfId="3618" priority="6411" operator="equal">
      <formula>"Aplicada marcha atrás"</formula>
    </cfRule>
    <cfRule type="cellIs" dxfId="3617" priority="6412" operator="equal">
      <formula>"CON ÉXITO"</formula>
    </cfRule>
  </conditionalFormatting>
  <conditionalFormatting sqref="F616">
    <cfRule type="cellIs" dxfId="3616" priority="6396" operator="equal">
      <formula>"APLAZADO"</formula>
    </cfRule>
    <cfRule type="cellIs" dxfId="3615" priority="6397" operator="equal">
      <formula>"CANCELADO"</formula>
    </cfRule>
    <cfRule type="cellIs" dxfId="3614" priority="6398" operator="equal">
      <formula>"NO EJECUTADO"</formula>
    </cfRule>
    <cfRule type="cellIs" dxfId="3613" priority="6399" operator="equal">
      <formula>"FPE"</formula>
    </cfRule>
    <cfRule type="cellIs" dxfId="3612" priority="6400" operator="equal">
      <formula>"AMA"</formula>
    </cfRule>
    <cfRule type="cellIs" dxfId="3611" priority="6401" operator="equal">
      <formula>"SIN DATOS"</formula>
    </cfRule>
    <cfRule type="cellIs" dxfId="3610" priority="6402" operator="equal">
      <formula>"SIN DATOS"</formula>
    </cfRule>
    <cfRule type="cellIs" dxfId="3609" priority="6403" operator="equal">
      <formula>"NO EJECTUTADO"</formula>
    </cfRule>
    <cfRule type="cellIs" dxfId="3608" priority="6404" operator="equal">
      <formula>"FE"</formula>
    </cfRule>
    <cfRule type="cellIs" dxfId="3607" priority="6405" operator="equal">
      <formula>"FE"</formula>
    </cfRule>
  </conditionalFormatting>
  <conditionalFormatting sqref="F616">
    <cfRule type="cellIs" dxfId="3606" priority="6394" operator="equal">
      <formula>"Retirado"</formula>
    </cfRule>
    <cfRule type="cellIs" dxfId="3605" priority="6395" operator="equal">
      <formula>"FSE"</formula>
    </cfRule>
  </conditionalFormatting>
  <conditionalFormatting sqref="F617">
    <cfRule type="cellIs" dxfId="3604" priority="6384" operator="equal">
      <formula>"APLAZADO"</formula>
    </cfRule>
    <cfRule type="cellIs" dxfId="3603" priority="6385" operator="equal">
      <formula>"CANCELADO"</formula>
    </cfRule>
    <cfRule type="cellIs" dxfId="3602" priority="6386" operator="equal">
      <formula>"NO EJECUTADO"</formula>
    </cfRule>
    <cfRule type="cellIs" dxfId="3601" priority="6387" operator="equal">
      <formula>"FPE"</formula>
    </cfRule>
    <cfRule type="cellIs" dxfId="3600" priority="6388" operator="equal">
      <formula>"AMA"</formula>
    </cfRule>
    <cfRule type="cellIs" dxfId="3599" priority="6389" operator="equal">
      <formula>"SIN DATOS"</formula>
    </cfRule>
    <cfRule type="cellIs" dxfId="3598" priority="6390" operator="equal">
      <formula>"SIN DATOS"</formula>
    </cfRule>
    <cfRule type="cellIs" dxfId="3597" priority="6391" operator="equal">
      <formula>"NO EJECTUTADO"</formula>
    </cfRule>
    <cfRule type="cellIs" dxfId="3596" priority="6392" operator="equal">
      <formula>"FE"</formula>
    </cfRule>
    <cfRule type="cellIs" dxfId="3595" priority="6393" operator="equal">
      <formula>"FE"</formula>
    </cfRule>
  </conditionalFormatting>
  <conditionalFormatting sqref="F617">
    <cfRule type="cellIs" dxfId="3594" priority="6382" operator="equal">
      <formula>"Retirado"</formula>
    </cfRule>
    <cfRule type="cellIs" dxfId="3593" priority="6383" operator="equal">
      <formula>"FSE"</formula>
    </cfRule>
  </conditionalFormatting>
  <conditionalFormatting sqref="A618:A619">
    <cfRule type="cellIs" dxfId="3592" priority="6254" operator="equal">
      <formula>"APLAZADO"</formula>
    </cfRule>
    <cfRule type="cellIs" dxfId="3591" priority="6255" operator="equal">
      <formula>"CANCELADO"</formula>
    </cfRule>
    <cfRule type="cellIs" dxfId="3590" priority="6256" operator="equal">
      <formula>"NO EJECUTADO"</formula>
    </cfRule>
    <cfRule type="cellIs" dxfId="3589" priority="6257" operator="equal">
      <formula>"FPE"</formula>
    </cfRule>
    <cfRule type="cellIs" dxfId="3588" priority="6258" operator="equal">
      <formula>"AMA"</formula>
    </cfRule>
    <cfRule type="cellIs" dxfId="3587" priority="6259" operator="equal">
      <formula>"SIN DATOS"</formula>
    </cfRule>
    <cfRule type="cellIs" dxfId="3586" priority="6260" operator="equal">
      <formula>"SIN DATOS"</formula>
    </cfRule>
    <cfRule type="cellIs" dxfId="3585" priority="6261" operator="equal">
      <formula>"NO EJECTUTADO"</formula>
    </cfRule>
    <cfRule type="cellIs" dxfId="3584" priority="6262" operator="equal">
      <formula>"FE"</formula>
    </cfRule>
    <cfRule type="cellIs" dxfId="3583" priority="6263" operator="equal">
      <formula>"FE"</formula>
    </cfRule>
  </conditionalFormatting>
  <conditionalFormatting sqref="A618:A619">
    <cfRule type="cellIs" dxfId="3582" priority="6252" operator="equal">
      <formula>"Retirado"</formula>
    </cfRule>
    <cfRule type="cellIs" dxfId="3581" priority="6253" operator="equal">
      <formula>"FSE"</formula>
    </cfRule>
  </conditionalFormatting>
  <conditionalFormatting sqref="H618:H620">
    <cfRule type="duplicateValues" dxfId="3580" priority="6251"/>
  </conditionalFormatting>
  <conditionalFormatting sqref="F618:F619">
    <cfRule type="cellIs" dxfId="3579" priority="6241" operator="equal">
      <formula>"APLAZADO"</formula>
    </cfRule>
    <cfRule type="cellIs" dxfId="3578" priority="6242" operator="equal">
      <formula>"CANCELADO"</formula>
    </cfRule>
    <cfRule type="cellIs" dxfId="3577" priority="6243" operator="equal">
      <formula>"NO EJECUTADO"</formula>
    </cfRule>
    <cfRule type="cellIs" dxfId="3576" priority="6244" operator="equal">
      <formula>"FPE"</formula>
    </cfRule>
    <cfRule type="cellIs" dxfId="3575" priority="6245" operator="equal">
      <formula>"AMA"</formula>
    </cfRule>
    <cfRule type="cellIs" dxfId="3574" priority="6246" operator="equal">
      <formula>"SIN DATOS"</formula>
    </cfRule>
    <cfRule type="cellIs" dxfId="3573" priority="6247" operator="equal">
      <formula>"SIN DATOS"</formula>
    </cfRule>
    <cfRule type="cellIs" dxfId="3572" priority="6248" operator="equal">
      <formula>"NO EJECTUTADO"</formula>
    </cfRule>
    <cfRule type="cellIs" dxfId="3571" priority="6249" operator="equal">
      <formula>"FE"</formula>
    </cfRule>
    <cfRule type="cellIs" dxfId="3570" priority="6250" operator="equal">
      <formula>"FE"</formula>
    </cfRule>
  </conditionalFormatting>
  <conditionalFormatting sqref="F618:F619">
    <cfRule type="cellIs" dxfId="3569" priority="6239" operator="equal">
      <formula>"Retirado"</formula>
    </cfRule>
    <cfRule type="cellIs" dxfId="3568" priority="6240" operator="equal">
      <formula>"FSE"</formula>
    </cfRule>
  </conditionalFormatting>
  <conditionalFormatting sqref="B618:B619">
    <cfRule type="cellIs" dxfId="3567" priority="6233" operator="equal">
      <formula>"Sin éxito"</formula>
    </cfRule>
    <cfRule type="cellIs" dxfId="3566" priority="6234" operator="equal">
      <formula>"Éxito con problemas"</formula>
    </cfRule>
    <cfRule type="cellIs" dxfId="3565" priority="6235" operator="equal">
      <formula>"CANCELADO"</formula>
    </cfRule>
    <cfRule type="cellIs" dxfId="3564" priority="6236" operator="equal">
      <formula>"Aplicada marcha atrás"</formula>
    </cfRule>
    <cfRule type="cellIs" dxfId="3563" priority="6237" operator="equal">
      <formula>"CON ÉXITO"</formula>
    </cfRule>
  </conditionalFormatting>
  <conditionalFormatting sqref="B583:B584">
    <cfRule type="cellIs" dxfId="3562" priority="6207" operator="equal">
      <formula>"Sin éxito"</formula>
    </cfRule>
    <cfRule type="cellIs" dxfId="3561" priority="6208" operator="equal">
      <formula>"Éxito con problemas"</formula>
    </cfRule>
    <cfRule type="cellIs" dxfId="3560" priority="6209" operator="equal">
      <formula>"CANCELADO"</formula>
    </cfRule>
    <cfRule type="cellIs" dxfId="3559" priority="6210" operator="equal">
      <formula>"Aplicada marcha atrás"</formula>
    </cfRule>
    <cfRule type="cellIs" dxfId="3558" priority="6211" operator="equal">
      <formula>"CON ÉXITO"</formula>
    </cfRule>
  </conditionalFormatting>
  <conditionalFormatting sqref="B585:B591">
    <cfRule type="cellIs" dxfId="3557" priority="6094" operator="equal">
      <formula>"Sin éxito"</formula>
    </cfRule>
    <cfRule type="cellIs" dxfId="3556" priority="6095" operator="equal">
      <formula>"Éxito con problemas"</formula>
    </cfRule>
    <cfRule type="cellIs" dxfId="3555" priority="6096" operator="equal">
      <formula>"CANCELADO"</formula>
    </cfRule>
    <cfRule type="cellIs" dxfId="3554" priority="6097" operator="equal">
      <formula>"Aplicada marcha atrás"</formula>
    </cfRule>
    <cfRule type="cellIs" dxfId="3553" priority="6098" operator="equal">
      <formula>"CON ÉXITO"</formula>
    </cfRule>
  </conditionalFormatting>
  <conditionalFormatting sqref="B592:B599">
    <cfRule type="cellIs" dxfId="3552" priority="6075" operator="equal">
      <formula>"Sin éxito"</formula>
    </cfRule>
    <cfRule type="cellIs" dxfId="3551" priority="6076" operator="equal">
      <formula>"Éxito con problemas"</formula>
    </cfRule>
    <cfRule type="cellIs" dxfId="3550" priority="6077" operator="equal">
      <formula>"CANCELADO"</formula>
    </cfRule>
    <cfRule type="cellIs" dxfId="3549" priority="6078" operator="equal">
      <formula>"Aplicada marcha atrás"</formula>
    </cfRule>
    <cfRule type="cellIs" dxfId="3548" priority="6079" operator="equal">
      <formula>"CON ÉXITO"</formula>
    </cfRule>
  </conditionalFormatting>
  <conditionalFormatting sqref="F628 F636 F638:F643 F630:F634 F652:F657">
    <cfRule type="cellIs" dxfId="3547" priority="6037" operator="equal">
      <formula>"APLAZADO"</formula>
    </cfRule>
    <cfRule type="cellIs" dxfId="3546" priority="6038" operator="equal">
      <formula>"CANCELADO"</formula>
    </cfRule>
    <cfRule type="cellIs" dxfId="3545" priority="6039" operator="equal">
      <formula>"NO EJECUTADO"</formula>
    </cfRule>
    <cfRule type="cellIs" dxfId="3544" priority="6040" operator="equal">
      <formula>"FPE"</formula>
    </cfRule>
    <cfRule type="cellIs" dxfId="3543" priority="6041" operator="equal">
      <formula>"AMA"</formula>
    </cfRule>
    <cfRule type="cellIs" dxfId="3542" priority="6042" operator="equal">
      <formula>"SIN DATOS"</formula>
    </cfRule>
    <cfRule type="cellIs" dxfId="3541" priority="6043" operator="equal">
      <formula>"SIN DATOS"</formula>
    </cfRule>
    <cfRule type="cellIs" dxfId="3540" priority="6044" operator="equal">
      <formula>"NO EJECTUTADO"</formula>
    </cfRule>
    <cfRule type="cellIs" dxfId="3539" priority="6045" operator="equal">
      <formula>"FE"</formula>
    </cfRule>
    <cfRule type="cellIs" dxfId="3538" priority="6046" operator="equal">
      <formula>"FE"</formula>
    </cfRule>
  </conditionalFormatting>
  <conditionalFormatting sqref="F628 F636 F638:F643 F630:F634 F652:F657">
    <cfRule type="cellIs" dxfId="3537" priority="6035" operator="equal">
      <formula>"Retirado"</formula>
    </cfRule>
    <cfRule type="cellIs" dxfId="3536" priority="6036" operator="equal">
      <formula>"FSE"</formula>
    </cfRule>
  </conditionalFormatting>
  <conditionalFormatting sqref="H623">
    <cfRule type="duplicateValues" dxfId="3535" priority="5990"/>
  </conditionalFormatting>
  <conditionalFormatting sqref="A623:A627">
    <cfRule type="cellIs" dxfId="3534" priority="5966" operator="equal">
      <formula>"APLAZADO"</formula>
    </cfRule>
    <cfRule type="cellIs" dxfId="3533" priority="5967" operator="equal">
      <formula>"CANCELADO"</formula>
    </cfRule>
    <cfRule type="cellIs" dxfId="3532" priority="5968" operator="equal">
      <formula>"NO EJECUTADO"</formula>
    </cfRule>
    <cfRule type="cellIs" dxfId="3531" priority="5969" operator="equal">
      <formula>"FPE"</formula>
    </cfRule>
    <cfRule type="cellIs" dxfId="3530" priority="5970" operator="equal">
      <formula>"AMA"</formula>
    </cfRule>
    <cfRule type="cellIs" dxfId="3529" priority="5971" operator="equal">
      <formula>"SIN DATOS"</formula>
    </cfRule>
    <cfRule type="cellIs" dxfId="3528" priority="5972" operator="equal">
      <formula>"SIN DATOS"</formula>
    </cfRule>
    <cfRule type="cellIs" dxfId="3527" priority="5973" operator="equal">
      <formula>"NO EJECTUTADO"</formula>
    </cfRule>
    <cfRule type="cellIs" dxfId="3526" priority="5974" operator="equal">
      <formula>"FE"</formula>
    </cfRule>
    <cfRule type="cellIs" dxfId="3525" priority="5975" operator="equal">
      <formula>"FE"</formula>
    </cfRule>
  </conditionalFormatting>
  <conditionalFormatting sqref="A623:A627">
    <cfRule type="cellIs" dxfId="3524" priority="5964" operator="equal">
      <formula>"Retirado"</formula>
    </cfRule>
    <cfRule type="cellIs" dxfId="3523" priority="5965" operator="equal">
      <formula>"FSE"</formula>
    </cfRule>
  </conditionalFormatting>
  <conditionalFormatting sqref="F623">
    <cfRule type="cellIs" dxfId="3522" priority="5954" operator="equal">
      <formula>"APLAZADO"</formula>
    </cfRule>
    <cfRule type="cellIs" dxfId="3521" priority="5955" operator="equal">
      <formula>"CANCELADO"</formula>
    </cfRule>
    <cfRule type="cellIs" dxfId="3520" priority="5956" operator="equal">
      <formula>"NO EJECUTADO"</formula>
    </cfRule>
    <cfRule type="cellIs" dxfId="3519" priority="5957" operator="equal">
      <formula>"FPE"</formula>
    </cfRule>
    <cfRule type="cellIs" dxfId="3518" priority="5958" operator="equal">
      <formula>"AMA"</formula>
    </cfRule>
    <cfRule type="cellIs" dxfId="3517" priority="5959" operator="equal">
      <formula>"SIN DATOS"</formula>
    </cfRule>
    <cfRule type="cellIs" dxfId="3516" priority="5960" operator="equal">
      <formula>"SIN DATOS"</formula>
    </cfRule>
    <cfRule type="cellIs" dxfId="3515" priority="5961" operator="equal">
      <formula>"NO EJECTUTADO"</formula>
    </cfRule>
    <cfRule type="cellIs" dxfId="3514" priority="5962" operator="equal">
      <formula>"FE"</formula>
    </cfRule>
    <cfRule type="cellIs" dxfId="3513" priority="5963" operator="equal">
      <formula>"FE"</formula>
    </cfRule>
  </conditionalFormatting>
  <conditionalFormatting sqref="F623">
    <cfRule type="cellIs" dxfId="3512" priority="5952" operator="equal">
      <formula>"Retirado"</formula>
    </cfRule>
    <cfRule type="cellIs" dxfId="3511" priority="5953" operator="equal">
      <formula>"FSE"</formula>
    </cfRule>
  </conditionalFormatting>
  <conditionalFormatting sqref="F658">
    <cfRule type="cellIs" dxfId="3510" priority="5942" operator="equal">
      <formula>"APLAZADO"</formula>
    </cfRule>
    <cfRule type="cellIs" dxfId="3509" priority="5943" operator="equal">
      <formula>"CANCELADO"</formula>
    </cfRule>
    <cfRule type="cellIs" dxfId="3508" priority="5944" operator="equal">
      <formula>"NO EJECUTADO"</formula>
    </cfRule>
    <cfRule type="cellIs" dxfId="3507" priority="5945" operator="equal">
      <formula>"FPE"</formula>
    </cfRule>
    <cfRule type="cellIs" dxfId="3506" priority="5946" operator="equal">
      <formula>"AMA"</formula>
    </cfRule>
    <cfRule type="cellIs" dxfId="3505" priority="5947" operator="equal">
      <formula>"SIN DATOS"</formula>
    </cfRule>
    <cfRule type="cellIs" dxfId="3504" priority="5948" operator="equal">
      <formula>"SIN DATOS"</formula>
    </cfRule>
    <cfRule type="cellIs" dxfId="3503" priority="5949" operator="equal">
      <formula>"NO EJECTUTADO"</formula>
    </cfRule>
    <cfRule type="cellIs" dxfId="3502" priority="5950" operator="equal">
      <formula>"FE"</formula>
    </cfRule>
    <cfRule type="cellIs" dxfId="3501" priority="5951" operator="equal">
      <formula>"FE"</formula>
    </cfRule>
  </conditionalFormatting>
  <conditionalFormatting sqref="F658">
    <cfRule type="cellIs" dxfId="3500" priority="5940" operator="equal">
      <formula>"Retirado"</formula>
    </cfRule>
    <cfRule type="cellIs" dxfId="3499" priority="5941" operator="equal">
      <formula>"FSE"</formula>
    </cfRule>
  </conditionalFormatting>
  <conditionalFormatting sqref="F660">
    <cfRule type="cellIs" dxfId="3498" priority="5930" operator="equal">
      <formula>"APLAZADO"</formula>
    </cfRule>
    <cfRule type="cellIs" dxfId="3497" priority="5931" operator="equal">
      <formula>"CANCELADO"</formula>
    </cfRule>
    <cfRule type="cellIs" dxfId="3496" priority="5932" operator="equal">
      <formula>"NO EJECUTADO"</formula>
    </cfRule>
    <cfRule type="cellIs" dxfId="3495" priority="5933" operator="equal">
      <formula>"FPE"</formula>
    </cfRule>
    <cfRule type="cellIs" dxfId="3494" priority="5934" operator="equal">
      <formula>"AMA"</formula>
    </cfRule>
    <cfRule type="cellIs" dxfId="3493" priority="5935" operator="equal">
      <formula>"SIN DATOS"</formula>
    </cfRule>
    <cfRule type="cellIs" dxfId="3492" priority="5936" operator="equal">
      <formula>"SIN DATOS"</formula>
    </cfRule>
    <cfRule type="cellIs" dxfId="3491" priority="5937" operator="equal">
      <formula>"NO EJECTUTADO"</formula>
    </cfRule>
    <cfRule type="cellIs" dxfId="3490" priority="5938" operator="equal">
      <formula>"FE"</formula>
    </cfRule>
    <cfRule type="cellIs" dxfId="3489" priority="5939" operator="equal">
      <formula>"FE"</formula>
    </cfRule>
  </conditionalFormatting>
  <conditionalFormatting sqref="F660">
    <cfRule type="cellIs" dxfId="3488" priority="5928" operator="equal">
      <formula>"Retirado"</formula>
    </cfRule>
    <cfRule type="cellIs" dxfId="3487" priority="5929" operator="equal">
      <formula>"FSE"</formula>
    </cfRule>
  </conditionalFormatting>
  <conditionalFormatting sqref="F661">
    <cfRule type="cellIs" dxfId="3486" priority="5918" operator="equal">
      <formula>"APLAZADO"</formula>
    </cfRule>
    <cfRule type="cellIs" dxfId="3485" priority="5919" operator="equal">
      <formula>"CANCELADO"</formula>
    </cfRule>
    <cfRule type="cellIs" dxfId="3484" priority="5920" operator="equal">
      <formula>"NO EJECUTADO"</formula>
    </cfRule>
    <cfRule type="cellIs" dxfId="3483" priority="5921" operator="equal">
      <formula>"FPE"</formula>
    </cfRule>
    <cfRule type="cellIs" dxfId="3482" priority="5922" operator="equal">
      <formula>"AMA"</formula>
    </cfRule>
    <cfRule type="cellIs" dxfId="3481" priority="5923" operator="equal">
      <formula>"SIN DATOS"</formula>
    </cfRule>
    <cfRule type="cellIs" dxfId="3480" priority="5924" operator="equal">
      <formula>"SIN DATOS"</formula>
    </cfRule>
    <cfRule type="cellIs" dxfId="3479" priority="5925" operator="equal">
      <formula>"NO EJECTUTADO"</formula>
    </cfRule>
    <cfRule type="cellIs" dxfId="3478" priority="5926" operator="equal">
      <formula>"FE"</formula>
    </cfRule>
    <cfRule type="cellIs" dxfId="3477" priority="5927" operator="equal">
      <formula>"FE"</formula>
    </cfRule>
  </conditionalFormatting>
  <conditionalFormatting sqref="F661">
    <cfRule type="cellIs" dxfId="3476" priority="5916" operator="equal">
      <formula>"Retirado"</formula>
    </cfRule>
    <cfRule type="cellIs" dxfId="3475" priority="5917" operator="equal">
      <formula>"FSE"</formula>
    </cfRule>
  </conditionalFormatting>
  <conditionalFormatting sqref="F662">
    <cfRule type="cellIs" dxfId="3474" priority="5906" operator="equal">
      <formula>"APLAZADO"</formula>
    </cfRule>
    <cfRule type="cellIs" dxfId="3473" priority="5907" operator="equal">
      <formula>"CANCELADO"</formula>
    </cfRule>
    <cfRule type="cellIs" dxfId="3472" priority="5908" operator="equal">
      <formula>"NO EJECUTADO"</formula>
    </cfRule>
    <cfRule type="cellIs" dxfId="3471" priority="5909" operator="equal">
      <formula>"FPE"</formula>
    </cfRule>
    <cfRule type="cellIs" dxfId="3470" priority="5910" operator="equal">
      <formula>"AMA"</formula>
    </cfRule>
    <cfRule type="cellIs" dxfId="3469" priority="5911" operator="equal">
      <formula>"SIN DATOS"</formula>
    </cfRule>
    <cfRule type="cellIs" dxfId="3468" priority="5912" operator="equal">
      <formula>"SIN DATOS"</formula>
    </cfRule>
    <cfRule type="cellIs" dxfId="3467" priority="5913" operator="equal">
      <formula>"NO EJECTUTADO"</formula>
    </cfRule>
    <cfRule type="cellIs" dxfId="3466" priority="5914" operator="equal">
      <formula>"FE"</formula>
    </cfRule>
    <cfRule type="cellIs" dxfId="3465" priority="5915" operator="equal">
      <formula>"FE"</formula>
    </cfRule>
  </conditionalFormatting>
  <conditionalFormatting sqref="F662">
    <cfRule type="cellIs" dxfId="3464" priority="5904" operator="equal">
      <formula>"Retirado"</formula>
    </cfRule>
    <cfRule type="cellIs" dxfId="3463" priority="5905" operator="equal">
      <formula>"FSE"</formula>
    </cfRule>
  </conditionalFormatting>
  <conditionalFormatting sqref="F663 F665">
    <cfRule type="cellIs" dxfId="3462" priority="5894" operator="equal">
      <formula>"APLAZADO"</formula>
    </cfRule>
    <cfRule type="cellIs" dxfId="3461" priority="5895" operator="equal">
      <formula>"CANCELADO"</formula>
    </cfRule>
    <cfRule type="cellIs" dxfId="3460" priority="5896" operator="equal">
      <formula>"NO EJECUTADO"</formula>
    </cfRule>
    <cfRule type="cellIs" dxfId="3459" priority="5897" operator="equal">
      <formula>"FPE"</formula>
    </cfRule>
    <cfRule type="cellIs" dxfId="3458" priority="5898" operator="equal">
      <formula>"AMA"</formula>
    </cfRule>
    <cfRule type="cellIs" dxfId="3457" priority="5899" operator="equal">
      <formula>"SIN DATOS"</formula>
    </cfRule>
    <cfRule type="cellIs" dxfId="3456" priority="5900" operator="equal">
      <formula>"SIN DATOS"</formula>
    </cfRule>
    <cfRule type="cellIs" dxfId="3455" priority="5901" operator="equal">
      <formula>"NO EJECTUTADO"</formula>
    </cfRule>
    <cfRule type="cellIs" dxfId="3454" priority="5902" operator="equal">
      <formula>"FE"</formula>
    </cfRule>
    <cfRule type="cellIs" dxfId="3453" priority="5903" operator="equal">
      <formula>"FE"</formula>
    </cfRule>
  </conditionalFormatting>
  <conditionalFormatting sqref="F663 F665">
    <cfRule type="cellIs" dxfId="3452" priority="5892" operator="equal">
      <formula>"Retirado"</formula>
    </cfRule>
    <cfRule type="cellIs" dxfId="3451" priority="5893" operator="equal">
      <formula>"FSE"</formula>
    </cfRule>
  </conditionalFormatting>
  <conditionalFormatting sqref="F669">
    <cfRule type="cellIs" dxfId="3450" priority="5882" operator="equal">
      <formula>"APLAZADO"</formula>
    </cfRule>
    <cfRule type="cellIs" dxfId="3449" priority="5883" operator="equal">
      <formula>"CANCELADO"</formula>
    </cfRule>
    <cfRule type="cellIs" dxfId="3448" priority="5884" operator="equal">
      <formula>"NO EJECUTADO"</formula>
    </cfRule>
    <cfRule type="cellIs" dxfId="3447" priority="5885" operator="equal">
      <formula>"FPE"</formula>
    </cfRule>
    <cfRule type="cellIs" dxfId="3446" priority="5886" operator="equal">
      <formula>"AMA"</formula>
    </cfRule>
    <cfRule type="cellIs" dxfId="3445" priority="5887" operator="equal">
      <formula>"SIN DATOS"</formula>
    </cfRule>
    <cfRule type="cellIs" dxfId="3444" priority="5888" operator="equal">
      <formula>"SIN DATOS"</formula>
    </cfRule>
    <cfRule type="cellIs" dxfId="3443" priority="5889" operator="equal">
      <formula>"NO EJECTUTADO"</formula>
    </cfRule>
    <cfRule type="cellIs" dxfId="3442" priority="5890" operator="equal">
      <formula>"FE"</formula>
    </cfRule>
    <cfRule type="cellIs" dxfId="3441" priority="5891" operator="equal">
      <formula>"FE"</formula>
    </cfRule>
  </conditionalFormatting>
  <conditionalFormatting sqref="F669">
    <cfRule type="cellIs" dxfId="3440" priority="5880" operator="equal">
      <formula>"Retirado"</formula>
    </cfRule>
    <cfRule type="cellIs" dxfId="3439" priority="5881" operator="equal">
      <formula>"FSE"</formula>
    </cfRule>
  </conditionalFormatting>
  <conditionalFormatting sqref="F670">
    <cfRule type="cellIs" dxfId="3438" priority="5870" operator="equal">
      <formula>"APLAZADO"</formula>
    </cfRule>
    <cfRule type="cellIs" dxfId="3437" priority="5871" operator="equal">
      <formula>"CANCELADO"</formula>
    </cfRule>
    <cfRule type="cellIs" dxfId="3436" priority="5872" operator="equal">
      <formula>"NO EJECUTADO"</formula>
    </cfRule>
    <cfRule type="cellIs" dxfId="3435" priority="5873" operator="equal">
      <formula>"FPE"</formula>
    </cfRule>
    <cfRule type="cellIs" dxfId="3434" priority="5874" operator="equal">
      <formula>"AMA"</formula>
    </cfRule>
    <cfRule type="cellIs" dxfId="3433" priority="5875" operator="equal">
      <formula>"SIN DATOS"</formula>
    </cfRule>
    <cfRule type="cellIs" dxfId="3432" priority="5876" operator="equal">
      <formula>"SIN DATOS"</formula>
    </cfRule>
    <cfRule type="cellIs" dxfId="3431" priority="5877" operator="equal">
      <formula>"NO EJECTUTADO"</formula>
    </cfRule>
    <cfRule type="cellIs" dxfId="3430" priority="5878" operator="equal">
      <formula>"FE"</formula>
    </cfRule>
    <cfRule type="cellIs" dxfId="3429" priority="5879" operator="equal">
      <formula>"FE"</formula>
    </cfRule>
  </conditionalFormatting>
  <conditionalFormatting sqref="F670">
    <cfRule type="cellIs" dxfId="3428" priority="5868" operator="equal">
      <formula>"Retirado"</formula>
    </cfRule>
    <cfRule type="cellIs" dxfId="3427" priority="5869" operator="equal">
      <formula>"FSE"</formula>
    </cfRule>
  </conditionalFormatting>
  <conditionalFormatting sqref="F671">
    <cfRule type="cellIs" dxfId="3426" priority="5858" operator="equal">
      <formula>"APLAZADO"</formula>
    </cfRule>
    <cfRule type="cellIs" dxfId="3425" priority="5859" operator="equal">
      <formula>"CANCELADO"</formula>
    </cfRule>
    <cfRule type="cellIs" dxfId="3424" priority="5860" operator="equal">
      <formula>"NO EJECUTADO"</formula>
    </cfRule>
    <cfRule type="cellIs" dxfId="3423" priority="5861" operator="equal">
      <formula>"FPE"</formula>
    </cfRule>
    <cfRule type="cellIs" dxfId="3422" priority="5862" operator="equal">
      <formula>"AMA"</formula>
    </cfRule>
    <cfRule type="cellIs" dxfId="3421" priority="5863" operator="equal">
      <formula>"SIN DATOS"</formula>
    </cfRule>
    <cfRule type="cellIs" dxfId="3420" priority="5864" operator="equal">
      <formula>"SIN DATOS"</formula>
    </cfRule>
    <cfRule type="cellIs" dxfId="3419" priority="5865" operator="equal">
      <formula>"NO EJECTUTADO"</formula>
    </cfRule>
    <cfRule type="cellIs" dxfId="3418" priority="5866" operator="equal">
      <formula>"FE"</formula>
    </cfRule>
    <cfRule type="cellIs" dxfId="3417" priority="5867" operator="equal">
      <formula>"FE"</formula>
    </cfRule>
  </conditionalFormatting>
  <conditionalFormatting sqref="F671">
    <cfRule type="cellIs" dxfId="3416" priority="5856" operator="equal">
      <formula>"Retirado"</formula>
    </cfRule>
    <cfRule type="cellIs" dxfId="3415" priority="5857" operator="equal">
      <formula>"FSE"</formula>
    </cfRule>
  </conditionalFormatting>
  <conditionalFormatting sqref="F672">
    <cfRule type="cellIs" dxfId="3414" priority="5846" operator="equal">
      <formula>"APLAZADO"</formula>
    </cfRule>
    <cfRule type="cellIs" dxfId="3413" priority="5847" operator="equal">
      <formula>"CANCELADO"</formula>
    </cfRule>
    <cfRule type="cellIs" dxfId="3412" priority="5848" operator="equal">
      <formula>"NO EJECUTADO"</formula>
    </cfRule>
    <cfRule type="cellIs" dxfId="3411" priority="5849" operator="equal">
      <formula>"FPE"</formula>
    </cfRule>
    <cfRule type="cellIs" dxfId="3410" priority="5850" operator="equal">
      <formula>"AMA"</formula>
    </cfRule>
    <cfRule type="cellIs" dxfId="3409" priority="5851" operator="equal">
      <formula>"SIN DATOS"</formula>
    </cfRule>
    <cfRule type="cellIs" dxfId="3408" priority="5852" operator="equal">
      <formula>"SIN DATOS"</formula>
    </cfRule>
    <cfRule type="cellIs" dxfId="3407" priority="5853" operator="equal">
      <formula>"NO EJECTUTADO"</formula>
    </cfRule>
    <cfRule type="cellIs" dxfId="3406" priority="5854" operator="equal">
      <formula>"FE"</formula>
    </cfRule>
    <cfRule type="cellIs" dxfId="3405" priority="5855" operator="equal">
      <formula>"FE"</formula>
    </cfRule>
  </conditionalFormatting>
  <conditionalFormatting sqref="F672">
    <cfRule type="cellIs" dxfId="3404" priority="5844" operator="equal">
      <formula>"Retirado"</formula>
    </cfRule>
    <cfRule type="cellIs" dxfId="3403" priority="5845" operator="equal">
      <formula>"FSE"</formula>
    </cfRule>
  </conditionalFormatting>
  <conditionalFormatting sqref="F673">
    <cfRule type="cellIs" dxfId="3402" priority="5827" operator="equal">
      <formula>"APLAZADO"</formula>
    </cfRule>
    <cfRule type="cellIs" dxfId="3401" priority="5828" operator="equal">
      <formula>"CANCELADO"</formula>
    </cfRule>
    <cfRule type="cellIs" dxfId="3400" priority="5829" operator="equal">
      <formula>"NO EJECUTADO"</formula>
    </cfRule>
    <cfRule type="cellIs" dxfId="3399" priority="5830" operator="equal">
      <formula>"FPE"</formula>
    </cfRule>
    <cfRule type="cellIs" dxfId="3398" priority="5831" operator="equal">
      <formula>"AMA"</formula>
    </cfRule>
    <cfRule type="cellIs" dxfId="3397" priority="5832" operator="equal">
      <formula>"SIN DATOS"</formula>
    </cfRule>
    <cfRule type="cellIs" dxfId="3396" priority="5833" operator="equal">
      <formula>"SIN DATOS"</formula>
    </cfRule>
    <cfRule type="cellIs" dxfId="3395" priority="5834" operator="equal">
      <formula>"NO EJECTUTADO"</formula>
    </cfRule>
    <cfRule type="cellIs" dxfId="3394" priority="5835" operator="equal">
      <formula>"FE"</formula>
    </cfRule>
    <cfRule type="cellIs" dxfId="3393" priority="5836" operator="equal">
      <formula>"FE"</formula>
    </cfRule>
  </conditionalFormatting>
  <conditionalFormatting sqref="F673">
    <cfRule type="cellIs" dxfId="3392" priority="5825" operator="equal">
      <formula>"Retirado"</formula>
    </cfRule>
    <cfRule type="cellIs" dxfId="3391" priority="5826" operator="equal">
      <formula>"FSE"</formula>
    </cfRule>
  </conditionalFormatting>
  <conditionalFormatting sqref="F678:F681 F685 F683">
    <cfRule type="cellIs" dxfId="3390" priority="5815" operator="equal">
      <formula>"APLAZADO"</formula>
    </cfRule>
    <cfRule type="cellIs" dxfId="3389" priority="5816" operator="equal">
      <formula>"CANCELADO"</formula>
    </cfRule>
    <cfRule type="cellIs" dxfId="3388" priority="5817" operator="equal">
      <formula>"NO EJECUTADO"</formula>
    </cfRule>
    <cfRule type="cellIs" dxfId="3387" priority="5818" operator="equal">
      <formula>"FPE"</formula>
    </cfRule>
    <cfRule type="cellIs" dxfId="3386" priority="5819" operator="equal">
      <formula>"AMA"</formula>
    </cfRule>
    <cfRule type="cellIs" dxfId="3385" priority="5820" operator="equal">
      <formula>"SIN DATOS"</formula>
    </cfRule>
    <cfRule type="cellIs" dxfId="3384" priority="5821" operator="equal">
      <formula>"SIN DATOS"</formula>
    </cfRule>
    <cfRule type="cellIs" dxfId="3383" priority="5822" operator="equal">
      <formula>"NO EJECTUTADO"</formula>
    </cfRule>
    <cfRule type="cellIs" dxfId="3382" priority="5823" operator="equal">
      <formula>"FE"</formula>
    </cfRule>
    <cfRule type="cellIs" dxfId="3381" priority="5824" operator="equal">
      <formula>"FE"</formula>
    </cfRule>
  </conditionalFormatting>
  <conditionalFormatting sqref="F678:F681 F685 F683">
    <cfRule type="cellIs" dxfId="3380" priority="5813" operator="equal">
      <formula>"Retirado"</formula>
    </cfRule>
    <cfRule type="cellIs" dxfId="3379" priority="5814" operator="equal">
      <formula>"FSE"</formula>
    </cfRule>
  </conditionalFormatting>
  <conditionalFormatting sqref="F644">
    <cfRule type="cellIs" dxfId="3378" priority="5803" operator="equal">
      <formula>"APLAZADO"</formula>
    </cfRule>
    <cfRule type="cellIs" dxfId="3377" priority="5804" operator="equal">
      <formula>"CANCELADO"</formula>
    </cfRule>
    <cfRule type="cellIs" dxfId="3376" priority="5805" operator="equal">
      <formula>"NO EJECUTADO"</formula>
    </cfRule>
    <cfRule type="cellIs" dxfId="3375" priority="5806" operator="equal">
      <formula>"FPE"</formula>
    </cfRule>
    <cfRule type="cellIs" dxfId="3374" priority="5807" operator="equal">
      <formula>"AMA"</formula>
    </cfRule>
    <cfRule type="cellIs" dxfId="3373" priority="5808" operator="equal">
      <formula>"SIN DATOS"</formula>
    </cfRule>
    <cfRule type="cellIs" dxfId="3372" priority="5809" operator="equal">
      <formula>"SIN DATOS"</formula>
    </cfRule>
    <cfRule type="cellIs" dxfId="3371" priority="5810" operator="equal">
      <formula>"NO EJECTUTADO"</formula>
    </cfRule>
    <cfRule type="cellIs" dxfId="3370" priority="5811" operator="equal">
      <formula>"FE"</formula>
    </cfRule>
    <cfRule type="cellIs" dxfId="3369" priority="5812" operator="equal">
      <formula>"FE"</formula>
    </cfRule>
  </conditionalFormatting>
  <conditionalFormatting sqref="F644">
    <cfRule type="cellIs" dxfId="3368" priority="5801" operator="equal">
      <formula>"Retirado"</formula>
    </cfRule>
    <cfRule type="cellIs" dxfId="3367" priority="5802" operator="equal">
      <formula>"FSE"</formula>
    </cfRule>
  </conditionalFormatting>
  <conditionalFormatting sqref="F659">
    <cfRule type="cellIs" dxfId="3366" priority="5791" operator="equal">
      <formula>"APLAZADO"</formula>
    </cfRule>
    <cfRule type="cellIs" dxfId="3365" priority="5792" operator="equal">
      <formula>"CANCELADO"</formula>
    </cfRule>
    <cfRule type="cellIs" dxfId="3364" priority="5793" operator="equal">
      <formula>"NO EJECUTADO"</formula>
    </cfRule>
    <cfRule type="cellIs" dxfId="3363" priority="5794" operator="equal">
      <formula>"FPE"</formula>
    </cfRule>
    <cfRule type="cellIs" dxfId="3362" priority="5795" operator="equal">
      <formula>"AMA"</formula>
    </cfRule>
    <cfRule type="cellIs" dxfId="3361" priority="5796" operator="equal">
      <formula>"SIN DATOS"</formula>
    </cfRule>
    <cfRule type="cellIs" dxfId="3360" priority="5797" operator="equal">
      <formula>"SIN DATOS"</formula>
    </cfRule>
    <cfRule type="cellIs" dxfId="3359" priority="5798" operator="equal">
      <formula>"NO EJECTUTADO"</formula>
    </cfRule>
    <cfRule type="cellIs" dxfId="3358" priority="5799" operator="equal">
      <formula>"FE"</formula>
    </cfRule>
    <cfRule type="cellIs" dxfId="3357" priority="5800" operator="equal">
      <formula>"FE"</formula>
    </cfRule>
  </conditionalFormatting>
  <conditionalFormatting sqref="F659">
    <cfRule type="cellIs" dxfId="3356" priority="5789" operator="equal">
      <formula>"Retirado"</formula>
    </cfRule>
    <cfRule type="cellIs" dxfId="3355" priority="5790" operator="equal">
      <formula>"FSE"</formula>
    </cfRule>
  </conditionalFormatting>
  <conditionalFormatting sqref="F548">
    <cfRule type="cellIs" dxfId="3354" priority="5779" operator="equal">
      <formula>"APLAZADO"</formula>
    </cfRule>
    <cfRule type="cellIs" dxfId="3353" priority="5780" operator="equal">
      <formula>"CANCELADO"</formula>
    </cfRule>
    <cfRule type="cellIs" dxfId="3352" priority="5781" operator="equal">
      <formula>"NO EJECUTADO"</formula>
    </cfRule>
    <cfRule type="cellIs" dxfId="3351" priority="5782" operator="equal">
      <formula>"FPE"</formula>
    </cfRule>
    <cfRule type="cellIs" dxfId="3350" priority="5783" operator="equal">
      <formula>"AMA"</formula>
    </cfRule>
    <cfRule type="cellIs" dxfId="3349" priority="5784" operator="equal">
      <formula>"SIN DATOS"</formula>
    </cfRule>
    <cfRule type="cellIs" dxfId="3348" priority="5785" operator="equal">
      <formula>"SIN DATOS"</formula>
    </cfRule>
    <cfRule type="cellIs" dxfId="3347" priority="5786" operator="equal">
      <formula>"NO EJECTUTADO"</formula>
    </cfRule>
    <cfRule type="cellIs" dxfId="3346" priority="5787" operator="equal">
      <formula>"FE"</formula>
    </cfRule>
    <cfRule type="cellIs" dxfId="3345" priority="5788" operator="equal">
      <formula>"FE"</formula>
    </cfRule>
  </conditionalFormatting>
  <conditionalFormatting sqref="F548">
    <cfRule type="cellIs" dxfId="3344" priority="5777" operator="equal">
      <formula>"Retirado"</formula>
    </cfRule>
    <cfRule type="cellIs" dxfId="3343" priority="5778" operator="equal">
      <formula>"FSE"</formula>
    </cfRule>
  </conditionalFormatting>
  <conditionalFormatting sqref="F664">
    <cfRule type="cellIs" dxfId="3342" priority="5767" operator="equal">
      <formula>"APLAZADO"</formula>
    </cfRule>
    <cfRule type="cellIs" dxfId="3341" priority="5768" operator="equal">
      <formula>"CANCELADO"</formula>
    </cfRule>
    <cfRule type="cellIs" dxfId="3340" priority="5769" operator="equal">
      <formula>"NO EJECUTADO"</formula>
    </cfRule>
    <cfRule type="cellIs" dxfId="3339" priority="5770" operator="equal">
      <formula>"FPE"</formula>
    </cfRule>
    <cfRule type="cellIs" dxfId="3338" priority="5771" operator="equal">
      <formula>"AMA"</formula>
    </cfRule>
    <cfRule type="cellIs" dxfId="3337" priority="5772" operator="equal">
      <formula>"SIN DATOS"</formula>
    </cfRule>
    <cfRule type="cellIs" dxfId="3336" priority="5773" operator="equal">
      <formula>"SIN DATOS"</formula>
    </cfRule>
    <cfRule type="cellIs" dxfId="3335" priority="5774" operator="equal">
      <formula>"NO EJECTUTADO"</formula>
    </cfRule>
    <cfRule type="cellIs" dxfId="3334" priority="5775" operator="equal">
      <formula>"FE"</formula>
    </cfRule>
    <cfRule type="cellIs" dxfId="3333" priority="5776" operator="equal">
      <formula>"FE"</formula>
    </cfRule>
  </conditionalFormatting>
  <conditionalFormatting sqref="F664">
    <cfRule type="cellIs" dxfId="3332" priority="5765" operator="equal">
      <formula>"Retirado"</formula>
    </cfRule>
    <cfRule type="cellIs" dxfId="3331" priority="5766" operator="equal">
      <formula>"FSE"</formula>
    </cfRule>
  </conditionalFormatting>
  <conditionalFormatting sqref="F668">
    <cfRule type="cellIs" dxfId="3330" priority="5755" operator="equal">
      <formula>"APLAZADO"</formula>
    </cfRule>
    <cfRule type="cellIs" dxfId="3329" priority="5756" operator="equal">
      <formula>"CANCELADO"</formula>
    </cfRule>
    <cfRule type="cellIs" dxfId="3328" priority="5757" operator="equal">
      <formula>"NO EJECUTADO"</formula>
    </cfRule>
    <cfRule type="cellIs" dxfId="3327" priority="5758" operator="equal">
      <formula>"FPE"</formula>
    </cfRule>
    <cfRule type="cellIs" dxfId="3326" priority="5759" operator="equal">
      <formula>"AMA"</formula>
    </cfRule>
    <cfRule type="cellIs" dxfId="3325" priority="5760" operator="equal">
      <formula>"SIN DATOS"</formula>
    </cfRule>
    <cfRule type="cellIs" dxfId="3324" priority="5761" operator="equal">
      <formula>"SIN DATOS"</formula>
    </cfRule>
    <cfRule type="cellIs" dxfId="3323" priority="5762" operator="equal">
      <formula>"NO EJECTUTADO"</formula>
    </cfRule>
    <cfRule type="cellIs" dxfId="3322" priority="5763" operator="equal">
      <formula>"FE"</formula>
    </cfRule>
    <cfRule type="cellIs" dxfId="3321" priority="5764" operator="equal">
      <formula>"FE"</formula>
    </cfRule>
  </conditionalFormatting>
  <conditionalFormatting sqref="F668">
    <cfRule type="cellIs" dxfId="3320" priority="5753" operator="equal">
      <formula>"Retirado"</formula>
    </cfRule>
    <cfRule type="cellIs" dxfId="3319" priority="5754" operator="equal">
      <formula>"FSE"</formula>
    </cfRule>
  </conditionalFormatting>
  <conditionalFormatting sqref="F529">
    <cfRule type="cellIs" dxfId="3318" priority="5743" operator="equal">
      <formula>"APLAZADO"</formula>
    </cfRule>
    <cfRule type="cellIs" dxfId="3317" priority="5744" operator="equal">
      <formula>"CANCELADO"</formula>
    </cfRule>
    <cfRule type="cellIs" dxfId="3316" priority="5745" operator="equal">
      <formula>"NO EJECUTADO"</formula>
    </cfRule>
    <cfRule type="cellIs" dxfId="3315" priority="5746" operator="equal">
      <formula>"FPE"</formula>
    </cfRule>
    <cfRule type="cellIs" dxfId="3314" priority="5747" operator="equal">
      <formula>"AMA"</formula>
    </cfRule>
    <cfRule type="cellIs" dxfId="3313" priority="5748" operator="equal">
      <formula>"SIN DATOS"</formula>
    </cfRule>
    <cfRule type="cellIs" dxfId="3312" priority="5749" operator="equal">
      <formula>"SIN DATOS"</formula>
    </cfRule>
    <cfRule type="cellIs" dxfId="3311" priority="5750" operator="equal">
      <formula>"NO EJECTUTADO"</formula>
    </cfRule>
    <cfRule type="cellIs" dxfId="3310" priority="5751" operator="equal">
      <formula>"FE"</formula>
    </cfRule>
    <cfRule type="cellIs" dxfId="3309" priority="5752" operator="equal">
      <formula>"FE"</formula>
    </cfRule>
  </conditionalFormatting>
  <conditionalFormatting sqref="F529">
    <cfRule type="cellIs" dxfId="3308" priority="5741" operator="equal">
      <formula>"Retirado"</formula>
    </cfRule>
    <cfRule type="cellIs" dxfId="3307" priority="5742" operator="equal">
      <formula>"FSE"</formula>
    </cfRule>
  </conditionalFormatting>
  <conditionalFormatting sqref="F667">
    <cfRule type="cellIs" dxfId="3306" priority="5731" operator="equal">
      <formula>"APLAZADO"</formula>
    </cfRule>
    <cfRule type="cellIs" dxfId="3305" priority="5732" operator="equal">
      <formula>"CANCELADO"</formula>
    </cfRule>
    <cfRule type="cellIs" dxfId="3304" priority="5733" operator="equal">
      <formula>"NO EJECUTADO"</formula>
    </cfRule>
    <cfRule type="cellIs" dxfId="3303" priority="5734" operator="equal">
      <formula>"FPE"</formula>
    </cfRule>
    <cfRule type="cellIs" dxfId="3302" priority="5735" operator="equal">
      <formula>"AMA"</formula>
    </cfRule>
    <cfRule type="cellIs" dxfId="3301" priority="5736" operator="equal">
      <formula>"SIN DATOS"</formula>
    </cfRule>
    <cfRule type="cellIs" dxfId="3300" priority="5737" operator="equal">
      <formula>"SIN DATOS"</formula>
    </cfRule>
    <cfRule type="cellIs" dxfId="3299" priority="5738" operator="equal">
      <formula>"NO EJECTUTADO"</formula>
    </cfRule>
    <cfRule type="cellIs" dxfId="3298" priority="5739" operator="equal">
      <formula>"FE"</formula>
    </cfRule>
    <cfRule type="cellIs" dxfId="3297" priority="5740" operator="equal">
      <formula>"FE"</formula>
    </cfRule>
  </conditionalFormatting>
  <conditionalFormatting sqref="F667">
    <cfRule type="cellIs" dxfId="3296" priority="5729" operator="equal">
      <formula>"Retirado"</formula>
    </cfRule>
    <cfRule type="cellIs" dxfId="3295" priority="5730" operator="equal">
      <formula>"FSE"</formula>
    </cfRule>
  </conditionalFormatting>
  <conditionalFormatting sqref="F635">
    <cfRule type="cellIs" dxfId="3294" priority="5719" operator="equal">
      <formula>"APLAZADO"</formula>
    </cfRule>
    <cfRule type="cellIs" dxfId="3293" priority="5720" operator="equal">
      <formula>"CANCELADO"</formula>
    </cfRule>
    <cfRule type="cellIs" dxfId="3292" priority="5721" operator="equal">
      <formula>"NO EJECUTADO"</formula>
    </cfRule>
    <cfRule type="cellIs" dxfId="3291" priority="5722" operator="equal">
      <formula>"FPE"</formula>
    </cfRule>
    <cfRule type="cellIs" dxfId="3290" priority="5723" operator="equal">
      <formula>"AMA"</formula>
    </cfRule>
    <cfRule type="cellIs" dxfId="3289" priority="5724" operator="equal">
      <formula>"SIN DATOS"</formula>
    </cfRule>
    <cfRule type="cellIs" dxfId="3288" priority="5725" operator="equal">
      <formula>"SIN DATOS"</formula>
    </cfRule>
    <cfRule type="cellIs" dxfId="3287" priority="5726" operator="equal">
      <formula>"NO EJECTUTADO"</formula>
    </cfRule>
    <cfRule type="cellIs" dxfId="3286" priority="5727" operator="equal">
      <formula>"FE"</formula>
    </cfRule>
    <cfRule type="cellIs" dxfId="3285" priority="5728" operator="equal">
      <formula>"FE"</formula>
    </cfRule>
  </conditionalFormatting>
  <conditionalFormatting sqref="F635">
    <cfRule type="cellIs" dxfId="3284" priority="5717" operator="equal">
      <formula>"Retirado"</formula>
    </cfRule>
    <cfRule type="cellIs" dxfId="3283" priority="5718" operator="equal">
      <formula>"FSE"</formula>
    </cfRule>
  </conditionalFormatting>
  <conditionalFormatting sqref="F637">
    <cfRule type="cellIs" dxfId="3282" priority="5707" operator="equal">
      <formula>"APLAZADO"</formula>
    </cfRule>
    <cfRule type="cellIs" dxfId="3281" priority="5708" operator="equal">
      <formula>"CANCELADO"</formula>
    </cfRule>
    <cfRule type="cellIs" dxfId="3280" priority="5709" operator="equal">
      <formula>"NO EJECUTADO"</formula>
    </cfRule>
    <cfRule type="cellIs" dxfId="3279" priority="5710" operator="equal">
      <formula>"FPE"</formula>
    </cfRule>
    <cfRule type="cellIs" dxfId="3278" priority="5711" operator="equal">
      <formula>"AMA"</formula>
    </cfRule>
    <cfRule type="cellIs" dxfId="3277" priority="5712" operator="equal">
      <formula>"SIN DATOS"</formula>
    </cfRule>
    <cfRule type="cellIs" dxfId="3276" priority="5713" operator="equal">
      <formula>"SIN DATOS"</formula>
    </cfRule>
    <cfRule type="cellIs" dxfId="3275" priority="5714" operator="equal">
      <formula>"NO EJECTUTADO"</formula>
    </cfRule>
    <cfRule type="cellIs" dxfId="3274" priority="5715" operator="equal">
      <formula>"FE"</formula>
    </cfRule>
    <cfRule type="cellIs" dxfId="3273" priority="5716" operator="equal">
      <formula>"FE"</formula>
    </cfRule>
  </conditionalFormatting>
  <conditionalFormatting sqref="F637">
    <cfRule type="cellIs" dxfId="3272" priority="5705" operator="equal">
      <formula>"Retirado"</formula>
    </cfRule>
    <cfRule type="cellIs" dxfId="3271" priority="5706" operator="equal">
      <formula>"FSE"</formula>
    </cfRule>
  </conditionalFormatting>
  <conditionalFormatting sqref="F589">
    <cfRule type="cellIs" dxfId="3270" priority="5695" operator="equal">
      <formula>"APLAZADO"</formula>
    </cfRule>
    <cfRule type="cellIs" dxfId="3269" priority="5696" operator="equal">
      <formula>"CANCELADO"</formula>
    </cfRule>
    <cfRule type="cellIs" dxfId="3268" priority="5697" operator="equal">
      <formula>"NO EJECUTADO"</formula>
    </cfRule>
    <cfRule type="cellIs" dxfId="3267" priority="5698" operator="equal">
      <formula>"FPE"</formula>
    </cfRule>
    <cfRule type="cellIs" dxfId="3266" priority="5699" operator="equal">
      <formula>"AMA"</formula>
    </cfRule>
    <cfRule type="cellIs" dxfId="3265" priority="5700" operator="equal">
      <formula>"SIN DATOS"</formula>
    </cfRule>
    <cfRule type="cellIs" dxfId="3264" priority="5701" operator="equal">
      <formula>"SIN DATOS"</formula>
    </cfRule>
    <cfRule type="cellIs" dxfId="3263" priority="5702" operator="equal">
      <formula>"NO EJECTUTADO"</formula>
    </cfRule>
    <cfRule type="cellIs" dxfId="3262" priority="5703" operator="equal">
      <formula>"FE"</formula>
    </cfRule>
    <cfRule type="cellIs" dxfId="3261" priority="5704" operator="equal">
      <formula>"FE"</formula>
    </cfRule>
  </conditionalFormatting>
  <conditionalFormatting sqref="F589">
    <cfRule type="cellIs" dxfId="3260" priority="5693" operator="equal">
      <formula>"Retirado"</formula>
    </cfRule>
    <cfRule type="cellIs" dxfId="3259" priority="5694" operator="equal">
      <formula>"FSE"</formula>
    </cfRule>
  </conditionalFormatting>
  <conditionalFormatting sqref="F612">
    <cfRule type="cellIs" dxfId="3258" priority="5683" operator="equal">
      <formula>"APLAZADO"</formula>
    </cfRule>
    <cfRule type="cellIs" dxfId="3257" priority="5684" operator="equal">
      <formula>"CANCELADO"</formula>
    </cfRule>
    <cfRule type="cellIs" dxfId="3256" priority="5685" operator="equal">
      <formula>"NO EJECUTADO"</formula>
    </cfRule>
    <cfRule type="cellIs" dxfId="3255" priority="5686" operator="equal">
      <formula>"FPE"</formula>
    </cfRule>
    <cfRule type="cellIs" dxfId="3254" priority="5687" operator="equal">
      <formula>"AMA"</formula>
    </cfRule>
    <cfRule type="cellIs" dxfId="3253" priority="5688" operator="equal">
      <formula>"SIN DATOS"</formula>
    </cfRule>
    <cfRule type="cellIs" dxfId="3252" priority="5689" operator="equal">
      <formula>"SIN DATOS"</formula>
    </cfRule>
    <cfRule type="cellIs" dxfId="3251" priority="5690" operator="equal">
      <formula>"NO EJECTUTADO"</formula>
    </cfRule>
    <cfRule type="cellIs" dxfId="3250" priority="5691" operator="equal">
      <formula>"FE"</formula>
    </cfRule>
    <cfRule type="cellIs" dxfId="3249" priority="5692" operator="equal">
      <formula>"FE"</formula>
    </cfRule>
  </conditionalFormatting>
  <conditionalFormatting sqref="F612">
    <cfRule type="cellIs" dxfId="3248" priority="5681" operator="equal">
      <formula>"Retirado"</formula>
    </cfRule>
    <cfRule type="cellIs" dxfId="3247" priority="5682" operator="equal">
      <formula>"FSE"</formula>
    </cfRule>
  </conditionalFormatting>
  <conditionalFormatting sqref="F591">
    <cfRule type="cellIs" dxfId="3246" priority="5671" operator="equal">
      <formula>"APLAZADO"</formula>
    </cfRule>
    <cfRule type="cellIs" dxfId="3245" priority="5672" operator="equal">
      <formula>"CANCELADO"</formula>
    </cfRule>
    <cfRule type="cellIs" dxfId="3244" priority="5673" operator="equal">
      <formula>"NO EJECUTADO"</formula>
    </cfRule>
    <cfRule type="cellIs" dxfId="3243" priority="5674" operator="equal">
      <formula>"FPE"</formula>
    </cfRule>
    <cfRule type="cellIs" dxfId="3242" priority="5675" operator="equal">
      <formula>"AMA"</formula>
    </cfRule>
    <cfRule type="cellIs" dxfId="3241" priority="5676" operator="equal">
      <formula>"SIN DATOS"</formula>
    </cfRule>
    <cfRule type="cellIs" dxfId="3240" priority="5677" operator="equal">
      <formula>"SIN DATOS"</formula>
    </cfRule>
    <cfRule type="cellIs" dxfId="3239" priority="5678" operator="equal">
      <formula>"NO EJECTUTADO"</formula>
    </cfRule>
    <cfRule type="cellIs" dxfId="3238" priority="5679" operator="equal">
      <formula>"FE"</formula>
    </cfRule>
    <cfRule type="cellIs" dxfId="3237" priority="5680" operator="equal">
      <formula>"FE"</formula>
    </cfRule>
  </conditionalFormatting>
  <conditionalFormatting sqref="F591">
    <cfRule type="cellIs" dxfId="3236" priority="5669" operator="equal">
      <formula>"Retirado"</formula>
    </cfRule>
    <cfRule type="cellIs" dxfId="3235" priority="5670" operator="equal">
      <formula>"FSE"</formula>
    </cfRule>
  </conditionalFormatting>
  <conditionalFormatting sqref="F629">
    <cfRule type="cellIs" dxfId="3234" priority="5659" operator="equal">
      <formula>"APLAZADO"</formula>
    </cfRule>
    <cfRule type="cellIs" dxfId="3233" priority="5660" operator="equal">
      <formula>"CANCELADO"</formula>
    </cfRule>
    <cfRule type="cellIs" dxfId="3232" priority="5661" operator="equal">
      <formula>"NO EJECUTADO"</formula>
    </cfRule>
    <cfRule type="cellIs" dxfId="3231" priority="5662" operator="equal">
      <formula>"FPE"</formula>
    </cfRule>
    <cfRule type="cellIs" dxfId="3230" priority="5663" operator="equal">
      <formula>"AMA"</formula>
    </cfRule>
    <cfRule type="cellIs" dxfId="3229" priority="5664" operator="equal">
      <formula>"SIN DATOS"</formula>
    </cfRule>
    <cfRule type="cellIs" dxfId="3228" priority="5665" operator="equal">
      <formula>"SIN DATOS"</formula>
    </cfRule>
    <cfRule type="cellIs" dxfId="3227" priority="5666" operator="equal">
      <formula>"NO EJECTUTADO"</formula>
    </cfRule>
    <cfRule type="cellIs" dxfId="3226" priority="5667" operator="equal">
      <formula>"FE"</formula>
    </cfRule>
    <cfRule type="cellIs" dxfId="3225" priority="5668" operator="equal">
      <formula>"FE"</formula>
    </cfRule>
  </conditionalFormatting>
  <conditionalFormatting sqref="F629">
    <cfRule type="cellIs" dxfId="3224" priority="5657" operator="equal">
      <formula>"Retirado"</formula>
    </cfRule>
    <cfRule type="cellIs" dxfId="3223" priority="5658" operator="equal">
      <formula>"FSE"</formula>
    </cfRule>
  </conditionalFormatting>
  <conditionalFormatting sqref="F581">
    <cfRule type="cellIs" dxfId="3222" priority="5647" operator="equal">
      <formula>"APLAZADO"</formula>
    </cfRule>
    <cfRule type="cellIs" dxfId="3221" priority="5648" operator="equal">
      <formula>"CANCELADO"</formula>
    </cfRule>
    <cfRule type="cellIs" dxfId="3220" priority="5649" operator="equal">
      <formula>"NO EJECUTADO"</formula>
    </cfRule>
    <cfRule type="cellIs" dxfId="3219" priority="5650" operator="equal">
      <formula>"FPE"</formula>
    </cfRule>
    <cfRule type="cellIs" dxfId="3218" priority="5651" operator="equal">
      <formula>"AMA"</formula>
    </cfRule>
    <cfRule type="cellIs" dxfId="3217" priority="5652" operator="equal">
      <formula>"SIN DATOS"</formula>
    </cfRule>
    <cfRule type="cellIs" dxfId="3216" priority="5653" operator="equal">
      <formula>"SIN DATOS"</formula>
    </cfRule>
    <cfRule type="cellIs" dxfId="3215" priority="5654" operator="equal">
      <formula>"NO EJECTUTADO"</formula>
    </cfRule>
    <cfRule type="cellIs" dxfId="3214" priority="5655" operator="equal">
      <formula>"FE"</formula>
    </cfRule>
    <cfRule type="cellIs" dxfId="3213" priority="5656" operator="equal">
      <formula>"FE"</formula>
    </cfRule>
  </conditionalFormatting>
  <conditionalFormatting sqref="F581">
    <cfRule type="cellIs" dxfId="3212" priority="5645" operator="equal">
      <formula>"Retirado"</formula>
    </cfRule>
    <cfRule type="cellIs" dxfId="3211" priority="5646" operator="equal">
      <formula>"FSE"</formula>
    </cfRule>
  </conditionalFormatting>
  <conditionalFormatting sqref="F552">
    <cfRule type="cellIs" dxfId="3210" priority="5635" operator="equal">
      <formula>"APLAZADO"</formula>
    </cfRule>
    <cfRule type="cellIs" dxfId="3209" priority="5636" operator="equal">
      <formula>"CANCELADO"</formula>
    </cfRule>
    <cfRule type="cellIs" dxfId="3208" priority="5637" operator="equal">
      <formula>"NO EJECUTADO"</formula>
    </cfRule>
    <cfRule type="cellIs" dxfId="3207" priority="5638" operator="equal">
      <formula>"FPE"</formula>
    </cfRule>
    <cfRule type="cellIs" dxfId="3206" priority="5639" operator="equal">
      <formula>"AMA"</formula>
    </cfRule>
    <cfRule type="cellIs" dxfId="3205" priority="5640" operator="equal">
      <formula>"SIN DATOS"</formula>
    </cfRule>
    <cfRule type="cellIs" dxfId="3204" priority="5641" operator="equal">
      <formula>"SIN DATOS"</formula>
    </cfRule>
    <cfRule type="cellIs" dxfId="3203" priority="5642" operator="equal">
      <formula>"NO EJECTUTADO"</formula>
    </cfRule>
    <cfRule type="cellIs" dxfId="3202" priority="5643" operator="equal">
      <formula>"FE"</formula>
    </cfRule>
    <cfRule type="cellIs" dxfId="3201" priority="5644" operator="equal">
      <formula>"FE"</formula>
    </cfRule>
  </conditionalFormatting>
  <conditionalFormatting sqref="F552">
    <cfRule type="cellIs" dxfId="3200" priority="5633" operator="equal">
      <formula>"Retirado"</formula>
    </cfRule>
    <cfRule type="cellIs" dxfId="3199" priority="5634" operator="equal">
      <formula>"FSE"</formula>
    </cfRule>
  </conditionalFormatting>
  <conditionalFormatting sqref="F555">
    <cfRule type="cellIs" dxfId="3198" priority="5623" operator="equal">
      <formula>"APLAZADO"</formula>
    </cfRule>
    <cfRule type="cellIs" dxfId="3197" priority="5624" operator="equal">
      <formula>"CANCELADO"</formula>
    </cfRule>
    <cfRule type="cellIs" dxfId="3196" priority="5625" operator="equal">
      <formula>"NO EJECUTADO"</formula>
    </cfRule>
    <cfRule type="cellIs" dxfId="3195" priority="5626" operator="equal">
      <formula>"FPE"</formula>
    </cfRule>
    <cfRule type="cellIs" dxfId="3194" priority="5627" operator="equal">
      <formula>"AMA"</formula>
    </cfRule>
    <cfRule type="cellIs" dxfId="3193" priority="5628" operator="equal">
      <formula>"SIN DATOS"</formula>
    </cfRule>
    <cfRule type="cellIs" dxfId="3192" priority="5629" operator="equal">
      <formula>"SIN DATOS"</formula>
    </cfRule>
    <cfRule type="cellIs" dxfId="3191" priority="5630" operator="equal">
      <formula>"NO EJECTUTADO"</formula>
    </cfRule>
    <cfRule type="cellIs" dxfId="3190" priority="5631" operator="equal">
      <formula>"FE"</formula>
    </cfRule>
    <cfRule type="cellIs" dxfId="3189" priority="5632" operator="equal">
      <formula>"FE"</formula>
    </cfRule>
  </conditionalFormatting>
  <conditionalFormatting sqref="F555">
    <cfRule type="cellIs" dxfId="3188" priority="5621" operator="equal">
      <formula>"Retirado"</formula>
    </cfRule>
    <cfRule type="cellIs" dxfId="3187" priority="5622" operator="equal">
      <formula>"FSE"</formula>
    </cfRule>
  </conditionalFormatting>
  <conditionalFormatting sqref="F545">
    <cfRule type="cellIs" dxfId="3186" priority="5611" operator="equal">
      <formula>"APLAZADO"</formula>
    </cfRule>
    <cfRule type="cellIs" dxfId="3185" priority="5612" operator="equal">
      <formula>"CANCELADO"</formula>
    </cfRule>
    <cfRule type="cellIs" dxfId="3184" priority="5613" operator="equal">
      <formula>"NO EJECUTADO"</formula>
    </cfRule>
    <cfRule type="cellIs" dxfId="3183" priority="5614" operator="equal">
      <formula>"FPE"</formula>
    </cfRule>
    <cfRule type="cellIs" dxfId="3182" priority="5615" operator="equal">
      <formula>"AMA"</formula>
    </cfRule>
    <cfRule type="cellIs" dxfId="3181" priority="5616" operator="equal">
      <formula>"SIN DATOS"</formula>
    </cfRule>
    <cfRule type="cellIs" dxfId="3180" priority="5617" operator="equal">
      <formula>"SIN DATOS"</formula>
    </cfRule>
    <cfRule type="cellIs" dxfId="3179" priority="5618" operator="equal">
      <formula>"NO EJECTUTADO"</formula>
    </cfRule>
    <cfRule type="cellIs" dxfId="3178" priority="5619" operator="equal">
      <formula>"FE"</formula>
    </cfRule>
    <cfRule type="cellIs" dxfId="3177" priority="5620" operator="equal">
      <formula>"FE"</formula>
    </cfRule>
  </conditionalFormatting>
  <conditionalFormatting sqref="F545">
    <cfRule type="cellIs" dxfId="3176" priority="5609" operator="equal">
      <formula>"Retirado"</formula>
    </cfRule>
    <cfRule type="cellIs" dxfId="3175" priority="5610" operator="equal">
      <formula>"FSE"</formula>
    </cfRule>
  </conditionalFormatting>
  <conditionalFormatting sqref="F558">
    <cfRule type="cellIs" dxfId="3174" priority="5599" operator="equal">
      <formula>"APLAZADO"</formula>
    </cfRule>
    <cfRule type="cellIs" dxfId="3173" priority="5600" operator="equal">
      <formula>"CANCELADO"</formula>
    </cfRule>
    <cfRule type="cellIs" dxfId="3172" priority="5601" operator="equal">
      <formula>"NO EJECUTADO"</formula>
    </cfRule>
    <cfRule type="cellIs" dxfId="3171" priority="5602" operator="equal">
      <formula>"FPE"</formula>
    </cfRule>
    <cfRule type="cellIs" dxfId="3170" priority="5603" operator="equal">
      <formula>"AMA"</formula>
    </cfRule>
    <cfRule type="cellIs" dxfId="3169" priority="5604" operator="equal">
      <formula>"SIN DATOS"</formula>
    </cfRule>
    <cfRule type="cellIs" dxfId="3168" priority="5605" operator="equal">
      <formula>"SIN DATOS"</formula>
    </cfRule>
    <cfRule type="cellIs" dxfId="3167" priority="5606" operator="equal">
      <formula>"NO EJECTUTADO"</formula>
    </cfRule>
    <cfRule type="cellIs" dxfId="3166" priority="5607" operator="equal">
      <formula>"FE"</formula>
    </cfRule>
    <cfRule type="cellIs" dxfId="3165" priority="5608" operator="equal">
      <formula>"FE"</formula>
    </cfRule>
  </conditionalFormatting>
  <conditionalFormatting sqref="F558">
    <cfRule type="cellIs" dxfId="3164" priority="5597" operator="equal">
      <formula>"Retirado"</formula>
    </cfRule>
    <cfRule type="cellIs" dxfId="3163" priority="5598" operator="equal">
      <formula>"FSE"</formula>
    </cfRule>
  </conditionalFormatting>
  <conditionalFormatting sqref="F575">
    <cfRule type="cellIs" dxfId="3162" priority="5587" operator="equal">
      <formula>"APLAZADO"</formula>
    </cfRule>
    <cfRule type="cellIs" dxfId="3161" priority="5588" operator="equal">
      <formula>"CANCELADO"</formula>
    </cfRule>
    <cfRule type="cellIs" dxfId="3160" priority="5589" operator="equal">
      <formula>"NO EJECUTADO"</formula>
    </cfRule>
    <cfRule type="cellIs" dxfId="3159" priority="5590" operator="equal">
      <formula>"FPE"</formula>
    </cfRule>
    <cfRule type="cellIs" dxfId="3158" priority="5591" operator="equal">
      <formula>"AMA"</formula>
    </cfRule>
    <cfRule type="cellIs" dxfId="3157" priority="5592" operator="equal">
      <formula>"SIN DATOS"</formula>
    </cfRule>
    <cfRule type="cellIs" dxfId="3156" priority="5593" operator="equal">
      <formula>"SIN DATOS"</formula>
    </cfRule>
    <cfRule type="cellIs" dxfId="3155" priority="5594" operator="equal">
      <formula>"NO EJECTUTADO"</formula>
    </cfRule>
    <cfRule type="cellIs" dxfId="3154" priority="5595" operator="equal">
      <formula>"FE"</formula>
    </cfRule>
    <cfRule type="cellIs" dxfId="3153" priority="5596" operator="equal">
      <formula>"FE"</formula>
    </cfRule>
  </conditionalFormatting>
  <conditionalFormatting sqref="F575">
    <cfRule type="cellIs" dxfId="3152" priority="5585" operator="equal">
      <formula>"Retirado"</formula>
    </cfRule>
    <cfRule type="cellIs" dxfId="3151" priority="5586" operator="equal">
      <formula>"FSE"</formula>
    </cfRule>
  </conditionalFormatting>
  <conditionalFormatting sqref="A574">
    <cfRule type="cellIs" dxfId="3150" priority="5575" operator="equal">
      <formula>"APLAZADO"</formula>
    </cfRule>
    <cfRule type="cellIs" dxfId="3149" priority="5576" operator="equal">
      <formula>"CANCELADO"</formula>
    </cfRule>
    <cfRule type="cellIs" dxfId="3148" priority="5577" operator="equal">
      <formula>"NO EJECUTADO"</formula>
    </cfRule>
    <cfRule type="cellIs" dxfId="3147" priority="5578" operator="equal">
      <formula>"FPE"</formula>
    </cfRule>
    <cfRule type="cellIs" dxfId="3146" priority="5579" operator="equal">
      <formula>"AMA"</formula>
    </cfRule>
    <cfRule type="cellIs" dxfId="3145" priority="5580" operator="equal">
      <formula>"SIN DATOS"</formula>
    </cfRule>
    <cfRule type="cellIs" dxfId="3144" priority="5581" operator="equal">
      <formula>"SIN DATOS"</formula>
    </cfRule>
    <cfRule type="cellIs" dxfId="3143" priority="5582" operator="equal">
      <formula>"NO EJECTUTADO"</formula>
    </cfRule>
    <cfRule type="cellIs" dxfId="3142" priority="5583" operator="equal">
      <formula>"FE"</formula>
    </cfRule>
    <cfRule type="cellIs" dxfId="3141" priority="5584" operator="equal">
      <formula>"FE"</formula>
    </cfRule>
  </conditionalFormatting>
  <conditionalFormatting sqref="A574">
    <cfRule type="cellIs" dxfId="3140" priority="5573" operator="equal">
      <formula>"Retirado"</formula>
    </cfRule>
    <cfRule type="cellIs" dxfId="3139" priority="5574" operator="equal">
      <formula>"FSE"</formula>
    </cfRule>
  </conditionalFormatting>
  <conditionalFormatting sqref="F574">
    <cfRule type="cellIs" dxfId="3138" priority="5563" operator="equal">
      <formula>"APLAZADO"</formula>
    </cfRule>
    <cfRule type="cellIs" dxfId="3137" priority="5564" operator="equal">
      <formula>"CANCELADO"</formula>
    </cfRule>
    <cfRule type="cellIs" dxfId="3136" priority="5565" operator="equal">
      <formula>"NO EJECUTADO"</formula>
    </cfRule>
    <cfRule type="cellIs" dxfId="3135" priority="5566" operator="equal">
      <formula>"FPE"</formula>
    </cfRule>
    <cfRule type="cellIs" dxfId="3134" priority="5567" operator="equal">
      <formula>"AMA"</formula>
    </cfRule>
    <cfRule type="cellIs" dxfId="3133" priority="5568" operator="equal">
      <formula>"SIN DATOS"</formula>
    </cfRule>
    <cfRule type="cellIs" dxfId="3132" priority="5569" operator="equal">
      <formula>"SIN DATOS"</formula>
    </cfRule>
    <cfRule type="cellIs" dxfId="3131" priority="5570" operator="equal">
      <formula>"NO EJECTUTADO"</formula>
    </cfRule>
    <cfRule type="cellIs" dxfId="3130" priority="5571" operator="equal">
      <formula>"FE"</formula>
    </cfRule>
    <cfRule type="cellIs" dxfId="3129" priority="5572" operator="equal">
      <formula>"FE"</formula>
    </cfRule>
  </conditionalFormatting>
  <conditionalFormatting sqref="F574">
    <cfRule type="cellIs" dxfId="3128" priority="5561" operator="equal">
      <formula>"Retirado"</formula>
    </cfRule>
    <cfRule type="cellIs" dxfId="3127" priority="5562" operator="equal">
      <formula>"FSE"</formula>
    </cfRule>
  </conditionalFormatting>
  <conditionalFormatting sqref="F421">
    <cfRule type="cellIs" dxfId="3126" priority="5551" operator="equal">
      <formula>"APLAZADO"</formula>
    </cfRule>
    <cfRule type="cellIs" dxfId="3125" priority="5552" operator="equal">
      <formula>"CANCELADO"</formula>
    </cfRule>
    <cfRule type="cellIs" dxfId="3124" priority="5553" operator="equal">
      <formula>"NO EJECUTADO"</formula>
    </cfRule>
    <cfRule type="cellIs" dxfId="3123" priority="5554" operator="equal">
      <formula>"FPE"</formula>
    </cfRule>
    <cfRule type="cellIs" dxfId="3122" priority="5555" operator="equal">
      <formula>"AMA"</formula>
    </cfRule>
    <cfRule type="cellIs" dxfId="3121" priority="5556" operator="equal">
      <formula>"SIN DATOS"</formula>
    </cfRule>
    <cfRule type="cellIs" dxfId="3120" priority="5557" operator="equal">
      <formula>"SIN DATOS"</formula>
    </cfRule>
    <cfRule type="cellIs" dxfId="3119" priority="5558" operator="equal">
      <formula>"NO EJECTUTADO"</formula>
    </cfRule>
    <cfRule type="cellIs" dxfId="3118" priority="5559" operator="equal">
      <formula>"FE"</formula>
    </cfRule>
    <cfRule type="cellIs" dxfId="3117" priority="5560" operator="equal">
      <formula>"FE"</formula>
    </cfRule>
  </conditionalFormatting>
  <conditionalFormatting sqref="F421">
    <cfRule type="cellIs" dxfId="3116" priority="5549" operator="equal">
      <formula>"Retirado"</formula>
    </cfRule>
    <cfRule type="cellIs" dxfId="3115" priority="5550" operator="equal">
      <formula>"FSE"</formula>
    </cfRule>
  </conditionalFormatting>
  <conditionalFormatting sqref="A422">
    <cfRule type="cellIs" dxfId="3114" priority="5539" operator="equal">
      <formula>"APLAZADO"</formula>
    </cfRule>
    <cfRule type="cellIs" dxfId="3113" priority="5540" operator="equal">
      <formula>"CANCELADO"</formula>
    </cfRule>
    <cfRule type="cellIs" dxfId="3112" priority="5541" operator="equal">
      <formula>"NO EJECUTADO"</formula>
    </cfRule>
    <cfRule type="cellIs" dxfId="3111" priority="5542" operator="equal">
      <formula>"FPE"</formula>
    </cfRule>
    <cfRule type="cellIs" dxfId="3110" priority="5543" operator="equal">
      <formula>"AMA"</formula>
    </cfRule>
    <cfRule type="cellIs" dxfId="3109" priority="5544" operator="equal">
      <formula>"SIN DATOS"</formula>
    </cfRule>
    <cfRule type="cellIs" dxfId="3108" priority="5545" operator="equal">
      <formula>"SIN DATOS"</formula>
    </cfRule>
    <cfRule type="cellIs" dxfId="3107" priority="5546" operator="equal">
      <formula>"NO EJECTUTADO"</formula>
    </cfRule>
    <cfRule type="cellIs" dxfId="3106" priority="5547" operator="equal">
      <formula>"FE"</formula>
    </cfRule>
    <cfRule type="cellIs" dxfId="3105" priority="5548" operator="equal">
      <formula>"FE"</formula>
    </cfRule>
  </conditionalFormatting>
  <conditionalFormatting sqref="A422">
    <cfRule type="cellIs" dxfId="3104" priority="5537" operator="equal">
      <formula>"Retirado"</formula>
    </cfRule>
    <cfRule type="cellIs" dxfId="3103" priority="5538" operator="equal">
      <formula>"FSE"</formula>
    </cfRule>
  </conditionalFormatting>
  <conditionalFormatting sqref="H422">
    <cfRule type="duplicateValues" dxfId="3102" priority="5536"/>
  </conditionalFormatting>
  <conditionalFormatting sqref="F422">
    <cfRule type="cellIs" dxfId="3101" priority="5517" operator="equal">
      <formula>"APLAZADO"</formula>
    </cfRule>
    <cfRule type="cellIs" dxfId="3100" priority="5518" operator="equal">
      <formula>"CANCELADO"</formula>
    </cfRule>
    <cfRule type="cellIs" dxfId="3099" priority="5519" operator="equal">
      <formula>"NO EJECUTADO"</formula>
    </cfRule>
    <cfRule type="cellIs" dxfId="3098" priority="5520" operator="equal">
      <formula>"FPE"</formula>
    </cfRule>
    <cfRule type="cellIs" dxfId="3097" priority="5521" operator="equal">
      <formula>"AMA"</formula>
    </cfRule>
    <cfRule type="cellIs" dxfId="3096" priority="5522" operator="equal">
      <formula>"SIN DATOS"</formula>
    </cfRule>
    <cfRule type="cellIs" dxfId="3095" priority="5523" operator="equal">
      <formula>"SIN DATOS"</formula>
    </cfRule>
    <cfRule type="cellIs" dxfId="3094" priority="5524" operator="equal">
      <formula>"NO EJECTUTADO"</formula>
    </cfRule>
    <cfRule type="cellIs" dxfId="3093" priority="5525" operator="equal">
      <formula>"FE"</formula>
    </cfRule>
    <cfRule type="cellIs" dxfId="3092" priority="5526" operator="equal">
      <formula>"FE"</formula>
    </cfRule>
  </conditionalFormatting>
  <conditionalFormatting sqref="F422">
    <cfRule type="cellIs" dxfId="3091" priority="5515" operator="equal">
      <formula>"Retirado"</formula>
    </cfRule>
    <cfRule type="cellIs" dxfId="3090" priority="5516" operator="equal">
      <formula>"FSE"</formula>
    </cfRule>
  </conditionalFormatting>
  <conditionalFormatting sqref="F578">
    <cfRule type="cellIs" dxfId="3089" priority="5505" operator="equal">
      <formula>"APLAZADO"</formula>
    </cfRule>
    <cfRule type="cellIs" dxfId="3088" priority="5506" operator="equal">
      <formula>"CANCELADO"</formula>
    </cfRule>
    <cfRule type="cellIs" dxfId="3087" priority="5507" operator="equal">
      <formula>"NO EJECUTADO"</formula>
    </cfRule>
    <cfRule type="cellIs" dxfId="3086" priority="5508" operator="equal">
      <formula>"FPE"</formula>
    </cfRule>
    <cfRule type="cellIs" dxfId="3085" priority="5509" operator="equal">
      <formula>"AMA"</formula>
    </cfRule>
    <cfRule type="cellIs" dxfId="3084" priority="5510" operator="equal">
      <formula>"SIN DATOS"</formula>
    </cfRule>
    <cfRule type="cellIs" dxfId="3083" priority="5511" operator="equal">
      <formula>"SIN DATOS"</formula>
    </cfRule>
    <cfRule type="cellIs" dxfId="3082" priority="5512" operator="equal">
      <formula>"NO EJECTUTADO"</formula>
    </cfRule>
    <cfRule type="cellIs" dxfId="3081" priority="5513" operator="equal">
      <formula>"FE"</formula>
    </cfRule>
    <cfRule type="cellIs" dxfId="3080" priority="5514" operator="equal">
      <formula>"FE"</formula>
    </cfRule>
  </conditionalFormatting>
  <conditionalFormatting sqref="F578">
    <cfRule type="cellIs" dxfId="3079" priority="5503" operator="equal">
      <formula>"Retirado"</formula>
    </cfRule>
    <cfRule type="cellIs" dxfId="3078" priority="5504" operator="equal">
      <formula>"FSE"</formula>
    </cfRule>
  </conditionalFormatting>
  <conditionalFormatting sqref="F614">
    <cfRule type="cellIs" dxfId="3077" priority="5493" operator="equal">
      <formula>"APLAZADO"</formula>
    </cfRule>
    <cfRule type="cellIs" dxfId="3076" priority="5494" operator="equal">
      <formula>"CANCELADO"</formula>
    </cfRule>
    <cfRule type="cellIs" dxfId="3075" priority="5495" operator="equal">
      <formula>"NO EJECUTADO"</formula>
    </cfRule>
    <cfRule type="cellIs" dxfId="3074" priority="5496" operator="equal">
      <formula>"FPE"</formula>
    </cfRule>
    <cfRule type="cellIs" dxfId="3073" priority="5497" operator="equal">
      <formula>"AMA"</formula>
    </cfRule>
    <cfRule type="cellIs" dxfId="3072" priority="5498" operator="equal">
      <formula>"SIN DATOS"</formula>
    </cfRule>
    <cfRule type="cellIs" dxfId="3071" priority="5499" operator="equal">
      <formula>"SIN DATOS"</formula>
    </cfRule>
    <cfRule type="cellIs" dxfId="3070" priority="5500" operator="equal">
      <formula>"NO EJECTUTADO"</formula>
    </cfRule>
    <cfRule type="cellIs" dxfId="3069" priority="5501" operator="equal">
      <formula>"FE"</formula>
    </cfRule>
    <cfRule type="cellIs" dxfId="3068" priority="5502" operator="equal">
      <formula>"FE"</formula>
    </cfRule>
  </conditionalFormatting>
  <conditionalFormatting sqref="F614">
    <cfRule type="cellIs" dxfId="3067" priority="5491" operator="equal">
      <formula>"Retirado"</formula>
    </cfRule>
    <cfRule type="cellIs" dxfId="3066" priority="5492" operator="equal">
      <formula>"FSE"</formula>
    </cfRule>
  </conditionalFormatting>
  <conditionalFormatting sqref="F139">
    <cfRule type="cellIs" dxfId="3065" priority="5481" operator="equal">
      <formula>"APLAZADO"</formula>
    </cfRule>
    <cfRule type="cellIs" dxfId="3064" priority="5482" operator="equal">
      <formula>"CANCELADO"</formula>
    </cfRule>
    <cfRule type="cellIs" dxfId="3063" priority="5483" operator="equal">
      <formula>"NO EJECUTADO"</formula>
    </cfRule>
    <cfRule type="cellIs" dxfId="3062" priority="5484" operator="equal">
      <formula>"FPE"</formula>
    </cfRule>
    <cfRule type="cellIs" dxfId="3061" priority="5485" operator="equal">
      <formula>"AMA"</formula>
    </cfRule>
    <cfRule type="cellIs" dxfId="3060" priority="5486" operator="equal">
      <formula>"SIN DATOS"</formula>
    </cfRule>
    <cfRule type="cellIs" dxfId="3059" priority="5487" operator="equal">
      <formula>"SIN DATOS"</formula>
    </cfRule>
    <cfRule type="cellIs" dxfId="3058" priority="5488" operator="equal">
      <formula>"NO EJECTUTADO"</formula>
    </cfRule>
    <cfRule type="cellIs" dxfId="3057" priority="5489" operator="equal">
      <formula>"FE"</formula>
    </cfRule>
    <cfRule type="cellIs" dxfId="3056" priority="5490" operator="equal">
      <formula>"FE"</formula>
    </cfRule>
  </conditionalFormatting>
  <conditionalFormatting sqref="F139">
    <cfRule type="cellIs" dxfId="3055" priority="5479" operator="equal">
      <formula>"Retirado"</formula>
    </cfRule>
    <cfRule type="cellIs" dxfId="3054" priority="5480" operator="equal">
      <formula>"FSE"</formula>
    </cfRule>
  </conditionalFormatting>
  <conditionalFormatting sqref="F651">
    <cfRule type="cellIs" dxfId="3053" priority="5469" operator="equal">
      <formula>"APLAZADO"</formula>
    </cfRule>
    <cfRule type="cellIs" dxfId="3052" priority="5470" operator="equal">
      <formula>"CANCELADO"</formula>
    </cfRule>
    <cfRule type="cellIs" dxfId="3051" priority="5471" operator="equal">
      <formula>"NO EJECUTADO"</formula>
    </cfRule>
    <cfRule type="cellIs" dxfId="3050" priority="5472" operator="equal">
      <formula>"FPE"</formula>
    </cfRule>
    <cfRule type="cellIs" dxfId="3049" priority="5473" operator="equal">
      <formula>"AMA"</formula>
    </cfRule>
    <cfRule type="cellIs" dxfId="3048" priority="5474" operator="equal">
      <formula>"SIN DATOS"</formula>
    </cfRule>
    <cfRule type="cellIs" dxfId="3047" priority="5475" operator="equal">
      <formula>"SIN DATOS"</formula>
    </cfRule>
    <cfRule type="cellIs" dxfId="3046" priority="5476" operator="equal">
      <formula>"NO EJECTUTADO"</formula>
    </cfRule>
    <cfRule type="cellIs" dxfId="3045" priority="5477" operator="equal">
      <formula>"FE"</formula>
    </cfRule>
    <cfRule type="cellIs" dxfId="3044" priority="5478" operator="equal">
      <formula>"FE"</formula>
    </cfRule>
  </conditionalFormatting>
  <conditionalFormatting sqref="F651">
    <cfRule type="cellIs" dxfId="3043" priority="5467" operator="equal">
      <formula>"Retirado"</formula>
    </cfRule>
    <cfRule type="cellIs" dxfId="3042" priority="5468" operator="equal">
      <formula>"FSE"</formula>
    </cfRule>
  </conditionalFormatting>
  <conditionalFormatting sqref="F675">
    <cfRule type="cellIs" dxfId="3041" priority="5457" operator="equal">
      <formula>"APLAZADO"</formula>
    </cfRule>
    <cfRule type="cellIs" dxfId="3040" priority="5458" operator="equal">
      <formula>"CANCELADO"</formula>
    </cfRule>
    <cfRule type="cellIs" dxfId="3039" priority="5459" operator="equal">
      <formula>"NO EJECUTADO"</formula>
    </cfRule>
    <cfRule type="cellIs" dxfId="3038" priority="5460" operator="equal">
      <formula>"FPE"</formula>
    </cfRule>
    <cfRule type="cellIs" dxfId="3037" priority="5461" operator="equal">
      <formula>"AMA"</formula>
    </cfRule>
    <cfRule type="cellIs" dxfId="3036" priority="5462" operator="equal">
      <formula>"SIN DATOS"</formula>
    </cfRule>
    <cfRule type="cellIs" dxfId="3035" priority="5463" operator="equal">
      <formula>"SIN DATOS"</formula>
    </cfRule>
    <cfRule type="cellIs" dxfId="3034" priority="5464" operator="equal">
      <formula>"NO EJECTUTADO"</formula>
    </cfRule>
    <cfRule type="cellIs" dxfId="3033" priority="5465" operator="equal">
      <formula>"FE"</formula>
    </cfRule>
    <cfRule type="cellIs" dxfId="3032" priority="5466" operator="equal">
      <formula>"FE"</formula>
    </cfRule>
  </conditionalFormatting>
  <conditionalFormatting sqref="F675">
    <cfRule type="cellIs" dxfId="3031" priority="5455" operator="equal">
      <formula>"Retirado"</formula>
    </cfRule>
    <cfRule type="cellIs" dxfId="3030" priority="5456" operator="equal">
      <formula>"FSE"</formula>
    </cfRule>
  </conditionalFormatting>
  <conditionalFormatting sqref="F676">
    <cfRule type="cellIs" dxfId="3029" priority="5445" operator="equal">
      <formula>"APLAZADO"</formula>
    </cfRule>
    <cfRule type="cellIs" dxfId="3028" priority="5446" operator="equal">
      <formula>"CANCELADO"</formula>
    </cfRule>
    <cfRule type="cellIs" dxfId="3027" priority="5447" operator="equal">
      <formula>"NO EJECUTADO"</formula>
    </cfRule>
    <cfRule type="cellIs" dxfId="3026" priority="5448" operator="equal">
      <formula>"FPE"</formula>
    </cfRule>
    <cfRule type="cellIs" dxfId="3025" priority="5449" operator="equal">
      <formula>"AMA"</formula>
    </cfRule>
    <cfRule type="cellIs" dxfId="3024" priority="5450" operator="equal">
      <formula>"SIN DATOS"</formula>
    </cfRule>
    <cfRule type="cellIs" dxfId="3023" priority="5451" operator="equal">
      <formula>"SIN DATOS"</formula>
    </cfRule>
    <cfRule type="cellIs" dxfId="3022" priority="5452" operator="equal">
      <formula>"NO EJECTUTADO"</formula>
    </cfRule>
    <cfRule type="cellIs" dxfId="3021" priority="5453" operator="equal">
      <formula>"FE"</formula>
    </cfRule>
    <cfRule type="cellIs" dxfId="3020" priority="5454" operator="equal">
      <formula>"FE"</formula>
    </cfRule>
  </conditionalFormatting>
  <conditionalFormatting sqref="F676">
    <cfRule type="cellIs" dxfId="3019" priority="5443" operator="equal">
      <formula>"Retirado"</formula>
    </cfRule>
    <cfRule type="cellIs" dxfId="3018" priority="5444" operator="equal">
      <formula>"FSE"</formula>
    </cfRule>
  </conditionalFormatting>
  <conditionalFormatting sqref="F692:F695 F698:F700 F709:F711 F706 F704">
    <cfRule type="cellIs" dxfId="3017" priority="5419" operator="equal">
      <formula>"APLAZADO"</formula>
    </cfRule>
    <cfRule type="cellIs" dxfId="3016" priority="5420" operator="equal">
      <formula>"CANCELADO"</formula>
    </cfRule>
    <cfRule type="cellIs" dxfId="3015" priority="5421" operator="equal">
      <formula>"NO EJECUTADO"</formula>
    </cfRule>
    <cfRule type="cellIs" dxfId="3014" priority="5422" operator="equal">
      <formula>"FPE"</formula>
    </cfRule>
    <cfRule type="cellIs" dxfId="3013" priority="5423" operator="equal">
      <formula>"AMA"</formula>
    </cfRule>
    <cfRule type="cellIs" dxfId="3012" priority="5424" operator="equal">
      <formula>"SIN DATOS"</formula>
    </cfRule>
    <cfRule type="cellIs" dxfId="3011" priority="5425" operator="equal">
      <formula>"SIN DATOS"</formula>
    </cfRule>
    <cfRule type="cellIs" dxfId="3010" priority="5426" operator="equal">
      <formula>"NO EJECTUTADO"</formula>
    </cfRule>
    <cfRule type="cellIs" dxfId="3009" priority="5427" operator="equal">
      <formula>"FE"</formula>
    </cfRule>
    <cfRule type="cellIs" dxfId="3008" priority="5428" operator="equal">
      <formula>"FE"</formula>
    </cfRule>
  </conditionalFormatting>
  <conditionalFormatting sqref="F692:F695 F698:F700 F709:F711 F706 F704">
    <cfRule type="cellIs" dxfId="3007" priority="5417" operator="equal">
      <formula>"Retirado"</formula>
    </cfRule>
    <cfRule type="cellIs" dxfId="3006" priority="5418" operator="equal">
      <formula>"FSE"</formula>
    </cfRule>
  </conditionalFormatting>
  <conditionalFormatting sqref="F712">
    <cfRule type="cellIs" dxfId="3005" priority="5407" operator="equal">
      <formula>"APLAZADO"</formula>
    </cfRule>
    <cfRule type="cellIs" dxfId="3004" priority="5408" operator="equal">
      <formula>"CANCELADO"</formula>
    </cfRule>
    <cfRule type="cellIs" dxfId="3003" priority="5409" operator="equal">
      <formula>"NO EJECUTADO"</formula>
    </cfRule>
    <cfRule type="cellIs" dxfId="3002" priority="5410" operator="equal">
      <formula>"FPE"</formula>
    </cfRule>
    <cfRule type="cellIs" dxfId="3001" priority="5411" operator="equal">
      <formula>"AMA"</formula>
    </cfRule>
    <cfRule type="cellIs" dxfId="3000" priority="5412" operator="equal">
      <formula>"SIN DATOS"</formula>
    </cfRule>
    <cfRule type="cellIs" dxfId="2999" priority="5413" operator="equal">
      <formula>"SIN DATOS"</formula>
    </cfRule>
    <cfRule type="cellIs" dxfId="2998" priority="5414" operator="equal">
      <formula>"NO EJECTUTADO"</formula>
    </cfRule>
    <cfRule type="cellIs" dxfId="2997" priority="5415" operator="equal">
      <formula>"FE"</formula>
    </cfRule>
    <cfRule type="cellIs" dxfId="2996" priority="5416" operator="equal">
      <formula>"FE"</formula>
    </cfRule>
  </conditionalFormatting>
  <conditionalFormatting sqref="F712">
    <cfRule type="cellIs" dxfId="2995" priority="5405" operator="equal">
      <formula>"Retirado"</formula>
    </cfRule>
    <cfRule type="cellIs" dxfId="2994" priority="5406" operator="equal">
      <formula>"FSE"</formula>
    </cfRule>
  </conditionalFormatting>
  <conditionalFormatting sqref="F714">
    <cfRule type="cellIs" dxfId="2993" priority="5395" operator="equal">
      <formula>"APLAZADO"</formula>
    </cfRule>
    <cfRule type="cellIs" dxfId="2992" priority="5396" operator="equal">
      <formula>"CANCELADO"</formula>
    </cfRule>
    <cfRule type="cellIs" dxfId="2991" priority="5397" operator="equal">
      <formula>"NO EJECUTADO"</formula>
    </cfRule>
    <cfRule type="cellIs" dxfId="2990" priority="5398" operator="equal">
      <formula>"FPE"</formula>
    </cfRule>
    <cfRule type="cellIs" dxfId="2989" priority="5399" operator="equal">
      <formula>"AMA"</formula>
    </cfRule>
    <cfRule type="cellIs" dxfId="2988" priority="5400" operator="equal">
      <formula>"SIN DATOS"</formula>
    </cfRule>
    <cfRule type="cellIs" dxfId="2987" priority="5401" operator="equal">
      <formula>"SIN DATOS"</formula>
    </cfRule>
    <cfRule type="cellIs" dxfId="2986" priority="5402" operator="equal">
      <formula>"NO EJECTUTADO"</formula>
    </cfRule>
    <cfRule type="cellIs" dxfId="2985" priority="5403" operator="equal">
      <formula>"FE"</formula>
    </cfRule>
    <cfRule type="cellIs" dxfId="2984" priority="5404" operator="equal">
      <formula>"FE"</formula>
    </cfRule>
  </conditionalFormatting>
  <conditionalFormatting sqref="F714">
    <cfRule type="cellIs" dxfId="2983" priority="5393" operator="equal">
      <formula>"Retirado"</formula>
    </cfRule>
    <cfRule type="cellIs" dxfId="2982" priority="5394" operator="equal">
      <formula>"FSE"</formula>
    </cfRule>
  </conditionalFormatting>
  <conditionalFormatting sqref="F715">
    <cfRule type="cellIs" dxfId="2981" priority="5383" operator="equal">
      <formula>"APLAZADO"</formula>
    </cfRule>
    <cfRule type="cellIs" dxfId="2980" priority="5384" operator="equal">
      <formula>"CANCELADO"</formula>
    </cfRule>
    <cfRule type="cellIs" dxfId="2979" priority="5385" operator="equal">
      <formula>"NO EJECUTADO"</formula>
    </cfRule>
    <cfRule type="cellIs" dxfId="2978" priority="5386" operator="equal">
      <formula>"FPE"</formula>
    </cfRule>
    <cfRule type="cellIs" dxfId="2977" priority="5387" operator="equal">
      <formula>"AMA"</formula>
    </cfRule>
    <cfRule type="cellIs" dxfId="2976" priority="5388" operator="equal">
      <formula>"SIN DATOS"</formula>
    </cfRule>
    <cfRule type="cellIs" dxfId="2975" priority="5389" operator="equal">
      <formula>"SIN DATOS"</formula>
    </cfRule>
    <cfRule type="cellIs" dxfId="2974" priority="5390" operator="equal">
      <formula>"NO EJECTUTADO"</formula>
    </cfRule>
    <cfRule type="cellIs" dxfId="2973" priority="5391" operator="equal">
      <formula>"FE"</formula>
    </cfRule>
    <cfRule type="cellIs" dxfId="2972" priority="5392" operator="equal">
      <formula>"FE"</formula>
    </cfRule>
  </conditionalFormatting>
  <conditionalFormatting sqref="F715">
    <cfRule type="cellIs" dxfId="2971" priority="5381" operator="equal">
      <formula>"Retirado"</formula>
    </cfRule>
    <cfRule type="cellIs" dxfId="2970" priority="5382" operator="equal">
      <formula>"FSE"</formula>
    </cfRule>
  </conditionalFormatting>
  <conditionalFormatting sqref="F716">
    <cfRule type="cellIs" dxfId="2969" priority="5308" operator="equal">
      <formula>"APLAZADO"</formula>
    </cfRule>
    <cfRule type="cellIs" dxfId="2968" priority="5309" operator="equal">
      <formula>"CANCELADO"</formula>
    </cfRule>
    <cfRule type="cellIs" dxfId="2967" priority="5310" operator="equal">
      <formula>"NO EJECUTADO"</formula>
    </cfRule>
    <cfRule type="cellIs" dxfId="2966" priority="5311" operator="equal">
      <formula>"FPE"</formula>
    </cfRule>
    <cfRule type="cellIs" dxfId="2965" priority="5312" operator="equal">
      <formula>"AMA"</formula>
    </cfRule>
    <cfRule type="cellIs" dxfId="2964" priority="5313" operator="equal">
      <formula>"SIN DATOS"</formula>
    </cfRule>
    <cfRule type="cellIs" dxfId="2963" priority="5314" operator="equal">
      <formula>"SIN DATOS"</formula>
    </cfRule>
    <cfRule type="cellIs" dxfId="2962" priority="5315" operator="equal">
      <formula>"NO EJECTUTADO"</formula>
    </cfRule>
    <cfRule type="cellIs" dxfId="2961" priority="5316" operator="equal">
      <formula>"FE"</formula>
    </cfRule>
    <cfRule type="cellIs" dxfId="2960" priority="5317" operator="equal">
      <formula>"FE"</formula>
    </cfRule>
  </conditionalFormatting>
  <conditionalFormatting sqref="F716">
    <cfRule type="cellIs" dxfId="2959" priority="5306" operator="equal">
      <formula>"Retirado"</formula>
    </cfRule>
    <cfRule type="cellIs" dxfId="2958" priority="5307" operator="equal">
      <formula>"FSE"</formula>
    </cfRule>
  </conditionalFormatting>
  <conditionalFormatting sqref="F718">
    <cfRule type="cellIs" dxfId="2957" priority="5296" operator="equal">
      <formula>"APLAZADO"</formula>
    </cfRule>
    <cfRule type="cellIs" dxfId="2956" priority="5297" operator="equal">
      <formula>"CANCELADO"</formula>
    </cfRule>
    <cfRule type="cellIs" dxfId="2955" priority="5298" operator="equal">
      <formula>"NO EJECUTADO"</formula>
    </cfRule>
    <cfRule type="cellIs" dxfId="2954" priority="5299" operator="equal">
      <formula>"FPE"</formula>
    </cfRule>
    <cfRule type="cellIs" dxfId="2953" priority="5300" operator="equal">
      <formula>"AMA"</formula>
    </cfRule>
    <cfRule type="cellIs" dxfId="2952" priority="5301" operator="equal">
      <formula>"SIN DATOS"</formula>
    </cfRule>
    <cfRule type="cellIs" dxfId="2951" priority="5302" operator="equal">
      <formula>"SIN DATOS"</formula>
    </cfRule>
    <cfRule type="cellIs" dxfId="2950" priority="5303" operator="equal">
      <formula>"NO EJECTUTADO"</formula>
    </cfRule>
    <cfRule type="cellIs" dxfId="2949" priority="5304" operator="equal">
      <formula>"FE"</formula>
    </cfRule>
    <cfRule type="cellIs" dxfId="2948" priority="5305" operator="equal">
      <formula>"FE"</formula>
    </cfRule>
  </conditionalFormatting>
  <conditionalFormatting sqref="F718">
    <cfRule type="cellIs" dxfId="2947" priority="5294" operator="equal">
      <formula>"Retirado"</formula>
    </cfRule>
    <cfRule type="cellIs" dxfId="2946" priority="5295" operator="equal">
      <formula>"FSE"</formula>
    </cfRule>
  </conditionalFormatting>
  <conditionalFormatting sqref="F719">
    <cfRule type="cellIs" dxfId="2945" priority="5277" operator="equal">
      <formula>"APLAZADO"</formula>
    </cfRule>
    <cfRule type="cellIs" dxfId="2944" priority="5278" operator="equal">
      <formula>"CANCELADO"</formula>
    </cfRule>
    <cfRule type="cellIs" dxfId="2943" priority="5279" operator="equal">
      <formula>"NO EJECUTADO"</formula>
    </cfRule>
    <cfRule type="cellIs" dxfId="2942" priority="5280" operator="equal">
      <formula>"FPE"</formula>
    </cfRule>
    <cfRule type="cellIs" dxfId="2941" priority="5281" operator="equal">
      <formula>"AMA"</formula>
    </cfRule>
    <cfRule type="cellIs" dxfId="2940" priority="5282" operator="equal">
      <formula>"SIN DATOS"</formula>
    </cfRule>
    <cfRule type="cellIs" dxfId="2939" priority="5283" operator="equal">
      <formula>"SIN DATOS"</formula>
    </cfRule>
    <cfRule type="cellIs" dxfId="2938" priority="5284" operator="equal">
      <formula>"NO EJECTUTADO"</formula>
    </cfRule>
    <cfRule type="cellIs" dxfId="2937" priority="5285" operator="equal">
      <formula>"FE"</formula>
    </cfRule>
    <cfRule type="cellIs" dxfId="2936" priority="5286" operator="equal">
      <formula>"FE"</formula>
    </cfRule>
  </conditionalFormatting>
  <conditionalFormatting sqref="F719">
    <cfRule type="cellIs" dxfId="2935" priority="5275" operator="equal">
      <formula>"Retirado"</formula>
    </cfRule>
    <cfRule type="cellIs" dxfId="2934" priority="5276" operator="equal">
      <formula>"FSE"</formula>
    </cfRule>
  </conditionalFormatting>
  <conditionalFormatting sqref="F721:F722">
    <cfRule type="cellIs" dxfId="2933" priority="5265" operator="equal">
      <formula>"APLAZADO"</formula>
    </cfRule>
    <cfRule type="cellIs" dxfId="2932" priority="5266" operator="equal">
      <formula>"CANCELADO"</formula>
    </cfRule>
    <cfRule type="cellIs" dxfId="2931" priority="5267" operator="equal">
      <formula>"NO EJECUTADO"</formula>
    </cfRule>
    <cfRule type="cellIs" dxfId="2930" priority="5268" operator="equal">
      <formula>"FPE"</formula>
    </cfRule>
    <cfRule type="cellIs" dxfId="2929" priority="5269" operator="equal">
      <formula>"AMA"</formula>
    </cfRule>
    <cfRule type="cellIs" dxfId="2928" priority="5270" operator="equal">
      <formula>"SIN DATOS"</formula>
    </cfRule>
    <cfRule type="cellIs" dxfId="2927" priority="5271" operator="equal">
      <formula>"SIN DATOS"</formula>
    </cfRule>
    <cfRule type="cellIs" dxfId="2926" priority="5272" operator="equal">
      <formula>"NO EJECTUTADO"</formula>
    </cfRule>
    <cfRule type="cellIs" dxfId="2925" priority="5273" operator="equal">
      <formula>"FE"</formula>
    </cfRule>
    <cfRule type="cellIs" dxfId="2924" priority="5274" operator="equal">
      <formula>"FE"</formula>
    </cfRule>
  </conditionalFormatting>
  <conditionalFormatting sqref="F721:F722">
    <cfRule type="cellIs" dxfId="2923" priority="5263" operator="equal">
      <formula>"Retirado"</formula>
    </cfRule>
    <cfRule type="cellIs" dxfId="2922" priority="5264" operator="equal">
      <formula>"FSE"</formula>
    </cfRule>
  </conditionalFormatting>
  <conditionalFormatting sqref="F723">
    <cfRule type="cellIs" dxfId="2921" priority="5246" operator="equal">
      <formula>"APLAZADO"</formula>
    </cfRule>
    <cfRule type="cellIs" dxfId="2920" priority="5247" operator="equal">
      <formula>"CANCELADO"</formula>
    </cfRule>
    <cfRule type="cellIs" dxfId="2919" priority="5248" operator="equal">
      <formula>"NO EJECUTADO"</formula>
    </cfRule>
    <cfRule type="cellIs" dxfId="2918" priority="5249" operator="equal">
      <formula>"FPE"</formula>
    </cfRule>
    <cfRule type="cellIs" dxfId="2917" priority="5250" operator="equal">
      <formula>"AMA"</formula>
    </cfRule>
    <cfRule type="cellIs" dxfId="2916" priority="5251" operator="equal">
      <formula>"SIN DATOS"</formula>
    </cfRule>
    <cfRule type="cellIs" dxfId="2915" priority="5252" operator="equal">
      <formula>"SIN DATOS"</formula>
    </cfRule>
    <cfRule type="cellIs" dxfId="2914" priority="5253" operator="equal">
      <formula>"NO EJECTUTADO"</formula>
    </cfRule>
    <cfRule type="cellIs" dxfId="2913" priority="5254" operator="equal">
      <formula>"FE"</formula>
    </cfRule>
    <cfRule type="cellIs" dxfId="2912" priority="5255" operator="equal">
      <formula>"FE"</formula>
    </cfRule>
  </conditionalFormatting>
  <conditionalFormatting sqref="F723">
    <cfRule type="cellIs" dxfId="2911" priority="5244" operator="equal">
      <formula>"Retirado"</formula>
    </cfRule>
    <cfRule type="cellIs" dxfId="2910" priority="5245" operator="equal">
      <formula>"FSE"</formula>
    </cfRule>
  </conditionalFormatting>
  <conditionalFormatting sqref="F724">
    <cfRule type="cellIs" dxfId="2909" priority="5227" operator="equal">
      <formula>"APLAZADO"</formula>
    </cfRule>
    <cfRule type="cellIs" dxfId="2908" priority="5228" operator="equal">
      <formula>"CANCELADO"</formula>
    </cfRule>
    <cfRule type="cellIs" dxfId="2907" priority="5229" operator="equal">
      <formula>"NO EJECUTADO"</formula>
    </cfRule>
    <cfRule type="cellIs" dxfId="2906" priority="5230" operator="equal">
      <formula>"FPE"</formula>
    </cfRule>
    <cfRule type="cellIs" dxfId="2905" priority="5231" operator="equal">
      <formula>"AMA"</formula>
    </cfRule>
    <cfRule type="cellIs" dxfId="2904" priority="5232" operator="equal">
      <formula>"SIN DATOS"</formula>
    </cfRule>
    <cfRule type="cellIs" dxfId="2903" priority="5233" operator="equal">
      <formula>"SIN DATOS"</formula>
    </cfRule>
    <cfRule type="cellIs" dxfId="2902" priority="5234" operator="equal">
      <formula>"NO EJECTUTADO"</formula>
    </cfRule>
    <cfRule type="cellIs" dxfId="2901" priority="5235" operator="equal">
      <formula>"FE"</formula>
    </cfRule>
    <cfRule type="cellIs" dxfId="2900" priority="5236" operator="equal">
      <formula>"FE"</formula>
    </cfRule>
  </conditionalFormatting>
  <conditionalFormatting sqref="F724">
    <cfRule type="cellIs" dxfId="2899" priority="5225" operator="equal">
      <formula>"Retirado"</formula>
    </cfRule>
    <cfRule type="cellIs" dxfId="2898" priority="5226" operator="equal">
      <formula>"FSE"</formula>
    </cfRule>
  </conditionalFormatting>
  <conditionalFormatting sqref="F725">
    <cfRule type="cellIs" dxfId="2897" priority="5215" operator="equal">
      <formula>"APLAZADO"</formula>
    </cfRule>
    <cfRule type="cellIs" dxfId="2896" priority="5216" operator="equal">
      <formula>"CANCELADO"</formula>
    </cfRule>
    <cfRule type="cellIs" dxfId="2895" priority="5217" operator="equal">
      <formula>"NO EJECUTADO"</formula>
    </cfRule>
    <cfRule type="cellIs" dxfId="2894" priority="5218" operator="equal">
      <formula>"FPE"</formula>
    </cfRule>
    <cfRule type="cellIs" dxfId="2893" priority="5219" operator="equal">
      <formula>"AMA"</formula>
    </cfRule>
    <cfRule type="cellIs" dxfId="2892" priority="5220" operator="equal">
      <formula>"SIN DATOS"</formula>
    </cfRule>
    <cfRule type="cellIs" dxfId="2891" priority="5221" operator="equal">
      <formula>"SIN DATOS"</formula>
    </cfRule>
    <cfRule type="cellIs" dxfId="2890" priority="5222" operator="equal">
      <formula>"NO EJECTUTADO"</formula>
    </cfRule>
    <cfRule type="cellIs" dxfId="2889" priority="5223" operator="equal">
      <formula>"FE"</formula>
    </cfRule>
    <cfRule type="cellIs" dxfId="2888" priority="5224" operator="equal">
      <formula>"FE"</formula>
    </cfRule>
  </conditionalFormatting>
  <conditionalFormatting sqref="F725">
    <cfRule type="cellIs" dxfId="2887" priority="5213" operator="equal">
      <formula>"Retirado"</formula>
    </cfRule>
    <cfRule type="cellIs" dxfId="2886" priority="5214" operator="equal">
      <formula>"FSE"</formula>
    </cfRule>
  </conditionalFormatting>
  <conditionalFormatting sqref="F729">
    <cfRule type="cellIs" dxfId="2885" priority="5196" operator="equal">
      <formula>"APLAZADO"</formula>
    </cfRule>
    <cfRule type="cellIs" dxfId="2884" priority="5197" operator="equal">
      <formula>"CANCELADO"</formula>
    </cfRule>
    <cfRule type="cellIs" dxfId="2883" priority="5198" operator="equal">
      <formula>"NO EJECUTADO"</formula>
    </cfRule>
    <cfRule type="cellIs" dxfId="2882" priority="5199" operator="equal">
      <formula>"FPE"</formula>
    </cfRule>
    <cfRule type="cellIs" dxfId="2881" priority="5200" operator="equal">
      <formula>"AMA"</formula>
    </cfRule>
    <cfRule type="cellIs" dxfId="2880" priority="5201" operator="equal">
      <formula>"SIN DATOS"</formula>
    </cfRule>
    <cfRule type="cellIs" dxfId="2879" priority="5202" operator="equal">
      <formula>"SIN DATOS"</formula>
    </cfRule>
    <cfRule type="cellIs" dxfId="2878" priority="5203" operator="equal">
      <formula>"NO EJECTUTADO"</formula>
    </cfRule>
    <cfRule type="cellIs" dxfId="2877" priority="5204" operator="equal">
      <formula>"FE"</formula>
    </cfRule>
    <cfRule type="cellIs" dxfId="2876" priority="5205" operator="equal">
      <formula>"FE"</formula>
    </cfRule>
  </conditionalFormatting>
  <conditionalFormatting sqref="F729">
    <cfRule type="cellIs" dxfId="2875" priority="5194" operator="equal">
      <formula>"Retirado"</formula>
    </cfRule>
    <cfRule type="cellIs" dxfId="2874" priority="5195" operator="equal">
      <formula>"FSE"</formula>
    </cfRule>
  </conditionalFormatting>
  <conditionalFormatting sqref="H733">
    <cfRule type="duplicateValues" dxfId="2873" priority="5186"/>
  </conditionalFormatting>
  <conditionalFormatting sqref="H872 H795:H800 H771 H775:H776 H784:H786 H780:H782 H773 H791:H792 H788 H948:H954 H806 H811:H812 H815:H816 H821 H818 H826:H827 H804 H823 H922:H946 H842:H843 H834:H836 H830 H854 H838:H839 H860:H864 H876 H769 H832">
    <cfRule type="cellIs" dxfId="2872" priority="5154" operator="equal">
      <formula>"Programado para aprobación"</formula>
    </cfRule>
    <cfRule type="cellIs" dxfId="2871" priority="5155" operator="equal">
      <formula>"Cerrado"</formula>
    </cfRule>
    <cfRule type="cellIs" dxfId="2870" priority="5156" operator="equal">
      <formula>"Programado"</formula>
    </cfRule>
    <cfRule type="cellIs" dxfId="2869" priority="5157" operator="equal">
      <formula>"Implantación en curso"</formula>
    </cfRule>
  </conditionalFormatting>
  <conditionalFormatting sqref="H872 H795:H800 H771 H775:H776 H784:H786 H780:H782 H773 H791:H792 H788 H948:H954 H806 H811:H812 H815:H816 H821 H818 H826:H827 H804 H823 H922:H946 H842:H843 H834:H836 H830 H854 H838:H839 H860:H864 H876 H769 H832">
    <cfRule type="cellIs" dxfId="2868" priority="5153" operator="equal">
      <formula>"Borrador"</formula>
    </cfRule>
  </conditionalFormatting>
  <conditionalFormatting sqref="H872 H795:H800 H771 H775:H776 H784:H786 H780:H782 H773 H791:H792 H788 H948:H954 H806 H811:H812 H815:H816 H821 H818 H826:H827 H804 H823 H922:H946 H842:H843 H834:H836 H830 H854 H838:H839 H860:H864 H876 H769 H832">
    <cfRule type="cellIs" dxfId="2867" priority="5152" operator="equal">
      <formula>"Rechazado"</formula>
    </cfRule>
  </conditionalFormatting>
  <conditionalFormatting sqref="H872 H795:H800 H771 H775:H776 H784:H786 H780:H782 H773 H791:H792 H788 H948:H954 H806 H811:H812 H815:H816 H821 H818 H826:H827 H804 H823 H922:H946 H842:H843 H834:H836 H830 H854 H838:H839 H860:H864 H876 H769 H832">
    <cfRule type="cellIs" dxfId="2866" priority="5151" operator="equal">
      <formula>"Terminado"</formula>
    </cfRule>
  </conditionalFormatting>
  <conditionalFormatting sqref="I734:I735 I763 I791:I792 I756 I738:I741 I760:I761 I771 I744:I747 I749 I795 I775:I776 I784:I785 I780 I773 I782">
    <cfRule type="cellIs" dxfId="2865" priority="5147" operator="equal">
      <formula>"Programado para aprobación"</formula>
    </cfRule>
    <cfRule type="cellIs" dxfId="2864" priority="5148" operator="equal">
      <formula>"Cerrado"</formula>
    </cfRule>
    <cfRule type="cellIs" dxfId="2863" priority="5149" operator="equal">
      <formula>"Programado"</formula>
    </cfRule>
    <cfRule type="cellIs" dxfId="2862" priority="5150" operator="equal">
      <formula>"Implantación en curso"</formula>
    </cfRule>
  </conditionalFormatting>
  <conditionalFormatting sqref="I734:I735 I763 I791:I792 I756 I738:I741 I760:I761 I771 I744:I747 I749 I795 I775:I776 I784:I785 I780 I773 I782">
    <cfRule type="cellIs" dxfId="2861" priority="5146" operator="equal">
      <formula>"Borrador"</formula>
    </cfRule>
  </conditionalFormatting>
  <conditionalFormatting sqref="I734:I735 I763 I791:I792 I756 I738:I741 I760:I761 I771 I744:I747 I749 I795 I775:I776 I784:I785 I780 I773 I782">
    <cfRule type="cellIs" dxfId="2860" priority="5145" operator="equal">
      <formula>"Rechazado"</formula>
    </cfRule>
  </conditionalFormatting>
  <conditionalFormatting sqref="I734:I735 I763 I791:I792 I756 I738:I741 I760:I761 I771 I744:I747 I749 I795 I775:I776 I784:I785 I780 I773 I782">
    <cfRule type="cellIs" dxfId="2859" priority="5144" operator="equal">
      <formula>"Terminado"</formula>
    </cfRule>
  </conditionalFormatting>
  <conditionalFormatting sqref="I946 I816 I940 I834:I836 I823 I860 I800 I951:I954 I948 I806 I811:I812 I843 I932:I934 I826:I827 I922 I830 I854 I838:I839 I872 I876 I866 I938 I862:I864 I924 I928 I796:I798">
    <cfRule type="cellIs" dxfId="2858" priority="4958" operator="equal">
      <formula>"Programado para aprobación"</formula>
    </cfRule>
    <cfRule type="cellIs" dxfId="2857" priority="4959" operator="equal">
      <formula>"Cerrado"</formula>
    </cfRule>
    <cfRule type="cellIs" dxfId="2856" priority="4960" operator="equal">
      <formula>"Programado"</formula>
    </cfRule>
    <cfRule type="cellIs" dxfId="2855" priority="4961" operator="equal">
      <formula>"Implantación en curso"</formula>
    </cfRule>
  </conditionalFormatting>
  <conditionalFormatting sqref="I946 I816 I940 I834:I836 I823 I860 I800 I951:I954 I948 I806 I811:I812 I843 I932:I934 I826:I827 I922 I830 I854 I838:I839 I872 I876 I866 I938 I862:I864 I924 I928 I796:I798">
    <cfRule type="cellIs" dxfId="2854" priority="4957" operator="equal">
      <formula>"Borrador"</formula>
    </cfRule>
  </conditionalFormatting>
  <conditionalFormatting sqref="I946 I816 I940 I834:I836 I823 I860 I800 I951:I954 I948 I806 I811:I812 I843 I932:I934 I826:I827 I922 I830 I854 I838:I839 I872 I876 I866 I938 I862:I864 I924 I928 I796:I798">
    <cfRule type="cellIs" dxfId="2853" priority="4956" operator="equal">
      <formula>"Rechazado"</formula>
    </cfRule>
  </conditionalFormatting>
  <conditionalFormatting sqref="I946 I816 I940 I834:I836 I823 I860 I800 I951:I954 I948 I806 I811:I812 I843 I932:I934 I826:I827 I922 I830 I854 I838:I839 I872 I876 I866 I938 I862:I864 I924 I928 I796:I798">
    <cfRule type="cellIs" dxfId="2852" priority="4955" operator="equal">
      <formula>"Terminado"</formula>
    </cfRule>
  </conditionalFormatting>
  <conditionalFormatting sqref="F788">
    <cfRule type="cellIs" dxfId="2851" priority="4433" operator="equal">
      <formula>"APLAZADO"</formula>
    </cfRule>
    <cfRule type="cellIs" dxfId="2850" priority="4434" operator="equal">
      <formula>"CANCELADO"</formula>
    </cfRule>
    <cfRule type="cellIs" dxfId="2849" priority="4435" operator="equal">
      <formula>"NO EJECUTADO"</formula>
    </cfRule>
    <cfRule type="cellIs" dxfId="2848" priority="4436" operator="equal">
      <formula>"FPE"</formula>
    </cfRule>
    <cfRule type="cellIs" dxfId="2847" priority="4437" operator="equal">
      <formula>"AMA"</formula>
    </cfRule>
    <cfRule type="cellIs" dxfId="2846" priority="4438" operator="equal">
      <formula>"SIN DATOS"</formula>
    </cfRule>
    <cfRule type="cellIs" dxfId="2845" priority="4439" operator="equal">
      <formula>"SIN DATOS"</formula>
    </cfRule>
    <cfRule type="cellIs" dxfId="2844" priority="4440" operator="equal">
      <formula>"NO EJECTUTADO"</formula>
    </cfRule>
    <cfRule type="cellIs" dxfId="2843" priority="4441" operator="equal">
      <formula>"FE"</formula>
    </cfRule>
    <cfRule type="cellIs" dxfId="2842" priority="4442" operator="equal">
      <formula>"FE"</formula>
    </cfRule>
  </conditionalFormatting>
  <conditionalFormatting sqref="F788">
    <cfRule type="cellIs" dxfId="2841" priority="4431" operator="equal">
      <formula>"Retirado"</formula>
    </cfRule>
    <cfRule type="cellIs" dxfId="2840" priority="4432" operator="equal">
      <formula>"FSE"</formula>
    </cfRule>
  </conditionalFormatting>
  <conditionalFormatting sqref="F674">
    <cfRule type="cellIs" dxfId="2839" priority="4414" operator="equal">
      <formula>"APLAZADO"</formula>
    </cfRule>
    <cfRule type="cellIs" dxfId="2838" priority="4415" operator="equal">
      <formula>"CANCELADO"</formula>
    </cfRule>
    <cfRule type="cellIs" dxfId="2837" priority="4416" operator="equal">
      <formula>"NO EJECUTADO"</formula>
    </cfRule>
    <cfRule type="cellIs" dxfId="2836" priority="4417" operator="equal">
      <formula>"FPE"</formula>
    </cfRule>
    <cfRule type="cellIs" dxfId="2835" priority="4418" operator="equal">
      <formula>"AMA"</formula>
    </cfRule>
    <cfRule type="cellIs" dxfId="2834" priority="4419" operator="equal">
      <formula>"SIN DATOS"</formula>
    </cfRule>
    <cfRule type="cellIs" dxfId="2833" priority="4420" operator="equal">
      <formula>"SIN DATOS"</formula>
    </cfRule>
    <cfRule type="cellIs" dxfId="2832" priority="4421" operator="equal">
      <formula>"NO EJECTUTADO"</formula>
    </cfRule>
    <cfRule type="cellIs" dxfId="2831" priority="4422" operator="equal">
      <formula>"FE"</formula>
    </cfRule>
    <cfRule type="cellIs" dxfId="2830" priority="4423" operator="equal">
      <formula>"FE"</formula>
    </cfRule>
  </conditionalFormatting>
  <conditionalFormatting sqref="F674">
    <cfRule type="cellIs" dxfId="2829" priority="4412" operator="equal">
      <formula>"Retirado"</formula>
    </cfRule>
    <cfRule type="cellIs" dxfId="2828" priority="4413" operator="equal">
      <formula>"FSE"</formula>
    </cfRule>
  </conditionalFormatting>
  <conditionalFormatting sqref="F688">
    <cfRule type="cellIs" dxfId="2827" priority="4402" operator="equal">
      <formula>"APLAZADO"</formula>
    </cfRule>
    <cfRule type="cellIs" dxfId="2826" priority="4403" operator="equal">
      <formula>"CANCELADO"</formula>
    </cfRule>
    <cfRule type="cellIs" dxfId="2825" priority="4404" operator="equal">
      <formula>"NO EJECUTADO"</formula>
    </cfRule>
    <cfRule type="cellIs" dxfId="2824" priority="4405" operator="equal">
      <formula>"FPE"</formula>
    </cfRule>
    <cfRule type="cellIs" dxfId="2823" priority="4406" operator="equal">
      <formula>"AMA"</formula>
    </cfRule>
    <cfRule type="cellIs" dxfId="2822" priority="4407" operator="equal">
      <formula>"SIN DATOS"</formula>
    </cfRule>
    <cfRule type="cellIs" dxfId="2821" priority="4408" operator="equal">
      <formula>"SIN DATOS"</formula>
    </cfRule>
    <cfRule type="cellIs" dxfId="2820" priority="4409" operator="equal">
      <formula>"NO EJECTUTADO"</formula>
    </cfRule>
    <cfRule type="cellIs" dxfId="2819" priority="4410" operator="equal">
      <formula>"FE"</formula>
    </cfRule>
    <cfRule type="cellIs" dxfId="2818" priority="4411" operator="equal">
      <formula>"FE"</formula>
    </cfRule>
  </conditionalFormatting>
  <conditionalFormatting sqref="F688">
    <cfRule type="cellIs" dxfId="2817" priority="4400" operator="equal">
      <formula>"Retirado"</formula>
    </cfRule>
    <cfRule type="cellIs" dxfId="2816" priority="4401" operator="equal">
      <formula>"FSE"</formula>
    </cfRule>
  </conditionalFormatting>
  <conditionalFormatting sqref="F684">
    <cfRule type="cellIs" dxfId="2815" priority="4390" operator="equal">
      <formula>"APLAZADO"</formula>
    </cfRule>
    <cfRule type="cellIs" dxfId="2814" priority="4391" operator="equal">
      <formula>"CANCELADO"</formula>
    </cfRule>
    <cfRule type="cellIs" dxfId="2813" priority="4392" operator="equal">
      <formula>"NO EJECUTADO"</formula>
    </cfRule>
    <cfRule type="cellIs" dxfId="2812" priority="4393" operator="equal">
      <formula>"FPE"</formula>
    </cfRule>
    <cfRule type="cellIs" dxfId="2811" priority="4394" operator="equal">
      <formula>"AMA"</formula>
    </cfRule>
    <cfRule type="cellIs" dxfId="2810" priority="4395" operator="equal">
      <formula>"SIN DATOS"</formula>
    </cfRule>
    <cfRule type="cellIs" dxfId="2809" priority="4396" operator="equal">
      <formula>"SIN DATOS"</formula>
    </cfRule>
    <cfRule type="cellIs" dxfId="2808" priority="4397" operator="equal">
      <formula>"NO EJECTUTADO"</formula>
    </cfRule>
    <cfRule type="cellIs" dxfId="2807" priority="4398" operator="equal">
      <formula>"FE"</formula>
    </cfRule>
    <cfRule type="cellIs" dxfId="2806" priority="4399" operator="equal">
      <formula>"FE"</formula>
    </cfRule>
  </conditionalFormatting>
  <conditionalFormatting sqref="F684">
    <cfRule type="cellIs" dxfId="2805" priority="4388" operator="equal">
      <formula>"Retirado"</formula>
    </cfRule>
    <cfRule type="cellIs" dxfId="2804" priority="4389" operator="equal">
      <formula>"FSE"</formula>
    </cfRule>
  </conditionalFormatting>
  <conditionalFormatting sqref="I755">
    <cfRule type="cellIs" dxfId="2803" priority="4384" operator="equal">
      <formula>"Programado para aprobación"</formula>
    </cfRule>
    <cfRule type="cellIs" dxfId="2802" priority="4385" operator="equal">
      <formula>"Cerrado"</formula>
    </cfRule>
    <cfRule type="cellIs" dxfId="2801" priority="4386" operator="equal">
      <formula>"Programado"</formula>
    </cfRule>
    <cfRule type="cellIs" dxfId="2800" priority="4387" operator="equal">
      <formula>"Implantación en curso"</formula>
    </cfRule>
  </conditionalFormatting>
  <conditionalFormatting sqref="I755">
    <cfRule type="cellIs" dxfId="2799" priority="4383" operator="equal">
      <formula>"Borrador"</formula>
    </cfRule>
  </conditionalFormatting>
  <conditionalFormatting sqref="I755">
    <cfRule type="cellIs" dxfId="2798" priority="4382" operator="equal">
      <formula>"Rechazado"</formula>
    </cfRule>
  </conditionalFormatting>
  <conditionalFormatting sqref="I755">
    <cfRule type="cellIs" dxfId="2797" priority="4381" operator="equal">
      <formula>"Terminado"</formula>
    </cfRule>
  </conditionalFormatting>
  <conditionalFormatting sqref="F666">
    <cfRule type="cellIs" dxfId="2796" priority="4364" operator="equal">
      <formula>"APLAZADO"</formula>
    </cfRule>
    <cfRule type="cellIs" dxfId="2795" priority="4365" operator="equal">
      <formula>"CANCELADO"</formula>
    </cfRule>
    <cfRule type="cellIs" dxfId="2794" priority="4366" operator="equal">
      <formula>"NO EJECUTADO"</formula>
    </cfRule>
    <cfRule type="cellIs" dxfId="2793" priority="4367" operator="equal">
      <formula>"FPE"</formula>
    </cfRule>
    <cfRule type="cellIs" dxfId="2792" priority="4368" operator="equal">
      <formula>"AMA"</formula>
    </cfRule>
    <cfRule type="cellIs" dxfId="2791" priority="4369" operator="equal">
      <formula>"SIN DATOS"</formula>
    </cfRule>
    <cfRule type="cellIs" dxfId="2790" priority="4370" operator="equal">
      <formula>"SIN DATOS"</formula>
    </cfRule>
    <cfRule type="cellIs" dxfId="2789" priority="4371" operator="equal">
      <formula>"NO EJECTUTADO"</formula>
    </cfRule>
    <cfRule type="cellIs" dxfId="2788" priority="4372" operator="equal">
      <formula>"FE"</formula>
    </cfRule>
    <cfRule type="cellIs" dxfId="2787" priority="4373" operator="equal">
      <formula>"FE"</formula>
    </cfRule>
  </conditionalFormatting>
  <conditionalFormatting sqref="F666">
    <cfRule type="cellIs" dxfId="2786" priority="4362" operator="equal">
      <formula>"Retirado"</formula>
    </cfRule>
    <cfRule type="cellIs" dxfId="2785" priority="4363" operator="equal">
      <formula>"FSE"</formula>
    </cfRule>
  </conditionalFormatting>
  <conditionalFormatting sqref="F990:F991">
    <cfRule type="cellIs" dxfId="2784" priority="4352" operator="equal">
      <formula>"APLAZADO"</formula>
    </cfRule>
    <cfRule type="cellIs" dxfId="2783" priority="4353" operator="equal">
      <formula>"CANCELADO"</formula>
    </cfRule>
    <cfRule type="cellIs" dxfId="2782" priority="4354" operator="equal">
      <formula>"NO EJECUTADO"</formula>
    </cfRule>
    <cfRule type="cellIs" dxfId="2781" priority="4355" operator="equal">
      <formula>"FPE"</formula>
    </cfRule>
    <cfRule type="cellIs" dxfId="2780" priority="4356" operator="equal">
      <formula>"AMA"</formula>
    </cfRule>
    <cfRule type="cellIs" dxfId="2779" priority="4357" operator="equal">
      <formula>"SIN DATOS"</formula>
    </cfRule>
    <cfRule type="cellIs" dxfId="2778" priority="4358" operator="equal">
      <formula>"SIN DATOS"</formula>
    </cfRule>
    <cfRule type="cellIs" dxfId="2777" priority="4359" operator="equal">
      <formula>"NO EJECTUTADO"</formula>
    </cfRule>
    <cfRule type="cellIs" dxfId="2776" priority="4360" operator="equal">
      <formula>"FE"</formula>
    </cfRule>
    <cfRule type="cellIs" dxfId="2775" priority="4361" operator="equal">
      <formula>"FE"</formula>
    </cfRule>
  </conditionalFormatting>
  <conditionalFormatting sqref="F990:F991">
    <cfRule type="cellIs" dxfId="2774" priority="4350" operator="equal">
      <formula>"Retirado"</formula>
    </cfRule>
    <cfRule type="cellIs" dxfId="2773" priority="4351" operator="equal">
      <formula>"FSE"</formula>
    </cfRule>
  </conditionalFormatting>
  <conditionalFormatting sqref="F986">
    <cfRule type="cellIs" dxfId="2772" priority="4340" operator="equal">
      <formula>"APLAZADO"</formula>
    </cfRule>
    <cfRule type="cellIs" dxfId="2771" priority="4341" operator="equal">
      <formula>"CANCELADO"</formula>
    </cfRule>
    <cfRule type="cellIs" dxfId="2770" priority="4342" operator="equal">
      <formula>"NO EJECUTADO"</formula>
    </cfRule>
    <cfRule type="cellIs" dxfId="2769" priority="4343" operator="equal">
      <formula>"FPE"</formula>
    </cfRule>
    <cfRule type="cellIs" dxfId="2768" priority="4344" operator="equal">
      <formula>"AMA"</formula>
    </cfRule>
    <cfRule type="cellIs" dxfId="2767" priority="4345" operator="equal">
      <formula>"SIN DATOS"</formula>
    </cfRule>
    <cfRule type="cellIs" dxfId="2766" priority="4346" operator="equal">
      <formula>"SIN DATOS"</formula>
    </cfRule>
    <cfRule type="cellIs" dxfId="2765" priority="4347" operator="equal">
      <formula>"NO EJECTUTADO"</formula>
    </cfRule>
    <cfRule type="cellIs" dxfId="2764" priority="4348" operator="equal">
      <formula>"FE"</formula>
    </cfRule>
    <cfRule type="cellIs" dxfId="2763" priority="4349" operator="equal">
      <formula>"FE"</formula>
    </cfRule>
  </conditionalFormatting>
  <conditionalFormatting sqref="F986">
    <cfRule type="cellIs" dxfId="2762" priority="4338" operator="equal">
      <formula>"Retirado"</formula>
    </cfRule>
    <cfRule type="cellIs" dxfId="2761" priority="4339" operator="equal">
      <formula>"FSE"</formula>
    </cfRule>
  </conditionalFormatting>
  <conditionalFormatting sqref="I976">
    <cfRule type="cellIs" dxfId="2760" priority="4334" operator="equal">
      <formula>"Programado para aprobación"</formula>
    </cfRule>
    <cfRule type="cellIs" dxfId="2759" priority="4335" operator="equal">
      <formula>"Cerrado"</formula>
    </cfRule>
    <cfRule type="cellIs" dxfId="2758" priority="4336" operator="equal">
      <formula>"Programado"</formula>
    </cfRule>
    <cfRule type="cellIs" dxfId="2757" priority="4337" operator="equal">
      <formula>"Implantación en curso"</formula>
    </cfRule>
  </conditionalFormatting>
  <conditionalFormatting sqref="I976">
    <cfRule type="cellIs" dxfId="2756" priority="4333" operator="equal">
      <formula>"Borrador"</formula>
    </cfRule>
  </conditionalFormatting>
  <conditionalFormatting sqref="I976">
    <cfRule type="cellIs" dxfId="2755" priority="4332" operator="equal">
      <formula>"Rechazado"</formula>
    </cfRule>
  </conditionalFormatting>
  <conditionalFormatting sqref="I976">
    <cfRule type="cellIs" dxfId="2754" priority="4331" operator="equal">
      <formula>"Terminado"</formula>
    </cfRule>
  </conditionalFormatting>
  <conditionalFormatting sqref="F686">
    <cfRule type="cellIs" dxfId="2753" priority="4314" operator="equal">
      <formula>"APLAZADO"</formula>
    </cfRule>
    <cfRule type="cellIs" dxfId="2752" priority="4315" operator="equal">
      <formula>"CANCELADO"</formula>
    </cfRule>
    <cfRule type="cellIs" dxfId="2751" priority="4316" operator="equal">
      <formula>"NO EJECUTADO"</formula>
    </cfRule>
    <cfRule type="cellIs" dxfId="2750" priority="4317" operator="equal">
      <formula>"FPE"</formula>
    </cfRule>
    <cfRule type="cellIs" dxfId="2749" priority="4318" operator="equal">
      <formula>"AMA"</formula>
    </cfRule>
    <cfRule type="cellIs" dxfId="2748" priority="4319" operator="equal">
      <formula>"SIN DATOS"</formula>
    </cfRule>
    <cfRule type="cellIs" dxfId="2747" priority="4320" operator="equal">
      <formula>"SIN DATOS"</formula>
    </cfRule>
    <cfRule type="cellIs" dxfId="2746" priority="4321" operator="equal">
      <formula>"NO EJECTUTADO"</formula>
    </cfRule>
    <cfRule type="cellIs" dxfId="2745" priority="4322" operator="equal">
      <formula>"FE"</formula>
    </cfRule>
    <cfRule type="cellIs" dxfId="2744" priority="4323" operator="equal">
      <formula>"FE"</formula>
    </cfRule>
  </conditionalFormatting>
  <conditionalFormatting sqref="F686">
    <cfRule type="cellIs" dxfId="2743" priority="4312" operator="equal">
      <formula>"Retirado"</formula>
    </cfRule>
    <cfRule type="cellIs" dxfId="2742" priority="4313" operator="equal">
      <formula>"FSE"</formula>
    </cfRule>
  </conditionalFormatting>
  <conditionalFormatting sqref="F690">
    <cfRule type="cellIs" dxfId="2741" priority="4302" operator="equal">
      <formula>"APLAZADO"</formula>
    </cfRule>
    <cfRule type="cellIs" dxfId="2740" priority="4303" operator="equal">
      <formula>"CANCELADO"</formula>
    </cfRule>
    <cfRule type="cellIs" dxfId="2739" priority="4304" operator="equal">
      <formula>"NO EJECUTADO"</formula>
    </cfRule>
    <cfRule type="cellIs" dxfId="2738" priority="4305" operator="equal">
      <formula>"FPE"</formula>
    </cfRule>
    <cfRule type="cellIs" dxfId="2737" priority="4306" operator="equal">
      <formula>"AMA"</formula>
    </cfRule>
    <cfRule type="cellIs" dxfId="2736" priority="4307" operator="equal">
      <formula>"SIN DATOS"</formula>
    </cfRule>
    <cfRule type="cellIs" dxfId="2735" priority="4308" operator="equal">
      <formula>"SIN DATOS"</formula>
    </cfRule>
    <cfRule type="cellIs" dxfId="2734" priority="4309" operator="equal">
      <formula>"NO EJECTUTADO"</formula>
    </cfRule>
    <cfRule type="cellIs" dxfId="2733" priority="4310" operator="equal">
      <formula>"FE"</formula>
    </cfRule>
    <cfRule type="cellIs" dxfId="2732" priority="4311" operator="equal">
      <formula>"FE"</formula>
    </cfRule>
  </conditionalFormatting>
  <conditionalFormatting sqref="F690">
    <cfRule type="cellIs" dxfId="2731" priority="4300" operator="equal">
      <formula>"Retirado"</formula>
    </cfRule>
    <cfRule type="cellIs" dxfId="2730" priority="4301" operator="equal">
      <formula>"FSE"</formula>
    </cfRule>
  </conditionalFormatting>
  <conditionalFormatting sqref="F677">
    <cfRule type="cellIs" dxfId="2729" priority="4290" operator="equal">
      <formula>"APLAZADO"</formula>
    </cfRule>
    <cfRule type="cellIs" dxfId="2728" priority="4291" operator="equal">
      <formula>"CANCELADO"</formula>
    </cfRule>
    <cfRule type="cellIs" dxfId="2727" priority="4292" operator="equal">
      <formula>"NO EJECUTADO"</formula>
    </cfRule>
    <cfRule type="cellIs" dxfId="2726" priority="4293" operator="equal">
      <formula>"FPE"</formula>
    </cfRule>
    <cfRule type="cellIs" dxfId="2725" priority="4294" operator="equal">
      <formula>"AMA"</formula>
    </cfRule>
    <cfRule type="cellIs" dxfId="2724" priority="4295" operator="equal">
      <formula>"SIN DATOS"</formula>
    </cfRule>
    <cfRule type="cellIs" dxfId="2723" priority="4296" operator="equal">
      <formula>"SIN DATOS"</formula>
    </cfRule>
    <cfRule type="cellIs" dxfId="2722" priority="4297" operator="equal">
      <formula>"NO EJECTUTADO"</formula>
    </cfRule>
    <cfRule type="cellIs" dxfId="2721" priority="4298" operator="equal">
      <formula>"FE"</formula>
    </cfRule>
    <cfRule type="cellIs" dxfId="2720" priority="4299" operator="equal">
      <formula>"FE"</formula>
    </cfRule>
  </conditionalFormatting>
  <conditionalFormatting sqref="F677">
    <cfRule type="cellIs" dxfId="2719" priority="4288" operator="equal">
      <formula>"Retirado"</formula>
    </cfRule>
    <cfRule type="cellIs" dxfId="2718" priority="4289" operator="equal">
      <formula>"FSE"</formula>
    </cfRule>
  </conditionalFormatting>
  <conditionalFormatting sqref="F682">
    <cfRule type="cellIs" dxfId="2717" priority="4257" operator="equal">
      <formula>"APLAZADO"</formula>
    </cfRule>
    <cfRule type="cellIs" dxfId="2716" priority="4258" operator="equal">
      <formula>"CANCELADO"</formula>
    </cfRule>
    <cfRule type="cellIs" dxfId="2715" priority="4259" operator="equal">
      <formula>"NO EJECUTADO"</formula>
    </cfRule>
    <cfRule type="cellIs" dxfId="2714" priority="4260" operator="equal">
      <formula>"FPE"</formula>
    </cfRule>
    <cfRule type="cellIs" dxfId="2713" priority="4261" operator="equal">
      <formula>"AMA"</formula>
    </cfRule>
    <cfRule type="cellIs" dxfId="2712" priority="4262" operator="equal">
      <formula>"SIN DATOS"</formula>
    </cfRule>
    <cfRule type="cellIs" dxfId="2711" priority="4263" operator="equal">
      <formula>"SIN DATOS"</formula>
    </cfRule>
    <cfRule type="cellIs" dxfId="2710" priority="4264" operator="equal">
      <formula>"NO EJECTUTADO"</formula>
    </cfRule>
    <cfRule type="cellIs" dxfId="2709" priority="4265" operator="equal">
      <formula>"FE"</formula>
    </cfRule>
    <cfRule type="cellIs" dxfId="2708" priority="4266" operator="equal">
      <formula>"FE"</formula>
    </cfRule>
  </conditionalFormatting>
  <conditionalFormatting sqref="F682">
    <cfRule type="cellIs" dxfId="2707" priority="4255" operator="equal">
      <formula>"Retirado"</formula>
    </cfRule>
    <cfRule type="cellIs" dxfId="2706" priority="4256" operator="equal">
      <formula>"FSE"</formula>
    </cfRule>
  </conditionalFormatting>
  <conditionalFormatting sqref="F687">
    <cfRule type="cellIs" dxfId="2705" priority="4245" operator="equal">
      <formula>"APLAZADO"</formula>
    </cfRule>
    <cfRule type="cellIs" dxfId="2704" priority="4246" operator="equal">
      <formula>"CANCELADO"</formula>
    </cfRule>
    <cfRule type="cellIs" dxfId="2703" priority="4247" operator="equal">
      <formula>"NO EJECUTADO"</formula>
    </cfRule>
    <cfRule type="cellIs" dxfId="2702" priority="4248" operator="equal">
      <formula>"FPE"</formula>
    </cfRule>
    <cfRule type="cellIs" dxfId="2701" priority="4249" operator="equal">
      <formula>"AMA"</formula>
    </cfRule>
    <cfRule type="cellIs" dxfId="2700" priority="4250" operator="equal">
      <formula>"SIN DATOS"</formula>
    </cfRule>
    <cfRule type="cellIs" dxfId="2699" priority="4251" operator="equal">
      <formula>"SIN DATOS"</formula>
    </cfRule>
    <cfRule type="cellIs" dxfId="2698" priority="4252" operator="equal">
      <formula>"NO EJECTUTADO"</formula>
    </cfRule>
    <cfRule type="cellIs" dxfId="2697" priority="4253" operator="equal">
      <formula>"FE"</formula>
    </cfRule>
    <cfRule type="cellIs" dxfId="2696" priority="4254" operator="equal">
      <formula>"FE"</formula>
    </cfRule>
  </conditionalFormatting>
  <conditionalFormatting sqref="F687">
    <cfRule type="cellIs" dxfId="2695" priority="4243" operator="equal">
      <formula>"Retirado"</formula>
    </cfRule>
    <cfRule type="cellIs" dxfId="2694" priority="4244" operator="equal">
      <formula>"FSE"</formula>
    </cfRule>
  </conditionalFormatting>
  <conditionalFormatting sqref="F689">
    <cfRule type="cellIs" dxfId="2693" priority="4226" operator="equal">
      <formula>"APLAZADO"</formula>
    </cfRule>
    <cfRule type="cellIs" dxfId="2692" priority="4227" operator="equal">
      <formula>"CANCELADO"</formula>
    </cfRule>
    <cfRule type="cellIs" dxfId="2691" priority="4228" operator="equal">
      <formula>"NO EJECUTADO"</formula>
    </cfRule>
    <cfRule type="cellIs" dxfId="2690" priority="4229" operator="equal">
      <formula>"FPE"</formula>
    </cfRule>
    <cfRule type="cellIs" dxfId="2689" priority="4230" operator="equal">
      <formula>"AMA"</formula>
    </cfRule>
    <cfRule type="cellIs" dxfId="2688" priority="4231" operator="equal">
      <formula>"SIN DATOS"</formula>
    </cfRule>
    <cfRule type="cellIs" dxfId="2687" priority="4232" operator="equal">
      <formula>"SIN DATOS"</formula>
    </cfRule>
    <cfRule type="cellIs" dxfId="2686" priority="4233" operator="equal">
      <formula>"NO EJECTUTADO"</formula>
    </cfRule>
    <cfRule type="cellIs" dxfId="2685" priority="4234" operator="equal">
      <formula>"FE"</formula>
    </cfRule>
    <cfRule type="cellIs" dxfId="2684" priority="4235" operator="equal">
      <formula>"FE"</formula>
    </cfRule>
  </conditionalFormatting>
  <conditionalFormatting sqref="F689">
    <cfRule type="cellIs" dxfId="2683" priority="4224" operator="equal">
      <formula>"Retirado"</formula>
    </cfRule>
    <cfRule type="cellIs" dxfId="2682" priority="4225" operator="equal">
      <formula>"FSE"</formula>
    </cfRule>
  </conditionalFormatting>
  <conditionalFormatting sqref="F737">
    <cfRule type="cellIs" dxfId="2681" priority="4214" operator="equal">
      <formula>"APLAZADO"</formula>
    </cfRule>
    <cfRule type="cellIs" dxfId="2680" priority="4215" operator="equal">
      <formula>"CANCELADO"</formula>
    </cfRule>
    <cfRule type="cellIs" dxfId="2679" priority="4216" operator="equal">
      <formula>"NO EJECUTADO"</formula>
    </cfRule>
    <cfRule type="cellIs" dxfId="2678" priority="4217" operator="equal">
      <formula>"FPE"</formula>
    </cfRule>
    <cfRule type="cellIs" dxfId="2677" priority="4218" operator="equal">
      <formula>"AMA"</formula>
    </cfRule>
    <cfRule type="cellIs" dxfId="2676" priority="4219" operator="equal">
      <formula>"SIN DATOS"</formula>
    </cfRule>
    <cfRule type="cellIs" dxfId="2675" priority="4220" operator="equal">
      <formula>"SIN DATOS"</formula>
    </cfRule>
    <cfRule type="cellIs" dxfId="2674" priority="4221" operator="equal">
      <formula>"NO EJECTUTADO"</formula>
    </cfRule>
    <cfRule type="cellIs" dxfId="2673" priority="4222" operator="equal">
      <formula>"FE"</formula>
    </cfRule>
    <cfRule type="cellIs" dxfId="2672" priority="4223" operator="equal">
      <formula>"FE"</formula>
    </cfRule>
  </conditionalFormatting>
  <conditionalFormatting sqref="F737">
    <cfRule type="cellIs" dxfId="2671" priority="4212" operator="equal">
      <formula>"Retirado"</formula>
    </cfRule>
    <cfRule type="cellIs" dxfId="2670" priority="4213" operator="equal">
      <formula>"FSE"</formula>
    </cfRule>
  </conditionalFormatting>
  <conditionalFormatting sqref="F736">
    <cfRule type="cellIs" dxfId="2669" priority="4202" operator="equal">
      <formula>"APLAZADO"</formula>
    </cfRule>
    <cfRule type="cellIs" dxfId="2668" priority="4203" operator="equal">
      <formula>"CANCELADO"</formula>
    </cfRule>
    <cfRule type="cellIs" dxfId="2667" priority="4204" operator="equal">
      <formula>"NO EJECUTADO"</formula>
    </cfRule>
    <cfRule type="cellIs" dxfId="2666" priority="4205" operator="equal">
      <formula>"FPE"</formula>
    </cfRule>
    <cfRule type="cellIs" dxfId="2665" priority="4206" operator="equal">
      <formula>"AMA"</formula>
    </cfRule>
    <cfRule type="cellIs" dxfId="2664" priority="4207" operator="equal">
      <formula>"SIN DATOS"</formula>
    </cfRule>
    <cfRule type="cellIs" dxfId="2663" priority="4208" operator="equal">
      <formula>"SIN DATOS"</formula>
    </cfRule>
    <cfRule type="cellIs" dxfId="2662" priority="4209" operator="equal">
      <formula>"NO EJECTUTADO"</formula>
    </cfRule>
    <cfRule type="cellIs" dxfId="2661" priority="4210" operator="equal">
      <formula>"FE"</formula>
    </cfRule>
    <cfRule type="cellIs" dxfId="2660" priority="4211" operator="equal">
      <formula>"FE"</formula>
    </cfRule>
  </conditionalFormatting>
  <conditionalFormatting sqref="F736">
    <cfRule type="cellIs" dxfId="2659" priority="4200" operator="equal">
      <formula>"Retirado"</formula>
    </cfRule>
    <cfRule type="cellIs" dxfId="2658" priority="4201" operator="equal">
      <formula>"FSE"</formula>
    </cfRule>
  </conditionalFormatting>
  <conditionalFormatting sqref="F696">
    <cfRule type="cellIs" dxfId="2657" priority="4183" operator="equal">
      <formula>"APLAZADO"</formula>
    </cfRule>
    <cfRule type="cellIs" dxfId="2656" priority="4184" operator="equal">
      <formula>"CANCELADO"</formula>
    </cfRule>
    <cfRule type="cellIs" dxfId="2655" priority="4185" operator="equal">
      <formula>"NO EJECUTADO"</formula>
    </cfRule>
    <cfRule type="cellIs" dxfId="2654" priority="4186" operator="equal">
      <formula>"FPE"</formula>
    </cfRule>
    <cfRule type="cellIs" dxfId="2653" priority="4187" operator="equal">
      <formula>"AMA"</formula>
    </cfRule>
    <cfRule type="cellIs" dxfId="2652" priority="4188" operator="equal">
      <formula>"SIN DATOS"</formula>
    </cfRule>
    <cfRule type="cellIs" dxfId="2651" priority="4189" operator="equal">
      <formula>"SIN DATOS"</formula>
    </cfRule>
    <cfRule type="cellIs" dxfId="2650" priority="4190" operator="equal">
      <formula>"NO EJECTUTADO"</formula>
    </cfRule>
    <cfRule type="cellIs" dxfId="2649" priority="4191" operator="equal">
      <formula>"FE"</formula>
    </cfRule>
    <cfRule type="cellIs" dxfId="2648" priority="4192" operator="equal">
      <formula>"FE"</formula>
    </cfRule>
  </conditionalFormatting>
  <conditionalFormatting sqref="F696">
    <cfRule type="cellIs" dxfId="2647" priority="4181" operator="equal">
      <formula>"Retirado"</formula>
    </cfRule>
    <cfRule type="cellIs" dxfId="2646" priority="4182" operator="equal">
      <formula>"FSE"</formula>
    </cfRule>
  </conditionalFormatting>
  <conditionalFormatting sqref="F697">
    <cfRule type="cellIs" dxfId="2645" priority="4129" operator="equal">
      <formula>"APLAZADO"</formula>
    </cfRule>
    <cfRule type="cellIs" dxfId="2644" priority="4130" operator="equal">
      <formula>"CANCELADO"</formula>
    </cfRule>
    <cfRule type="cellIs" dxfId="2643" priority="4131" operator="equal">
      <formula>"NO EJECUTADO"</formula>
    </cfRule>
    <cfRule type="cellIs" dxfId="2642" priority="4132" operator="equal">
      <formula>"FPE"</formula>
    </cfRule>
    <cfRule type="cellIs" dxfId="2641" priority="4133" operator="equal">
      <formula>"AMA"</formula>
    </cfRule>
    <cfRule type="cellIs" dxfId="2640" priority="4134" operator="equal">
      <formula>"SIN DATOS"</formula>
    </cfRule>
    <cfRule type="cellIs" dxfId="2639" priority="4135" operator="equal">
      <formula>"SIN DATOS"</formula>
    </cfRule>
    <cfRule type="cellIs" dxfId="2638" priority="4136" operator="equal">
      <formula>"NO EJECTUTADO"</formula>
    </cfRule>
    <cfRule type="cellIs" dxfId="2637" priority="4137" operator="equal">
      <formula>"FE"</formula>
    </cfRule>
    <cfRule type="cellIs" dxfId="2636" priority="4138" operator="equal">
      <formula>"FE"</formula>
    </cfRule>
  </conditionalFormatting>
  <conditionalFormatting sqref="F697">
    <cfRule type="cellIs" dxfId="2635" priority="4127" operator="equal">
      <formula>"Retirado"</formula>
    </cfRule>
    <cfRule type="cellIs" dxfId="2634" priority="4128" operator="equal">
      <formula>"FSE"</formula>
    </cfRule>
  </conditionalFormatting>
  <conditionalFormatting sqref="I815">
    <cfRule type="cellIs" dxfId="2633" priority="4123" operator="equal">
      <formula>"Programado para aprobación"</formula>
    </cfRule>
    <cfRule type="cellIs" dxfId="2632" priority="4124" operator="equal">
      <formula>"Cerrado"</formula>
    </cfRule>
    <cfRule type="cellIs" dxfId="2631" priority="4125" operator="equal">
      <formula>"Programado"</formula>
    </cfRule>
    <cfRule type="cellIs" dxfId="2630" priority="4126" operator="equal">
      <formula>"Implantación en curso"</formula>
    </cfRule>
  </conditionalFormatting>
  <conditionalFormatting sqref="I815">
    <cfRule type="cellIs" dxfId="2629" priority="4122" operator="equal">
      <formula>"Borrador"</formula>
    </cfRule>
  </conditionalFormatting>
  <conditionalFormatting sqref="I815">
    <cfRule type="cellIs" dxfId="2628" priority="4121" operator="equal">
      <formula>"Rechazado"</formula>
    </cfRule>
  </conditionalFormatting>
  <conditionalFormatting sqref="I815">
    <cfRule type="cellIs" dxfId="2627" priority="4120" operator="equal">
      <formula>"Terminado"</formula>
    </cfRule>
  </conditionalFormatting>
  <conditionalFormatting sqref="P815">
    <cfRule type="cellIs" dxfId="2626" priority="4116" operator="equal">
      <formula>"Programado para aprobación"</formula>
    </cfRule>
    <cfRule type="cellIs" dxfId="2625" priority="4117" operator="equal">
      <formula>"Cerrado"</formula>
    </cfRule>
    <cfRule type="cellIs" dxfId="2624" priority="4118" operator="equal">
      <formula>"Programado"</formula>
    </cfRule>
    <cfRule type="cellIs" dxfId="2623" priority="4119" operator="equal">
      <formula>"Implantación en curso"</formula>
    </cfRule>
  </conditionalFormatting>
  <conditionalFormatting sqref="P815">
    <cfRule type="cellIs" dxfId="2622" priority="4115" operator="equal">
      <formula>"Borrador"</formula>
    </cfRule>
  </conditionalFormatting>
  <conditionalFormatting sqref="P815">
    <cfRule type="cellIs" dxfId="2621" priority="4114" operator="equal">
      <formula>"Rechazado"</formula>
    </cfRule>
  </conditionalFormatting>
  <conditionalFormatting sqref="P815">
    <cfRule type="cellIs" dxfId="2620" priority="4113" operator="equal">
      <formula>"Terminado"</formula>
    </cfRule>
  </conditionalFormatting>
  <conditionalFormatting sqref="I939">
    <cfRule type="cellIs" dxfId="2619" priority="4109" operator="equal">
      <formula>"Programado para aprobación"</formula>
    </cfRule>
    <cfRule type="cellIs" dxfId="2618" priority="4110" operator="equal">
      <formula>"Cerrado"</formula>
    </cfRule>
    <cfRule type="cellIs" dxfId="2617" priority="4111" operator="equal">
      <formula>"Programado"</formula>
    </cfRule>
    <cfRule type="cellIs" dxfId="2616" priority="4112" operator="equal">
      <formula>"Implantación en curso"</formula>
    </cfRule>
  </conditionalFormatting>
  <conditionalFormatting sqref="I939">
    <cfRule type="cellIs" dxfId="2615" priority="4108" operator="equal">
      <formula>"Borrador"</formula>
    </cfRule>
  </conditionalFormatting>
  <conditionalFormatting sqref="I939">
    <cfRule type="cellIs" dxfId="2614" priority="4107" operator="equal">
      <formula>"Rechazado"</formula>
    </cfRule>
  </conditionalFormatting>
  <conditionalFormatting sqref="I939">
    <cfRule type="cellIs" dxfId="2613" priority="4106" operator="equal">
      <formula>"Terminado"</formula>
    </cfRule>
  </conditionalFormatting>
  <conditionalFormatting sqref="F707">
    <cfRule type="cellIs" dxfId="2612" priority="4019" operator="equal">
      <formula>"APLAZADO"</formula>
    </cfRule>
    <cfRule type="cellIs" dxfId="2611" priority="4020" operator="equal">
      <formula>"CANCELADO"</formula>
    </cfRule>
    <cfRule type="cellIs" dxfId="2610" priority="4021" operator="equal">
      <formula>"NO EJECUTADO"</formula>
    </cfRule>
    <cfRule type="cellIs" dxfId="2609" priority="4022" operator="equal">
      <formula>"FPE"</formula>
    </cfRule>
    <cfRule type="cellIs" dxfId="2608" priority="4023" operator="equal">
      <formula>"AMA"</formula>
    </cfRule>
    <cfRule type="cellIs" dxfId="2607" priority="4024" operator="equal">
      <formula>"SIN DATOS"</formula>
    </cfRule>
    <cfRule type="cellIs" dxfId="2606" priority="4025" operator="equal">
      <formula>"SIN DATOS"</formula>
    </cfRule>
    <cfRule type="cellIs" dxfId="2605" priority="4026" operator="equal">
      <formula>"NO EJECTUTADO"</formula>
    </cfRule>
    <cfRule type="cellIs" dxfId="2604" priority="4027" operator="equal">
      <formula>"FE"</formula>
    </cfRule>
    <cfRule type="cellIs" dxfId="2603" priority="4028" operator="equal">
      <formula>"FE"</formula>
    </cfRule>
  </conditionalFormatting>
  <conditionalFormatting sqref="F707">
    <cfRule type="cellIs" dxfId="2602" priority="4017" operator="equal">
      <formula>"Retirado"</formula>
    </cfRule>
    <cfRule type="cellIs" dxfId="2601" priority="4018" operator="equal">
      <formula>"FSE"</formula>
    </cfRule>
  </conditionalFormatting>
  <conditionalFormatting sqref="F705">
    <cfRule type="cellIs" dxfId="2600" priority="4007" operator="equal">
      <formula>"APLAZADO"</formula>
    </cfRule>
    <cfRule type="cellIs" dxfId="2599" priority="4008" operator="equal">
      <formula>"CANCELADO"</formula>
    </cfRule>
    <cfRule type="cellIs" dxfId="2598" priority="4009" operator="equal">
      <formula>"NO EJECUTADO"</formula>
    </cfRule>
    <cfRule type="cellIs" dxfId="2597" priority="4010" operator="equal">
      <formula>"FPE"</formula>
    </cfRule>
    <cfRule type="cellIs" dxfId="2596" priority="4011" operator="equal">
      <formula>"AMA"</formula>
    </cfRule>
    <cfRule type="cellIs" dxfId="2595" priority="4012" operator="equal">
      <formula>"SIN DATOS"</formula>
    </cfRule>
    <cfRule type="cellIs" dxfId="2594" priority="4013" operator="equal">
      <formula>"SIN DATOS"</formula>
    </cfRule>
    <cfRule type="cellIs" dxfId="2593" priority="4014" operator="equal">
      <formula>"NO EJECTUTADO"</formula>
    </cfRule>
    <cfRule type="cellIs" dxfId="2592" priority="4015" operator="equal">
      <formula>"FE"</formula>
    </cfRule>
    <cfRule type="cellIs" dxfId="2591" priority="4016" operator="equal">
      <formula>"FE"</formula>
    </cfRule>
  </conditionalFormatting>
  <conditionalFormatting sqref="F705">
    <cfRule type="cellIs" dxfId="2590" priority="4005" operator="equal">
      <formula>"Retirado"</formula>
    </cfRule>
    <cfRule type="cellIs" dxfId="2589" priority="4006" operator="equal">
      <formula>"FSE"</formula>
    </cfRule>
  </conditionalFormatting>
  <conditionalFormatting sqref="F818">
    <cfRule type="cellIs" dxfId="2588" priority="3869" operator="equal">
      <formula>"APLAZADO"</formula>
    </cfRule>
    <cfRule type="cellIs" dxfId="2587" priority="3870" operator="equal">
      <formula>"CANCELADO"</formula>
    </cfRule>
    <cfRule type="cellIs" dxfId="2586" priority="3871" operator="equal">
      <formula>"NO EJECUTADO"</formula>
    </cfRule>
    <cfRule type="cellIs" dxfId="2585" priority="3872" operator="equal">
      <formula>"FPE"</formula>
    </cfRule>
    <cfRule type="cellIs" dxfId="2584" priority="3873" operator="equal">
      <formula>"AMA"</formula>
    </cfRule>
    <cfRule type="cellIs" dxfId="2583" priority="3874" operator="equal">
      <formula>"SIN DATOS"</formula>
    </cfRule>
    <cfRule type="cellIs" dxfId="2582" priority="3875" operator="equal">
      <formula>"SIN DATOS"</formula>
    </cfRule>
    <cfRule type="cellIs" dxfId="2581" priority="3876" operator="equal">
      <formula>"NO EJECTUTADO"</formula>
    </cfRule>
    <cfRule type="cellIs" dxfId="2580" priority="3877" operator="equal">
      <formula>"FE"</formula>
    </cfRule>
    <cfRule type="cellIs" dxfId="2579" priority="3878" operator="equal">
      <formula>"FE"</formula>
    </cfRule>
  </conditionalFormatting>
  <conditionalFormatting sqref="F818">
    <cfRule type="cellIs" dxfId="2578" priority="3867" operator="equal">
      <formula>"Retirado"</formula>
    </cfRule>
    <cfRule type="cellIs" dxfId="2577" priority="3868" operator="equal">
      <formula>"FSE"</formula>
    </cfRule>
  </conditionalFormatting>
  <conditionalFormatting sqref="I759">
    <cfRule type="cellIs" dxfId="2576" priority="3863" operator="equal">
      <formula>"Programado para aprobación"</formula>
    </cfRule>
    <cfRule type="cellIs" dxfId="2575" priority="3864" operator="equal">
      <formula>"Cerrado"</formula>
    </cfRule>
    <cfRule type="cellIs" dxfId="2574" priority="3865" operator="equal">
      <formula>"Programado"</formula>
    </cfRule>
    <cfRule type="cellIs" dxfId="2573" priority="3866" operator="equal">
      <formula>"Implantación en curso"</formula>
    </cfRule>
  </conditionalFormatting>
  <conditionalFormatting sqref="I759">
    <cfRule type="cellIs" dxfId="2572" priority="3862" operator="equal">
      <formula>"Borrador"</formula>
    </cfRule>
  </conditionalFormatting>
  <conditionalFormatting sqref="I759">
    <cfRule type="cellIs" dxfId="2571" priority="3861" operator="equal">
      <formula>"Rechazado"</formula>
    </cfRule>
  </conditionalFormatting>
  <conditionalFormatting sqref="I759">
    <cfRule type="cellIs" dxfId="2570" priority="3860" operator="equal">
      <formula>"Terminado"</formula>
    </cfRule>
  </conditionalFormatting>
  <conditionalFormatting sqref="H866">
    <cfRule type="cellIs" dxfId="2569" priority="3856" operator="equal">
      <formula>"Programado para aprobación"</formula>
    </cfRule>
    <cfRule type="cellIs" dxfId="2568" priority="3857" operator="equal">
      <formula>"Cerrado"</formula>
    </cfRule>
    <cfRule type="cellIs" dxfId="2567" priority="3858" operator="equal">
      <formula>"Programado"</formula>
    </cfRule>
    <cfRule type="cellIs" dxfId="2566" priority="3859" operator="equal">
      <formula>"Implantación en curso"</formula>
    </cfRule>
  </conditionalFormatting>
  <conditionalFormatting sqref="H866">
    <cfRule type="cellIs" dxfId="2565" priority="3855" operator="equal">
      <formula>"Borrador"</formula>
    </cfRule>
  </conditionalFormatting>
  <conditionalFormatting sqref="H866">
    <cfRule type="cellIs" dxfId="2564" priority="3854" operator="equal">
      <formula>"Rechazado"</formula>
    </cfRule>
  </conditionalFormatting>
  <conditionalFormatting sqref="H866">
    <cfRule type="cellIs" dxfId="2563" priority="3853" operator="equal">
      <formula>"Terminado"</formula>
    </cfRule>
  </conditionalFormatting>
  <conditionalFormatting sqref="F717">
    <cfRule type="cellIs" dxfId="2562" priority="3829" operator="equal">
      <formula>"APLAZADO"</formula>
    </cfRule>
    <cfRule type="cellIs" dxfId="2561" priority="3830" operator="equal">
      <formula>"CANCELADO"</formula>
    </cfRule>
    <cfRule type="cellIs" dxfId="2560" priority="3831" operator="equal">
      <formula>"NO EJECUTADO"</formula>
    </cfRule>
    <cfRule type="cellIs" dxfId="2559" priority="3832" operator="equal">
      <formula>"FPE"</formula>
    </cfRule>
    <cfRule type="cellIs" dxfId="2558" priority="3833" operator="equal">
      <formula>"AMA"</formula>
    </cfRule>
    <cfRule type="cellIs" dxfId="2557" priority="3834" operator="equal">
      <formula>"SIN DATOS"</formula>
    </cfRule>
    <cfRule type="cellIs" dxfId="2556" priority="3835" operator="equal">
      <formula>"SIN DATOS"</formula>
    </cfRule>
    <cfRule type="cellIs" dxfId="2555" priority="3836" operator="equal">
      <formula>"NO EJECTUTADO"</formula>
    </cfRule>
    <cfRule type="cellIs" dxfId="2554" priority="3837" operator="equal">
      <formula>"FE"</formula>
    </cfRule>
    <cfRule type="cellIs" dxfId="2553" priority="3838" operator="equal">
      <formula>"FE"</formula>
    </cfRule>
  </conditionalFormatting>
  <conditionalFormatting sqref="F717">
    <cfRule type="cellIs" dxfId="2552" priority="3827" operator="equal">
      <formula>"Retirado"</formula>
    </cfRule>
    <cfRule type="cellIs" dxfId="2551" priority="3828" operator="equal">
      <formula>"FSE"</formula>
    </cfRule>
  </conditionalFormatting>
  <conditionalFormatting sqref="F713">
    <cfRule type="cellIs" dxfId="2550" priority="3817" operator="equal">
      <formula>"APLAZADO"</formula>
    </cfRule>
    <cfRule type="cellIs" dxfId="2549" priority="3818" operator="equal">
      <formula>"CANCELADO"</formula>
    </cfRule>
    <cfRule type="cellIs" dxfId="2548" priority="3819" operator="equal">
      <formula>"NO EJECUTADO"</formula>
    </cfRule>
    <cfRule type="cellIs" dxfId="2547" priority="3820" operator="equal">
      <formula>"FPE"</formula>
    </cfRule>
    <cfRule type="cellIs" dxfId="2546" priority="3821" operator="equal">
      <formula>"AMA"</formula>
    </cfRule>
    <cfRule type="cellIs" dxfId="2545" priority="3822" operator="equal">
      <formula>"SIN DATOS"</formula>
    </cfRule>
    <cfRule type="cellIs" dxfId="2544" priority="3823" operator="equal">
      <formula>"SIN DATOS"</formula>
    </cfRule>
    <cfRule type="cellIs" dxfId="2543" priority="3824" operator="equal">
      <formula>"NO EJECTUTADO"</formula>
    </cfRule>
    <cfRule type="cellIs" dxfId="2542" priority="3825" operator="equal">
      <formula>"FE"</formula>
    </cfRule>
    <cfRule type="cellIs" dxfId="2541" priority="3826" operator="equal">
      <formula>"FE"</formula>
    </cfRule>
  </conditionalFormatting>
  <conditionalFormatting sqref="F713">
    <cfRule type="cellIs" dxfId="2540" priority="3815" operator="equal">
      <formula>"Retirado"</formula>
    </cfRule>
    <cfRule type="cellIs" dxfId="2539" priority="3816" operator="equal">
      <formula>"FSE"</formula>
    </cfRule>
  </conditionalFormatting>
  <conditionalFormatting sqref="F786">
    <cfRule type="cellIs" dxfId="2538" priority="3805" operator="equal">
      <formula>"APLAZADO"</formula>
    </cfRule>
    <cfRule type="cellIs" dxfId="2537" priority="3806" operator="equal">
      <formula>"CANCELADO"</formula>
    </cfRule>
    <cfRule type="cellIs" dxfId="2536" priority="3807" operator="equal">
      <formula>"NO EJECUTADO"</formula>
    </cfRule>
    <cfRule type="cellIs" dxfId="2535" priority="3808" operator="equal">
      <formula>"FPE"</formula>
    </cfRule>
    <cfRule type="cellIs" dxfId="2534" priority="3809" operator="equal">
      <formula>"AMA"</formula>
    </cfRule>
    <cfRule type="cellIs" dxfId="2533" priority="3810" operator="equal">
      <formula>"SIN DATOS"</formula>
    </cfRule>
    <cfRule type="cellIs" dxfId="2532" priority="3811" operator="equal">
      <formula>"SIN DATOS"</formula>
    </cfRule>
    <cfRule type="cellIs" dxfId="2531" priority="3812" operator="equal">
      <formula>"NO EJECTUTADO"</formula>
    </cfRule>
    <cfRule type="cellIs" dxfId="2530" priority="3813" operator="equal">
      <formula>"FE"</formula>
    </cfRule>
    <cfRule type="cellIs" dxfId="2529" priority="3814" operator="equal">
      <formula>"FE"</formula>
    </cfRule>
  </conditionalFormatting>
  <conditionalFormatting sqref="F786">
    <cfRule type="cellIs" dxfId="2528" priority="3803" operator="equal">
      <formula>"Retirado"</formula>
    </cfRule>
    <cfRule type="cellIs" dxfId="2527" priority="3804" operator="equal">
      <formula>"FSE"</formula>
    </cfRule>
  </conditionalFormatting>
  <conditionalFormatting sqref="F728">
    <cfRule type="cellIs" dxfId="2526" priority="3786" operator="equal">
      <formula>"APLAZADO"</formula>
    </cfRule>
    <cfRule type="cellIs" dxfId="2525" priority="3787" operator="equal">
      <formula>"CANCELADO"</formula>
    </cfRule>
    <cfRule type="cellIs" dxfId="2524" priority="3788" operator="equal">
      <formula>"NO EJECUTADO"</formula>
    </cfRule>
    <cfRule type="cellIs" dxfId="2523" priority="3789" operator="equal">
      <formula>"FPE"</formula>
    </cfRule>
    <cfRule type="cellIs" dxfId="2522" priority="3790" operator="equal">
      <formula>"AMA"</formula>
    </cfRule>
    <cfRule type="cellIs" dxfId="2521" priority="3791" operator="equal">
      <formula>"SIN DATOS"</formula>
    </cfRule>
    <cfRule type="cellIs" dxfId="2520" priority="3792" operator="equal">
      <formula>"SIN DATOS"</formula>
    </cfRule>
    <cfRule type="cellIs" dxfId="2519" priority="3793" operator="equal">
      <formula>"NO EJECTUTADO"</formula>
    </cfRule>
    <cfRule type="cellIs" dxfId="2518" priority="3794" operator="equal">
      <formula>"FE"</formula>
    </cfRule>
    <cfRule type="cellIs" dxfId="2517" priority="3795" operator="equal">
      <formula>"FE"</formula>
    </cfRule>
  </conditionalFormatting>
  <conditionalFormatting sqref="F728">
    <cfRule type="cellIs" dxfId="2516" priority="3784" operator="equal">
      <formula>"Retirado"</formula>
    </cfRule>
    <cfRule type="cellIs" dxfId="2515" priority="3785" operator="equal">
      <formula>"FSE"</formula>
    </cfRule>
  </conditionalFormatting>
  <conditionalFormatting sqref="F720">
    <cfRule type="cellIs" dxfId="2514" priority="3767" operator="equal">
      <formula>"APLAZADO"</formula>
    </cfRule>
    <cfRule type="cellIs" dxfId="2513" priority="3768" operator="equal">
      <formula>"CANCELADO"</formula>
    </cfRule>
    <cfRule type="cellIs" dxfId="2512" priority="3769" operator="equal">
      <formula>"NO EJECUTADO"</formula>
    </cfRule>
    <cfRule type="cellIs" dxfId="2511" priority="3770" operator="equal">
      <formula>"FPE"</formula>
    </cfRule>
    <cfRule type="cellIs" dxfId="2510" priority="3771" operator="equal">
      <formula>"AMA"</formula>
    </cfRule>
    <cfRule type="cellIs" dxfId="2509" priority="3772" operator="equal">
      <formula>"SIN DATOS"</formula>
    </cfRule>
    <cfRule type="cellIs" dxfId="2508" priority="3773" operator="equal">
      <formula>"SIN DATOS"</formula>
    </cfRule>
    <cfRule type="cellIs" dxfId="2507" priority="3774" operator="equal">
      <formula>"NO EJECTUTADO"</formula>
    </cfRule>
    <cfRule type="cellIs" dxfId="2506" priority="3775" operator="equal">
      <formula>"FE"</formula>
    </cfRule>
    <cfRule type="cellIs" dxfId="2505" priority="3776" operator="equal">
      <formula>"FE"</formula>
    </cfRule>
  </conditionalFormatting>
  <conditionalFormatting sqref="F720">
    <cfRule type="cellIs" dxfId="2504" priority="3765" operator="equal">
      <formula>"Retirado"</formula>
    </cfRule>
    <cfRule type="cellIs" dxfId="2503" priority="3766" operator="equal">
      <formula>"FSE"</formula>
    </cfRule>
  </conditionalFormatting>
  <conditionalFormatting sqref="F769">
    <cfRule type="cellIs" dxfId="2502" priority="3755" operator="equal">
      <formula>"APLAZADO"</formula>
    </cfRule>
    <cfRule type="cellIs" dxfId="2501" priority="3756" operator="equal">
      <formula>"CANCELADO"</formula>
    </cfRule>
    <cfRule type="cellIs" dxfId="2500" priority="3757" operator="equal">
      <formula>"NO EJECUTADO"</formula>
    </cfRule>
    <cfRule type="cellIs" dxfId="2499" priority="3758" operator="equal">
      <formula>"FPE"</formula>
    </cfRule>
    <cfRule type="cellIs" dxfId="2498" priority="3759" operator="equal">
      <formula>"AMA"</formula>
    </cfRule>
    <cfRule type="cellIs" dxfId="2497" priority="3760" operator="equal">
      <formula>"SIN DATOS"</formula>
    </cfRule>
    <cfRule type="cellIs" dxfId="2496" priority="3761" operator="equal">
      <formula>"SIN DATOS"</formula>
    </cfRule>
    <cfRule type="cellIs" dxfId="2495" priority="3762" operator="equal">
      <formula>"NO EJECTUTADO"</formula>
    </cfRule>
    <cfRule type="cellIs" dxfId="2494" priority="3763" operator="equal">
      <formula>"FE"</formula>
    </cfRule>
    <cfRule type="cellIs" dxfId="2493" priority="3764" operator="equal">
      <formula>"FE"</formula>
    </cfRule>
  </conditionalFormatting>
  <conditionalFormatting sqref="F769">
    <cfRule type="cellIs" dxfId="2492" priority="3753" operator="equal">
      <formula>"Retirado"</formula>
    </cfRule>
    <cfRule type="cellIs" dxfId="2491" priority="3754" operator="equal">
      <formula>"FSE"</formula>
    </cfRule>
  </conditionalFormatting>
  <conditionalFormatting sqref="I799">
    <cfRule type="cellIs" dxfId="2490" priority="3737" operator="equal">
      <formula>"Programado para aprobación"</formula>
    </cfRule>
    <cfRule type="cellIs" dxfId="2489" priority="3738" operator="equal">
      <formula>"Cerrado"</formula>
    </cfRule>
    <cfRule type="cellIs" dxfId="2488" priority="3739" operator="equal">
      <formula>"Programado"</formula>
    </cfRule>
    <cfRule type="cellIs" dxfId="2487" priority="3740" operator="equal">
      <formula>"Implantación en curso"</formula>
    </cfRule>
  </conditionalFormatting>
  <conditionalFormatting sqref="I799">
    <cfRule type="cellIs" dxfId="2486" priority="3736" operator="equal">
      <formula>"Borrador"</formula>
    </cfRule>
  </conditionalFormatting>
  <conditionalFormatting sqref="I799">
    <cfRule type="cellIs" dxfId="2485" priority="3735" operator="equal">
      <formula>"Rechazado"</formula>
    </cfRule>
  </conditionalFormatting>
  <conditionalFormatting sqref="I799">
    <cfRule type="cellIs" dxfId="2484" priority="3734" operator="equal">
      <formula>"Terminado"</formula>
    </cfRule>
  </conditionalFormatting>
  <conditionalFormatting sqref="F766">
    <cfRule type="cellIs" dxfId="2483" priority="3724" operator="equal">
      <formula>"APLAZADO"</formula>
    </cfRule>
    <cfRule type="cellIs" dxfId="2482" priority="3725" operator="equal">
      <formula>"CANCELADO"</formula>
    </cfRule>
    <cfRule type="cellIs" dxfId="2481" priority="3726" operator="equal">
      <formula>"NO EJECUTADO"</formula>
    </cfRule>
    <cfRule type="cellIs" dxfId="2480" priority="3727" operator="equal">
      <formula>"FPE"</formula>
    </cfRule>
    <cfRule type="cellIs" dxfId="2479" priority="3728" operator="equal">
      <formula>"AMA"</formula>
    </cfRule>
    <cfRule type="cellIs" dxfId="2478" priority="3729" operator="equal">
      <formula>"SIN DATOS"</formula>
    </cfRule>
    <cfRule type="cellIs" dxfId="2477" priority="3730" operator="equal">
      <formula>"SIN DATOS"</formula>
    </cfRule>
    <cfRule type="cellIs" dxfId="2476" priority="3731" operator="equal">
      <formula>"NO EJECTUTADO"</formula>
    </cfRule>
    <cfRule type="cellIs" dxfId="2475" priority="3732" operator="equal">
      <formula>"FE"</formula>
    </cfRule>
    <cfRule type="cellIs" dxfId="2474" priority="3733" operator="equal">
      <formula>"FE"</formula>
    </cfRule>
  </conditionalFormatting>
  <conditionalFormatting sqref="F766">
    <cfRule type="cellIs" dxfId="2473" priority="3722" operator="equal">
      <formula>"Retirado"</formula>
    </cfRule>
    <cfRule type="cellIs" dxfId="2472" priority="3723" operator="equal">
      <formula>"FSE"</formula>
    </cfRule>
  </conditionalFormatting>
  <conditionalFormatting sqref="F767">
    <cfRule type="cellIs" dxfId="2471" priority="3712" operator="equal">
      <formula>"APLAZADO"</formula>
    </cfRule>
    <cfRule type="cellIs" dxfId="2470" priority="3713" operator="equal">
      <formula>"CANCELADO"</formula>
    </cfRule>
    <cfRule type="cellIs" dxfId="2469" priority="3714" operator="equal">
      <formula>"NO EJECUTADO"</formula>
    </cfRule>
    <cfRule type="cellIs" dxfId="2468" priority="3715" operator="equal">
      <formula>"FPE"</formula>
    </cfRule>
    <cfRule type="cellIs" dxfId="2467" priority="3716" operator="equal">
      <formula>"AMA"</formula>
    </cfRule>
    <cfRule type="cellIs" dxfId="2466" priority="3717" operator="equal">
      <formula>"SIN DATOS"</formula>
    </cfRule>
    <cfRule type="cellIs" dxfId="2465" priority="3718" operator="equal">
      <formula>"SIN DATOS"</formula>
    </cfRule>
    <cfRule type="cellIs" dxfId="2464" priority="3719" operator="equal">
      <formula>"NO EJECTUTADO"</formula>
    </cfRule>
    <cfRule type="cellIs" dxfId="2463" priority="3720" operator="equal">
      <formula>"FE"</formula>
    </cfRule>
    <cfRule type="cellIs" dxfId="2462" priority="3721" operator="equal">
      <formula>"FE"</formula>
    </cfRule>
  </conditionalFormatting>
  <conditionalFormatting sqref="F767">
    <cfRule type="cellIs" dxfId="2461" priority="3710" operator="equal">
      <formula>"Retirado"</formula>
    </cfRule>
    <cfRule type="cellIs" dxfId="2460" priority="3711" operator="equal">
      <formula>"FSE"</formula>
    </cfRule>
  </conditionalFormatting>
  <conditionalFormatting sqref="I742">
    <cfRule type="cellIs" dxfId="2459" priority="3706" operator="equal">
      <formula>"Programado para aprobación"</formula>
    </cfRule>
    <cfRule type="cellIs" dxfId="2458" priority="3707" operator="equal">
      <formula>"Cerrado"</formula>
    </cfRule>
    <cfRule type="cellIs" dxfId="2457" priority="3708" operator="equal">
      <formula>"Programado"</formula>
    </cfRule>
    <cfRule type="cellIs" dxfId="2456" priority="3709" operator="equal">
      <formula>"Implantación en curso"</formula>
    </cfRule>
  </conditionalFormatting>
  <conditionalFormatting sqref="I742">
    <cfRule type="cellIs" dxfId="2455" priority="3705" operator="equal">
      <formula>"Borrador"</formula>
    </cfRule>
  </conditionalFormatting>
  <conditionalFormatting sqref="I742">
    <cfRule type="cellIs" dxfId="2454" priority="3704" operator="equal">
      <formula>"Rechazado"</formula>
    </cfRule>
  </conditionalFormatting>
  <conditionalFormatting sqref="I742">
    <cfRule type="cellIs" dxfId="2453" priority="3703" operator="equal">
      <formula>"Terminado"</formula>
    </cfRule>
  </conditionalFormatting>
  <conditionalFormatting sqref="I743">
    <cfRule type="cellIs" dxfId="2452" priority="3699" operator="equal">
      <formula>"Programado para aprobación"</formula>
    </cfRule>
    <cfRule type="cellIs" dxfId="2451" priority="3700" operator="equal">
      <formula>"Cerrado"</formula>
    </cfRule>
    <cfRule type="cellIs" dxfId="2450" priority="3701" operator="equal">
      <formula>"Programado"</formula>
    </cfRule>
    <cfRule type="cellIs" dxfId="2449" priority="3702" operator="equal">
      <formula>"Implantación en curso"</formula>
    </cfRule>
  </conditionalFormatting>
  <conditionalFormatting sqref="I743">
    <cfRule type="cellIs" dxfId="2448" priority="3698" operator="equal">
      <formula>"Borrador"</formula>
    </cfRule>
  </conditionalFormatting>
  <conditionalFormatting sqref="I743">
    <cfRule type="cellIs" dxfId="2447" priority="3697" operator="equal">
      <formula>"Rechazado"</formula>
    </cfRule>
  </conditionalFormatting>
  <conditionalFormatting sqref="I743">
    <cfRule type="cellIs" dxfId="2446" priority="3696" operator="equal">
      <formula>"Terminado"</formula>
    </cfRule>
  </conditionalFormatting>
  <conditionalFormatting sqref="I748">
    <cfRule type="cellIs" dxfId="2445" priority="3692" operator="equal">
      <formula>"Programado para aprobación"</formula>
    </cfRule>
    <cfRule type="cellIs" dxfId="2444" priority="3693" operator="equal">
      <formula>"Cerrado"</formula>
    </cfRule>
    <cfRule type="cellIs" dxfId="2443" priority="3694" operator="equal">
      <formula>"Programado"</formula>
    </cfRule>
    <cfRule type="cellIs" dxfId="2442" priority="3695" operator="equal">
      <formula>"Implantación en curso"</formula>
    </cfRule>
  </conditionalFormatting>
  <conditionalFormatting sqref="I748">
    <cfRule type="cellIs" dxfId="2441" priority="3691" operator="equal">
      <formula>"Borrador"</formula>
    </cfRule>
  </conditionalFormatting>
  <conditionalFormatting sqref="I748">
    <cfRule type="cellIs" dxfId="2440" priority="3690" operator="equal">
      <formula>"Rechazado"</formula>
    </cfRule>
  </conditionalFormatting>
  <conditionalFormatting sqref="I748">
    <cfRule type="cellIs" dxfId="2439" priority="3689" operator="equal">
      <formula>"Terminado"</formula>
    </cfRule>
  </conditionalFormatting>
  <conditionalFormatting sqref="I975">
    <cfRule type="cellIs" dxfId="2438" priority="3685" operator="equal">
      <formula>"Programado para aprobación"</formula>
    </cfRule>
    <cfRule type="cellIs" dxfId="2437" priority="3686" operator="equal">
      <formula>"Cerrado"</formula>
    </cfRule>
    <cfRule type="cellIs" dxfId="2436" priority="3687" operator="equal">
      <formula>"Programado"</formula>
    </cfRule>
    <cfRule type="cellIs" dxfId="2435" priority="3688" operator="equal">
      <formula>"Implantación en curso"</formula>
    </cfRule>
  </conditionalFormatting>
  <conditionalFormatting sqref="I975">
    <cfRule type="cellIs" dxfId="2434" priority="3684" operator="equal">
      <formula>"Borrador"</formula>
    </cfRule>
  </conditionalFormatting>
  <conditionalFormatting sqref="I975">
    <cfRule type="cellIs" dxfId="2433" priority="3683" operator="equal">
      <formula>"Rechazado"</formula>
    </cfRule>
  </conditionalFormatting>
  <conditionalFormatting sqref="I975">
    <cfRule type="cellIs" dxfId="2432" priority="3682" operator="equal">
      <formula>"Terminado"</formula>
    </cfRule>
  </conditionalFormatting>
  <conditionalFormatting sqref="I754">
    <cfRule type="cellIs" dxfId="2431" priority="3678" operator="equal">
      <formula>"Programado para aprobación"</formula>
    </cfRule>
    <cfRule type="cellIs" dxfId="2430" priority="3679" operator="equal">
      <formula>"Cerrado"</formula>
    </cfRule>
    <cfRule type="cellIs" dxfId="2429" priority="3680" operator="equal">
      <formula>"Programado"</formula>
    </cfRule>
    <cfRule type="cellIs" dxfId="2428" priority="3681" operator="equal">
      <formula>"Implantación en curso"</formula>
    </cfRule>
  </conditionalFormatting>
  <conditionalFormatting sqref="I754">
    <cfRule type="cellIs" dxfId="2427" priority="3677" operator="equal">
      <formula>"Borrador"</formula>
    </cfRule>
  </conditionalFormatting>
  <conditionalFormatting sqref="I754">
    <cfRule type="cellIs" dxfId="2426" priority="3676" operator="equal">
      <formula>"Rechazado"</formula>
    </cfRule>
  </conditionalFormatting>
  <conditionalFormatting sqref="I754">
    <cfRule type="cellIs" dxfId="2425" priority="3675" operator="equal">
      <formula>"Terminado"</formula>
    </cfRule>
  </conditionalFormatting>
  <conditionalFormatting sqref="I793">
    <cfRule type="cellIs" dxfId="2424" priority="3664" operator="equal">
      <formula>"Programado para aprobación"</formula>
    </cfRule>
    <cfRule type="cellIs" dxfId="2423" priority="3665" operator="equal">
      <formula>"Cerrado"</formula>
    </cfRule>
    <cfRule type="cellIs" dxfId="2422" priority="3666" operator="equal">
      <formula>"Programado"</formula>
    </cfRule>
    <cfRule type="cellIs" dxfId="2421" priority="3667" operator="equal">
      <formula>"Implantación en curso"</formula>
    </cfRule>
  </conditionalFormatting>
  <conditionalFormatting sqref="I793">
    <cfRule type="cellIs" dxfId="2420" priority="3663" operator="equal">
      <formula>"Borrador"</formula>
    </cfRule>
  </conditionalFormatting>
  <conditionalFormatting sqref="I793">
    <cfRule type="cellIs" dxfId="2419" priority="3662" operator="equal">
      <formula>"Rechazado"</formula>
    </cfRule>
  </conditionalFormatting>
  <conditionalFormatting sqref="I793">
    <cfRule type="cellIs" dxfId="2418" priority="3661" operator="equal">
      <formula>"Terminado"</formula>
    </cfRule>
  </conditionalFormatting>
  <conditionalFormatting sqref="H793">
    <cfRule type="duplicateValues" dxfId="2417" priority="3653"/>
  </conditionalFormatting>
  <conditionalFormatting sqref="F701">
    <cfRule type="cellIs" dxfId="2416" priority="3642" operator="equal">
      <formula>"APLAZADO"</formula>
    </cfRule>
    <cfRule type="cellIs" dxfId="2415" priority="3643" operator="equal">
      <formula>"CANCELADO"</formula>
    </cfRule>
    <cfRule type="cellIs" dxfId="2414" priority="3644" operator="equal">
      <formula>"NO EJECUTADO"</formula>
    </cfRule>
    <cfRule type="cellIs" dxfId="2413" priority="3645" operator="equal">
      <formula>"FPE"</formula>
    </cfRule>
    <cfRule type="cellIs" dxfId="2412" priority="3646" operator="equal">
      <formula>"AMA"</formula>
    </cfRule>
    <cfRule type="cellIs" dxfId="2411" priority="3647" operator="equal">
      <formula>"SIN DATOS"</formula>
    </cfRule>
    <cfRule type="cellIs" dxfId="2410" priority="3648" operator="equal">
      <formula>"SIN DATOS"</formula>
    </cfRule>
    <cfRule type="cellIs" dxfId="2409" priority="3649" operator="equal">
      <formula>"NO EJECTUTADO"</formula>
    </cfRule>
    <cfRule type="cellIs" dxfId="2408" priority="3650" operator="equal">
      <formula>"FE"</formula>
    </cfRule>
    <cfRule type="cellIs" dxfId="2407" priority="3651" operator="equal">
      <formula>"FE"</formula>
    </cfRule>
  </conditionalFormatting>
  <conditionalFormatting sqref="F701">
    <cfRule type="cellIs" dxfId="2406" priority="3640" operator="equal">
      <formula>"Retirado"</formula>
    </cfRule>
    <cfRule type="cellIs" dxfId="2405" priority="3641" operator="equal">
      <formula>"FSE"</formula>
    </cfRule>
  </conditionalFormatting>
  <conditionalFormatting sqref="H701">
    <cfRule type="duplicateValues" dxfId="2404" priority="3632"/>
  </conditionalFormatting>
  <conditionalFormatting sqref="I770">
    <cfRule type="cellIs" dxfId="2403" priority="3621" operator="equal">
      <formula>"Programado para aprobación"</formula>
    </cfRule>
    <cfRule type="cellIs" dxfId="2402" priority="3622" operator="equal">
      <formula>"Cerrado"</formula>
    </cfRule>
    <cfRule type="cellIs" dxfId="2401" priority="3623" operator="equal">
      <formula>"Programado"</formula>
    </cfRule>
    <cfRule type="cellIs" dxfId="2400" priority="3624" operator="equal">
      <formula>"Implantación en curso"</formula>
    </cfRule>
  </conditionalFormatting>
  <conditionalFormatting sqref="I770">
    <cfRule type="cellIs" dxfId="2399" priority="3620" operator="equal">
      <formula>"Borrador"</formula>
    </cfRule>
  </conditionalFormatting>
  <conditionalFormatting sqref="I770">
    <cfRule type="cellIs" dxfId="2398" priority="3619" operator="equal">
      <formula>"Rechazado"</formula>
    </cfRule>
  </conditionalFormatting>
  <conditionalFormatting sqref="I770">
    <cfRule type="cellIs" dxfId="2397" priority="3618" operator="equal">
      <formula>"Terminado"</formula>
    </cfRule>
  </conditionalFormatting>
  <conditionalFormatting sqref="H774">
    <cfRule type="cellIs" dxfId="2396" priority="3607" operator="equal">
      <formula>"Programado para aprobación"</formula>
    </cfRule>
    <cfRule type="cellIs" dxfId="2395" priority="3608" operator="equal">
      <formula>"Cerrado"</formula>
    </cfRule>
    <cfRule type="cellIs" dxfId="2394" priority="3609" operator="equal">
      <formula>"Programado"</formula>
    </cfRule>
    <cfRule type="cellIs" dxfId="2393" priority="3610" operator="equal">
      <formula>"Implantación en curso"</formula>
    </cfRule>
  </conditionalFormatting>
  <conditionalFormatting sqref="H774">
    <cfRule type="cellIs" dxfId="2392" priority="3606" operator="equal">
      <formula>"Borrador"</formula>
    </cfRule>
  </conditionalFormatting>
  <conditionalFormatting sqref="H774">
    <cfRule type="cellIs" dxfId="2391" priority="3605" operator="equal">
      <formula>"Rechazado"</formula>
    </cfRule>
  </conditionalFormatting>
  <conditionalFormatting sqref="H774">
    <cfRule type="cellIs" dxfId="2390" priority="3604" operator="equal">
      <formula>"Terminado"</formula>
    </cfRule>
  </conditionalFormatting>
  <conditionalFormatting sqref="I774">
    <cfRule type="cellIs" dxfId="2389" priority="3600" operator="equal">
      <formula>"Programado para aprobación"</formula>
    </cfRule>
    <cfRule type="cellIs" dxfId="2388" priority="3601" operator="equal">
      <formula>"Cerrado"</formula>
    </cfRule>
    <cfRule type="cellIs" dxfId="2387" priority="3602" operator="equal">
      <formula>"Programado"</formula>
    </cfRule>
    <cfRule type="cellIs" dxfId="2386" priority="3603" operator="equal">
      <formula>"Implantación en curso"</formula>
    </cfRule>
  </conditionalFormatting>
  <conditionalFormatting sqref="I774">
    <cfRule type="cellIs" dxfId="2385" priority="3599" operator="equal">
      <formula>"Borrador"</formula>
    </cfRule>
  </conditionalFormatting>
  <conditionalFormatting sqref="I774">
    <cfRule type="cellIs" dxfId="2384" priority="3598" operator="equal">
      <formula>"Rechazado"</formula>
    </cfRule>
  </conditionalFormatting>
  <conditionalFormatting sqref="I774">
    <cfRule type="cellIs" dxfId="2383" priority="3597" operator="equal">
      <formula>"Terminado"</formula>
    </cfRule>
  </conditionalFormatting>
  <conditionalFormatting sqref="H783">
    <cfRule type="cellIs" dxfId="2382" priority="3579" operator="equal">
      <formula>"Programado para aprobación"</formula>
    </cfRule>
    <cfRule type="cellIs" dxfId="2381" priority="3580" operator="equal">
      <formula>"Cerrado"</formula>
    </cfRule>
    <cfRule type="cellIs" dxfId="2380" priority="3581" operator="equal">
      <formula>"Programado"</formula>
    </cfRule>
    <cfRule type="cellIs" dxfId="2379" priority="3582" operator="equal">
      <formula>"Implantación en curso"</formula>
    </cfRule>
  </conditionalFormatting>
  <conditionalFormatting sqref="H783">
    <cfRule type="cellIs" dxfId="2378" priority="3578" operator="equal">
      <formula>"Borrador"</formula>
    </cfRule>
  </conditionalFormatting>
  <conditionalFormatting sqref="H783">
    <cfRule type="cellIs" dxfId="2377" priority="3577" operator="equal">
      <formula>"Rechazado"</formula>
    </cfRule>
  </conditionalFormatting>
  <conditionalFormatting sqref="H783">
    <cfRule type="cellIs" dxfId="2376" priority="3576" operator="equal">
      <formula>"Terminado"</formula>
    </cfRule>
  </conditionalFormatting>
  <conditionalFormatting sqref="I783">
    <cfRule type="cellIs" dxfId="2375" priority="3572" operator="equal">
      <formula>"Programado para aprobación"</formula>
    </cfRule>
    <cfRule type="cellIs" dxfId="2374" priority="3573" operator="equal">
      <formula>"Cerrado"</formula>
    </cfRule>
    <cfRule type="cellIs" dxfId="2373" priority="3574" operator="equal">
      <formula>"Programado"</formula>
    </cfRule>
    <cfRule type="cellIs" dxfId="2372" priority="3575" operator="equal">
      <formula>"Implantación en curso"</formula>
    </cfRule>
  </conditionalFormatting>
  <conditionalFormatting sqref="I783">
    <cfRule type="cellIs" dxfId="2371" priority="3571" operator="equal">
      <formula>"Borrador"</formula>
    </cfRule>
  </conditionalFormatting>
  <conditionalFormatting sqref="I783">
    <cfRule type="cellIs" dxfId="2370" priority="3570" operator="equal">
      <formula>"Rechazado"</formula>
    </cfRule>
  </conditionalFormatting>
  <conditionalFormatting sqref="I783">
    <cfRule type="cellIs" dxfId="2369" priority="3569" operator="equal">
      <formula>"Terminado"</formula>
    </cfRule>
  </conditionalFormatting>
  <conditionalFormatting sqref="H779">
    <cfRule type="cellIs" dxfId="2368" priority="3558" operator="equal">
      <formula>"Programado para aprobación"</formula>
    </cfRule>
    <cfRule type="cellIs" dxfId="2367" priority="3559" operator="equal">
      <formula>"Cerrado"</formula>
    </cfRule>
    <cfRule type="cellIs" dxfId="2366" priority="3560" operator="equal">
      <formula>"Programado"</formula>
    </cfRule>
    <cfRule type="cellIs" dxfId="2365" priority="3561" operator="equal">
      <formula>"Implantación en curso"</formula>
    </cfRule>
  </conditionalFormatting>
  <conditionalFormatting sqref="H779">
    <cfRule type="cellIs" dxfId="2364" priority="3557" operator="equal">
      <formula>"Borrador"</formula>
    </cfRule>
  </conditionalFormatting>
  <conditionalFormatting sqref="H779">
    <cfRule type="cellIs" dxfId="2363" priority="3556" operator="equal">
      <formula>"Rechazado"</formula>
    </cfRule>
  </conditionalFormatting>
  <conditionalFormatting sqref="H779">
    <cfRule type="cellIs" dxfId="2362" priority="3555" operator="equal">
      <formula>"Terminado"</formula>
    </cfRule>
  </conditionalFormatting>
  <conditionalFormatting sqref="I779">
    <cfRule type="cellIs" dxfId="2361" priority="3551" operator="equal">
      <formula>"Programado para aprobación"</formula>
    </cfRule>
    <cfRule type="cellIs" dxfId="2360" priority="3552" operator="equal">
      <formula>"Cerrado"</formula>
    </cfRule>
    <cfRule type="cellIs" dxfId="2359" priority="3553" operator="equal">
      <formula>"Programado"</formula>
    </cfRule>
    <cfRule type="cellIs" dxfId="2358" priority="3554" operator="equal">
      <formula>"Implantación en curso"</formula>
    </cfRule>
  </conditionalFormatting>
  <conditionalFormatting sqref="I779">
    <cfRule type="cellIs" dxfId="2357" priority="3550" operator="equal">
      <formula>"Borrador"</formula>
    </cfRule>
  </conditionalFormatting>
  <conditionalFormatting sqref="I779">
    <cfRule type="cellIs" dxfId="2356" priority="3549" operator="equal">
      <formula>"Rechazado"</formula>
    </cfRule>
  </conditionalFormatting>
  <conditionalFormatting sqref="I779">
    <cfRule type="cellIs" dxfId="2355" priority="3548" operator="equal">
      <formula>"Terminado"</formula>
    </cfRule>
  </conditionalFormatting>
  <conditionalFormatting sqref="H772">
    <cfRule type="cellIs" dxfId="2354" priority="3537" operator="equal">
      <formula>"Programado para aprobación"</formula>
    </cfRule>
    <cfRule type="cellIs" dxfId="2353" priority="3538" operator="equal">
      <formula>"Cerrado"</formula>
    </cfRule>
    <cfRule type="cellIs" dxfId="2352" priority="3539" operator="equal">
      <formula>"Programado"</formula>
    </cfRule>
    <cfRule type="cellIs" dxfId="2351" priority="3540" operator="equal">
      <formula>"Implantación en curso"</formula>
    </cfRule>
  </conditionalFormatting>
  <conditionalFormatting sqref="H772">
    <cfRule type="cellIs" dxfId="2350" priority="3536" operator="equal">
      <formula>"Borrador"</formula>
    </cfRule>
  </conditionalFormatting>
  <conditionalFormatting sqref="H772">
    <cfRule type="cellIs" dxfId="2349" priority="3535" operator="equal">
      <formula>"Rechazado"</formula>
    </cfRule>
  </conditionalFormatting>
  <conditionalFormatting sqref="H772">
    <cfRule type="cellIs" dxfId="2348" priority="3534" operator="equal">
      <formula>"Terminado"</formula>
    </cfRule>
  </conditionalFormatting>
  <conditionalFormatting sqref="I772">
    <cfRule type="cellIs" dxfId="2347" priority="3530" operator="equal">
      <formula>"Programado para aprobación"</formula>
    </cfRule>
    <cfRule type="cellIs" dxfId="2346" priority="3531" operator="equal">
      <formula>"Cerrado"</formula>
    </cfRule>
    <cfRule type="cellIs" dxfId="2345" priority="3532" operator="equal">
      <formula>"Programado"</formula>
    </cfRule>
    <cfRule type="cellIs" dxfId="2344" priority="3533" operator="equal">
      <formula>"Implantación en curso"</formula>
    </cfRule>
  </conditionalFormatting>
  <conditionalFormatting sqref="I772">
    <cfRule type="cellIs" dxfId="2343" priority="3529" operator="equal">
      <formula>"Borrador"</formula>
    </cfRule>
  </conditionalFormatting>
  <conditionalFormatting sqref="I772">
    <cfRule type="cellIs" dxfId="2342" priority="3528" operator="equal">
      <formula>"Rechazado"</formula>
    </cfRule>
  </conditionalFormatting>
  <conditionalFormatting sqref="I772">
    <cfRule type="cellIs" dxfId="2341" priority="3527" operator="equal">
      <formula>"Terminado"</formula>
    </cfRule>
  </conditionalFormatting>
  <conditionalFormatting sqref="H790">
    <cfRule type="cellIs" dxfId="2340" priority="3516" operator="equal">
      <formula>"Programado para aprobación"</formula>
    </cfRule>
    <cfRule type="cellIs" dxfId="2339" priority="3517" operator="equal">
      <formula>"Cerrado"</formula>
    </cfRule>
    <cfRule type="cellIs" dxfId="2338" priority="3518" operator="equal">
      <formula>"Programado"</formula>
    </cfRule>
    <cfRule type="cellIs" dxfId="2337" priority="3519" operator="equal">
      <formula>"Implantación en curso"</formula>
    </cfRule>
  </conditionalFormatting>
  <conditionalFormatting sqref="H790">
    <cfRule type="cellIs" dxfId="2336" priority="3515" operator="equal">
      <formula>"Borrador"</formula>
    </cfRule>
  </conditionalFormatting>
  <conditionalFormatting sqref="H790">
    <cfRule type="cellIs" dxfId="2335" priority="3514" operator="equal">
      <formula>"Rechazado"</formula>
    </cfRule>
  </conditionalFormatting>
  <conditionalFormatting sqref="H790">
    <cfRule type="cellIs" dxfId="2334" priority="3513" operator="equal">
      <formula>"Terminado"</formula>
    </cfRule>
  </conditionalFormatting>
  <conditionalFormatting sqref="I790">
    <cfRule type="cellIs" dxfId="2333" priority="3509" operator="equal">
      <formula>"Programado para aprobación"</formula>
    </cfRule>
    <cfRule type="cellIs" dxfId="2332" priority="3510" operator="equal">
      <formula>"Cerrado"</formula>
    </cfRule>
    <cfRule type="cellIs" dxfId="2331" priority="3511" operator="equal">
      <formula>"Programado"</formula>
    </cfRule>
    <cfRule type="cellIs" dxfId="2330" priority="3512" operator="equal">
      <formula>"Implantación en curso"</formula>
    </cfRule>
  </conditionalFormatting>
  <conditionalFormatting sqref="I790">
    <cfRule type="cellIs" dxfId="2329" priority="3508" operator="equal">
      <formula>"Borrador"</formula>
    </cfRule>
  </conditionalFormatting>
  <conditionalFormatting sqref="I790">
    <cfRule type="cellIs" dxfId="2328" priority="3507" operator="equal">
      <formula>"Rechazado"</formula>
    </cfRule>
  </conditionalFormatting>
  <conditionalFormatting sqref="I790">
    <cfRule type="cellIs" dxfId="2327" priority="3506" operator="equal">
      <formula>"Terminado"</formula>
    </cfRule>
  </conditionalFormatting>
  <conditionalFormatting sqref="H787">
    <cfRule type="cellIs" dxfId="2326" priority="3495" operator="equal">
      <formula>"Programado para aprobación"</formula>
    </cfRule>
    <cfRule type="cellIs" dxfId="2325" priority="3496" operator="equal">
      <formula>"Cerrado"</formula>
    </cfRule>
    <cfRule type="cellIs" dxfId="2324" priority="3497" operator="equal">
      <formula>"Programado"</formula>
    </cfRule>
    <cfRule type="cellIs" dxfId="2323" priority="3498" operator="equal">
      <formula>"Implantación en curso"</formula>
    </cfRule>
  </conditionalFormatting>
  <conditionalFormatting sqref="H787">
    <cfRule type="cellIs" dxfId="2322" priority="3494" operator="equal">
      <formula>"Borrador"</formula>
    </cfRule>
  </conditionalFormatting>
  <conditionalFormatting sqref="H787">
    <cfRule type="cellIs" dxfId="2321" priority="3493" operator="equal">
      <formula>"Rechazado"</formula>
    </cfRule>
  </conditionalFormatting>
  <conditionalFormatting sqref="H787">
    <cfRule type="cellIs" dxfId="2320" priority="3492" operator="equal">
      <formula>"Terminado"</formula>
    </cfRule>
  </conditionalFormatting>
  <conditionalFormatting sqref="F787">
    <cfRule type="cellIs" dxfId="2319" priority="3475" operator="equal">
      <formula>"APLAZADO"</formula>
    </cfRule>
    <cfRule type="cellIs" dxfId="2318" priority="3476" operator="equal">
      <formula>"CANCELADO"</formula>
    </cfRule>
    <cfRule type="cellIs" dxfId="2317" priority="3477" operator="equal">
      <formula>"NO EJECUTADO"</formula>
    </cfRule>
    <cfRule type="cellIs" dxfId="2316" priority="3478" operator="equal">
      <formula>"FPE"</formula>
    </cfRule>
    <cfRule type="cellIs" dxfId="2315" priority="3479" operator="equal">
      <formula>"AMA"</formula>
    </cfRule>
    <cfRule type="cellIs" dxfId="2314" priority="3480" operator="equal">
      <formula>"SIN DATOS"</formula>
    </cfRule>
    <cfRule type="cellIs" dxfId="2313" priority="3481" operator="equal">
      <formula>"SIN DATOS"</formula>
    </cfRule>
    <cfRule type="cellIs" dxfId="2312" priority="3482" operator="equal">
      <formula>"NO EJECTUTADO"</formula>
    </cfRule>
    <cfRule type="cellIs" dxfId="2311" priority="3483" operator="equal">
      <formula>"FE"</formula>
    </cfRule>
    <cfRule type="cellIs" dxfId="2310" priority="3484" operator="equal">
      <formula>"FE"</formula>
    </cfRule>
  </conditionalFormatting>
  <conditionalFormatting sqref="F787">
    <cfRule type="cellIs" dxfId="2309" priority="3473" operator="equal">
      <formula>"Retirado"</formula>
    </cfRule>
    <cfRule type="cellIs" dxfId="2308" priority="3474" operator="equal">
      <formula>"FSE"</formula>
    </cfRule>
  </conditionalFormatting>
  <conditionalFormatting sqref="F988">
    <cfRule type="cellIs" dxfId="2307" priority="3463" operator="equal">
      <formula>"APLAZADO"</formula>
    </cfRule>
    <cfRule type="cellIs" dxfId="2306" priority="3464" operator="equal">
      <formula>"CANCELADO"</formula>
    </cfRule>
    <cfRule type="cellIs" dxfId="2305" priority="3465" operator="equal">
      <formula>"NO EJECUTADO"</formula>
    </cfRule>
    <cfRule type="cellIs" dxfId="2304" priority="3466" operator="equal">
      <formula>"FPE"</formula>
    </cfRule>
    <cfRule type="cellIs" dxfId="2303" priority="3467" operator="equal">
      <formula>"AMA"</formula>
    </cfRule>
    <cfRule type="cellIs" dxfId="2302" priority="3468" operator="equal">
      <formula>"SIN DATOS"</formula>
    </cfRule>
    <cfRule type="cellIs" dxfId="2301" priority="3469" operator="equal">
      <formula>"SIN DATOS"</formula>
    </cfRule>
    <cfRule type="cellIs" dxfId="2300" priority="3470" operator="equal">
      <formula>"NO EJECTUTADO"</formula>
    </cfRule>
    <cfRule type="cellIs" dxfId="2299" priority="3471" operator="equal">
      <formula>"FE"</formula>
    </cfRule>
    <cfRule type="cellIs" dxfId="2298" priority="3472" operator="equal">
      <formula>"FE"</formula>
    </cfRule>
  </conditionalFormatting>
  <conditionalFormatting sqref="F988">
    <cfRule type="cellIs" dxfId="2297" priority="3461" operator="equal">
      <formula>"Retirado"</formula>
    </cfRule>
    <cfRule type="cellIs" dxfId="2296" priority="3462" operator="equal">
      <formula>"FSE"</formula>
    </cfRule>
  </conditionalFormatting>
  <conditionalFormatting sqref="A947">
    <cfRule type="cellIs" dxfId="2295" priority="3437" operator="equal">
      <formula>"APLAZADO"</formula>
    </cfRule>
    <cfRule type="cellIs" dxfId="2294" priority="3438" operator="equal">
      <formula>"CANCELADO"</formula>
    </cfRule>
    <cfRule type="cellIs" dxfId="2293" priority="3439" operator="equal">
      <formula>"NO EJECUTADO"</formula>
    </cfRule>
    <cfRule type="cellIs" dxfId="2292" priority="3440" operator="equal">
      <formula>"FPE"</formula>
    </cfRule>
    <cfRule type="cellIs" dxfId="2291" priority="3441" operator="equal">
      <formula>"AMA"</formula>
    </cfRule>
    <cfRule type="cellIs" dxfId="2290" priority="3442" operator="equal">
      <formula>"SIN DATOS"</formula>
    </cfRule>
    <cfRule type="cellIs" dxfId="2289" priority="3443" operator="equal">
      <formula>"SIN DATOS"</formula>
    </cfRule>
    <cfRule type="cellIs" dxfId="2288" priority="3444" operator="equal">
      <formula>"NO EJECTUTADO"</formula>
    </cfRule>
    <cfRule type="cellIs" dxfId="2287" priority="3445" operator="equal">
      <formula>"FE"</formula>
    </cfRule>
    <cfRule type="cellIs" dxfId="2286" priority="3446" operator="equal">
      <formula>"FE"</formula>
    </cfRule>
  </conditionalFormatting>
  <conditionalFormatting sqref="A947">
    <cfRule type="cellIs" dxfId="2285" priority="3435" operator="equal">
      <formula>"Retirado"</formula>
    </cfRule>
    <cfRule type="cellIs" dxfId="2284" priority="3436" operator="equal">
      <formula>"FSE"</formula>
    </cfRule>
  </conditionalFormatting>
  <conditionalFormatting sqref="F947">
    <cfRule type="cellIs" dxfId="2283" priority="3425" operator="equal">
      <formula>"APLAZADO"</formula>
    </cfRule>
    <cfRule type="cellIs" dxfId="2282" priority="3426" operator="equal">
      <formula>"CANCELADO"</formula>
    </cfRule>
    <cfRule type="cellIs" dxfId="2281" priority="3427" operator="equal">
      <formula>"NO EJECUTADO"</formula>
    </cfRule>
    <cfRule type="cellIs" dxfId="2280" priority="3428" operator="equal">
      <formula>"FPE"</formula>
    </cfRule>
    <cfRule type="cellIs" dxfId="2279" priority="3429" operator="equal">
      <formula>"AMA"</formula>
    </cfRule>
    <cfRule type="cellIs" dxfId="2278" priority="3430" operator="equal">
      <formula>"SIN DATOS"</formula>
    </cfRule>
    <cfRule type="cellIs" dxfId="2277" priority="3431" operator="equal">
      <formula>"SIN DATOS"</formula>
    </cfRule>
    <cfRule type="cellIs" dxfId="2276" priority="3432" operator="equal">
      <formula>"NO EJECTUTADO"</formula>
    </cfRule>
    <cfRule type="cellIs" dxfId="2275" priority="3433" operator="equal">
      <formula>"FE"</formula>
    </cfRule>
    <cfRule type="cellIs" dxfId="2274" priority="3434" operator="equal">
      <formula>"FE"</formula>
    </cfRule>
  </conditionalFormatting>
  <conditionalFormatting sqref="F947">
    <cfRule type="cellIs" dxfId="2273" priority="3423" operator="equal">
      <formula>"Retirado"</formula>
    </cfRule>
    <cfRule type="cellIs" dxfId="2272" priority="3424" operator="equal">
      <formula>"FSE"</formula>
    </cfRule>
  </conditionalFormatting>
  <conditionalFormatting sqref="H947">
    <cfRule type="duplicateValues" dxfId="2271" priority="3421"/>
  </conditionalFormatting>
  <conditionalFormatting sqref="H777">
    <cfRule type="cellIs" dxfId="2270" priority="3410" operator="equal">
      <formula>"Programado para aprobación"</formula>
    </cfRule>
    <cfRule type="cellIs" dxfId="2269" priority="3411" operator="equal">
      <formula>"Cerrado"</formula>
    </cfRule>
    <cfRule type="cellIs" dxfId="2268" priority="3412" operator="equal">
      <formula>"Programado"</formula>
    </cfRule>
    <cfRule type="cellIs" dxfId="2267" priority="3413" operator="equal">
      <formula>"Implantación en curso"</formula>
    </cfRule>
  </conditionalFormatting>
  <conditionalFormatting sqref="H777">
    <cfRule type="cellIs" dxfId="2266" priority="3409" operator="equal">
      <formula>"Borrador"</formula>
    </cfRule>
  </conditionalFormatting>
  <conditionalFormatting sqref="H777">
    <cfRule type="cellIs" dxfId="2265" priority="3408" operator="equal">
      <formula>"Rechazado"</formula>
    </cfRule>
  </conditionalFormatting>
  <conditionalFormatting sqref="H777">
    <cfRule type="cellIs" dxfId="2264" priority="3407" operator="equal">
      <formula>"Terminado"</formula>
    </cfRule>
  </conditionalFormatting>
  <conditionalFormatting sqref="I777">
    <cfRule type="cellIs" dxfId="2263" priority="3403" operator="equal">
      <formula>"Programado para aprobación"</formula>
    </cfRule>
    <cfRule type="cellIs" dxfId="2262" priority="3404" operator="equal">
      <formula>"Cerrado"</formula>
    </cfRule>
    <cfRule type="cellIs" dxfId="2261" priority="3405" operator="equal">
      <formula>"Programado"</formula>
    </cfRule>
    <cfRule type="cellIs" dxfId="2260" priority="3406" operator="equal">
      <formula>"Implantación en curso"</formula>
    </cfRule>
  </conditionalFormatting>
  <conditionalFormatting sqref="I777">
    <cfRule type="cellIs" dxfId="2259" priority="3402" operator="equal">
      <formula>"Borrador"</formula>
    </cfRule>
  </conditionalFormatting>
  <conditionalFormatting sqref="I777">
    <cfRule type="cellIs" dxfId="2258" priority="3401" operator="equal">
      <formula>"Rechazado"</formula>
    </cfRule>
  </conditionalFormatting>
  <conditionalFormatting sqref="I777">
    <cfRule type="cellIs" dxfId="2257" priority="3400" operator="equal">
      <formula>"Terminado"</formula>
    </cfRule>
  </conditionalFormatting>
  <conditionalFormatting sqref="H778">
    <cfRule type="cellIs" dxfId="2256" priority="3389" operator="equal">
      <formula>"Programado para aprobación"</formula>
    </cfRule>
    <cfRule type="cellIs" dxfId="2255" priority="3390" operator="equal">
      <formula>"Cerrado"</formula>
    </cfRule>
    <cfRule type="cellIs" dxfId="2254" priority="3391" operator="equal">
      <formula>"Programado"</formula>
    </cfRule>
    <cfRule type="cellIs" dxfId="2253" priority="3392" operator="equal">
      <formula>"Implantación en curso"</formula>
    </cfRule>
  </conditionalFormatting>
  <conditionalFormatting sqref="H778">
    <cfRule type="cellIs" dxfId="2252" priority="3388" operator="equal">
      <formula>"Borrador"</formula>
    </cfRule>
  </conditionalFormatting>
  <conditionalFormatting sqref="H778">
    <cfRule type="cellIs" dxfId="2251" priority="3387" operator="equal">
      <formula>"Rechazado"</formula>
    </cfRule>
  </conditionalFormatting>
  <conditionalFormatting sqref="H778">
    <cfRule type="cellIs" dxfId="2250" priority="3386" operator="equal">
      <formula>"Terminado"</formula>
    </cfRule>
  </conditionalFormatting>
  <conditionalFormatting sqref="I778">
    <cfRule type="cellIs" dxfId="2249" priority="3382" operator="equal">
      <formula>"Programado para aprobación"</formula>
    </cfRule>
    <cfRule type="cellIs" dxfId="2248" priority="3383" operator="equal">
      <formula>"Cerrado"</formula>
    </cfRule>
    <cfRule type="cellIs" dxfId="2247" priority="3384" operator="equal">
      <formula>"Programado"</formula>
    </cfRule>
    <cfRule type="cellIs" dxfId="2246" priority="3385" operator="equal">
      <formula>"Implantación en curso"</formula>
    </cfRule>
  </conditionalFormatting>
  <conditionalFormatting sqref="I778">
    <cfRule type="cellIs" dxfId="2245" priority="3381" operator="equal">
      <formula>"Borrador"</formula>
    </cfRule>
  </conditionalFormatting>
  <conditionalFormatting sqref="I778">
    <cfRule type="cellIs" dxfId="2244" priority="3380" operator="equal">
      <formula>"Rechazado"</formula>
    </cfRule>
  </conditionalFormatting>
  <conditionalFormatting sqref="I778">
    <cfRule type="cellIs" dxfId="2243" priority="3379" operator="equal">
      <formula>"Terminado"</formula>
    </cfRule>
  </conditionalFormatting>
  <conditionalFormatting sqref="H789">
    <cfRule type="cellIs" dxfId="2242" priority="3361" operator="equal">
      <formula>"Programado para aprobación"</formula>
    </cfRule>
    <cfRule type="cellIs" dxfId="2241" priority="3362" operator="equal">
      <formula>"Cerrado"</formula>
    </cfRule>
    <cfRule type="cellIs" dxfId="2240" priority="3363" operator="equal">
      <formula>"Programado"</formula>
    </cfRule>
    <cfRule type="cellIs" dxfId="2239" priority="3364" operator="equal">
      <formula>"Implantación en curso"</formula>
    </cfRule>
  </conditionalFormatting>
  <conditionalFormatting sqref="H789">
    <cfRule type="cellIs" dxfId="2238" priority="3360" operator="equal">
      <formula>"Borrador"</formula>
    </cfRule>
  </conditionalFormatting>
  <conditionalFormatting sqref="H789">
    <cfRule type="cellIs" dxfId="2237" priority="3359" operator="equal">
      <formula>"Rechazado"</formula>
    </cfRule>
  </conditionalFormatting>
  <conditionalFormatting sqref="H789">
    <cfRule type="cellIs" dxfId="2236" priority="3358" operator="equal">
      <formula>"Terminado"</formula>
    </cfRule>
  </conditionalFormatting>
  <conditionalFormatting sqref="I789">
    <cfRule type="cellIs" dxfId="2235" priority="3354" operator="equal">
      <formula>"Programado para aprobación"</formula>
    </cfRule>
    <cfRule type="cellIs" dxfId="2234" priority="3355" operator="equal">
      <formula>"Cerrado"</formula>
    </cfRule>
    <cfRule type="cellIs" dxfId="2233" priority="3356" operator="equal">
      <formula>"Programado"</formula>
    </cfRule>
    <cfRule type="cellIs" dxfId="2232" priority="3357" operator="equal">
      <formula>"Implantación en curso"</formula>
    </cfRule>
  </conditionalFormatting>
  <conditionalFormatting sqref="I789">
    <cfRule type="cellIs" dxfId="2231" priority="3353" operator="equal">
      <formula>"Borrador"</formula>
    </cfRule>
  </conditionalFormatting>
  <conditionalFormatting sqref="I789">
    <cfRule type="cellIs" dxfId="2230" priority="3352" operator="equal">
      <formula>"Rechazado"</formula>
    </cfRule>
  </conditionalFormatting>
  <conditionalFormatting sqref="I789">
    <cfRule type="cellIs" dxfId="2229" priority="3351" operator="equal">
      <formula>"Terminado"</formula>
    </cfRule>
  </conditionalFormatting>
  <conditionalFormatting sqref="H805">
    <cfRule type="cellIs" dxfId="2228" priority="3340" operator="equal">
      <formula>"Programado para aprobación"</formula>
    </cfRule>
    <cfRule type="cellIs" dxfId="2227" priority="3341" operator="equal">
      <formula>"Cerrado"</formula>
    </cfRule>
    <cfRule type="cellIs" dxfId="2226" priority="3342" operator="equal">
      <formula>"Programado"</formula>
    </cfRule>
    <cfRule type="cellIs" dxfId="2225" priority="3343" operator="equal">
      <formula>"Implantación en curso"</formula>
    </cfRule>
  </conditionalFormatting>
  <conditionalFormatting sqref="H805">
    <cfRule type="cellIs" dxfId="2224" priority="3339" operator="equal">
      <formula>"Borrador"</formula>
    </cfRule>
  </conditionalFormatting>
  <conditionalFormatting sqref="H805">
    <cfRule type="cellIs" dxfId="2223" priority="3338" operator="equal">
      <formula>"Rechazado"</formula>
    </cfRule>
  </conditionalFormatting>
  <conditionalFormatting sqref="H805">
    <cfRule type="cellIs" dxfId="2222" priority="3337" operator="equal">
      <formula>"Terminado"</formula>
    </cfRule>
  </conditionalFormatting>
  <conditionalFormatting sqref="I805">
    <cfRule type="cellIs" dxfId="2221" priority="3333" operator="equal">
      <formula>"Programado para aprobación"</formula>
    </cfRule>
    <cfRule type="cellIs" dxfId="2220" priority="3334" operator="equal">
      <formula>"Cerrado"</formula>
    </cfRule>
    <cfRule type="cellIs" dxfId="2219" priority="3335" operator="equal">
      <formula>"Programado"</formula>
    </cfRule>
    <cfRule type="cellIs" dxfId="2218" priority="3336" operator="equal">
      <formula>"Implantación en curso"</formula>
    </cfRule>
  </conditionalFormatting>
  <conditionalFormatting sqref="I805">
    <cfRule type="cellIs" dxfId="2217" priority="3332" operator="equal">
      <formula>"Borrador"</formula>
    </cfRule>
  </conditionalFormatting>
  <conditionalFormatting sqref="I805">
    <cfRule type="cellIs" dxfId="2216" priority="3331" operator="equal">
      <formula>"Rechazado"</formula>
    </cfRule>
  </conditionalFormatting>
  <conditionalFormatting sqref="I805">
    <cfRule type="cellIs" dxfId="2215" priority="3330" operator="equal">
      <formula>"Terminado"</formula>
    </cfRule>
  </conditionalFormatting>
  <conditionalFormatting sqref="H794">
    <cfRule type="cellIs" dxfId="2214" priority="3319" operator="equal">
      <formula>"Programado para aprobación"</formula>
    </cfRule>
    <cfRule type="cellIs" dxfId="2213" priority="3320" operator="equal">
      <formula>"Cerrado"</formula>
    </cfRule>
    <cfRule type="cellIs" dxfId="2212" priority="3321" operator="equal">
      <formula>"Programado"</formula>
    </cfRule>
    <cfRule type="cellIs" dxfId="2211" priority="3322" operator="equal">
      <formula>"Implantación en curso"</formula>
    </cfRule>
  </conditionalFormatting>
  <conditionalFormatting sqref="H794">
    <cfRule type="cellIs" dxfId="2210" priority="3318" operator="equal">
      <formula>"Borrador"</formula>
    </cfRule>
  </conditionalFormatting>
  <conditionalFormatting sqref="H794">
    <cfRule type="cellIs" dxfId="2209" priority="3317" operator="equal">
      <formula>"Rechazado"</formula>
    </cfRule>
  </conditionalFormatting>
  <conditionalFormatting sqref="H794">
    <cfRule type="cellIs" dxfId="2208" priority="3316" operator="equal">
      <formula>"Terminado"</formula>
    </cfRule>
  </conditionalFormatting>
  <conditionalFormatting sqref="I794">
    <cfRule type="cellIs" dxfId="2207" priority="3312" operator="equal">
      <formula>"Programado para aprobación"</formula>
    </cfRule>
    <cfRule type="cellIs" dxfId="2206" priority="3313" operator="equal">
      <formula>"Cerrado"</formula>
    </cfRule>
    <cfRule type="cellIs" dxfId="2205" priority="3314" operator="equal">
      <formula>"Programado"</formula>
    </cfRule>
    <cfRule type="cellIs" dxfId="2204" priority="3315" operator="equal">
      <formula>"Implantación en curso"</formula>
    </cfRule>
  </conditionalFormatting>
  <conditionalFormatting sqref="I794">
    <cfRule type="cellIs" dxfId="2203" priority="3311" operator="equal">
      <formula>"Borrador"</formula>
    </cfRule>
  </conditionalFormatting>
  <conditionalFormatting sqref="I794">
    <cfRule type="cellIs" dxfId="2202" priority="3310" operator="equal">
      <formula>"Rechazado"</formula>
    </cfRule>
  </conditionalFormatting>
  <conditionalFormatting sqref="I794">
    <cfRule type="cellIs" dxfId="2201" priority="3309" operator="equal">
      <formula>"Terminado"</formula>
    </cfRule>
  </conditionalFormatting>
  <conditionalFormatting sqref="H809">
    <cfRule type="cellIs" dxfId="2200" priority="3298" operator="equal">
      <formula>"Programado para aprobación"</formula>
    </cfRule>
    <cfRule type="cellIs" dxfId="2199" priority="3299" operator="equal">
      <formula>"Cerrado"</formula>
    </cfRule>
    <cfRule type="cellIs" dxfId="2198" priority="3300" operator="equal">
      <formula>"Programado"</formula>
    </cfRule>
    <cfRule type="cellIs" dxfId="2197" priority="3301" operator="equal">
      <formula>"Implantación en curso"</formula>
    </cfRule>
  </conditionalFormatting>
  <conditionalFormatting sqref="H809">
    <cfRule type="cellIs" dxfId="2196" priority="3297" operator="equal">
      <formula>"Borrador"</formula>
    </cfRule>
  </conditionalFormatting>
  <conditionalFormatting sqref="H809">
    <cfRule type="cellIs" dxfId="2195" priority="3296" operator="equal">
      <formula>"Rechazado"</formula>
    </cfRule>
  </conditionalFormatting>
  <conditionalFormatting sqref="H809">
    <cfRule type="cellIs" dxfId="2194" priority="3295" operator="equal">
      <formula>"Terminado"</formula>
    </cfRule>
  </conditionalFormatting>
  <conditionalFormatting sqref="I809">
    <cfRule type="cellIs" dxfId="2193" priority="3291" operator="equal">
      <formula>"Programado para aprobación"</formula>
    </cfRule>
    <cfRule type="cellIs" dxfId="2192" priority="3292" operator="equal">
      <formula>"Cerrado"</formula>
    </cfRule>
    <cfRule type="cellIs" dxfId="2191" priority="3293" operator="equal">
      <formula>"Programado"</formula>
    </cfRule>
    <cfRule type="cellIs" dxfId="2190" priority="3294" operator="equal">
      <formula>"Implantación en curso"</formula>
    </cfRule>
  </conditionalFormatting>
  <conditionalFormatting sqref="I809">
    <cfRule type="cellIs" dxfId="2189" priority="3290" operator="equal">
      <formula>"Borrador"</formula>
    </cfRule>
  </conditionalFormatting>
  <conditionalFormatting sqref="I809">
    <cfRule type="cellIs" dxfId="2188" priority="3289" operator="equal">
      <formula>"Rechazado"</formula>
    </cfRule>
  </conditionalFormatting>
  <conditionalFormatting sqref="I809">
    <cfRule type="cellIs" dxfId="2187" priority="3288" operator="equal">
      <formula>"Terminado"</formula>
    </cfRule>
  </conditionalFormatting>
  <conditionalFormatting sqref="H810">
    <cfRule type="cellIs" dxfId="2186" priority="3256" operator="equal">
      <formula>"Programado para aprobación"</formula>
    </cfRule>
    <cfRule type="cellIs" dxfId="2185" priority="3257" operator="equal">
      <formula>"Cerrado"</formula>
    </cfRule>
    <cfRule type="cellIs" dxfId="2184" priority="3258" operator="equal">
      <formula>"Programado"</formula>
    </cfRule>
    <cfRule type="cellIs" dxfId="2183" priority="3259" operator="equal">
      <formula>"Implantación en curso"</formula>
    </cfRule>
  </conditionalFormatting>
  <conditionalFormatting sqref="H810">
    <cfRule type="cellIs" dxfId="2182" priority="3255" operator="equal">
      <formula>"Borrador"</formula>
    </cfRule>
  </conditionalFormatting>
  <conditionalFormatting sqref="H810">
    <cfRule type="cellIs" dxfId="2181" priority="3254" operator="equal">
      <formula>"Rechazado"</formula>
    </cfRule>
  </conditionalFormatting>
  <conditionalFormatting sqref="H810">
    <cfRule type="cellIs" dxfId="2180" priority="3253" operator="equal">
      <formula>"Terminado"</formula>
    </cfRule>
  </conditionalFormatting>
  <conditionalFormatting sqref="I810">
    <cfRule type="cellIs" dxfId="2179" priority="3249" operator="equal">
      <formula>"Programado para aprobación"</formula>
    </cfRule>
    <cfRule type="cellIs" dxfId="2178" priority="3250" operator="equal">
      <formula>"Cerrado"</formula>
    </cfRule>
    <cfRule type="cellIs" dxfId="2177" priority="3251" operator="equal">
      <formula>"Programado"</formula>
    </cfRule>
    <cfRule type="cellIs" dxfId="2176" priority="3252" operator="equal">
      <formula>"Implantación en curso"</formula>
    </cfRule>
  </conditionalFormatting>
  <conditionalFormatting sqref="I810">
    <cfRule type="cellIs" dxfId="2175" priority="3248" operator="equal">
      <formula>"Borrador"</formula>
    </cfRule>
  </conditionalFormatting>
  <conditionalFormatting sqref="I810">
    <cfRule type="cellIs" dxfId="2174" priority="3247" operator="equal">
      <formula>"Rechazado"</formula>
    </cfRule>
  </conditionalFormatting>
  <conditionalFormatting sqref="I810">
    <cfRule type="cellIs" dxfId="2173" priority="3246" operator="equal">
      <formula>"Terminado"</formula>
    </cfRule>
  </conditionalFormatting>
  <conditionalFormatting sqref="H813:H814">
    <cfRule type="cellIs" dxfId="2172" priority="3235" operator="equal">
      <formula>"Programado para aprobación"</formula>
    </cfRule>
    <cfRule type="cellIs" dxfId="2171" priority="3236" operator="equal">
      <formula>"Cerrado"</formula>
    </cfRule>
    <cfRule type="cellIs" dxfId="2170" priority="3237" operator="equal">
      <formula>"Programado"</formula>
    </cfRule>
    <cfRule type="cellIs" dxfId="2169" priority="3238" operator="equal">
      <formula>"Implantación en curso"</formula>
    </cfRule>
  </conditionalFormatting>
  <conditionalFormatting sqref="H813:H814">
    <cfRule type="cellIs" dxfId="2168" priority="3234" operator="equal">
      <formula>"Borrador"</formula>
    </cfRule>
  </conditionalFormatting>
  <conditionalFormatting sqref="H813:H814">
    <cfRule type="cellIs" dxfId="2167" priority="3233" operator="equal">
      <formula>"Rechazado"</formula>
    </cfRule>
  </conditionalFormatting>
  <conditionalFormatting sqref="H813:H814">
    <cfRule type="cellIs" dxfId="2166" priority="3232" operator="equal">
      <formula>"Terminado"</formula>
    </cfRule>
  </conditionalFormatting>
  <conditionalFormatting sqref="I813">
    <cfRule type="cellIs" dxfId="2165" priority="3221" operator="equal">
      <formula>"Programado para aprobación"</formula>
    </cfRule>
    <cfRule type="cellIs" dxfId="2164" priority="3222" operator="equal">
      <formula>"Cerrado"</formula>
    </cfRule>
    <cfRule type="cellIs" dxfId="2163" priority="3223" operator="equal">
      <formula>"Programado"</formula>
    </cfRule>
    <cfRule type="cellIs" dxfId="2162" priority="3224" operator="equal">
      <formula>"Implantación en curso"</formula>
    </cfRule>
  </conditionalFormatting>
  <conditionalFormatting sqref="I813">
    <cfRule type="cellIs" dxfId="2161" priority="3220" operator="equal">
      <formula>"Borrador"</formula>
    </cfRule>
  </conditionalFormatting>
  <conditionalFormatting sqref="I813">
    <cfRule type="cellIs" dxfId="2160" priority="3219" operator="equal">
      <formula>"Rechazado"</formula>
    </cfRule>
  </conditionalFormatting>
  <conditionalFormatting sqref="I813">
    <cfRule type="cellIs" dxfId="2159" priority="3218" operator="equal">
      <formula>"Terminado"</formula>
    </cfRule>
  </conditionalFormatting>
  <conditionalFormatting sqref="P813">
    <cfRule type="cellIs" dxfId="2158" priority="3214" operator="equal">
      <formula>"Programado para aprobación"</formula>
    </cfRule>
    <cfRule type="cellIs" dxfId="2157" priority="3215" operator="equal">
      <formula>"Cerrado"</formula>
    </cfRule>
    <cfRule type="cellIs" dxfId="2156" priority="3216" operator="equal">
      <formula>"Programado"</formula>
    </cfRule>
    <cfRule type="cellIs" dxfId="2155" priority="3217" operator="equal">
      <formula>"Implantación en curso"</formula>
    </cfRule>
  </conditionalFormatting>
  <conditionalFormatting sqref="P813">
    <cfRule type="cellIs" dxfId="2154" priority="3213" operator="equal">
      <formula>"Borrador"</formula>
    </cfRule>
  </conditionalFormatting>
  <conditionalFormatting sqref="P813">
    <cfRule type="cellIs" dxfId="2153" priority="3212" operator="equal">
      <formula>"Rechazado"</formula>
    </cfRule>
  </conditionalFormatting>
  <conditionalFormatting sqref="P813">
    <cfRule type="cellIs" dxfId="2152" priority="3211" operator="equal">
      <formula>"Terminado"</formula>
    </cfRule>
  </conditionalFormatting>
  <conditionalFormatting sqref="H819">
    <cfRule type="cellIs" dxfId="2151" priority="3207" operator="equal">
      <formula>"Programado para aprobación"</formula>
    </cfRule>
    <cfRule type="cellIs" dxfId="2150" priority="3208" operator="equal">
      <formula>"Cerrado"</formula>
    </cfRule>
    <cfRule type="cellIs" dxfId="2149" priority="3209" operator="equal">
      <formula>"Programado"</formula>
    </cfRule>
    <cfRule type="cellIs" dxfId="2148" priority="3210" operator="equal">
      <formula>"Implantación en curso"</formula>
    </cfRule>
  </conditionalFormatting>
  <conditionalFormatting sqref="H819">
    <cfRule type="cellIs" dxfId="2147" priority="3206" operator="equal">
      <formula>"Borrador"</formula>
    </cfRule>
  </conditionalFormatting>
  <conditionalFormatting sqref="H819">
    <cfRule type="cellIs" dxfId="2146" priority="3205" operator="equal">
      <formula>"Rechazado"</formula>
    </cfRule>
  </conditionalFormatting>
  <conditionalFormatting sqref="H819">
    <cfRule type="cellIs" dxfId="2145" priority="3204" operator="equal">
      <formula>"Terminado"</formula>
    </cfRule>
  </conditionalFormatting>
  <conditionalFormatting sqref="H817">
    <cfRule type="cellIs" dxfId="2144" priority="3193" operator="equal">
      <formula>"Programado para aprobación"</formula>
    </cfRule>
    <cfRule type="cellIs" dxfId="2143" priority="3194" operator="equal">
      <formula>"Cerrado"</formula>
    </cfRule>
    <cfRule type="cellIs" dxfId="2142" priority="3195" operator="equal">
      <formula>"Programado"</formula>
    </cfRule>
    <cfRule type="cellIs" dxfId="2141" priority="3196" operator="equal">
      <formula>"Implantación en curso"</formula>
    </cfRule>
  </conditionalFormatting>
  <conditionalFormatting sqref="H817">
    <cfRule type="cellIs" dxfId="2140" priority="3192" operator="equal">
      <formula>"Borrador"</formula>
    </cfRule>
  </conditionalFormatting>
  <conditionalFormatting sqref="H817">
    <cfRule type="cellIs" dxfId="2139" priority="3191" operator="equal">
      <formula>"Rechazado"</formula>
    </cfRule>
  </conditionalFormatting>
  <conditionalFormatting sqref="H817">
    <cfRule type="cellIs" dxfId="2138" priority="3190" operator="equal">
      <formula>"Terminado"</formula>
    </cfRule>
  </conditionalFormatting>
  <conditionalFormatting sqref="F817">
    <cfRule type="cellIs" dxfId="2137" priority="3173" operator="equal">
      <formula>"APLAZADO"</formula>
    </cfRule>
    <cfRule type="cellIs" dxfId="2136" priority="3174" operator="equal">
      <formula>"CANCELADO"</formula>
    </cfRule>
    <cfRule type="cellIs" dxfId="2135" priority="3175" operator="equal">
      <formula>"NO EJECUTADO"</formula>
    </cfRule>
    <cfRule type="cellIs" dxfId="2134" priority="3176" operator="equal">
      <formula>"FPE"</formula>
    </cfRule>
    <cfRule type="cellIs" dxfId="2133" priority="3177" operator="equal">
      <formula>"AMA"</formula>
    </cfRule>
    <cfRule type="cellIs" dxfId="2132" priority="3178" operator="equal">
      <formula>"SIN DATOS"</formula>
    </cfRule>
    <cfRule type="cellIs" dxfId="2131" priority="3179" operator="equal">
      <formula>"SIN DATOS"</formula>
    </cfRule>
    <cfRule type="cellIs" dxfId="2130" priority="3180" operator="equal">
      <formula>"NO EJECTUTADO"</formula>
    </cfRule>
    <cfRule type="cellIs" dxfId="2129" priority="3181" operator="equal">
      <formula>"FE"</formula>
    </cfRule>
    <cfRule type="cellIs" dxfId="2128" priority="3182" operator="equal">
      <formula>"FE"</formula>
    </cfRule>
  </conditionalFormatting>
  <conditionalFormatting sqref="F817">
    <cfRule type="cellIs" dxfId="2127" priority="3171" operator="equal">
      <formula>"Retirado"</formula>
    </cfRule>
    <cfRule type="cellIs" dxfId="2126" priority="3172" operator="equal">
      <formula>"FSE"</formula>
    </cfRule>
  </conditionalFormatting>
  <conditionalFormatting sqref="H824">
    <cfRule type="cellIs" dxfId="2125" priority="3167" operator="equal">
      <formula>"Programado para aprobación"</formula>
    </cfRule>
    <cfRule type="cellIs" dxfId="2124" priority="3168" operator="equal">
      <formula>"Cerrado"</formula>
    </cfRule>
    <cfRule type="cellIs" dxfId="2123" priority="3169" operator="equal">
      <formula>"Programado"</formula>
    </cfRule>
    <cfRule type="cellIs" dxfId="2122" priority="3170" operator="equal">
      <formula>"Implantación en curso"</formula>
    </cfRule>
  </conditionalFormatting>
  <conditionalFormatting sqref="H824">
    <cfRule type="cellIs" dxfId="2121" priority="3166" operator="equal">
      <formula>"Borrador"</formula>
    </cfRule>
  </conditionalFormatting>
  <conditionalFormatting sqref="H824">
    <cfRule type="cellIs" dxfId="2120" priority="3165" operator="equal">
      <formula>"Rechazado"</formula>
    </cfRule>
  </conditionalFormatting>
  <conditionalFormatting sqref="H824">
    <cfRule type="cellIs" dxfId="2119" priority="3164" operator="equal">
      <formula>"Terminado"</formula>
    </cfRule>
  </conditionalFormatting>
  <conditionalFormatting sqref="I824">
    <cfRule type="cellIs" dxfId="2118" priority="3160" operator="equal">
      <formula>"Programado para aprobación"</formula>
    </cfRule>
    <cfRule type="cellIs" dxfId="2117" priority="3161" operator="equal">
      <formula>"Cerrado"</formula>
    </cfRule>
    <cfRule type="cellIs" dxfId="2116" priority="3162" operator="equal">
      <formula>"Programado"</formula>
    </cfRule>
    <cfRule type="cellIs" dxfId="2115" priority="3163" operator="equal">
      <formula>"Implantación en curso"</formula>
    </cfRule>
  </conditionalFormatting>
  <conditionalFormatting sqref="I824">
    <cfRule type="cellIs" dxfId="2114" priority="3159" operator="equal">
      <formula>"Borrador"</formula>
    </cfRule>
  </conditionalFormatting>
  <conditionalFormatting sqref="I824">
    <cfRule type="cellIs" dxfId="2113" priority="3158" operator="equal">
      <formula>"Rechazado"</formula>
    </cfRule>
  </conditionalFormatting>
  <conditionalFormatting sqref="I824">
    <cfRule type="cellIs" dxfId="2112" priority="3157" operator="equal">
      <formula>"Terminado"</formula>
    </cfRule>
  </conditionalFormatting>
  <conditionalFormatting sqref="F1012:F1014">
    <cfRule type="cellIs" dxfId="2111" priority="3126" operator="equal">
      <formula>"APLAZADO"</formula>
    </cfRule>
    <cfRule type="cellIs" dxfId="2110" priority="3127" operator="equal">
      <formula>"CANCELADO"</formula>
    </cfRule>
    <cfRule type="cellIs" dxfId="2109" priority="3128" operator="equal">
      <formula>"NO EJECUTADO"</formula>
    </cfRule>
    <cfRule type="cellIs" dxfId="2108" priority="3129" operator="equal">
      <formula>"FPE"</formula>
    </cfRule>
    <cfRule type="cellIs" dxfId="2107" priority="3130" operator="equal">
      <formula>"AMA"</formula>
    </cfRule>
    <cfRule type="cellIs" dxfId="2106" priority="3131" operator="equal">
      <formula>"SIN DATOS"</formula>
    </cfRule>
    <cfRule type="cellIs" dxfId="2105" priority="3132" operator="equal">
      <formula>"SIN DATOS"</formula>
    </cfRule>
    <cfRule type="cellIs" dxfId="2104" priority="3133" operator="equal">
      <formula>"NO EJECTUTADO"</formula>
    </cfRule>
    <cfRule type="cellIs" dxfId="2103" priority="3134" operator="equal">
      <formula>"FE"</formula>
    </cfRule>
    <cfRule type="cellIs" dxfId="2102" priority="3135" operator="equal">
      <formula>"FE"</formula>
    </cfRule>
  </conditionalFormatting>
  <conditionalFormatting sqref="F1012:F1014">
    <cfRule type="cellIs" dxfId="2101" priority="3124" operator="equal">
      <formula>"Retirado"</formula>
    </cfRule>
    <cfRule type="cellIs" dxfId="2100" priority="3125" operator="equal">
      <formula>"FSE"</formula>
    </cfRule>
  </conditionalFormatting>
  <conditionalFormatting sqref="I699">
    <cfRule type="cellIs" dxfId="2099" priority="3099" operator="equal">
      <formula>"Programado para aprobación"</formula>
    </cfRule>
    <cfRule type="cellIs" dxfId="2098" priority="3100" operator="equal">
      <formula>"Cerrado"</formula>
    </cfRule>
    <cfRule type="cellIs" dxfId="2097" priority="3101" operator="equal">
      <formula>"Programado"</formula>
    </cfRule>
    <cfRule type="cellIs" dxfId="2096" priority="3102" operator="equal">
      <formula>"Implantación en curso"</formula>
    </cfRule>
  </conditionalFormatting>
  <conditionalFormatting sqref="I699">
    <cfRule type="cellIs" dxfId="2095" priority="3098" operator="equal">
      <formula>"Borrador"</formula>
    </cfRule>
  </conditionalFormatting>
  <conditionalFormatting sqref="I699">
    <cfRule type="cellIs" dxfId="2094" priority="3097" operator="equal">
      <formula>"Rechazado"</formula>
    </cfRule>
  </conditionalFormatting>
  <conditionalFormatting sqref="I699">
    <cfRule type="cellIs" dxfId="2093" priority="3096" operator="equal">
      <formula>"Terminado"</formula>
    </cfRule>
  </conditionalFormatting>
  <conditionalFormatting sqref="H801:H802">
    <cfRule type="cellIs" dxfId="2092" priority="3092" operator="equal">
      <formula>"Programado para aprobación"</formula>
    </cfRule>
    <cfRule type="cellIs" dxfId="2091" priority="3093" operator="equal">
      <formula>"Cerrado"</formula>
    </cfRule>
    <cfRule type="cellIs" dxfId="2090" priority="3094" operator="equal">
      <formula>"Programado"</formula>
    </cfRule>
    <cfRule type="cellIs" dxfId="2089" priority="3095" operator="equal">
      <formula>"Implantación en curso"</formula>
    </cfRule>
  </conditionalFormatting>
  <conditionalFormatting sqref="H801:H802">
    <cfRule type="cellIs" dxfId="2088" priority="3091" operator="equal">
      <formula>"Borrador"</formula>
    </cfRule>
  </conditionalFormatting>
  <conditionalFormatting sqref="H801:H802">
    <cfRule type="cellIs" dxfId="2087" priority="3090" operator="equal">
      <formula>"Rechazado"</formula>
    </cfRule>
  </conditionalFormatting>
  <conditionalFormatting sqref="H801:H802">
    <cfRule type="cellIs" dxfId="2086" priority="3089" operator="equal">
      <formula>"Terminado"</formula>
    </cfRule>
  </conditionalFormatting>
  <conditionalFormatting sqref="H803">
    <cfRule type="cellIs" dxfId="2085" priority="3078" operator="equal">
      <formula>"Programado para aprobación"</formula>
    </cfRule>
    <cfRule type="cellIs" dxfId="2084" priority="3079" operator="equal">
      <formula>"Cerrado"</formula>
    </cfRule>
    <cfRule type="cellIs" dxfId="2083" priority="3080" operator="equal">
      <formula>"Programado"</formula>
    </cfRule>
    <cfRule type="cellIs" dxfId="2082" priority="3081" operator="equal">
      <formula>"Implantación en curso"</formula>
    </cfRule>
  </conditionalFormatting>
  <conditionalFormatting sqref="H803">
    <cfRule type="cellIs" dxfId="2081" priority="3077" operator="equal">
      <formula>"Borrador"</formula>
    </cfRule>
  </conditionalFormatting>
  <conditionalFormatting sqref="H803">
    <cfRule type="cellIs" dxfId="2080" priority="3076" operator="equal">
      <formula>"Rechazado"</formula>
    </cfRule>
  </conditionalFormatting>
  <conditionalFormatting sqref="H803">
    <cfRule type="cellIs" dxfId="2079" priority="3075" operator="equal">
      <formula>"Terminado"</formula>
    </cfRule>
  </conditionalFormatting>
  <conditionalFormatting sqref="I803">
    <cfRule type="cellIs" dxfId="2078" priority="3071" operator="equal">
      <formula>"Programado para aprobación"</formula>
    </cfRule>
    <cfRule type="cellIs" dxfId="2077" priority="3072" operator="equal">
      <formula>"Cerrado"</formula>
    </cfRule>
    <cfRule type="cellIs" dxfId="2076" priority="3073" operator="equal">
      <formula>"Programado"</formula>
    </cfRule>
    <cfRule type="cellIs" dxfId="2075" priority="3074" operator="equal">
      <formula>"Implantación en curso"</formula>
    </cfRule>
  </conditionalFormatting>
  <conditionalFormatting sqref="I803">
    <cfRule type="cellIs" dxfId="2074" priority="3070" operator="equal">
      <formula>"Borrador"</formula>
    </cfRule>
  </conditionalFormatting>
  <conditionalFormatting sqref="I803">
    <cfRule type="cellIs" dxfId="2073" priority="3069" operator="equal">
      <formula>"Rechazado"</formula>
    </cfRule>
  </conditionalFormatting>
  <conditionalFormatting sqref="I803">
    <cfRule type="cellIs" dxfId="2072" priority="3068" operator="equal">
      <formula>"Terminado"</formula>
    </cfRule>
  </conditionalFormatting>
  <conditionalFormatting sqref="H822">
    <cfRule type="cellIs" dxfId="2071" priority="3057" operator="equal">
      <formula>"Programado para aprobación"</formula>
    </cfRule>
    <cfRule type="cellIs" dxfId="2070" priority="3058" operator="equal">
      <formula>"Cerrado"</formula>
    </cfRule>
    <cfRule type="cellIs" dxfId="2069" priority="3059" operator="equal">
      <formula>"Programado"</formula>
    </cfRule>
    <cfRule type="cellIs" dxfId="2068" priority="3060" operator="equal">
      <formula>"Implantación en curso"</formula>
    </cfRule>
  </conditionalFormatting>
  <conditionalFormatting sqref="H822">
    <cfRule type="cellIs" dxfId="2067" priority="3056" operator="equal">
      <formula>"Borrador"</formula>
    </cfRule>
  </conditionalFormatting>
  <conditionalFormatting sqref="H822">
    <cfRule type="cellIs" dxfId="2066" priority="3055" operator="equal">
      <formula>"Rechazado"</formula>
    </cfRule>
  </conditionalFormatting>
  <conditionalFormatting sqref="H822">
    <cfRule type="cellIs" dxfId="2065" priority="3054" operator="equal">
      <formula>"Terminado"</formula>
    </cfRule>
  </conditionalFormatting>
  <conditionalFormatting sqref="I822">
    <cfRule type="cellIs" dxfId="2064" priority="3050" operator="equal">
      <formula>"Programado para aprobación"</formula>
    </cfRule>
    <cfRule type="cellIs" dxfId="2063" priority="3051" operator="equal">
      <formula>"Cerrado"</formula>
    </cfRule>
    <cfRule type="cellIs" dxfId="2062" priority="3052" operator="equal">
      <formula>"Programado"</formula>
    </cfRule>
    <cfRule type="cellIs" dxfId="2061" priority="3053" operator="equal">
      <formula>"Implantación en curso"</formula>
    </cfRule>
  </conditionalFormatting>
  <conditionalFormatting sqref="I822">
    <cfRule type="cellIs" dxfId="2060" priority="3049" operator="equal">
      <formula>"Borrador"</formula>
    </cfRule>
  </conditionalFormatting>
  <conditionalFormatting sqref="I822">
    <cfRule type="cellIs" dxfId="2059" priority="3048" operator="equal">
      <formula>"Rechazado"</formula>
    </cfRule>
  </conditionalFormatting>
  <conditionalFormatting sqref="I822">
    <cfRule type="cellIs" dxfId="2058" priority="3047" operator="equal">
      <formula>"Terminado"</formula>
    </cfRule>
  </conditionalFormatting>
  <conditionalFormatting sqref="H878:H881">
    <cfRule type="cellIs" dxfId="2057" priority="3036" operator="equal">
      <formula>"Programado para aprobación"</formula>
    </cfRule>
    <cfRule type="cellIs" dxfId="2056" priority="3037" operator="equal">
      <formula>"Cerrado"</formula>
    </cfRule>
    <cfRule type="cellIs" dxfId="2055" priority="3038" operator="equal">
      <formula>"Programado"</formula>
    </cfRule>
    <cfRule type="cellIs" dxfId="2054" priority="3039" operator="equal">
      <formula>"Implantación en curso"</formula>
    </cfRule>
  </conditionalFormatting>
  <conditionalFormatting sqref="H878:H881">
    <cfRule type="cellIs" dxfId="2053" priority="3035" operator="equal">
      <formula>"Borrador"</formula>
    </cfRule>
  </conditionalFormatting>
  <conditionalFormatting sqref="H878:H881">
    <cfRule type="cellIs" dxfId="2052" priority="3034" operator="equal">
      <formula>"Rechazado"</formula>
    </cfRule>
  </conditionalFormatting>
  <conditionalFormatting sqref="H878:H881">
    <cfRule type="cellIs" dxfId="2051" priority="3033" operator="equal">
      <formula>"Terminado"</formula>
    </cfRule>
  </conditionalFormatting>
  <conditionalFormatting sqref="I878">
    <cfRule type="cellIs" dxfId="2050" priority="3029" operator="equal">
      <formula>"Programado para aprobación"</formula>
    </cfRule>
    <cfRule type="cellIs" dxfId="2049" priority="3030" operator="equal">
      <formula>"Cerrado"</formula>
    </cfRule>
    <cfRule type="cellIs" dxfId="2048" priority="3031" operator="equal">
      <formula>"Programado"</formula>
    </cfRule>
    <cfRule type="cellIs" dxfId="2047" priority="3032" operator="equal">
      <formula>"Implantación en curso"</formula>
    </cfRule>
  </conditionalFormatting>
  <conditionalFormatting sqref="I878">
    <cfRule type="cellIs" dxfId="2046" priority="3028" operator="equal">
      <formula>"Borrador"</formula>
    </cfRule>
  </conditionalFormatting>
  <conditionalFormatting sqref="I878">
    <cfRule type="cellIs" dxfId="2045" priority="3027" operator="equal">
      <formula>"Rechazado"</formula>
    </cfRule>
  </conditionalFormatting>
  <conditionalFormatting sqref="I878">
    <cfRule type="cellIs" dxfId="2044" priority="3026" operator="equal">
      <formula>"Terminado"</formula>
    </cfRule>
  </conditionalFormatting>
  <conditionalFormatting sqref="H820">
    <cfRule type="cellIs" dxfId="2043" priority="3015" operator="equal">
      <formula>"Programado para aprobación"</formula>
    </cfRule>
    <cfRule type="cellIs" dxfId="2042" priority="3016" operator="equal">
      <formula>"Cerrado"</formula>
    </cfRule>
    <cfRule type="cellIs" dxfId="2041" priority="3017" operator="equal">
      <formula>"Programado"</formula>
    </cfRule>
    <cfRule type="cellIs" dxfId="2040" priority="3018" operator="equal">
      <formula>"Implantación en curso"</formula>
    </cfRule>
  </conditionalFormatting>
  <conditionalFormatting sqref="H820">
    <cfRule type="cellIs" dxfId="2039" priority="3014" operator="equal">
      <formula>"Borrador"</formula>
    </cfRule>
  </conditionalFormatting>
  <conditionalFormatting sqref="H820">
    <cfRule type="cellIs" dxfId="2038" priority="3013" operator="equal">
      <formula>"Rechazado"</formula>
    </cfRule>
  </conditionalFormatting>
  <conditionalFormatting sqref="H820">
    <cfRule type="cellIs" dxfId="2037" priority="3012" operator="equal">
      <formula>"Terminado"</formula>
    </cfRule>
  </conditionalFormatting>
  <conditionalFormatting sqref="H921">
    <cfRule type="cellIs" dxfId="2036" priority="3001" operator="equal">
      <formula>"Programado para aprobación"</formula>
    </cfRule>
    <cfRule type="cellIs" dxfId="2035" priority="3002" operator="equal">
      <formula>"Cerrado"</formula>
    </cfRule>
    <cfRule type="cellIs" dxfId="2034" priority="3003" operator="equal">
      <formula>"Programado"</formula>
    </cfRule>
    <cfRule type="cellIs" dxfId="2033" priority="3004" operator="equal">
      <formula>"Implantación en curso"</formula>
    </cfRule>
  </conditionalFormatting>
  <conditionalFormatting sqref="H921">
    <cfRule type="cellIs" dxfId="2032" priority="3000" operator="equal">
      <formula>"Borrador"</formula>
    </cfRule>
  </conditionalFormatting>
  <conditionalFormatting sqref="H921">
    <cfRule type="cellIs" dxfId="2031" priority="2999" operator="equal">
      <formula>"Rechazado"</formula>
    </cfRule>
  </conditionalFormatting>
  <conditionalFormatting sqref="H921">
    <cfRule type="cellIs" dxfId="2030" priority="2998" operator="equal">
      <formula>"Terminado"</formula>
    </cfRule>
  </conditionalFormatting>
  <conditionalFormatting sqref="I921">
    <cfRule type="cellIs" dxfId="2029" priority="2994" operator="equal">
      <formula>"Programado para aprobación"</formula>
    </cfRule>
    <cfRule type="cellIs" dxfId="2028" priority="2995" operator="equal">
      <formula>"Cerrado"</formula>
    </cfRule>
    <cfRule type="cellIs" dxfId="2027" priority="2996" operator="equal">
      <formula>"Programado"</formula>
    </cfRule>
    <cfRule type="cellIs" dxfId="2026" priority="2997" operator="equal">
      <formula>"Implantación en curso"</formula>
    </cfRule>
  </conditionalFormatting>
  <conditionalFormatting sqref="I921">
    <cfRule type="cellIs" dxfId="2025" priority="2993" operator="equal">
      <formula>"Borrador"</formula>
    </cfRule>
  </conditionalFormatting>
  <conditionalFormatting sqref="I921">
    <cfRule type="cellIs" dxfId="2024" priority="2992" operator="equal">
      <formula>"Rechazado"</formula>
    </cfRule>
  </conditionalFormatting>
  <conditionalFormatting sqref="I921">
    <cfRule type="cellIs" dxfId="2023" priority="2991" operator="equal">
      <formula>"Terminado"</formula>
    </cfRule>
  </conditionalFormatting>
  <conditionalFormatting sqref="F1008">
    <cfRule type="cellIs" dxfId="2022" priority="2960" operator="equal">
      <formula>"APLAZADO"</formula>
    </cfRule>
    <cfRule type="cellIs" dxfId="2021" priority="2961" operator="equal">
      <formula>"CANCELADO"</formula>
    </cfRule>
    <cfRule type="cellIs" dxfId="2020" priority="2962" operator="equal">
      <formula>"NO EJECUTADO"</formula>
    </cfRule>
    <cfRule type="cellIs" dxfId="2019" priority="2963" operator="equal">
      <formula>"FPE"</formula>
    </cfRule>
    <cfRule type="cellIs" dxfId="2018" priority="2964" operator="equal">
      <formula>"AMA"</formula>
    </cfRule>
    <cfRule type="cellIs" dxfId="2017" priority="2965" operator="equal">
      <formula>"SIN DATOS"</formula>
    </cfRule>
    <cfRule type="cellIs" dxfId="2016" priority="2966" operator="equal">
      <formula>"SIN DATOS"</formula>
    </cfRule>
    <cfRule type="cellIs" dxfId="2015" priority="2967" operator="equal">
      <formula>"NO EJECTUTADO"</formula>
    </cfRule>
    <cfRule type="cellIs" dxfId="2014" priority="2968" operator="equal">
      <formula>"FE"</formula>
    </cfRule>
    <cfRule type="cellIs" dxfId="2013" priority="2969" operator="equal">
      <formula>"FE"</formula>
    </cfRule>
  </conditionalFormatting>
  <conditionalFormatting sqref="F1008">
    <cfRule type="cellIs" dxfId="2012" priority="2958" operator="equal">
      <formula>"Retirado"</formula>
    </cfRule>
    <cfRule type="cellIs" dxfId="2011" priority="2959" operator="equal">
      <formula>"FSE"</formula>
    </cfRule>
  </conditionalFormatting>
  <conditionalFormatting sqref="F1009">
    <cfRule type="cellIs" dxfId="2010" priority="2919" operator="equal">
      <formula>"APLAZADO"</formula>
    </cfRule>
    <cfRule type="cellIs" dxfId="2009" priority="2920" operator="equal">
      <formula>"CANCELADO"</formula>
    </cfRule>
    <cfRule type="cellIs" dxfId="2008" priority="2921" operator="equal">
      <formula>"NO EJECUTADO"</formula>
    </cfRule>
    <cfRule type="cellIs" dxfId="2007" priority="2922" operator="equal">
      <formula>"FPE"</formula>
    </cfRule>
    <cfRule type="cellIs" dxfId="2006" priority="2923" operator="equal">
      <formula>"AMA"</formula>
    </cfRule>
    <cfRule type="cellIs" dxfId="2005" priority="2924" operator="equal">
      <formula>"SIN DATOS"</formula>
    </cfRule>
    <cfRule type="cellIs" dxfId="2004" priority="2925" operator="equal">
      <formula>"SIN DATOS"</formula>
    </cfRule>
    <cfRule type="cellIs" dxfId="2003" priority="2926" operator="equal">
      <formula>"NO EJECTUTADO"</formula>
    </cfRule>
    <cfRule type="cellIs" dxfId="2002" priority="2927" operator="equal">
      <formula>"FE"</formula>
    </cfRule>
    <cfRule type="cellIs" dxfId="2001" priority="2928" operator="equal">
      <formula>"FE"</formula>
    </cfRule>
  </conditionalFormatting>
  <conditionalFormatting sqref="F1009">
    <cfRule type="cellIs" dxfId="2000" priority="2917" operator="equal">
      <formula>"Retirado"</formula>
    </cfRule>
    <cfRule type="cellIs" dxfId="1999" priority="2918" operator="equal">
      <formula>"FSE"</formula>
    </cfRule>
  </conditionalFormatting>
  <conditionalFormatting sqref="Q2:Q460 Q842:Q843 Q835:Q839 Q854 Q921:Q923 Q1012:Q1015 Q628:Q680 Q869:Q872 Q462:Q623 Q1001 Q857:Q866 Q876:Q881 Q1003 Q939:Q943 Q928 Q945:Q949 Q930 Q932:Q933 Q1005:Q1009 Q951 Q953:Q998">
    <cfRule type="duplicateValues" dxfId="1998" priority="136942"/>
  </conditionalFormatting>
  <conditionalFormatting sqref="H461">
    <cfRule type="duplicateValues" dxfId="1997" priority="2902"/>
  </conditionalFormatting>
  <conditionalFormatting sqref="F461">
    <cfRule type="cellIs" dxfId="1996" priority="2892" operator="equal">
      <formula>"APLAZADO"</formula>
    </cfRule>
    <cfRule type="cellIs" dxfId="1995" priority="2893" operator="equal">
      <formula>"CANCELADO"</formula>
    </cfRule>
    <cfRule type="cellIs" dxfId="1994" priority="2894" operator="equal">
      <formula>"NO EJECUTADO"</formula>
    </cfRule>
    <cfRule type="cellIs" dxfId="1993" priority="2895" operator="equal">
      <formula>"FPE"</formula>
    </cfRule>
    <cfRule type="cellIs" dxfId="1992" priority="2896" operator="equal">
      <formula>"AMA"</formula>
    </cfRule>
    <cfRule type="cellIs" dxfId="1991" priority="2897" operator="equal">
      <formula>"SIN DATOS"</formula>
    </cfRule>
    <cfRule type="cellIs" dxfId="1990" priority="2898" operator="equal">
      <formula>"SIN DATOS"</formula>
    </cfRule>
    <cfRule type="cellIs" dxfId="1989" priority="2899" operator="equal">
      <formula>"NO EJECTUTADO"</formula>
    </cfRule>
    <cfRule type="cellIs" dxfId="1988" priority="2900" operator="equal">
      <formula>"FE"</formula>
    </cfRule>
    <cfRule type="cellIs" dxfId="1987" priority="2901" operator="equal">
      <formula>"FE"</formula>
    </cfRule>
  </conditionalFormatting>
  <conditionalFormatting sqref="F461">
    <cfRule type="cellIs" dxfId="1986" priority="2890" operator="equal">
      <formula>"Retirado"</formula>
    </cfRule>
    <cfRule type="cellIs" dxfId="1985" priority="2891" operator="equal">
      <formula>"FSE"</formula>
    </cfRule>
  </conditionalFormatting>
  <conditionalFormatting sqref="Q461">
    <cfRule type="duplicateValues" dxfId="1984" priority="2874"/>
  </conditionalFormatting>
  <conditionalFormatting sqref="Q1089:Q1048576 Q842:Q843 Q835:Q839 Q854 Q921:Q923 Q628:Q680 Q869:Q872 Q1:Q623 Q1001 Q857:Q866 Q876:Q881 Q1003 Q939:Q943 Q928 Q945:Q949 Q930 Q932:Q933 Q1005:Q1009 Q951 Q953:Q998 Q1012:Q1029">
    <cfRule type="duplicateValues" dxfId="1983" priority="2873"/>
  </conditionalFormatting>
  <conditionalFormatting sqref="H825">
    <cfRule type="cellIs" dxfId="1982" priority="2855" operator="equal">
      <formula>"Programado para aprobación"</formula>
    </cfRule>
    <cfRule type="cellIs" dxfId="1981" priority="2856" operator="equal">
      <formula>"Cerrado"</formula>
    </cfRule>
    <cfRule type="cellIs" dxfId="1980" priority="2857" operator="equal">
      <formula>"Programado"</formula>
    </cfRule>
    <cfRule type="cellIs" dxfId="1979" priority="2858" operator="equal">
      <formula>"Implantación en curso"</formula>
    </cfRule>
  </conditionalFormatting>
  <conditionalFormatting sqref="H825">
    <cfRule type="cellIs" dxfId="1978" priority="2854" operator="equal">
      <formula>"Borrador"</formula>
    </cfRule>
  </conditionalFormatting>
  <conditionalFormatting sqref="H825">
    <cfRule type="cellIs" dxfId="1977" priority="2853" operator="equal">
      <formula>"Rechazado"</formula>
    </cfRule>
  </conditionalFormatting>
  <conditionalFormatting sqref="H825">
    <cfRule type="cellIs" dxfId="1976" priority="2852" operator="equal">
      <formula>"Terminado"</formula>
    </cfRule>
  </conditionalFormatting>
  <conditionalFormatting sqref="I825 I675 I557 I455 I318 I223 I51">
    <cfRule type="cellIs" dxfId="1975" priority="2834" operator="equal">
      <formula>"Programado para aprobación"</formula>
    </cfRule>
    <cfRule type="cellIs" dxfId="1974" priority="2835" operator="equal">
      <formula>"Cerrado"</formula>
    </cfRule>
    <cfRule type="cellIs" dxfId="1973" priority="2836" operator="equal">
      <formula>"Programado"</formula>
    </cfRule>
    <cfRule type="cellIs" dxfId="1972" priority="2837" operator="equal">
      <formula>"Implantación en curso"</formula>
    </cfRule>
  </conditionalFormatting>
  <conditionalFormatting sqref="I825 I675 I557 I455 I318 I223 I51">
    <cfRule type="cellIs" dxfId="1971" priority="2833" operator="equal">
      <formula>"Borrador"</formula>
    </cfRule>
  </conditionalFormatting>
  <conditionalFormatting sqref="I825 I675 I557 I455 I318 I223 I51">
    <cfRule type="cellIs" dxfId="1970" priority="2832" operator="equal">
      <formula>"Rechazado"</formula>
    </cfRule>
  </conditionalFormatting>
  <conditionalFormatting sqref="I825 I675 I557 I455 I318 I223 I51">
    <cfRule type="cellIs" dxfId="1969" priority="2831" operator="equal">
      <formula>"Terminado"</formula>
    </cfRule>
  </conditionalFormatting>
  <conditionalFormatting sqref="H840">
    <cfRule type="cellIs" dxfId="1968" priority="2827" operator="equal">
      <formula>"Programado para aprobación"</formula>
    </cfRule>
    <cfRule type="cellIs" dxfId="1967" priority="2828" operator="equal">
      <formula>"Cerrado"</formula>
    </cfRule>
    <cfRule type="cellIs" dxfId="1966" priority="2829" operator="equal">
      <formula>"Programado"</formula>
    </cfRule>
    <cfRule type="cellIs" dxfId="1965" priority="2830" operator="equal">
      <formula>"Implantación en curso"</formula>
    </cfRule>
  </conditionalFormatting>
  <conditionalFormatting sqref="H840">
    <cfRule type="cellIs" dxfId="1964" priority="2826" operator="equal">
      <formula>"Borrador"</formula>
    </cfRule>
  </conditionalFormatting>
  <conditionalFormatting sqref="H840">
    <cfRule type="cellIs" dxfId="1963" priority="2825" operator="equal">
      <formula>"Rechazado"</formula>
    </cfRule>
  </conditionalFormatting>
  <conditionalFormatting sqref="H840">
    <cfRule type="cellIs" dxfId="1962" priority="2824" operator="equal">
      <formula>"Terminado"</formula>
    </cfRule>
  </conditionalFormatting>
  <conditionalFormatting sqref="Q840">
    <cfRule type="duplicateValues" dxfId="1961" priority="2816"/>
  </conditionalFormatting>
  <conditionalFormatting sqref="Q840">
    <cfRule type="duplicateValues" dxfId="1960" priority="2815"/>
  </conditionalFormatting>
  <conditionalFormatting sqref="H833">
    <cfRule type="cellIs" dxfId="1959" priority="2811" operator="equal">
      <formula>"Programado para aprobación"</formula>
    </cfRule>
    <cfRule type="cellIs" dxfId="1958" priority="2812" operator="equal">
      <formula>"Cerrado"</formula>
    </cfRule>
    <cfRule type="cellIs" dxfId="1957" priority="2813" operator="equal">
      <formula>"Programado"</formula>
    </cfRule>
    <cfRule type="cellIs" dxfId="1956" priority="2814" operator="equal">
      <formula>"Implantación en curso"</formula>
    </cfRule>
  </conditionalFormatting>
  <conditionalFormatting sqref="H833">
    <cfRule type="cellIs" dxfId="1955" priority="2810" operator="equal">
      <formula>"Borrador"</formula>
    </cfRule>
  </conditionalFormatting>
  <conditionalFormatting sqref="H833">
    <cfRule type="cellIs" dxfId="1954" priority="2809" operator="equal">
      <formula>"Rechazado"</formula>
    </cfRule>
  </conditionalFormatting>
  <conditionalFormatting sqref="H833">
    <cfRule type="cellIs" dxfId="1953" priority="2808" operator="equal">
      <formula>"Terminado"</formula>
    </cfRule>
  </conditionalFormatting>
  <conditionalFormatting sqref="I833">
    <cfRule type="cellIs" dxfId="1952" priority="2804" operator="equal">
      <formula>"Programado para aprobación"</formula>
    </cfRule>
    <cfRule type="cellIs" dxfId="1951" priority="2805" operator="equal">
      <formula>"Cerrado"</formula>
    </cfRule>
    <cfRule type="cellIs" dxfId="1950" priority="2806" operator="equal">
      <formula>"Programado"</formula>
    </cfRule>
    <cfRule type="cellIs" dxfId="1949" priority="2807" operator="equal">
      <formula>"Implantación en curso"</formula>
    </cfRule>
  </conditionalFormatting>
  <conditionalFormatting sqref="I833">
    <cfRule type="cellIs" dxfId="1948" priority="2803" operator="equal">
      <formula>"Borrador"</formula>
    </cfRule>
  </conditionalFormatting>
  <conditionalFormatting sqref="I833">
    <cfRule type="cellIs" dxfId="1947" priority="2802" operator="equal">
      <formula>"Rechazado"</formula>
    </cfRule>
  </conditionalFormatting>
  <conditionalFormatting sqref="I833">
    <cfRule type="cellIs" dxfId="1946" priority="2801" operator="equal">
      <formula>"Terminado"</formula>
    </cfRule>
  </conditionalFormatting>
  <conditionalFormatting sqref="Q769:Q813 Q681:Q702 Q704:Q749 Q751:Q767 Q815:Q834">
    <cfRule type="duplicateValues" dxfId="1945" priority="2789"/>
  </conditionalFormatting>
  <conditionalFormatting sqref="H828:H829">
    <cfRule type="cellIs" dxfId="1944" priority="2770" operator="equal">
      <formula>"Programado para aprobación"</formula>
    </cfRule>
    <cfRule type="cellIs" dxfId="1943" priority="2771" operator="equal">
      <formula>"Cerrado"</formula>
    </cfRule>
    <cfRule type="cellIs" dxfId="1942" priority="2772" operator="equal">
      <formula>"Programado"</formula>
    </cfRule>
    <cfRule type="cellIs" dxfId="1941" priority="2773" operator="equal">
      <formula>"Implantación en curso"</formula>
    </cfRule>
  </conditionalFormatting>
  <conditionalFormatting sqref="H828:H829">
    <cfRule type="cellIs" dxfId="1940" priority="2769" operator="equal">
      <formula>"Borrador"</formula>
    </cfRule>
  </conditionalFormatting>
  <conditionalFormatting sqref="H828:H829">
    <cfRule type="cellIs" dxfId="1939" priority="2768" operator="equal">
      <formula>"Rechazado"</formula>
    </cfRule>
  </conditionalFormatting>
  <conditionalFormatting sqref="H828:H829">
    <cfRule type="cellIs" dxfId="1938" priority="2767" operator="equal">
      <formula>"Terminado"</formula>
    </cfRule>
  </conditionalFormatting>
  <conditionalFormatting sqref="I828">
    <cfRule type="cellIs" dxfId="1937" priority="2763" operator="equal">
      <formula>"Programado para aprobación"</formula>
    </cfRule>
    <cfRule type="cellIs" dxfId="1936" priority="2764" operator="equal">
      <formula>"Cerrado"</formula>
    </cfRule>
    <cfRule type="cellIs" dxfId="1935" priority="2765" operator="equal">
      <formula>"Programado"</formula>
    </cfRule>
    <cfRule type="cellIs" dxfId="1934" priority="2766" operator="equal">
      <formula>"Implantación en curso"</formula>
    </cfRule>
  </conditionalFormatting>
  <conditionalFormatting sqref="I828">
    <cfRule type="cellIs" dxfId="1933" priority="2762" operator="equal">
      <formula>"Borrador"</formula>
    </cfRule>
  </conditionalFormatting>
  <conditionalFormatting sqref="I828">
    <cfRule type="cellIs" dxfId="1932" priority="2761" operator="equal">
      <formula>"Rechazado"</formula>
    </cfRule>
  </conditionalFormatting>
  <conditionalFormatting sqref="I828">
    <cfRule type="cellIs" dxfId="1931" priority="2760" operator="equal">
      <formula>"Terminado"</formula>
    </cfRule>
  </conditionalFormatting>
  <conditionalFormatting sqref="Q1000">
    <cfRule type="duplicateValues" dxfId="1930" priority="2745"/>
  </conditionalFormatting>
  <conditionalFormatting sqref="Q1000">
    <cfRule type="duplicateValues" dxfId="1929" priority="2744"/>
  </conditionalFormatting>
  <conditionalFormatting sqref="H846">
    <cfRule type="cellIs" dxfId="1928" priority="2740" operator="equal">
      <formula>"Programado para aprobación"</formula>
    </cfRule>
    <cfRule type="cellIs" dxfId="1927" priority="2741" operator="equal">
      <formula>"Cerrado"</formula>
    </cfRule>
    <cfRule type="cellIs" dxfId="1926" priority="2742" operator="equal">
      <formula>"Programado"</formula>
    </cfRule>
    <cfRule type="cellIs" dxfId="1925" priority="2743" operator="equal">
      <formula>"Implantación en curso"</formula>
    </cfRule>
  </conditionalFormatting>
  <conditionalFormatting sqref="H846">
    <cfRule type="cellIs" dxfId="1924" priority="2739" operator="equal">
      <formula>"Borrador"</formula>
    </cfRule>
  </conditionalFormatting>
  <conditionalFormatting sqref="H846">
    <cfRule type="cellIs" dxfId="1923" priority="2738" operator="equal">
      <formula>"Rechazado"</formula>
    </cfRule>
  </conditionalFormatting>
  <conditionalFormatting sqref="H846">
    <cfRule type="cellIs" dxfId="1922" priority="2737" operator="equal">
      <formula>"Terminado"</formula>
    </cfRule>
  </conditionalFormatting>
  <conditionalFormatting sqref="I846">
    <cfRule type="cellIs" dxfId="1921" priority="2733" operator="equal">
      <formula>"Programado para aprobación"</formula>
    </cfRule>
    <cfRule type="cellIs" dxfId="1920" priority="2734" operator="equal">
      <formula>"Cerrado"</formula>
    </cfRule>
    <cfRule type="cellIs" dxfId="1919" priority="2735" operator="equal">
      <formula>"Programado"</formula>
    </cfRule>
    <cfRule type="cellIs" dxfId="1918" priority="2736" operator="equal">
      <formula>"Implantación en curso"</formula>
    </cfRule>
  </conditionalFormatting>
  <conditionalFormatting sqref="I846">
    <cfRule type="cellIs" dxfId="1917" priority="2732" operator="equal">
      <formula>"Borrador"</formula>
    </cfRule>
  </conditionalFormatting>
  <conditionalFormatting sqref="I846">
    <cfRule type="cellIs" dxfId="1916" priority="2731" operator="equal">
      <formula>"Rechazado"</formula>
    </cfRule>
  </conditionalFormatting>
  <conditionalFormatting sqref="I846">
    <cfRule type="cellIs" dxfId="1915" priority="2730" operator="equal">
      <formula>"Terminado"</formula>
    </cfRule>
  </conditionalFormatting>
  <conditionalFormatting sqref="H837">
    <cfRule type="cellIs" dxfId="1914" priority="2696" operator="equal">
      <formula>"Programado para aprobación"</formula>
    </cfRule>
    <cfRule type="cellIs" dxfId="1913" priority="2697" operator="equal">
      <formula>"Cerrado"</formula>
    </cfRule>
    <cfRule type="cellIs" dxfId="1912" priority="2698" operator="equal">
      <formula>"Programado"</formula>
    </cfRule>
    <cfRule type="cellIs" dxfId="1911" priority="2699" operator="equal">
      <formula>"Implantación en curso"</formula>
    </cfRule>
  </conditionalFormatting>
  <conditionalFormatting sqref="H837">
    <cfRule type="cellIs" dxfId="1910" priority="2695" operator="equal">
      <formula>"Borrador"</formula>
    </cfRule>
  </conditionalFormatting>
  <conditionalFormatting sqref="H837">
    <cfRule type="cellIs" dxfId="1909" priority="2694" operator="equal">
      <formula>"Rechazado"</formula>
    </cfRule>
  </conditionalFormatting>
  <conditionalFormatting sqref="H837">
    <cfRule type="cellIs" dxfId="1908" priority="2693" operator="equal">
      <formula>"Terminado"</formula>
    </cfRule>
  </conditionalFormatting>
  <conditionalFormatting sqref="I837">
    <cfRule type="cellIs" dxfId="1907" priority="2689" operator="equal">
      <formula>"Programado para aprobación"</formula>
    </cfRule>
    <cfRule type="cellIs" dxfId="1906" priority="2690" operator="equal">
      <formula>"Cerrado"</formula>
    </cfRule>
    <cfRule type="cellIs" dxfId="1905" priority="2691" operator="equal">
      <formula>"Programado"</formula>
    </cfRule>
    <cfRule type="cellIs" dxfId="1904" priority="2692" operator="equal">
      <formula>"Implantación en curso"</formula>
    </cfRule>
  </conditionalFormatting>
  <conditionalFormatting sqref="I837">
    <cfRule type="cellIs" dxfId="1903" priority="2688" operator="equal">
      <formula>"Borrador"</formula>
    </cfRule>
  </conditionalFormatting>
  <conditionalFormatting sqref="I837">
    <cfRule type="cellIs" dxfId="1902" priority="2687" operator="equal">
      <formula>"Rechazado"</formula>
    </cfRule>
  </conditionalFormatting>
  <conditionalFormatting sqref="I837">
    <cfRule type="cellIs" dxfId="1901" priority="2686" operator="equal">
      <formula>"Terminado"</formula>
    </cfRule>
  </conditionalFormatting>
  <conditionalFormatting sqref="H844">
    <cfRule type="cellIs" dxfId="1900" priority="2675" operator="equal">
      <formula>"Programado para aprobación"</formula>
    </cfRule>
    <cfRule type="cellIs" dxfId="1899" priority="2676" operator="equal">
      <formula>"Cerrado"</formula>
    </cfRule>
    <cfRule type="cellIs" dxfId="1898" priority="2677" operator="equal">
      <formula>"Programado"</formula>
    </cfRule>
    <cfRule type="cellIs" dxfId="1897" priority="2678" operator="equal">
      <formula>"Implantación en curso"</formula>
    </cfRule>
  </conditionalFormatting>
  <conditionalFormatting sqref="H844">
    <cfRule type="cellIs" dxfId="1896" priority="2674" operator="equal">
      <formula>"Borrador"</formula>
    </cfRule>
  </conditionalFormatting>
  <conditionalFormatting sqref="H844">
    <cfRule type="cellIs" dxfId="1895" priority="2673" operator="equal">
      <formula>"Rechazado"</formula>
    </cfRule>
  </conditionalFormatting>
  <conditionalFormatting sqref="H844">
    <cfRule type="cellIs" dxfId="1894" priority="2672" operator="equal">
      <formula>"Terminado"</formula>
    </cfRule>
  </conditionalFormatting>
  <conditionalFormatting sqref="I844">
    <cfRule type="cellIs" dxfId="1893" priority="2668" operator="equal">
      <formula>"Programado para aprobación"</formula>
    </cfRule>
    <cfRule type="cellIs" dxfId="1892" priority="2669" operator="equal">
      <formula>"Cerrado"</formula>
    </cfRule>
    <cfRule type="cellIs" dxfId="1891" priority="2670" operator="equal">
      <formula>"Programado"</formula>
    </cfRule>
    <cfRule type="cellIs" dxfId="1890" priority="2671" operator="equal">
      <formula>"Implantación en curso"</formula>
    </cfRule>
  </conditionalFormatting>
  <conditionalFormatting sqref="I844">
    <cfRule type="cellIs" dxfId="1889" priority="2667" operator="equal">
      <formula>"Borrador"</formula>
    </cfRule>
  </conditionalFormatting>
  <conditionalFormatting sqref="I844">
    <cfRule type="cellIs" dxfId="1888" priority="2666" operator="equal">
      <formula>"Rechazado"</formula>
    </cfRule>
  </conditionalFormatting>
  <conditionalFormatting sqref="I844">
    <cfRule type="cellIs" dxfId="1887" priority="2665" operator="equal">
      <formula>"Terminado"</formula>
    </cfRule>
  </conditionalFormatting>
  <conditionalFormatting sqref="Q846">
    <cfRule type="duplicateValues" dxfId="1886" priority="2653"/>
  </conditionalFormatting>
  <conditionalFormatting sqref="Q846">
    <cfRule type="duplicateValues" dxfId="1885" priority="2652"/>
  </conditionalFormatting>
  <conditionalFormatting sqref="Q844">
    <cfRule type="duplicateValues" dxfId="1884" priority="2651"/>
  </conditionalFormatting>
  <conditionalFormatting sqref="Q844">
    <cfRule type="duplicateValues" dxfId="1883" priority="2650"/>
  </conditionalFormatting>
  <conditionalFormatting sqref="H857:H859">
    <cfRule type="cellIs" dxfId="1882" priority="2646" operator="equal">
      <formula>"Programado para aprobación"</formula>
    </cfRule>
    <cfRule type="cellIs" dxfId="1881" priority="2647" operator="equal">
      <formula>"Cerrado"</formula>
    </cfRule>
    <cfRule type="cellIs" dxfId="1880" priority="2648" operator="equal">
      <formula>"Programado"</formula>
    </cfRule>
    <cfRule type="cellIs" dxfId="1879" priority="2649" operator="equal">
      <formula>"Implantación en curso"</formula>
    </cfRule>
  </conditionalFormatting>
  <conditionalFormatting sqref="H857:H859">
    <cfRule type="cellIs" dxfId="1878" priority="2645" operator="equal">
      <formula>"Borrador"</formula>
    </cfRule>
  </conditionalFormatting>
  <conditionalFormatting sqref="H857:H859">
    <cfRule type="cellIs" dxfId="1877" priority="2644" operator="equal">
      <formula>"Rechazado"</formula>
    </cfRule>
  </conditionalFormatting>
  <conditionalFormatting sqref="H857:H859">
    <cfRule type="cellIs" dxfId="1876" priority="2643" operator="equal">
      <formula>"Terminado"</formula>
    </cfRule>
  </conditionalFormatting>
  <conditionalFormatting sqref="I857">
    <cfRule type="cellIs" dxfId="1875" priority="2639" operator="equal">
      <formula>"Programado para aprobación"</formula>
    </cfRule>
    <cfRule type="cellIs" dxfId="1874" priority="2640" operator="equal">
      <formula>"Cerrado"</formula>
    </cfRule>
    <cfRule type="cellIs" dxfId="1873" priority="2641" operator="equal">
      <formula>"Programado"</formula>
    </cfRule>
    <cfRule type="cellIs" dxfId="1872" priority="2642" operator="equal">
      <formula>"Implantación en curso"</formula>
    </cfRule>
  </conditionalFormatting>
  <conditionalFormatting sqref="I857">
    <cfRule type="cellIs" dxfId="1871" priority="2638" operator="equal">
      <formula>"Borrador"</formula>
    </cfRule>
  </conditionalFormatting>
  <conditionalFormatting sqref="I857">
    <cfRule type="cellIs" dxfId="1870" priority="2637" operator="equal">
      <formula>"Rechazado"</formula>
    </cfRule>
  </conditionalFormatting>
  <conditionalFormatting sqref="I857">
    <cfRule type="cellIs" dxfId="1869" priority="2636" operator="equal">
      <formula>"Terminado"</formula>
    </cfRule>
  </conditionalFormatting>
  <conditionalFormatting sqref="H702">
    <cfRule type="duplicateValues" dxfId="1868" priority="2628"/>
  </conditionalFormatting>
  <conditionalFormatting sqref="F702">
    <cfRule type="cellIs" dxfId="1867" priority="2618" operator="equal">
      <formula>"APLAZADO"</formula>
    </cfRule>
    <cfRule type="cellIs" dxfId="1866" priority="2619" operator="equal">
      <formula>"CANCELADO"</formula>
    </cfRule>
    <cfRule type="cellIs" dxfId="1865" priority="2620" operator="equal">
      <formula>"NO EJECUTADO"</formula>
    </cfRule>
    <cfRule type="cellIs" dxfId="1864" priority="2621" operator="equal">
      <formula>"FPE"</formula>
    </cfRule>
    <cfRule type="cellIs" dxfId="1863" priority="2622" operator="equal">
      <formula>"AMA"</formula>
    </cfRule>
    <cfRule type="cellIs" dxfId="1862" priority="2623" operator="equal">
      <formula>"SIN DATOS"</formula>
    </cfRule>
    <cfRule type="cellIs" dxfId="1861" priority="2624" operator="equal">
      <formula>"SIN DATOS"</formula>
    </cfRule>
    <cfRule type="cellIs" dxfId="1860" priority="2625" operator="equal">
      <formula>"NO EJECTUTADO"</formula>
    </cfRule>
    <cfRule type="cellIs" dxfId="1859" priority="2626" operator="equal">
      <formula>"FE"</formula>
    </cfRule>
    <cfRule type="cellIs" dxfId="1858" priority="2627" operator="equal">
      <formula>"FE"</formula>
    </cfRule>
  </conditionalFormatting>
  <conditionalFormatting sqref="F702">
    <cfRule type="cellIs" dxfId="1857" priority="2616" operator="equal">
      <formula>"Retirado"</formula>
    </cfRule>
    <cfRule type="cellIs" dxfId="1856" priority="2617" operator="equal">
      <formula>"FSE"</formula>
    </cfRule>
  </conditionalFormatting>
  <conditionalFormatting sqref="Q952">
    <cfRule type="duplicateValues" dxfId="1855" priority="2608"/>
  </conditionalFormatting>
  <conditionalFormatting sqref="Q952">
    <cfRule type="duplicateValues" dxfId="1854" priority="2607"/>
  </conditionalFormatting>
  <conditionalFormatting sqref="H726">
    <cfRule type="duplicateValues" dxfId="1853" priority="2606"/>
  </conditionalFormatting>
  <conditionalFormatting sqref="F726">
    <cfRule type="cellIs" dxfId="1852" priority="2589" operator="equal">
      <formula>"APLAZADO"</formula>
    </cfRule>
    <cfRule type="cellIs" dxfId="1851" priority="2590" operator="equal">
      <formula>"CANCELADO"</formula>
    </cfRule>
    <cfRule type="cellIs" dxfId="1850" priority="2591" operator="equal">
      <formula>"NO EJECUTADO"</formula>
    </cfRule>
    <cfRule type="cellIs" dxfId="1849" priority="2592" operator="equal">
      <formula>"FPE"</formula>
    </cfRule>
    <cfRule type="cellIs" dxfId="1848" priority="2593" operator="equal">
      <formula>"AMA"</formula>
    </cfRule>
    <cfRule type="cellIs" dxfId="1847" priority="2594" operator="equal">
      <formula>"SIN DATOS"</formula>
    </cfRule>
    <cfRule type="cellIs" dxfId="1846" priority="2595" operator="equal">
      <formula>"SIN DATOS"</formula>
    </cfRule>
    <cfRule type="cellIs" dxfId="1845" priority="2596" operator="equal">
      <formula>"NO EJECTUTADO"</formula>
    </cfRule>
    <cfRule type="cellIs" dxfId="1844" priority="2597" operator="equal">
      <formula>"FE"</formula>
    </cfRule>
    <cfRule type="cellIs" dxfId="1843" priority="2598" operator="equal">
      <formula>"FE"</formula>
    </cfRule>
  </conditionalFormatting>
  <conditionalFormatting sqref="F726">
    <cfRule type="cellIs" dxfId="1842" priority="2587" operator="equal">
      <formula>"Retirado"</formula>
    </cfRule>
    <cfRule type="cellIs" dxfId="1841" priority="2588" operator="equal">
      <formula>"FSE"</formula>
    </cfRule>
  </conditionalFormatting>
  <conditionalFormatting sqref="H727">
    <cfRule type="cellIs" dxfId="1840" priority="2576" operator="equal">
      <formula>"Programado para aprobación"</formula>
    </cfRule>
    <cfRule type="cellIs" dxfId="1839" priority="2577" operator="equal">
      <formula>"Cerrado"</formula>
    </cfRule>
    <cfRule type="cellIs" dxfId="1838" priority="2578" operator="equal">
      <formula>"Programado"</formula>
    </cfRule>
    <cfRule type="cellIs" dxfId="1837" priority="2579" operator="equal">
      <formula>"Implantación en curso"</formula>
    </cfRule>
  </conditionalFormatting>
  <conditionalFormatting sqref="H727">
    <cfRule type="cellIs" dxfId="1836" priority="2575" operator="equal">
      <formula>"Borrador"</formula>
    </cfRule>
  </conditionalFormatting>
  <conditionalFormatting sqref="H727">
    <cfRule type="cellIs" dxfId="1835" priority="2574" operator="equal">
      <formula>"Rechazado"</formula>
    </cfRule>
  </conditionalFormatting>
  <conditionalFormatting sqref="H727">
    <cfRule type="cellIs" dxfId="1834" priority="2573" operator="equal">
      <formula>"Terminado"</formula>
    </cfRule>
  </conditionalFormatting>
  <conditionalFormatting sqref="F727">
    <cfRule type="cellIs" dxfId="1833" priority="2563" operator="equal">
      <formula>"APLAZADO"</formula>
    </cfRule>
    <cfRule type="cellIs" dxfId="1832" priority="2564" operator="equal">
      <formula>"CANCELADO"</formula>
    </cfRule>
    <cfRule type="cellIs" dxfId="1831" priority="2565" operator="equal">
      <formula>"NO EJECUTADO"</formula>
    </cfRule>
    <cfRule type="cellIs" dxfId="1830" priority="2566" operator="equal">
      <formula>"FPE"</formula>
    </cfRule>
    <cfRule type="cellIs" dxfId="1829" priority="2567" operator="equal">
      <formula>"AMA"</formula>
    </cfRule>
    <cfRule type="cellIs" dxfId="1828" priority="2568" operator="equal">
      <formula>"SIN DATOS"</formula>
    </cfRule>
    <cfRule type="cellIs" dxfId="1827" priority="2569" operator="equal">
      <formula>"SIN DATOS"</formula>
    </cfRule>
    <cfRule type="cellIs" dxfId="1826" priority="2570" operator="equal">
      <formula>"NO EJECTUTADO"</formula>
    </cfRule>
    <cfRule type="cellIs" dxfId="1825" priority="2571" operator="equal">
      <formula>"FE"</formula>
    </cfRule>
    <cfRule type="cellIs" dxfId="1824" priority="2572" operator="equal">
      <formula>"FE"</formula>
    </cfRule>
  </conditionalFormatting>
  <conditionalFormatting sqref="F727">
    <cfRule type="cellIs" dxfId="1823" priority="2561" operator="equal">
      <formula>"Retirado"</formula>
    </cfRule>
    <cfRule type="cellIs" dxfId="1822" priority="2562" operator="equal">
      <formula>"FSE"</formula>
    </cfRule>
  </conditionalFormatting>
  <conditionalFormatting sqref="H851">
    <cfRule type="cellIs" dxfId="1821" priority="2557" operator="equal">
      <formula>"Programado para aprobación"</formula>
    </cfRule>
    <cfRule type="cellIs" dxfId="1820" priority="2558" operator="equal">
      <formula>"Cerrado"</formula>
    </cfRule>
    <cfRule type="cellIs" dxfId="1819" priority="2559" operator="equal">
      <formula>"Programado"</formula>
    </cfRule>
    <cfRule type="cellIs" dxfId="1818" priority="2560" operator="equal">
      <formula>"Implantación en curso"</formula>
    </cfRule>
  </conditionalFormatting>
  <conditionalFormatting sqref="H851">
    <cfRule type="cellIs" dxfId="1817" priority="2556" operator="equal">
      <formula>"Borrador"</formula>
    </cfRule>
  </conditionalFormatting>
  <conditionalFormatting sqref="H851">
    <cfRule type="cellIs" dxfId="1816" priority="2555" operator="equal">
      <formula>"Rechazado"</formula>
    </cfRule>
  </conditionalFormatting>
  <conditionalFormatting sqref="H851">
    <cfRule type="cellIs" dxfId="1815" priority="2554" operator="equal">
      <formula>"Terminado"</formula>
    </cfRule>
  </conditionalFormatting>
  <conditionalFormatting sqref="I851">
    <cfRule type="cellIs" dxfId="1814" priority="2550" operator="equal">
      <formula>"Programado para aprobación"</formula>
    </cfRule>
    <cfRule type="cellIs" dxfId="1813" priority="2551" operator="equal">
      <formula>"Cerrado"</formula>
    </cfRule>
    <cfRule type="cellIs" dxfId="1812" priority="2552" operator="equal">
      <formula>"Programado"</formula>
    </cfRule>
    <cfRule type="cellIs" dxfId="1811" priority="2553" operator="equal">
      <formula>"Implantación en curso"</formula>
    </cfRule>
  </conditionalFormatting>
  <conditionalFormatting sqref="I851">
    <cfRule type="cellIs" dxfId="1810" priority="2549" operator="equal">
      <formula>"Borrador"</formula>
    </cfRule>
  </conditionalFormatting>
  <conditionalFormatting sqref="I851">
    <cfRule type="cellIs" dxfId="1809" priority="2548" operator="equal">
      <formula>"Rechazado"</formula>
    </cfRule>
  </conditionalFormatting>
  <conditionalFormatting sqref="I851">
    <cfRule type="cellIs" dxfId="1808" priority="2547" operator="equal">
      <formula>"Terminado"</formula>
    </cfRule>
  </conditionalFormatting>
  <conditionalFormatting sqref="Q851 Q853">
    <cfRule type="duplicateValues" dxfId="1807" priority="2539"/>
  </conditionalFormatting>
  <conditionalFormatting sqref="Q851">
    <cfRule type="duplicateValues" dxfId="1806" priority="2538"/>
  </conditionalFormatting>
  <conditionalFormatting sqref="H708">
    <cfRule type="duplicateValues" dxfId="1805" priority="2530"/>
  </conditionalFormatting>
  <conditionalFormatting sqref="F708">
    <cfRule type="cellIs" dxfId="1804" priority="2513" operator="equal">
      <formula>"APLAZADO"</formula>
    </cfRule>
    <cfRule type="cellIs" dxfId="1803" priority="2514" operator="equal">
      <formula>"CANCELADO"</formula>
    </cfRule>
    <cfRule type="cellIs" dxfId="1802" priority="2515" operator="equal">
      <formula>"NO EJECUTADO"</formula>
    </cfRule>
    <cfRule type="cellIs" dxfId="1801" priority="2516" operator="equal">
      <formula>"FPE"</formula>
    </cfRule>
    <cfRule type="cellIs" dxfId="1800" priority="2517" operator="equal">
      <formula>"AMA"</formula>
    </cfRule>
    <cfRule type="cellIs" dxfId="1799" priority="2518" operator="equal">
      <formula>"SIN DATOS"</formula>
    </cfRule>
    <cfRule type="cellIs" dxfId="1798" priority="2519" operator="equal">
      <formula>"SIN DATOS"</formula>
    </cfRule>
    <cfRule type="cellIs" dxfId="1797" priority="2520" operator="equal">
      <formula>"NO EJECTUTADO"</formula>
    </cfRule>
    <cfRule type="cellIs" dxfId="1796" priority="2521" operator="equal">
      <formula>"FE"</formula>
    </cfRule>
    <cfRule type="cellIs" dxfId="1795" priority="2522" operator="equal">
      <formula>"FE"</formula>
    </cfRule>
  </conditionalFormatting>
  <conditionalFormatting sqref="F708">
    <cfRule type="cellIs" dxfId="1794" priority="2511" operator="equal">
      <formula>"Retirado"</formula>
    </cfRule>
    <cfRule type="cellIs" dxfId="1793" priority="2512" operator="equal">
      <formula>"FSE"</formula>
    </cfRule>
  </conditionalFormatting>
  <conditionalFormatting sqref="Q1089:Q1048576 Q851 Q846 Q853:Q854 Q842:Q844 Q628:Q702 Q869:Q872 Q769:Q813 Q921:Q923 Q704:Q749 Q751:Q767 Q1:Q623 Q1000:Q1001 Q857:Q866 Q876:Q881 Q1003 Q939:Q943 Q928 Q945:Q949 Q930 Q932:Q933 Q1005:Q1009 Q815:Q840 Q951:Q998 Q1012:Q1029">
    <cfRule type="duplicateValues" dxfId="1792" priority="2510"/>
  </conditionalFormatting>
  <conditionalFormatting sqref="H848">
    <cfRule type="cellIs" dxfId="1791" priority="2506" operator="equal">
      <formula>"Programado para aprobación"</formula>
    </cfRule>
    <cfRule type="cellIs" dxfId="1790" priority="2507" operator="equal">
      <formula>"Cerrado"</formula>
    </cfRule>
    <cfRule type="cellIs" dxfId="1789" priority="2508" operator="equal">
      <formula>"Programado"</formula>
    </cfRule>
    <cfRule type="cellIs" dxfId="1788" priority="2509" operator="equal">
      <formula>"Implantación en curso"</formula>
    </cfRule>
  </conditionalFormatting>
  <conditionalFormatting sqref="H848">
    <cfRule type="cellIs" dxfId="1787" priority="2505" operator="equal">
      <formula>"Borrador"</formula>
    </cfRule>
  </conditionalFormatting>
  <conditionalFormatting sqref="H848">
    <cfRule type="cellIs" dxfId="1786" priority="2504" operator="equal">
      <formula>"Rechazado"</formula>
    </cfRule>
  </conditionalFormatting>
  <conditionalFormatting sqref="H848">
    <cfRule type="cellIs" dxfId="1785" priority="2503" operator="equal">
      <formula>"Terminado"</formula>
    </cfRule>
  </conditionalFormatting>
  <conditionalFormatting sqref="I848">
    <cfRule type="cellIs" dxfId="1784" priority="2499" operator="equal">
      <formula>"Programado para aprobación"</formula>
    </cfRule>
    <cfRule type="cellIs" dxfId="1783" priority="2500" operator="equal">
      <formula>"Cerrado"</formula>
    </cfRule>
    <cfRule type="cellIs" dxfId="1782" priority="2501" operator="equal">
      <formula>"Programado"</formula>
    </cfRule>
    <cfRule type="cellIs" dxfId="1781" priority="2502" operator="equal">
      <formula>"Implantación en curso"</formula>
    </cfRule>
  </conditionalFormatting>
  <conditionalFormatting sqref="I848">
    <cfRule type="cellIs" dxfId="1780" priority="2498" operator="equal">
      <formula>"Borrador"</formula>
    </cfRule>
  </conditionalFormatting>
  <conditionalFormatting sqref="I848">
    <cfRule type="cellIs" dxfId="1779" priority="2497" operator="equal">
      <formula>"Rechazado"</formula>
    </cfRule>
  </conditionalFormatting>
  <conditionalFormatting sqref="I848">
    <cfRule type="cellIs" dxfId="1778" priority="2496" operator="equal">
      <formula>"Terminado"</formula>
    </cfRule>
  </conditionalFormatting>
  <conditionalFormatting sqref="Q848">
    <cfRule type="duplicateValues" dxfId="1777" priority="2488"/>
  </conditionalFormatting>
  <conditionalFormatting sqref="Q848">
    <cfRule type="duplicateValues" dxfId="1776" priority="2487"/>
  </conditionalFormatting>
  <conditionalFormatting sqref="Q848">
    <cfRule type="duplicateValues" dxfId="1775" priority="2486"/>
  </conditionalFormatting>
  <conditionalFormatting sqref="H853">
    <cfRule type="cellIs" dxfId="1774" priority="2482" operator="equal">
      <formula>"Programado para aprobación"</formula>
    </cfRule>
    <cfRule type="cellIs" dxfId="1773" priority="2483" operator="equal">
      <formula>"Cerrado"</formula>
    </cfRule>
    <cfRule type="cellIs" dxfId="1772" priority="2484" operator="equal">
      <formula>"Programado"</formula>
    </cfRule>
    <cfRule type="cellIs" dxfId="1771" priority="2485" operator="equal">
      <formula>"Implantación en curso"</formula>
    </cfRule>
  </conditionalFormatting>
  <conditionalFormatting sqref="H853">
    <cfRule type="cellIs" dxfId="1770" priority="2481" operator="equal">
      <formula>"Borrador"</formula>
    </cfRule>
  </conditionalFormatting>
  <conditionalFormatting sqref="H853">
    <cfRule type="cellIs" dxfId="1769" priority="2480" operator="equal">
      <formula>"Rechazado"</formula>
    </cfRule>
  </conditionalFormatting>
  <conditionalFormatting sqref="H853">
    <cfRule type="cellIs" dxfId="1768" priority="2479" operator="equal">
      <formula>"Terminado"</formula>
    </cfRule>
  </conditionalFormatting>
  <conditionalFormatting sqref="I853">
    <cfRule type="cellIs" dxfId="1767" priority="2475" operator="equal">
      <formula>"Programado para aprobación"</formula>
    </cfRule>
    <cfRule type="cellIs" dxfId="1766" priority="2476" operator="equal">
      <formula>"Cerrado"</formula>
    </cfRule>
    <cfRule type="cellIs" dxfId="1765" priority="2477" operator="equal">
      <formula>"Programado"</formula>
    </cfRule>
    <cfRule type="cellIs" dxfId="1764" priority="2478" operator="equal">
      <formula>"Implantación en curso"</formula>
    </cfRule>
  </conditionalFormatting>
  <conditionalFormatting sqref="I853">
    <cfRule type="cellIs" dxfId="1763" priority="2474" operator="equal">
      <formula>"Borrador"</formula>
    </cfRule>
  </conditionalFormatting>
  <conditionalFormatting sqref="I853">
    <cfRule type="cellIs" dxfId="1762" priority="2473" operator="equal">
      <formula>"Rechazado"</formula>
    </cfRule>
  </conditionalFormatting>
  <conditionalFormatting sqref="I853">
    <cfRule type="cellIs" dxfId="1761" priority="2472" operator="equal">
      <formula>"Terminado"</formula>
    </cfRule>
  </conditionalFormatting>
  <conditionalFormatting sqref="Q853">
    <cfRule type="duplicateValues" dxfId="1760" priority="2464"/>
  </conditionalFormatting>
  <conditionalFormatting sqref="Q853">
    <cfRule type="duplicateValues" dxfId="1759" priority="2463"/>
  </conditionalFormatting>
  <conditionalFormatting sqref="H845">
    <cfRule type="cellIs" dxfId="1758" priority="2459" operator="equal">
      <formula>"Programado para aprobación"</formula>
    </cfRule>
    <cfRule type="cellIs" dxfId="1757" priority="2460" operator="equal">
      <formula>"Cerrado"</formula>
    </cfRule>
    <cfRule type="cellIs" dxfId="1756" priority="2461" operator="equal">
      <formula>"Programado"</formula>
    </cfRule>
    <cfRule type="cellIs" dxfId="1755" priority="2462" operator="equal">
      <formula>"Implantación en curso"</formula>
    </cfRule>
  </conditionalFormatting>
  <conditionalFormatting sqref="H845">
    <cfRule type="cellIs" dxfId="1754" priority="2458" operator="equal">
      <formula>"Borrador"</formula>
    </cfRule>
  </conditionalFormatting>
  <conditionalFormatting sqref="H845">
    <cfRule type="cellIs" dxfId="1753" priority="2457" operator="equal">
      <formula>"Rechazado"</formula>
    </cfRule>
  </conditionalFormatting>
  <conditionalFormatting sqref="H845">
    <cfRule type="cellIs" dxfId="1752" priority="2456" operator="equal">
      <formula>"Terminado"</formula>
    </cfRule>
  </conditionalFormatting>
  <conditionalFormatting sqref="I845">
    <cfRule type="cellIs" dxfId="1751" priority="2452" operator="equal">
      <formula>"Programado para aprobación"</formula>
    </cfRule>
    <cfRule type="cellIs" dxfId="1750" priority="2453" operator="equal">
      <formula>"Cerrado"</formula>
    </cfRule>
    <cfRule type="cellIs" dxfId="1749" priority="2454" operator="equal">
      <formula>"Programado"</formula>
    </cfRule>
    <cfRule type="cellIs" dxfId="1748" priority="2455" operator="equal">
      <formula>"Implantación en curso"</formula>
    </cfRule>
  </conditionalFormatting>
  <conditionalFormatting sqref="I845">
    <cfRule type="cellIs" dxfId="1747" priority="2451" operator="equal">
      <formula>"Borrador"</formula>
    </cfRule>
  </conditionalFormatting>
  <conditionalFormatting sqref="I845">
    <cfRule type="cellIs" dxfId="1746" priority="2450" operator="equal">
      <formula>"Rechazado"</formula>
    </cfRule>
  </conditionalFormatting>
  <conditionalFormatting sqref="I845">
    <cfRule type="cellIs" dxfId="1745" priority="2449" operator="equal">
      <formula>"Terminado"</formula>
    </cfRule>
  </conditionalFormatting>
  <conditionalFormatting sqref="Q845">
    <cfRule type="duplicateValues" dxfId="1744" priority="2441"/>
  </conditionalFormatting>
  <conditionalFormatting sqref="Q845">
    <cfRule type="duplicateValues" dxfId="1743" priority="2440"/>
  </conditionalFormatting>
  <conditionalFormatting sqref="Q845">
    <cfRule type="duplicateValues" dxfId="1742" priority="2439"/>
  </conditionalFormatting>
  <conditionalFormatting sqref="Q855:Q856">
    <cfRule type="duplicateValues" dxfId="1741" priority="2424"/>
  </conditionalFormatting>
  <conditionalFormatting sqref="Q855:Q856">
    <cfRule type="duplicateValues" dxfId="1740" priority="2423"/>
  </conditionalFormatting>
  <conditionalFormatting sqref="H855:H856">
    <cfRule type="cellIs" dxfId="1739" priority="2419" operator="equal">
      <formula>"Programado para aprobación"</formula>
    </cfRule>
    <cfRule type="cellIs" dxfId="1738" priority="2420" operator="equal">
      <formula>"Cerrado"</formula>
    </cfRule>
    <cfRule type="cellIs" dxfId="1737" priority="2421" operator="equal">
      <formula>"Programado"</formula>
    </cfRule>
    <cfRule type="cellIs" dxfId="1736" priority="2422" operator="equal">
      <formula>"Implantación en curso"</formula>
    </cfRule>
  </conditionalFormatting>
  <conditionalFormatting sqref="H855:H856">
    <cfRule type="cellIs" dxfId="1735" priority="2418" operator="equal">
      <formula>"Borrador"</formula>
    </cfRule>
  </conditionalFormatting>
  <conditionalFormatting sqref="H855:H856">
    <cfRule type="cellIs" dxfId="1734" priority="2417" operator="equal">
      <formula>"Rechazado"</formula>
    </cfRule>
  </conditionalFormatting>
  <conditionalFormatting sqref="H855:H856">
    <cfRule type="cellIs" dxfId="1733" priority="2416" operator="equal">
      <formula>"Terminado"</formula>
    </cfRule>
  </conditionalFormatting>
  <conditionalFormatting sqref="I855">
    <cfRule type="cellIs" dxfId="1732" priority="2412" operator="equal">
      <formula>"Programado para aprobación"</formula>
    </cfRule>
    <cfRule type="cellIs" dxfId="1731" priority="2413" operator="equal">
      <formula>"Cerrado"</formula>
    </cfRule>
    <cfRule type="cellIs" dxfId="1730" priority="2414" operator="equal">
      <formula>"Programado"</formula>
    </cfRule>
    <cfRule type="cellIs" dxfId="1729" priority="2415" operator="equal">
      <formula>"Implantación en curso"</formula>
    </cfRule>
  </conditionalFormatting>
  <conditionalFormatting sqref="I855">
    <cfRule type="cellIs" dxfId="1728" priority="2411" operator="equal">
      <formula>"Borrador"</formula>
    </cfRule>
  </conditionalFormatting>
  <conditionalFormatting sqref="I855">
    <cfRule type="cellIs" dxfId="1727" priority="2410" operator="equal">
      <formula>"Rechazado"</formula>
    </cfRule>
  </conditionalFormatting>
  <conditionalFormatting sqref="I855">
    <cfRule type="cellIs" dxfId="1726" priority="2409" operator="equal">
      <formula>"Terminado"</formula>
    </cfRule>
  </conditionalFormatting>
  <conditionalFormatting sqref="Q855:Q856">
    <cfRule type="duplicateValues" dxfId="1725" priority="2401"/>
  </conditionalFormatting>
  <conditionalFormatting sqref="H869">
    <cfRule type="cellIs" dxfId="1724" priority="2397" operator="equal">
      <formula>"Programado para aprobación"</formula>
    </cfRule>
    <cfRule type="cellIs" dxfId="1723" priority="2398" operator="equal">
      <formula>"Cerrado"</formula>
    </cfRule>
    <cfRule type="cellIs" dxfId="1722" priority="2399" operator="equal">
      <formula>"Programado"</formula>
    </cfRule>
    <cfRule type="cellIs" dxfId="1721" priority="2400" operator="equal">
      <formula>"Implantación en curso"</formula>
    </cfRule>
  </conditionalFormatting>
  <conditionalFormatting sqref="H869">
    <cfRule type="cellIs" dxfId="1720" priority="2396" operator="equal">
      <formula>"Borrador"</formula>
    </cfRule>
  </conditionalFormatting>
  <conditionalFormatting sqref="H869">
    <cfRule type="cellIs" dxfId="1719" priority="2395" operator="equal">
      <formula>"Rechazado"</formula>
    </cfRule>
  </conditionalFormatting>
  <conditionalFormatting sqref="H869">
    <cfRule type="cellIs" dxfId="1718" priority="2394" operator="equal">
      <formula>"Terminado"</formula>
    </cfRule>
  </conditionalFormatting>
  <conditionalFormatting sqref="I869">
    <cfRule type="cellIs" dxfId="1717" priority="2390" operator="equal">
      <formula>"Programado para aprobación"</formula>
    </cfRule>
    <cfRule type="cellIs" dxfId="1716" priority="2391" operator="equal">
      <formula>"Cerrado"</formula>
    </cfRule>
    <cfRule type="cellIs" dxfId="1715" priority="2392" operator="equal">
      <formula>"Programado"</formula>
    </cfRule>
    <cfRule type="cellIs" dxfId="1714" priority="2393" operator="equal">
      <formula>"Implantación en curso"</formula>
    </cfRule>
  </conditionalFormatting>
  <conditionalFormatting sqref="I869">
    <cfRule type="cellIs" dxfId="1713" priority="2389" operator="equal">
      <formula>"Borrador"</formula>
    </cfRule>
  </conditionalFormatting>
  <conditionalFormatting sqref="I869">
    <cfRule type="cellIs" dxfId="1712" priority="2388" operator="equal">
      <formula>"Rechazado"</formula>
    </cfRule>
  </conditionalFormatting>
  <conditionalFormatting sqref="I869">
    <cfRule type="cellIs" dxfId="1711" priority="2387" operator="equal">
      <formula>"Terminado"</formula>
    </cfRule>
  </conditionalFormatting>
  <conditionalFormatting sqref="Q852">
    <cfRule type="duplicateValues" dxfId="1710" priority="2379"/>
  </conditionalFormatting>
  <conditionalFormatting sqref="Q852">
    <cfRule type="duplicateValues" dxfId="1709" priority="2378"/>
  </conditionalFormatting>
  <conditionalFormatting sqref="Q852">
    <cfRule type="duplicateValues" dxfId="1708" priority="2377"/>
  </conditionalFormatting>
  <conditionalFormatting sqref="H852">
    <cfRule type="cellIs" dxfId="1707" priority="2373" operator="equal">
      <formula>"Programado para aprobación"</formula>
    </cfRule>
    <cfRule type="cellIs" dxfId="1706" priority="2374" operator="equal">
      <formula>"Cerrado"</formula>
    </cfRule>
    <cfRule type="cellIs" dxfId="1705" priority="2375" operator="equal">
      <formula>"Programado"</formula>
    </cfRule>
    <cfRule type="cellIs" dxfId="1704" priority="2376" operator="equal">
      <formula>"Implantación en curso"</formula>
    </cfRule>
  </conditionalFormatting>
  <conditionalFormatting sqref="H852">
    <cfRule type="cellIs" dxfId="1703" priority="2372" operator="equal">
      <formula>"Borrador"</formula>
    </cfRule>
  </conditionalFormatting>
  <conditionalFormatting sqref="H852">
    <cfRule type="cellIs" dxfId="1702" priority="2371" operator="equal">
      <formula>"Rechazado"</formula>
    </cfRule>
  </conditionalFormatting>
  <conditionalFormatting sqref="H852">
    <cfRule type="cellIs" dxfId="1701" priority="2370" operator="equal">
      <formula>"Terminado"</formula>
    </cfRule>
  </conditionalFormatting>
  <conditionalFormatting sqref="I852">
    <cfRule type="cellIs" dxfId="1700" priority="2366" operator="equal">
      <formula>"Programado para aprobación"</formula>
    </cfRule>
    <cfRule type="cellIs" dxfId="1699" priority="2367" operator="equal">
      <formula>"Cerrado"</formula>
    </cfRule>
    <cfRule type="cellIs" dxfId="1698" priority="2368" operator="equal">
      <formula>"Programado"</formula>
    </cfRule>
    <cfRule type="cellIs" dxfId="1697" priority="2369" operator="equal">
      <formula>"Implantación en curso"</formula>
    </cfRule>
  </conditionalFormatting>
  <conditionalFormatting sqref="I852">
    <cfRule type="cellIs" dxfId="1696" priority="2365" operator="equal">
      <formula>"Borrador"</formula>
    </cfRule>
  </conditionalFormatting>
  <conditionalFormatting sqref="I852">
    <cfRule type="cellIs" dxfId="1695" priority="2364" operator="equal">
      <formula>"Rechazado"</formula>
    </cfRule>
  </conditionalFormatting>
  <conditionalFormatting sqref="I852">
    <cfRule type="cellIs" dxfId="1694" priority="2363" operator="equal">
      <formula>"Terminado"</formula>
    </cfRule>
  </conditionalFormatting>
  <conditionalFormatting sqref="Q852">
    <cfRule type="duplicateValues" dxfId="1693" priority="2355"/>
  </conditionalFormatting>
  <conditionalFormatting sqref="Q852">
    <cfRule type="duplicateValues" dxfId="1692" priority="2354"/>
  </conditionalFormatting>
  <conditionalFormatting sqref="H807">
    <cfRule type="cellIs" dxfId="1691" priority="2329" operator="equal">
      <formula>"Programado para aprobación"</formula>
    </cfRule>
    <cfRule type="cellIs" dxfId="1690" priority="2330" operator="equal">
      <formula>"Cerrado"</formula>
    </cfRule>
    <cfRule type="cellIs" dxfId="1689" priority="2331" operator="equal">
      <formula>"Programado"</formula>
    </cfRule>
    <cfRule type="cellIs" dxfId="1688" priority="2332" operator="equal">
      <formula>"Implantación en curso"</formula>
    </cfRule>
  </conditionalFormatting>
  <conditionalFormatting sqref="H807">
    <cfRule type="cellIs" dxfId="1687" priority="2328" operator="equal">
      <formula>"Borrador"</formula>
    </cfRule>
  </conditionalFormatting>
  <conditionalFormatting sqref="H807">
    <cfRule type="cellIs" dxfId="1686" priority="2327" operator="equal">
      <formula>"Rechazado"</formula>
    </cfRule>
  </conditionalFormatting>
  <conditionalFormatting sqref="H807">
    <cfRule type="cellIs" dxfId="1685" priority="2326" operator="equal">
      <formula>"Terminado"</formula>
    </cfRule>
  </conditionalFormatting>
  <conditionalFormatting sqref="H808">
    <cfRule type="cellIs" dxfId="1684" priority="2308" operator="equal">
      <formula>"Programado para aprobación"</formula>
    </cfRule>
    <cfRule type="cellIs" dxfId="1683" priority="2309" operator="equal">
      <formula>"Cerrado"</formula>
    </cfRule>
    <cfRule type="cellIs" dxfId="1682" priority="2310" operator="equal">
      <formula>"Programado"</formula>
    </cfRule>
    <cfRule type="cellIs" dxfId="1681" priority="2311" operator="equal">
      <formula>"Implantación en curso"</formula>
    </cfRule>
  </conditionalFormatting>
  <conditionalFormatting sqref="H808">
    <cfRule type="cellIs" dxfId="1680" priority="2307" operator="equal">
      <formula>"Borrador"</formula>
    </cfRule>
  </conditionalFormatting>
  <conditionalFormatting sqref="H808">
    <cfRule type="cellIs" dxfId="1679" priority="2306" operator="equal">
      <formula>"Rechazado"</formula>
    </cfRule>
  </conditionalFormatting>
  <conditionalFormatting sqref="H808">
    <cfRule type="cellIs" dxfId="1678" priority="2305" operator="equal">
      <formula>"Terminado"</formula>
    </cfRule>
  </conditionalFormatting>
  <conditionalFormatting sqref="F808">
    <cfRule type="cellIs" dxfId="1677" priority="2288" operator="equal">
      <formula>"APLAZADO"</formula>
    </cfRule>
    <cfRule type="cellIs" dxfId="1676" priority="2289" operator="equal">
      <formula>"CANCELADO"</formula>
    </cfRule>
    <cfRule type="cellIs" dxfId="1675" priority="2290" operator="equal">
      <formula>"NO EJECUTADO"</formula>
    </cfRule>
    <cfRule type="cellIs" dxfId="1674" priority="2291" operator="equal">
      <formula>"FPE"</formula>
    </cfRule>
    <cfRule type="cellIs" dxfId="1673" priority="2292" operator="equal">
      <formula>"AMA"</formula>
    </cfRule>
    <cfRule type="cellIs" dxfId="1672" priority="2293" operator="equal">
      <formula>"SIN DATOS"</formula>
    </cfRule>
    <cfRule type="cellIs" dxfId="1671" priority="2294" operator="equal">
      <formula>"SIN DATOS"</formula>
    </cfRule>
    <cfRule type="cellIs" dxfId="1670" priority="2295" operator="equal">
      <formula>"NO EJECTUTADO"</formula>
    </cfRule>
    <cfRule type="cellIs" dxfId="1669" priority="2296" operator="equal">
      <formula>"FE"</formula>
    </cfRule>
    <cfRule type="cellIs" dxfId="1668" priority="2297" operator="equal">
      <formula>"FE"</formula>
    </cfRule>
  </conditionalFormatting>
  <conditionalFormatting sqref="F808">
    <cfRule type="cellIs" dxfId="1667" priority="2286" operator="equal">
      <formula>"Retirado"</formula>
    </cfRule>
    <cfRule type="cellIs" dxfId="1666" priority="2287" operator="equal">
      <formula>"FSE"</formula>
    </cfRule>
  </conditionalFormatting>
  <conditionalFormatting sqref="H867">
    <cfRule type="cellIs" dxfId="1665" priority="2279" operator="equal">
      <formula>"Programado para aprobación"</formula>
    </cfRule>
    <cfRule type="cellIs" dxfId="1664" priority="2280" operator="equal">
      <formula>"Cerrado"</formula>
    </cfRule>
    <cfRule type="cellIs" dxfId="1663" priority="2281" operator="equal">
      <formula>"Programado"</formula>
    </cfRule>
    <cfRule type="cellIs" dxfId="1662" priority="2282" operator="equal">
      <formula>"Implantación en curso"</formula>
    </cfRule>
  </conditionalFormatting>
  <conditionalFormatting sqref="H867">
    <cfRule type="cellIs" dxfId="1661" priority="2278" operator="equal">
      <formula>"Borrador"</formula>
    </cfRule>
  </conditionalFormatting>
  <conditionalFormatting sqref="H867">
    <cfRule type="cellIs" dxfId="1660" priority="2277" operator="equal">
      <formula>"Rechazado"</formula>
    </cfRule>
  </conditionalFormatting>
  <conditionalFormatting sqref="H867">
    <cfRule type="cellIs" dxfId="1659" priority="2276" operator="equal">
      <formula>"Terminado"</formula>
    </cfRule>
  </conditionalFormatting>
  <conditionalFormatting sqref="I867">
    <cfRule type="cellIs" dxfId="1658" priority="2272" operator="equal">
      <formula>"Programado para aprobación"</formula>
    </cfRule>
    <cfRule type="cellIs" dxfId="1657" priority="2273" operator="equal">
      <formula>"Cerrado"</formula>
    </cfRule>
    <cfRule type="cellIs" dxfId="1656" priority="2274" operator="equal">
      <formula>"Programado"</formula>
    </cfRule>
    <cfRule type="cellIs" dxfId="1655" priority="2275" operator="equal">
      <formula>"Implantación en curso"</formula>
    </cfRule>
  </conditionalFormatting>
  <conditionalFormatting sqref="I867">
    <cfRule type="cellIs" dxfId="1654" priority="2271" operator="equal">
      <formula>"Borrador"</formula>
    </cfRule>
  </conditionalFormatting>
  <conditionalFormatting sqref="I867">
    <cfRule type="cellIs" dxfId="1653" priority="2270" operator="equal">
      <formula>"Rechazado"</formula>
    </cfRule>
  </conditionalFormatting>
  <conditionalFormatting sqref="I867">
    <cfRule type="cellIs" dxfId="1652" priority="2269" operator="equal">
      <formula>"Terminado"</formula>
    </cfRule>
  </conditionalFormatting>
  <conditionalFormatting sqref="H899:H908 H911:H912">
    <cfRule type="cellIs" dxfId="1651" priority="2258" operator="equal">
      <formula>"Programado para aprobación"</formula>
    </cfRule>
    <cfRule type="cellIs" dxfId="1650" priority="2259" operator="equal">
      <formula>"Cerrado"</formula>
    </cfRule>
    <cfRule type="cellIs" dxfId="1649" priority="2260" operator="equal">
      <formula>"Programado"</formula>
    </cfRule>
    <cfRule type="cellIs" dxfId="1648" priority="2261" operator="equal">
      <formula>"Implantación en curso"</formula>
    </cfRule>
  </conditionalFormatting>
  <conditionalFormatting sqref="H899:H908 H911:H912">
    <cfRule type="cellIs" dxfId="1647" priority="2257" operator="equal">
      <formula>"Borrador"</formula>
    </cfRule>
  </conditionalFormatting>
  <conditionalFormatting sqref="H899:H908 H911:H912">
    <cfRule type="cellIs" dxfId="1646" priority="2256" operator="equal">
      <formula>"Rechazado"</formula>
    </cfRule>
  </conditionalFormatting>
  <conditionalFormatting sqref="H899:H908 H911:H912">
    <cfRule type="cellIs" dxfId="1645" priority="2255" operator="equal">
      <formula>"Terminado"</formula>
    </cfRule>
  </conditionalFormatting>
  <conditionalFormatting sqref="I899">
    <cfRule type="cellIs" dxfId="1644" priority="2251" operator="equal">
      <formula>"Programado para aprobación"</formula>
    </cfRule>
    <cfRule type="cellIs" dxfId="1643" priority="2252" operator="equal">
      <formula>"Cerrado"</formula>
    </cfRule>
    <cfRule type="cellIs" dxfId="1642" priority="2253" operator="equal">
      <formula>"Programado"</formula>
    </cfRule>
    <cfRule type="cellIs" dxfId="1641" priority="2254" operator="equal">
      <formula>"Implantación en curso"</formula>
    </cfRule>
  </conditionalFormatting>
  <conditionalFormatting sqref="I899">
    <cfRule type="cellIs" dxfId="1640" priority="2250" operator="equal">
      <formula>"Borrador"</formula>
    </cfRule>
  </conditionalFormatting>
  <conditionalFormatting sqref="I899">
    <cfRule type="cellIs" dxfId="1639" priority="2249" operator="equal">
      <formula>"Rechazado"</formula>
    </cfRule>
  </conditionalFormatting>
  <conditionalFormatting sqref="I899">
    <cfRule type="cellIs" dxfId="1638" priority="2248" operator="equal">
      <formula>"Terminado"</formula>
    </cfRule>
  </conditionalFormatting>
  <conditionalFormatting sqref="Q905 Q907:Q908 Q911:Q912">
    <cfRule type="duplicateValues" dxfId="1637" priority="2240"/>
  </conditionalFormatting>
  <conditionalFormatting sqref="Q905">
    <cfRule type="duplicateValues" dxfId="1636" priority="2239"/>
  </conditionalFormatting>
  <conditionalFormatting sqref="Q905">
    <cfRule type="duplicateValues" dxfId="1635" priority="2238"/>
  </conditionalFormatting>
  <conditionalFormatting sqref="H691">
    <cfRule type="duplicateValues" dxfId="1634" priority="2202"/>
  </conditionalFormatting>
  <conditionalFormatting sqref="F691">
    <cfRule type="cellIs" dxfId="1633" priority="2192" operator="equal">
      <formula>"APLAZADO"</formula>
    </cfRule>
    <cfRule type="cellIs" dxfId="1632" priority="2193" operator="equal">
      <formula>"CANCELADO"</formula>
    </cfRule>
    <cfRule type="cellIs" dxfId="1631" priority="2194" operator="equal">
      <formula>"NO EJECUTADO"</formula>
    </cfRule>
    <cfRule type="cellIs" dxfId="1630" priority="2195" operator="equal">
      <formula>"FPE"</formula>
    </cfRule>
    <cfRule type="cellIs" dxfId="1629" priority="2196" operator="equal">
      <formula>"AMA"</formula>
    </cfRule>
    <cfRule type="cellIs" dxfId="1628" priority="2197" operator="equal">
      <formula>"SIN DATOS"</formula>
    </cfRule>
    <cfRule type="cellIs" dxfId="1627" priority="2198" operator="equal">
      <formula>"SIN DATOS"</formula>
    </cfRule>
    <cfRule type="cellIs" dxfId="1626" priority="2199" operator="equal">
      <formula>"NO EJECTUTADO"</formula>
    </cfRule>
    <cfRule type="cellIs" dxfId="1625" priority="2200" operator="equal">
      <formula>"FE"</formula>
    </cfRule>
    <cfRule type="cellIs" dxfId="1624" priority="2201" operator="equal">
      <formula>"FE"</formula>
    </cfRule>
  </conditionalFormatting>
  <conditionalFormatting sqref="F691">
    <cfRule type="cellIs" dxfId="1623" priority="2190" operator="equal">
      <formula>"Retirado"</formula>
    </cfRule>
    <cfRule type="cellIs" dxfId="1622" priority="2191" operator="equal">
      <formula>"FSE"</formula>
    </cfRule>
  </conditionalFormatting>
  <conditionalFormatting sqref="H873:H875">
    <cfRule type="cellIs" dxfId="1621" priority="2179" operator="equal">
      <formula>"Programado para aprobación"</formula>
    </cfRule>
    <cfRule type="cellIs" dxfId="1620" priority="2180" operator="equal">
      <formula>"Cerrado"</formula>
    </cfRule>
    <cfRule type="cellIs" dxfId="1619" priority="2181" operator="equal">
      <formula>"Programado"</formula>
    </cfRule>
    <cfRule type="cellIs" dxfId="1618" priority="2182" operator="equal">
      <formula>"Implantación en curso"</formula>
    </cfRule>
  </conditionalFormatting>
  <conditionalFormatting sqref="H873:H875">
    <cfRule type="cellIs" dxfId="1617" priority="2178" operator="equal">
      <formula>"Borrador"</formula>
    </cfRule>
  </conditionalFormatting>
  <conditionalFormatting sqref="H873:H875">
    <cfRule type="cellIs" dxfId="1616" priority="2177" operator="equal">
      <formula>"Rechazado"</formula>
    </cfRule>
  </conditionalFormatting>
  <conditionalFormatting sqref="H873:H875">
    <cfRule type="cellIs" dxfId="1615" priority="2176" operator="equal">
      <formula>"Terminado"</formula>
    </cfRule>
  </conditionalFormatting>
  <conditionalFormatting sqref="Q867">
    <cfRule type="duplicateValues" dxfId="1614" priority="136995"/>
  </conditionalFormatting>
  <conditionalFormatting sqref="I873">
    <cfRule type="cellIs" dxfId="1613" priority="2172" operator="equal">
      <formula>"Programado para aprobación"</formula>
    </cfRule>
    <cfRule type="cellIs" dxfId="1612" priority="2173" operator="equal">
      <formula>"Cerrado"</formula>
    </cfRule>
    <cfRule type="cellIs" dxfId="1611" priority="2174" operator="equal">
      <formula>"Programado"</formula>
    </cfRule>
    <cfRule type="cellIs" dxfId="1610" priority="2175" operator="equal">
      <formula>"Implantación en curso"</formula>
    </cfRule>
  </conditionalFormatting>
  <conditionalFormatting sqref="I873">
    <cfRule type="cellIs" dxfId="1609" priority="2171" operator="equal">
      <formula>"Borrador"</formula>
    </cfRule>
  </conditionalFormatting>
  <conditionalFormatting sqref="I873">
    <cfRule type="cellIs" dxfId="1608" priority="2170" operator="equal">
      <formula>"Rechazado"</formula>
    </cfRule>
  </conditionalFormatting>
  <conditionalFormatting sqref="I873">
    <cfRule type="cellIs" dxfId="1607" priority="2169" operator="equal">
      <formula>"Terminado"</formula>
    </cfRule>
  </conditionalFormatting>
  <conditionalFormatting sqref="Q873:Q875">
    <cfRule type="duplicateValues" dxfId="1606" priority="2161"/>
  </conditionalFormatting>
  <conditionalFormatting sqref="Q873:Q875">
    <cfRule type="duplicateValues" dxfId="1605" priority="2160"/>
  </conditionalFormatting>
  <conditionalFormatting sqref="Q873:Q875">
    <cfRule type="duplicateValues" dxfId="1604" priority="2159"/>
  </conditionalFormatting>
  <conditionalFormatting sqref="Q999">
    <cfRule type="duplicateValues" dxfId="1603" priority="2151"/>
  </conditionalFormatting>
  <conditionalFormatting sqref="Q999">
    <cfRule type="duplicateValues" dxfId="1602" priority="2150"/>
  </conditionalFormatting>
  <conditionalFormatting sqref="Q999">
    <cfRule type="duplicateValues" dxfId="1601" priority="2149"/>
  </conditionalFormatting>
  <conditionalFormatting sqref="Q868">
    <cfRule type="duplicateValues" dxfId="1600" priority="2148"/>
  </conditionalFormatting>
  <conditionalFormatting sqref="Q868">
    <cfRule type="duplicateValues" dxfId="1599" priority="2147"/>
  </conditionalFormatting>
  <conditionalFormatting sqref="Q868">
    <cfRule type="duplicateValues" dxfId="1598" priority="2146"/>
  </conditionalFormatting>
  <conditionalFormatting sqref="H868">
    <cfRule type="cellIs" dxfId="1597" priority="2142" operator="equal">
      <formula>"Programado para aprobación"</formula>
    </cfRule>
    <cfRule type="cellIs" dxfId="1596" priority="2143" operator="equal">
      <formula>"Cerrado"</formula>
    </cfRule>
    <cfRule type="cellIs" dxfId="1595" priority="2144" operator="equal">
      <formula>"Programado"</formula>
    </cfRule>
    <cfRule type="cellIs" dxfId="1594" priority="2145" operator="equal">
      <formula>"Implantación en curso"</formula>
    </cfRule>
  </conditionalFormatting>
  <conditionalFormatting sqref="H868">
    <cfRule type="cellIs" dxfId="1593" priority="2141" operator="equal">
      <formula>"Borrador"</formula>
    </cfRule>
  </conditionalFormatting>
  <conditionalFormatting sqref="H868">
    <cfRule type="cellIs" dxfId="1592" priority="2140" operator="equal">
      <formula>"Rechazado"</formula>
    </cfRule>
  </conditionalFormatting>
  <conditionalFormatting sqref="H868">
    <cfRule type="cellIs" dxfId="1591" priority="2139" operator="equal">
      <formula>"Terminado"</formula>
    </cfRule>
  </conditionalFormatting>
  <conditionalFormatting sqref="I868">
    <cfRule type="cellIs" dxfId="1590" priority="2135" operator="equal">
      <formula>"Programado para aprobación"</formula>
    </cfRule>
    <cfRule type="cellIs" dxfId="1589" priority="2136" operator="equal">
      <formula>"Cerrado"</formula>
    </cfRule>
    <cfRule type="cellIs" dxfId="1588" priority="2137" operator="equal">
      <formula>"Programado"</formula>
    </cfRule>
    <cfRule type="cellIs" dxfId="1587" priority="2138" operator="equal">
      <formula>"Implantación en curso"</formula>
    </cfRule>
  </conditionalFormatting>
  <conditionalFormatting sqref="I868">
    <cfRule type="cellIs" dxfId="1586" priority="2134" operator="equal">
      <formula>"Borrador"</formula>
    </cfRule>
  </conditionalFormatting>
  <conditionalFormatting sqref="I868">
    <cfRule type="cellIs" dxfId="1585" priority="2133" operator="equal">
      <formula>"Rechazado"</formula>
    </cfRule>
  </conditionalFormatting>
  <conditionalFormatting sqref="I868">
    <cfRule type="cellIs" dxfId="1584" priority="2132" operator="equal">
      <formula>"Terminado"</formula>
    </cfRule>
  </conditionalFormatting>
  <conditionalFormatting sqref="H768">
    <cfRule type="cellIs" dxfId="1583" priority="2121" operator="equal">
      <formula>"Programado para aprobación"</formula>
    </cfRule>
    <cfRule type="cellIs" dxfId="1582" priority="2122" operator="equal">
      <formula>"Cerrado"</formula>
    </cfRule>
    <cfRule type="cellIs" dxfId="1581" priority="2123" operator="equal">
      <formula>"Programado"</formula>
    </cfRule>
    <cfRule type="cellIs" dxfId="1580" priority="2124" operator="equal">
      <formula>"Implantación en curso"</formula>
    </cfRule>
  </conditionalFormatting>
  <conditionalFormatting sqref="H768">
    <cfRule type="cellIs" dxfId="1579" priority="2120" operator="equal">
      <formula>"Borrador"</formula>
    </cfRule>
  </conditionalFormatting>
  <conditionalFormatting sqref="H768">
    <cfRule type="cellIs" dxfId="1578" priority="2119" operator="equal">
      <formula>"Rechazado"</formula>
    </cfRule>
  </conditionalFormatting>
  <conditionalFormatting sqref="H768">
    <cfRule type="cellIs" dxfId="1577" priority="2118" operator="equal">
      <formula>"Terminado"</formula>
    </cfRule>
  </conditionalFormatting>
  <conditionalFormatting sqref="F768">
    <cfRule type="cellIs" dxfId="1576" priority="2101" operator="equal">
      <formula>"APLAZADO"</formula>
    </cfRule>
    <cfRule type="cellIs" dxfId="1575" priority="2102" operator="equal">
      <formula>"CANCELADO"</formula>
    </cfRule>
    <cfRule type="cellIs" dxfId="1574" priority="2103" operator="equal">
      <formula>"NO EJECUTADO"</formula>
    </cfRule>
    <cfRule type="cellIs" dxfId="1573" priority="2104" operator="equal">
      <formula>"FPE"</formula>
    </cfRule>
    <cfRule type="cellIs" dxfId="1572" priority="2105" operator="equal">
      <formula>"AMA"</formula>
    </cfRule>
    <cfRule type="cellIs" dxfId="1571" priority="2106" operator="equal">
      <formula>"SIN DATOS"</formula>
    </cfRule>
    <cfRule type="cellIs" dxfId="1570" priority="2107" operator="equal">
      <formula>"SIN DATOS"</formula>
    </cfRule>
    <cfRule type="cellIs" dxfId="1569" priority="2108" operator="equal">
      <formula>"NO EJECTUTADO"</formula>
    </cfRule>
    <cfRule type="cellIs" dxfId="1568" priority="2109" operator="equal">
      <formula>"FE"</formula>
    </cfRule>
    <cfRule type="cellIs" dxfId="1567" priority="2110" operator="equal">
      <formula>"FE"</formula>
    </cfRule>
  </conditionalFormatting>
  <conditionalFormatting sqref="F768">
    <cfRule type="cellIs" dxfId="1566" priority="2099" operator="equal">
      <formula>"Retirado"</formula>
    </cfRule>
    <cfRule type="cellIs" dxfId="1565" priority="2100" operator="equal">
      <formula>"FSE"</formula>
    </cfRule>
  </conditionalFormatting>
  <conditionalFormatting sqref="Q768">
    <cfRule type="duplicateValues" dxfId="1564" priority="2098"/>
  </conditionalFormatting>
  <conditionalFormatting sqref="Q768">
    <cfRule type="duplicateValues" dxfId="1563" priority="2097"/>
  </conditionalFormatting>
  <conditionalFormatting sqref="Q768">
    <cfRule type="duplicateValues" dxfId="1562" priority="2096"/>
  </conditionalFormatting>
  <conditionalFormatting sqref="H913">
    <cfRule type="cellIs" dxfId="1561" priority="2092" operator="equal">
      <formula>"Programado para aprobación"</formula>
    </cfRule>
    <cfRule type="cellIs" dxfId="1560" priority="2093" operator="equal">
      <formula>"Cerrado"</formula>
    </cfRule>
    <cfRule type="cellIs" dxfId="1559" priority="2094" operator="equal">
      <formula>"Programado"</formula>
    </cfRule>
    <cfRule type="cellIs" dxfId="1558" priority="2095" operator="equal">
      <formula>"Implantación en curso"</formula>
    </cfRule>
  </conditionalFormatting>
  <conditionalFormatting sqref="H913">
    <cfRule type="cellIs" dxfId="1557" priority="2091" operator="equal">
      <formula>"Borrador"</formula>
    </cfRule>
  </conditionalFormatting>
  <conditionalFormatting sqref="H913">
    <cfRule type="cellIs" dxfId="1556" priority="2090" operator="equal">
      <formula>"Rechazado"</formula>
    </cfRule>
  </conditionalFormatting>
  <conditionalFormatting sqref="H913">
    <cfRule type="cellIs" dxfId="1555" priority="2089" operator="equal">
      <formula>"Terminado"</formula>
    </cfRule>
  </conditionalFormatting>
  <conditionalFormatting sqref="I913">
    <cfRule type="cellIs" dxfId="1554" priority="2085" operator="equal">
      <formula>"Programado para aprobación"</formula>
    </cfRule>
    <cfRule type="cellIs" dxfId="1553" priority="2086" operator="equal">
      <formula>"Cerrado"</formula>
    </cfRule>
    <cfRule type="cellIs" dxfId="1552" priority="2087" operator="equal">
      <formula>"Programado"</formula>
    </cfRule>
    <cfRule type="cellIs" dxfId="1551" priority="2088" operator="equal">
      <formula>"Implantación en curso"</formula>
    </cfRule>
  </conditionalFormatting>
  <conditionalFormatting sqref="I913">
    <cfRule type="cellIs" dxfId="1550" priority="2084" operator="equal">
      <formula>"Borrador"</formula>
    </cfRule>
  </conditionalFormatting>
  <conditionalFormatting sqref="I913">
    <cfRule type="cellIs" dxfId="1549" priority="2083" operator="equal">
      <formula>"Rechazado"</formula>
    </cfRule>
  </conditionalFormatting>
  <conditionalFormatting sqref="I913">
    <cfRule type="cellIs" dxfId="1548" priority="2082" operator="equal">
      <formula>"Terminado"</formula>
    </cfRule>
  </conditionalFormatting>
  <conditionalFormatting sqref="Q913:Q917">
    <cfRule type="duplicateValues" dxfId="1547" priority="2081"/>
  </conditionalFormatting>
  <conditionalFormatting sqref="Q913:Q917">
    <cfRule type="duplicateValues" dxfId="1546" priority="2080"/>
  </conditionalFormatting>
  <conditionalFormatting sqref="Q913:Q917">
    <cfRule type="duplicateValues" dxfId="1545" priority="2079"/>
  </conditionalFormatting>
  <conditionalFormatting sqref="F1010">
    <cfRule type="cellIs" dxfId="1544" priority="2062" operator="equal">
      <formula>"APLAZADO"</formula>
    </cfRule>
    <cfRule type="cellIs" dxfId="1543" priority="2063" operator="equal">
      <formula>"CANCELADO"</formula>
    </cfRule>
    <cfRule type="cellIs" dxfId="1542" priority="2064" operator="equal">
      <formula>"NO EJECUTADO"</formula>
    </cfRule>
    <cfRule type="cellIs" dxfId="1541" priority="2065" operator="equal">
      <formula>"FPE"</formula>
    </cfRule>
    <cfRule type="cellIs" dxfId="1540" priority="2066" operator="equal">
      <formula>"AMA"</formula>
    </cfRule>
    <cfRule type="cellIs" dxfId="1539" priority="2067" operator="equal">
      <formula>"SIN DATOS"</formula>
    </cfRule>
    <cfRule type="cellIs" dxfId="1538" priority="2068" operator="equal">
      <formula>"SIN DATOS"</formula>
    </cfRule>
    <cfRule type="cellIs" dxfId="1537" priority="2069" operator="equal">
      <formula>"NO EJECTUTADO"</formula>
    </cfRule>
    <cfRule type="cellIs" dxfId="1536" priority="2070" operator="equal">
      <formula>"FE"</formula>
    </cfRule>
    <cfRule type="cellIs" dxfId="1535" priority="2071" operator="equal">
      <formula>"FE"</formula>
    </cfRule>
  </conditionalFormatting>
  <conditionalFormatting sqref="F1010">
    <cfRule type="cellIs" dxfId="1534" priority="2060" operator="equal">
      <formula>"Retirado"</formula>
    </cfRule>
    <cfRule type="cellIs" dxfId="1533" priority="2061" operator="equal">
      <formula>"FSE"</formula>
    </cfRule>
  </conditionalFormatting>
  <conditionalFormatting sqref="Q1010">
    <cfRule type="duplicateValues" dxfId="1532" priority="2059"/>
  </conditionalFormatting>
  <conditionalFormatting sqref="Q1010">
    <cfRule type="duplicateValues" dxfId="1531" priority="2058"/>
  </conditionalFormatting>
  <conditionalFormatting sqref="Q1010">
    <cfRule type="duplicateValues" dxfId="1530" priority="2057"/>
  </conditionalFormatting>
  <conditionalFormatting sqref="H831">
    <cfRule type="cellIs" dxfId="1529" priority="2046" operator="equal">
      <formula>"Programado para aprobación"</formula>
    </cfRule>
    <cfRule type="cellIs" dxfId="1528" priority="2047" operator="equal">
      <formula>"Cerrado"</formula>
    </cfRule>
    <cfRule type="cellIs" dxfId="1527" priority="2048" operator="equal">
      <formula>"Programado"</formula>
    </cfRule>
    <cfRule type="cellIs" dxfId="1526" priority="2049" operator="equal">
      <formula>"Implantación en curso"</formula>
    </cfRule>
  </conditionalFormatting>
  <conditionalFormatting sqref="H831">
    <cfRule type="cellIs" dxfId="1525" priority="2045" operator="equal">
      <formula>"Borrador"</formula>
    </cfRule>
  </conditionalFormatting>
  <conditionalFormatting sqref="H831">
    <cfRule type="cellIs" dxfId="1524" priority="2044" operator="equal">
      <formula>"Rechazado"</formula>
    </cfRule>
  </conditionalFormatting>
  <conditionalFormatting sqref="H831">
    <cfRule type="cellIs" dxfId="1523" priority="2043" operator="equal">
      <formula>"Terminado"</formula>
    </cfRule>
  </conditionalFormatting>
  <conditionalFormatting sqref="H703">
    <cfRule type="duplicateValues" dxfId="1522" priority="2035"/>
  </conditionalFormatting>
  <conditionalFormatting sqref="F703">
    <cfRule type="cellIs" dxfId="1521" priority="2025" operator="equal">
      <formula>"APLAZADO"</formula>
    </cfRule>
    <cfRule type="cellIs" dxfId="1520" priority="2026" operator="equal">
      <formula>"CANCELADO"</formula>
    </cfRule>
    <cfRule type="cellIs" dxfId="1519" priority="2027" operator="equal">
      <formula>"NO EJECUTADO"</formula>
    </cfRule>
    <cfRule type="cellIs" dxfId="1518" priority="2028" operator="equal">
      <formula>"FPE"</formula>
    </cfRule>
    <cfRule type="cellIs" dxfId="1517" priority="2029" operator="equal">
      <formula>"AMA"</formula>
    </cfRule>
    <cfRule type="cellIs" dxfId="1516" priority="2030" operator="equal">
      <formula>"SIN DATOS"</formula>
    </cfRule>
    <cfRule type="cellIs" dxfId="1515" priority="2031" operator="equal">
      <formula>"SIN DATOS"</formula>
    </cfRule>
    <cfRule type="cellIs" dxfId="1514" priority="2032" operator="equal">
      <formula>"NO EJECTUTADO"</formula>
    </cfRule>
    <cfRule type="cellIs" dxfId="1513" priority="2033" operator="equal">
      <formula>"FE"</formula>
    </cfRule>
    <cfRule type="cellIs" dxfId="1512" priority="2034" operator="equal">
      <formula>"FE"</formula>
    </cfRule>
  </conditionalFormatting>
  <conditionalFormatting sqref="F703">
    <cfRule type="cellIs" dxfId="1511" priority="2023" operator="equal">
      <formula>"Retirado"</formula>
    </cfRule>
    <cfRule type="cellIs" dxfId="1510" priority="2024" operator="equal">
      <formula>"FSE"</formula>
    </cfRule>
  </conditionalFormatting>
  <conditionalFormatting sqref="Q703">
    <cfRule type="duplicateValues" dxfId="1509" priority="2015"/>
  </conditionalFormatting>
  <conditionalFormatting sqref="Q703">
    <cfRule type="duplicateValues" dxfId="1508" priority="2014"/>
  </conditionalFormatting>
  <conditionalFormatting sqref="Q703">
    <cfRule type="duplicateValues" dxfId="1507" priority="2013"/>
  </conditionalFormatting>
  <conditionalFormatting sqref="H841">
    <cfRule type="cellIs" dxfId="1506" priority="2009" operator="equal">
      <formula>"Programado para aprobación"</formula>
    </cfRule>
    <cfRule type="cellIs" dxfId="1505" priority="2010" operator="equal">
      <formula>"Cerrado"</formula>
    </cfRule>
    <cfRule type="cellIs" dxfId="1504" priority="2011" operator="equal">
      <formula>"Programado"</formula>
    </cfRule>
    <cfRule type="cellIs" dxfId="1503" priority="2012" operator="equal">
      <formula>"Implantación en curso"</formula>
    </cfRule>
  </conditionalFormatting>
  <conditionalFormatting sqref="H841">
    <cfRule type="cellIs" dxfId="1502" priority="2008" operator="equal">
      <formula>"Borrador"</formula>
    </cfRule>
  </conditionalFormatting>
  <conditionalFormatting sqref="H841">
    <cfRule type="cellIs" dxfId="1501" priority="2007" operator="equal">
      <formula>"Rechazado"</formula>
    </cfRule>
  </conditionalFormatting>
  <conditionalFormatting sqref="H841">
    <cfRule type="cellIs" dxfId="1500" priority="2006" operator="equal">
      <formula>"Terminado"</formula>
    </cfRule>
  </conditionalFormatting>
  <conditionalFormatting sqref="Q841">
    <cfRule type="duplicateValues" dxfId="1499" priority="1998"/>
  </conditionalFormatting>
  <conditionalFormatting sqref="Q841">
    <cfRule type="duplicateValues" dxfId="1498" priority="1997"/>
  </conditionalFormatting>
  <conditionalFormatting sqref="Q841">
    <cfRule type="duplicateValues" dxfId="1497" priority="1996"/>
  </conditionalFormatting>
  <conditionalFormatting sqref="H847">
    <cfRule type="cellIs" dxfId="1496" priority="1992" operator="equal">
      <formula>"Programado para aprobación"</formula>
    </cfRule>
    <cfRule type="cellIs" dxfId="1495" priority="1993" operator="equal">
      <formula>"Cerrado"</formula>
    </cfRule>
    <cfRule type="cellIs" dxfId="1494" priority="1994" operator="equal">
      <formula>"Programado"</formula>
    </cfRule>
    <cfRule type="cellIs" dxfId="1493" priority="1995" operator="equal">
      <formula>"Implantación en curso"</formula>
    </cfRule>
  </conditionalFormatting>
  <conditionalFormatting sqref="H847">
    <cfRule type="cellIs" dxfId="1492" priority="1991" operator="equal">
      <formula>"Borrador"</formula>
    </cfRule>
  </conditionalFormatting>
  <conditionalFormatting sqref="H847">
    <cfRule type="cellIs" dxfId="1491" priority="1990" operator="equal">
      <formula>"Rechazado"</formula>
    </cfRule>
  </conditionalFormatting>
  <conditionalFormatting sqref="H847">
    <cfRule type="cellIs" dxfId="1490" priority="1989" operator="equal">
      <formula>"Terminado"</formula>
    </cfRule>
  </conditionalFormatting>
  <conditionalFormatting sqref="I847">
    <cfRule type="cellIs" dxfId="1489" priority="1985" operator="equal">
      <formula>"Programado para aprobación"</formula>
    </cfRule>
    <cfRule type="cellIs" dxfId="1488" priority="1986" operator="equal">
      <formula>"Cerrado"</formula>
    </cfRule>
    <cfRule type="cellIs" dxfId="1487" priority="1987" operator="equal">
      <formula>"Programado"</formula>
    </cfRule>
    <cfRule type="cellIs" dxfId="1486" priority="1988" operator="equal">
      <formula>"Implantación en curso"</formula>
    </cfRule>
  </conditionalFormatting>
  <conditionalFormatting sqref="I847">
    <cfRule type="cellIs" dxfId="1485" priority="1984" operator="equal">
      <formula>"Borrador"</formula>
    </cfRule>
  </conditionalFormatting>
  <conditionalFormatting sqref="I847">
    <cfRule type="cellIs" dxfId="1484" priority="1983" operator="equal">
      <formula>"Rechazado"</formula>
    </cfRule>
  </conditionalFormatting>
  <conditionalFormatting sqref="I847">
    <cfRule type="cellIs" dxfId="1483" priority="1982" operator="equal">
      <formula>"Terminado"</formula>
    </cfRule>
  </conditionalFormatting>
  <conditionalFormatting sqref="Q847">
    <cfRule type="duplicateValues" dxfId="1482" priority="1974"/>
  </conditionalFormatting>
  <conditionalFormatting sqref="Q847">
    <cfRule type="duplicateValues" dxfId="1481" priority="1973"/>
  </conditionalFormatting>
  <conditionalFormatting sqref="Q847">
    <cfRule type="duplicateValues" dxfId="1480" priority="1972"/>
  </conditionalFormatting>
  <conditionalFormatting sqref="H849">
    <cfRule type="cellIs" dxfId="1479" priority="1968" operator="equal">
      <formula>"Programado para aprobación"</formula>
    </cfRule>
    <cfRule type="cellIs" dxfId="1478" priority="1969" operator="equal">
      <formula>"Cerrado"</formula>
    </cfRule>
    <cfRule type="cellIs" dxfId="1477" priority="1970" operator="equal">
      <formula>"Programado"</formula>
    </cfRule>
    <cfRule type="cellIs" dxfId="1476" priority="1971" operator="equal">
      <formula>"Implantación en curso"</formula>
    </cfRule>
  </conditionalFormatting>
  <conditionalFormatting sqref="H849">
    <cfRule type="cellIs" dxfId="1475" priority="1967" operator="equal">
      <formula>"Borrador"</formula>
    </cfRule>
  </conditionalFormatting>
  <conditionalFormatting sqref="H849">
    <cfRule type="cellIs" dxfId="1474" priority="1966" operator="equal">
      <formula>"Rechazado"</formula>
    </cfRule>
  </conditionalFormatting>
  <conditionalFormatting sqref="H849">
    <cfRule type="cellIs" dxfId="1473" priority="1965" operator="equal">
      <formula>"Terminado"</formula>
    </cfRule>
  </conditionalFormatting>
  <conditionalFormatting sqref="I849">
    <cfRule type="cellIs" dxfId="1472" priority="1961" operator="equal">
      <formula>"Programado para aprobación"</formula>
    </cfRule>
    <cfRule type="cellIs" dxfId="1471" priority="1962" operator="equal">
      <formula>"Cerrado"</formula>
    </cfRule>
    <cfRule type="cellIs" dxfId="1470" priority="1963" operator="equal">
      <formula>"Programado"</formula>
    </cfRule>
    <cfRule type="cellIs" dxfId="1469" priority="1964" operator="equal">
      <formula>"Implantación en curso"</formula>
    </cfRule>
  </conditionalFormatting>
  <conditionalFormatting sqref="I849">
    <cfRule type="cellIs" dxfId="1468" priority="1960" operator="equal">
      <formula>"Borrador"</formula>
    </cfRule>
  </conditionalFormatting>
  <conditionalFormatting sqref="I849">
    <cfRule type="cellIs" dxfId="1467" priority="1959" operator="equal">
      <formula>"Rechazado"</formula>
    </cfRule>
  </conditionalFormatting>
  <conditionalFormatting sqref="I849">
    <cfRule type="cellIs" dxfId="1466" priority="1958" operator="equal">
      <formula>"Terminado"</formula>
    </cfRule>
  </conditionalFormatting>
  <conditionalFormatting sqref="H850">
    <cfRule type="cellIs" dxfId="1465" priority="1947" operator="equal">
      <formula>"Programado para aprobación"</formula>
    </cfRule>
    <cfRule type="cellIs" dxfId="1464" priority="1948" operator="equal">
      <formula>"Cerrado"</formula>
    </cfRule>
    <cfRule type="cellIs" dxfId="1463" priority="1949" operator="equal">
      <formula>"Programado"</formula>
    </cfRule>
    <cfRule type="cellIs" dxfId="1462" priority="1950" operator="equal">
      <formula>"Implantación en curso"</formula>
    </cfRule>
  </conditionalFormatting>
  <conditionalFormatting sqref="H850">
    <cfRule type="cellIs" dxfId="1461" priority="1946" operator="equal">
      <formula>"Borrador"</formula>
    </cfRule>
  </conditionalFormatting>
  <conditionalFormatting sqref="H850">
    <cfRule type="cellIs" dxfId="1460" priority="1945" operator="equal">
      <formula>"Rechazado"</formula>
    </cfRule>
  </conditionalFormatting>
  <conditionalFormatting sqref="H850">
    <cfRule type="cellIs" dxfId="1459" priority="1944" operator="equal">
      <formula>"Terminado"</formula>
    </cfRule>
  </conditionalFormatting>
  <conditionalFormatting sqref="I850">
    <cfRule type="cellIs" dxfId="1458" priority="1940" operator="equal">
      <formula>"Programado para aprobación"</formula>
    </cfRule>
    <cfRule type="cellIs" dxfId="1457" priority="1941" operator="equal">
      <formula>"Cerrado"</formula>
    </cfRule>
    <cfRule type="cellIs" dxfId="1456" priority="1942" operator="equal">
      <formula>"Programado"</formula>
    </cfRule>
    <cfRule type="cellIs" dxfId="1455" priority="1943" operator="equal">
      <formula>"Implantación en curso"</formula>
    </cfRule>
  </conditionalFormatting>
  <conditionalFormatting sqref="I850">
    <cfRule type="cellIs" dxfId="1454" priority="1939" operator="equal">
      <formula>"Borrador"</formula>
    </cfRule>
  </conditionalFormatting>
  <conditionalFormatting sqref="I850">
    <cfRule type="cellIs" dxfId="1453" priority="1938" operator="equal">
      <formula>"Rechazado"</formula>
    </cfRule>
  </conditionalFormatting>
  <conditionalFormatting sqref="I850">
    <cfRule type="cellIs" dxfId="1452" priority="1937" operator="equal">
      <formula>"Terminado"</formula>
    </cfRule>
  </conditionalFormatting>
  <conditionalFormatting sqref="Q849">
    <cfRule type="duplicateValues" dxfId="1451" priority="1929"/>
  </conditionalFormatting>
  <conditionalFormatting sqref="Q849">
    <cfRule type="duplicateValues" dxfId="1450" priority="1928"/>
  </conditionalFormatting>
  <conditionalFormatting sqref="Q849:Q850">
    <cfRule type="duplicateValues" dxfId="1449" priority="1923"/>
    <cfRule type="duplicateValues" dxfId="1448" priority="1927"/>
  </conditionalFormatting>
  <conditionalFormatting sqref="Q850">
    <cfRule type="duplicateValues" dxfId="1447" priority="1926"/>
  </conditionalFormatting>
  <conditionalFormatting sqref="Q850">
    <cfRule type="duplicateValues" dxfId="1446" priority="1925"/>
  </conditionalFormatting>
  <conditionalFormatting sqref="Q851:Q859">
    <cfRule type="duplicateValues" dxfId="1445" priority="1924"/>
  </conditionalFormatting>
  <conditionalFormatting sqref="Q1089:Q1048576 Q628:Q749 Q1:Q623 Q921:Q923 Q751:Q813 Q1003 Q939:Q943 Q905 Q907:Q908 Q928 Q945:Q949 Q930 Q932:Q933 Q1005:Q1010 Q815:Q881 Q911:Q917 Q951:Q1001 Q1012:Q1029">
    <cfRule type="duplicateValues" dxfId="1444" priority="1922"/>
  </conditionalFormatting>
  <conditionalFormatting sqref="H624">
    <cfRule type="duplicateValues" dxfId="1443" priority="1914"/>
  </conditionalFormatting>
  <conditionalFormatting sqref="F624">
    <cfRule type="cellIs" dxfId="1442" priority="1897" operator="equal">
      <formula>"APLAZADO"</formula>
    </cfRule>
    <cfRule type="cellIs" dxfId="1441" priority="1898" operator="equal">
      <formula>"CANCELADO"</formula>
    </cfRule>
    <cfRule type="cellIs" dxfId="1440" priority="1899" operator="equal">
      <formula>"NO EJECUTADO"</formula>
    </cfRule>
    <cfRule type="cellIs" dxfId="1439" priority="1900" operator="equal">
      <formula>"FPE"</formula>
    </cfRule>
    <cfRule type="cellIs" dxfId="1438" priority="1901" operator="equal">
      <formula>"AMA"</formula>
    </cfRule>
    <cfRule type="cellIs" dxfId="1437" priority="1902" operator="equal">
      <formula>"SIN DATOS"</formula>
    </cfRule>
    <cfRule type="cellIs" dxfId="1436" priority="1903" operator="equal">
      <formula>"SIN DATOS"</formula>
    </cfRule>
    <cfRule type="cellIs" dxfId="1435" priority="1904" operator="equal">
      <formula>"NO EJECTUTADO"</formula>
    </cfRule>
    <cfRule type="cellIs" dxfId="1434" priority="1905" operator="equal">
      <formula>"FE"</formula>
    </cfRule>
    <cfRule type="cellIs" dxfId="1433" priority="1906" operator="equal">
      <formula>"FE"</formula>
    </cfRule>
  </conditionalFormatting>
  <conditionalFormatting sqref="F624">
    <cfRule type="cellIs" dxfId="1432" priority="1895" operator="equal">
      <formula>"Retirado"</formula>
    </cfRule>
    <cfRule type="cellIs" dxfId="1431" priority="1896" operator="equal">
      <formula>"FSE"</formula>
    </cfRule>
  </conditionalFormatting>
  <conditionalFormatting sqref="Q624">
    <cfRule type="duplicateValues" dxfId="1430" priority="1894"/>
  </conditionalFormatting>
  <conditionalFormatting sqref="Q624">
    <cfRule type="duplicateValues" dxfId="1429" priority="1893"/>
  </conditionalFormatting>
  <conditionalFormatting sqref="Q624">
    <cfRule type="duplicateValues" dxfId="1428" priority="1892"/>
  </conditionalFormatting>
  <conditionalFormatting sqref="Q624">
    <cfRule type="duplicateValues" dxfId="1427" priority="1891"/>
  </conditionalFormatting>
  <conditionalFormatting sqref="H625">
    <cfRule type="duplicateValues" dxfId="1426" priority="1890"/>
  </conditionalFormatting>
  <conditionalFormatting sqref="F625">
    <cfRule type="cellIs" dxfId="1425" priority="1873" operator="equal">
      <formula>"APLAZADO"</formula>
    </cfRule>
    <cfRule type="cellIs" dxfId="1424" priority="1874" operator="equal">
      <formula>"CANCELADO"</formula>
    </cfRule>
    <cfRule type="cellIs" dxfId="1423" priority="1875" operator="equal">
      <formula>"NO EJECUTADO"</formula>
    </cfRule>
    <cfRule type="cellIs" dxfId="1422" priority="1876" operator="equal">
      <formula>"FPE"</formula>
    </cfRule>
    <cfRule type="cellIs" dxfId="1421" priority="1877" operator="equal">
      <formula>"AMA"</formula>
    </cfRule>
    <cfRule type="cellIs" dxfId="1420" priority="1878" operator="equal">
      <formula>"SIN DATOS"</formula>
    </cfRule>
    <cfRule type="cellIs" dxfId="1419" priority="1879" operator="equal">
      <formula>"SIN DATOS"</formula>
    </cfRule>
    <cfRule type="cellIs" dxfId="1418" priority="1880" operator="equal">
      <formula>"NO EJECTUTADO"</formula>
    </cfRule>
    <cfRule type="cellIs" dxfId="1417" priority="1881" operator="equal">
      <formula>"FE"</formula>
    </cfRule>
    <cfRule type="cellIs" dxfId="1416" priority="1882" operator="equal">
      <formula>"FE"</formula>
    </cfRule>
  </conditionalFormatting>
  <conditionalFormatting sqref="F625">
    <cfRule type="cellIs" dxfId="1415" priority="1871" operator="equal">
      <formula>"Retirado"</formula>
    </cfRule>
    <cfRule type="cellIs" dxfId="1414" priority="1872" operator="equal">
      <formula>"FSE"</formula>
    </cfRule>
  </conditionalFormatting>
  <conditionalFormatting sqref="Q625">
    <cfRule type="duplicateValues" dxfId="1413" priority="1870"/>
  </conditionalFormatting>
  <conditionalFormatting sqref="Q625">
    <cfRule type="duplicateValues" dxfId="1412" priority="1869"/>
  </conditionalFormatting>
  <conditionalFormatting sqref="Q625">
    <cfRule type="duplicateValues" dxfId="1411" priority="1868"/>
  </conditionalFormatting>
  <conditionalFormatting sqref="Q625">
    <cfRule type="duplicateValues" dxfId="1410" priority="1867"/>
  </conditionalFormatting>
  <conditionalFormatting sqref="H626">
    <cfRule type="duplicateValues" dxfId="1409" priority="1866"/>
  </conditionalFormatting>
  <conditionalFormatting sqref="F626">
    <cfRule type="cellIs" dxfId="1408" priority="1849" operator="equal">
      <formula>"APLAZADO"</formula>
    </cfRule>
    <cfRule type="cellIs" dxfId="1407" priority="1850" operator="equal">
      <formula>"CANCELADO"</formula>
    </cfRule>
    <cfRule type="cellIs" dxfId="1406" priority="1851" operator="equal">
      <formula>"NO EJECUTADO"</formula>
    </cfRule>
    <cfRule type="cellIs" dxfId="1405" priority="1852" operator="equal">
      <formula>"FPE"</formula>
    </cfRule>
    <cfRule type="cellIs" dxfId="1404" priority="1853" operator="equal">
      <formula>"AMA"</formula>
    </cfRule>
    <cfRule type="cellIs" dxfId="1403" priority="1854" operator="equal">
      <formula>"SIN DATOS"</formula>
    </cfRule>
    <cfRule type="cellIs" dxfId="1402" priority="1855" operator="equal">
      <formula>"SIN DATOS"</formula>
    </cfRule>
    <cfRule type="cellIs" dxfId="1401" priority="1856" operator="equal">
      <formula>"NO EJECTUTADO"</formula>
    </cfRule>
    <cfRule type="cellIs" dxfId="1400" priority="1857" operator="equal">
      <formula>"FE"</formula>
    </cfRule>
    <cfRule type="cellIs" dxfId="1399" priority="1858" operator="equal">
      <formula>"FE"</formula>
    </cfRule>
  </conditionalFormatting>
  <conditionalFormatting sqref="F626">
    <cfRule type="cellIs" dxfId="1398" priority="1847" operator="equal">
      <formula>"Retirado"</formula>
    </cfRule>
    <cfRule type="cellIs" dxfId="1397" priority="1848" operator="equal">
      <formula>"FSE"</formula>
    </cfRule>
  </conditionalFormatting>
  <conditionalFormatting sqref="Q626">
    <cfRule type="duplicateValues" dxfId="1396" priority="1846"/>
  </conditionalFormatting>
  <conditionalFormatting sqref="Q626">
    <cfRule type="duplicateValues" dxfId="1395" priority="1845"/>
  </conditionalFormatting>
  <conditionalFormatting sqref="Q626">
    <cfRule type="duplicateValues" dxfId="1394" priority="1844"/>
  </conditionalFormatting>
  <conditionalFormatting sqref="Q626">
    <cfRule type="duplicateValues" dxfId="1393" priority="1843"/>
  </conditionalFormatting>
  <conditionalFormatting sqref="H627">
    <cfRule type="duplicateValues" dxfId="1392" priority="1842"/>
  </conditionalFormatting>
  <conditionalFormatting sqref="F627">
    <cfRule type="cellIs" dxfId="1391" priority="1825" operator="equal">
      <formula>"APLAZADO"</formula>
    </cfRule>
    <cfRule type="cellIs" dxfId="1390" priority="1826" operator="equal">
      <formula>"CANCELADO"</formula>
    </cfRule>
    <cfRule type="cellIs" dxfId="1389" priority="1827" operator="equal">
      <formula>"NO EJECUTADO"</formula>
    </cfRule>
    <cfRule type="cellIs" dxfId="1388" priority="1828" operator="equal">
      <formula>"FPE"</formula>
    </cfRule>
    <cfRule type="cellIs" dxfId="1387" priority="1829" operator="equal">
      <formula>"AMA"</formula>
    </cfRule>
    <cfRule type="cellIs" dxfId="1386" priority="1830" operator="equal">
      <formula>"SIN DATOS"</formula>
    </cfRule>
    <cfRule type="cellIs" dxfId="1385" priority="1831" operator="equal">
      <formula>"SIN DATOS"</formula>
    </cfRule>
    <cfRule type="cellIs" dxfId="1384" priority="1832" operator="equal">
      <formula>"NO EJECTUTADO"</formula>
    </cfRule>
    <cfRule type="cellIs" dxfId="1383" priority="1833" operator="equal">
      <formula>"FE"</formula>
    </cfRule>
    <cfRule type="cellIs" dxfId="1382" priority="1834" operator="equal">
      <formula>"FE"</formula>
    </cfRule>
  </conditionalFormatting>
  <conditionalFormatting sqref="F627">
    <cfRule type="cellIs" dxfId="1381" priority="1823" operator="equal">
      <formula>"Retirado"</formula>
    </cfRule>
    <cfRule type="cellIs" dxfId="1380" priority="1824" operator="equal">
      <formula>"FSE"</formula>
    </cfRule>
  </conditionalFormatting>
  <conditionalFormatting sqref="Q627">
    <cfRule type="duplicateValues" dxfId="1379" priority="1822"/>
  </conditionalFormatting>
  <conditionalFormatting sqref="Q627">
    <cfRule type="duplicateValues" dxfId="1378" priority="1821"/>
  </conditionalFormatting>
  <conditionalFormatting sqref="Q627">
    <cfRule type="duplicateValues" dxfId="1377" priority="1820"/>
  </conditionalFormatting>
  <conditionalFormatting sqref="Q627">
    <cfRule type="duplicateValues" dxfId="1376" priority="1819"/>
  </conditionalFormatting>
  <conditionalFormatting sqref="H877">
    <cfRule type="cellIs" dxfId="1375" priority="1808" operator="equal">
      <formula>"Programado para aprobación"</formula>
    </cfRule>
    <cfRule type="cellIs" dxfId="1374" priority="1809" operator="equal">
      <formula>"Cerrado"</formula>
    </cfRule>
    <cfRule type="cellIs" dxfId="1373" priority="1810" operator="equal">
      <formula>"Programado"</formula>
    </cfRule>
    <cfRule type="cellIs" dxfId="1372" priority="1811" operator="equal">
      <formula>"Implantación en curso"</formula>
    </cfRule>
  </conditionalFormatting>
  <conditionalFormatting sqref="H877">
    <cfRule type="cellIs" dxfId="1371" priority="1807" operator="equal">
      <formula>"Borrador"</formula>
    </cfRule>
  </conditionalFormatting>
  <conditionalFormatting sqref="H877">
    <cfRule type="cellIs" dxfId="1370" priority="1806" operator="equal">
      <formula>"Rechazado"</formula>
    </cfRule>
  </conditionalFormatting>
  <conditionalFormatting sqref="H877">
    <cfRule type="cellIs" dxfId="1369" priority="1805" operator="equal">
      <formula>"Terminado"</formula>
    </cfRule>
  </conditionalFormatting>
  <conditionalFormatting sqref="I877">
    <cfRule type="cellIs" dxfId="1368" priority="1801" operator="equal">
      <formula>"Programado para aprobación"</formula>
    </cfRule>
    <cfRule type="cellIs" dxfId="1367" priority="1802" operator="equal">
      <formula>"Cerrado"</formula>
    </cfRule>
    <cfRule type="cellIs" dxfId="1366" priority="1803" operator="equal">
      <formula>"Programado"</formula>
    </cfRule>
    <cfRule type="cellIs" dxfId="1365" priority="1804" operator="equal">
      <formula>"Implantación en curso"</formula>
    </cfRule>
  </conditionalFormatting>
  <conditionalFormatting sqref="I877">
    <cfRule type="cellIs" dxfId="1364" priority="1800" operator="equal">
      <formula>"Borrador"</formula>
    </cfRule>
  </conditionalFormatting>
  <conditionalFormatting sqref="I877">
    <cfRule type="cellIs" dxfId="1363" priority="1799" operator="equal">
      <formula>"Rechazado"</formula>
    </cfRule>
  </conditionalFormatting>
  <conditionalFormatting sqref="I877">
    <cfRule type="cellIs" dxfId="1362" priority="1798" operator="equal">
      <formula>"Terminado"</formula>
    </cfRule>
  </conditionalFormatting>
  <conditionalFormatting sqref="H870:H871">
    <cfRule type="cellIs" dxfId="1361" priority="1780" operator="equal">
      <formula>"Programado para aprobación"</formula>
    </cfRule>
    <cfRule type="cellIs" dxfId="1360" priority="1781" operator="equal">
      <formula>"Cerrado"</formula>
    </cfRule>
    <cfRule type="cellIs" dxfId="1359" priority="1782" operator="equal">
      <formula>"Programado"</formula>
    </cfRule>
    <cfRule type="cellIs" dxfId="1358" priority="1783" operator="equal">
      <formula>"Implantación en curso"</formula>
    </cfRule>
  </conditionalFormatting>
  <conditionalFormatting sqref="H870:H871">
    <cfRule type="cellIs" dxfId="1357" priority="1779" operator="equal">
      <formula>"Borrador"</formula>
    </cfRule>
  </conditionalFormatting>
  <conditionalFormatting sqref="H870:H871">
    <cfRule type="cellIs" dxfId="1356" priority="1778" operator="equal">
      <formula>"Rechazado"</formula>
    </cfRule>
  </conditionalFormatting>
  <conditionalFormatting sqref="H870:H871">
    <cfRule type="cellIs" dxfId="1355" priority="1777" operator="equal">
      <formula>"Terminado"</formula>
    </cfRule>
  </conditionalFormatting>
  <conditionalFormatting sqref="I870">
    <cfRule type="cellIs" dxfId="1354" priority="1773" operator="equal">
      <formula>"Programado para aprobación"</formula>
    </cfRule>
    <cfRule type="cellIs" dxfId="1353" priority="1774" operator="equal">
      <formula>"Cerrado"</formula>
    </cfRule>
    <cfRule type="cellIs" dxfId="1352" priority="1775" operator="equal">
      <formula>"Programado"</formula>
    </cfRule>
    <cfRule type="cellIs" dxfId="1351" priority="1776" operator="equal">
      <formula>"Implantación en curso"</formula>
    </cfRule>
  </conditionalFormatting>
  <conditionalFormatting sqref="I870">
    <cfRule type="cellIs" dxfId="1350" priority="1772" operator="equal">
      <formula>"Borrador"</formula>
    </cfRule>
  </conditionalFormatting>
  <conditionalFormatting sqref="I870">
    <cfRule type="cellIs" dxfId="1349" priority="1771" operator="equal">
      <formula>"Rechazado"</formula>
    </cfRule>
  </conditionalFormatting>
  <conditionalFormatting sqref="I870">
    <cfRule type="cellIs" dxfId="1348" priority="1770" operator="equal">
      <formula>"Terminado"</formula>
    </cfRule>
  </conditionalFormatting>
  <conditionalFormatting sqref="H918">
    <cfRule type="cellIs" dxfId="1347" priority="1759" operator="equal">
      <formula>"Programado para aprobación"</formula>
    </cfRule>
    <cfRule type="cellIs" dxfId="1346" priority="1760" operator="equal">
      <formula>"Cerrado"</formula>
    </cfRule>
    <cfRule type="cellIs" dxfId="1345" priority="1761" operator="equal">
      <formula>"Programado"</formula>
    </cfRule>
    <cfRule type="cellIs" dxfId="1344" priority="1762" operator="equal">
      <formula>"Implantación en curso"</formula>
    </cfRule>
  </conditionalFormatting>
  <conditionalFormatting sqref="H918">
    <cfRule type="cellIs" dxfId="1343" priority="1758" operator="equal">
      <formula>"Borrador"</formula>
    </cfRule>
  </conditionalFormatting>
  <conditionalFormatting sqref="H918">
    <cfRule type="cellIs" dxfId="1342" priority="1757" operator="equal">
      <formula>"Rechazado"</formula>
    </cfRule>
  </conditionalFormatting>
  <conditionalFormatting sqref="H918">
    <cfRule type="cellIs" dxfId="1341" priority="1756" operator="equal">
      <formula>"Terminado"</formula>
    </cfRule>
  </conditionalFormatting>
  <conditionalFormatting sqref="I918">
    <cfRule type="cellIs" dxfId="1340" priority="1752" operator="equal">
      <formula>"Programado para aprobación"</formula>
    </cfRule>
    <cfRule type="cellIs" dxfId="1339" priority="1753" operator="equal">
      <formula>"Cerrado"</formula>
    </cfRule>
    <cfRule type="cellIs" dxfId="1338" priority="1754" operator="equal">
      <formula>"Programado"</formula>
    </cfRule>
    <cfRule type="cellIs" dxfId="1337" priority="1755" operator="equal">
      <formula>"Implantación en curso"</formula>
    </cfRule>
  </conditionalFormatting>
  <conditionalFormatting sqref="I918">
    <cfRule type="cellIs" dxfId="1336" priority="1751" operator="equal">
      <formula>"Borrador"</formula>
    </cfRule>
  </conditionalFormatting>
  <conditionalFormatting sqref="I918">
    <cfRule type="cellIs" dxfId="1335" priority="1750" operator="equal">
      <formula>"Rechazado"</formula>
    </cfRule>
  </conditionalFormatting>
  <conditionalFormatting sqref="I918">
    <cfRule type="cellIs" dxfId="1334" priority="1749" operator="equal">
      <formula>"Terminado"</formula>
    </cfRule>
  </conditionalFormatting>
  <conditionalFormatting sqref="Q918:Q920">
    <cfRule type="duplicateValues" dxfId="1333" priority="1733"/>
  </conditionalFormatting>
  <conditionalFormatting sqref="Q918:Q920">
    <cfRule type="duplicateValues" dxfId="1332" priority="1732"/>
  </conditionalFormatting>
  <conditionalFormatting sqref="Q918:Q920">
    <cfRule type="duplicateValues" dxfId="1331" priority="1731"/>
  </conditionalFormatting>
  <conditionalFormatting sqref="F1011">
    <cfRule type="cellIs" dxfId="1330" priority="1707" operator="equal">
      <formula>"APLAZADO"</formula>
    </cfRule>
    <cfRule type="cellIs" dxfId="1329" priority="1708" operator="equal">
      <formula>"CANCELADO"</formula>
    </cfRule>
    <cfRule type="cellIs" dxfId="1328" priority="1709" operator="equal">
      <formula>"NO EJECUTADO"</formula>
    </cfRule>
    <cfRule type="cellIs" dxfId="1327" priority="1710" operator="equal">
      <formula>"FPE"</formula>
    </cfRule>
    <cfRule type="cellIs" dxfId="1326" priority="1711" operator="equal">
      <formula>"AMA"</formula>
    </cfRule>
    <cfRule type="cellIs" dxfId="1325" priority="1712" operator="equal">
      <formula>"SIN DATOS"</formula>
    </cfRule>
    <cfRule type="cellIs" dxfId="1324" priority="1713" operator="equal">
      <formula>"SIN DATOS"</formula>
    </cfRule>
    <cfRule type="cellIs" dxfId="1323" priority="1714" operator="equal">
      <formula>"NO EJECTUTADO"</formula>
    </cfRule>
    <cfRule type="cellIs" dxfId="1322" priority="1715" operator="equal">
      <formula>"FE"</formula>
    </cfRule>
    <cfRule type="cellIs" dxfId="1321" priority="1716" operator="equal">
      <formula>"FE"</formula>
    </cfRule>
  </conditionalFormatting>
  <conditionalFormatting sqref="F1011">
    <cfRule type="cellIs" dxfId="1320" priority="1705" operator="equal">
      <formula>"Retirado"</formula>
    </cfRule>
    <cfRule type="cellIs" dxfId="1319" priority="1706" operator="equal">
      <formula>"FSE"</formula>
    </cfRule>
  </conditionalFormatting>
  <conditionalFormatting sqref="Q1011">
    <cfRule type="duplicateValues" dxfId="1318" priority="1704"/>
  </conditionalFormatting>
  <conditionalFormatting sqref="Q1011">
    <cfRule type="duplicateValues" dxfId="1317" priority="1703"/>
  </conditionalFormatting>
  <conditionalFormatting sqref="Q1011">
    <cfRule type="duplicateValues" dxfId="1316" priority="1702"/>
  </conditionalFormatting>
  <conditionalFormatting sqref="Q1011">
    <cfRule type="duplicateValues" dxfId="1315" priority="1694"/>
  </conditionalFormatting>
  <conditionalFormatting sqref="Q1089:Q1048576 Q1003 Q1:Q749 Q751:Q813 Q939:Q943 Q905 Q907:Q908 Q928 Q945:Q949 Q930 Q932:Q933 Q815:Q881 Q911:Q923 Q951:Q1001 Q1005:Q1029">
    <cfRule type="duplicateValues" dxfId="1314" priority="1693"/>
  </conditionalFormatting>
  <conditionalFormatting sqref="H882:H892">
    <cfRule type="cellIs" dxfId="1313" priority="1682" operator="equal">
      <formula>"Programado para aprobación"</formula>
    </cfRule>
    <cfRule type="cellIs" dxfId="1312" priority="1683" operator="equal">
      <formula>"Cerrado"</formula>
    </cfRule>
    <cfRule type="cellIs" dxfId="1311" priority="1684" operator="equal">
      <formula>"Programado"</formula>
    </cfRule>
    <cfRule type="cellIs" dxfId="1310" priority="1685" operator="equal">
      <formula>"Implantación en curso"</formula>
    </cfRule>
  </conditionalFormatting>
  <conditionalFormatting sqref="H882:H892">
    <cfRule type="cellIs" dxfId="1309" priority="1681" operator="equal">
      <formula>"Borrador"</formula>
    </cfRule>
  </conditionalFormatting>
  <conditionalFormatting sqref="H882:H892">
    <cfRule type="cellIs" dxfId="1308" priority="1680" operator="equal">
      <formula>"Rechazado"</formula>
    </cfRule>
  </conditionalFormatting>
  <conditionalFormatting sqref="H882:H892">
    <cfRule type="cellIs" dxfId="1307" priority="1679" operator="equal">
      <formula>"Terminado"</formula>
    </cfRule>
  </conditionalFormatting>
  <conditionalFormatting sqref="I882">
    <cfRule type="cellIs" dxfId="1306" priority="1675" operator="equal">
      <formula>"Programado para aprobación"</formula>
    </cfRule>
    <cfRule type="cellIs" dxfId="1305" priority="1676" operator="equal">
      <formula>"Cerrado"</formula>
    </cfRule>
    <cfRule type="cellIs" dxfId="1304" priority="1677" operator="equal">
      <formula>"Programado"</formula>
    </cfRule>
    <cfRule type="cellIs" dxfId="1303" priority="1678" operator="equal">
      <formula>"Implantación en curso"</formula>
    </cfRule>
  </conditionalFormatting>
  <conditionalFormatting sqref="I882">
    <cfRule type="cellIs" dxfId="1302" priority="1674" operator="equal">
      <formula>"Borrador"</formula>
    </cfRule>
  </conditionalFormatting>
  <conditionalFormatting sqref="I882">
    <cfRule type="cellIs" dxfId="1301" priority="1673" operator="equal">
      <formula>"Rechazado"</formula>
    </cfRule>
  </conditionalFormatting>
  <conditionalFormatting sqref="I882">
    <cfRule type="cellIs" dxfId="1300" priority="1672" operator="equal">
      <formula>"Terminado"</formula>
    </cfRule>
  </conditionalFormatting>
  <conditionalFormatting sqref="Q882:Q887 Q890:Q892">
    <cfRule type="duplicateValues" dxfId="1299" priority="1664"/>
  </conditionalFormatting>
  <conditionalFormatting sqref="Q882:Q887">
    <cfRule type="duplicateValues" dxfId="1298" priority="1663"/>
  </conditionalFormatting>
  <conditionalFormatting sqref="Q882:Q887">
    <cfRule type="duplicateValues" dxfId="1297" priority="1662"/>
  </conditionalFormatting>
  <conditionalFormatting sqref="Q882:Q887">
    <cfRule type="duplicateValues" dxfId="1296" priority="1661"/>
  </conditionalFormatting>
  <conditionalFormatting sqref="Q882:Q887">
    <cfRule type="duplicateValues" dxfId="1295" priority="1660"/>
  </conditionalFormatting>
  <conditionalFormatting sqref="Q919:Q920">
    <cfRule type="duplicateValues" dxfId="1294" priority="1659"/>
  </conditionalFormatting>
  <conditionalFormatting sqref="Q919:Q920">
    <cfRule type="duplicateValues" dxfId="1293" priority="1658"/>
  </conditionalFormatting>
  <conditionalFormatting sqref="Q919:Q920">
    <cfRule type="duplicateValues" dxfId="1292" priority="1657"/>
  </conditionalFormatting>
  <conditionalFormatting sqref="Q919:Q920">
    <cfRule type="duplicateValues" dxfId="1291" priority="1656"/>
  </conditionalFormatting>
  <conditionalFormatting sqref="H919:H920">
    <cfRule type="cellIs" dxfId="1290" priority="1652" operator="equal">
      <formula>"Programado para aprobación"</formula>
    </cfRule>
    <cfRule type="cellIs" dxfId="1289" priority="1653" operator="equal">
      <formula>"Cerrado"</formula>
    </cfRule>
    <cfRule type="cellIs" dxfId="1288" priority="1654" operator="equal">
      <formula>"Programado"</formula>
    </cfRule>
    <cfRule type="cellIs" dxfId="1287" priority="1655" operator="equal">
      <formula>"Implantación en curso"</formula>
    </cfRule>
  </conditionalFormatting>
  <conditionalFormatting sqref="H919:H920">
    <cfRule type="cellIs" dxfId="1286" priority="1651" operator="equal">
      <formula>"Borrador"</formula>
    </cfRule>
  </conditionalFormatting>
  <conditionalFormatting sqref="H919:H920">
    <cfRule type="cellIs" dxfId="1285" priority="1650" operator="equal">
      <formula>"Rechazado"</formula>
    </cfRule>
  </conditionalFormatting>
  <conditionalFormatting sqref="H919:H920">
    <cfRule type="cellIs" dxfId="1284" priority="1649" operator="equal">
      <formula>"Terminado"</formula>
    </cfRule>
  </conditionalFormatting>
  <conditionalFormatting sqref="I919">
    <cfRule type="cellIs" dxfId="1283" priority="1645" operator="equal">
      <formula>"Programado para aprobación"</formula>
    </cfRule>
    <cfRule type="cellIs" dxfId="1282" priority="1646" operator="equal">
      <formula>"Cerrado"</formula>
    </cfRule>
    <cfRule type="cellIs" dxfId="1281" priority="1647" operator="equal">
      <formula>"Programado"</formula>
    </cfRule>
    <cfRule type="cellIs" dxfId="1280" priority="1648" operator="equal">
      <formula>"Implantación en curso"</formula>
    </cfRule>
  </conditionalFormatting>
  <conditionalFormatting sqref="I919">
    <cfRule type="cellIs" dxfId="1279" priority="1644" operator="equal">
      <formula>"Borrador"</formula>
    </cfRule>
  </conditionalFormatting>
  <conditionalFormatting sqref="I919">
    <cfRule type="cellIs" dxfId="1278" priority="1643" operator="equal">
      <formula>"Rechazado"</formula>
    </cfRule>
  </conditionalFormatting>
  <conditionalFormatting sqref="I919">
    <cfRule type="cellIs" dxfId="1277" priority="1642" operator="equal">
      <formula>"Terminado"</formula>
    </cfRule>
  </conditionalFormatting>
  <conditionalFormatting sqref="H893:H898">
    <cfRule type="cellIs" dxfId="1276" priority="1631" operator="equal">
      <formula>"Programado para aprobación"</formula>
    </cfRule>
    <cfRule type="cellIs" dxfId="1275" priority="1632" operator="equal">
      <formula>"Cerrado"</formula>
    </cfRule>
    <cfRule type="cellIs" dxfId="1274" priority="1633" operator="equal">
      <formula>"Programado"</formula>
    </cfRule>
    <cfRule type="cellIs" dxfId="1273" priority="1634" operator="equal">
      <formula>"Implantación en curso"</formula>
    </cfRule>
  </conditionalFormatting>
  <conditionalFormatting sqref="H893:H898">
    <cfRule type="cellIs" dxfId="1272" priority="1630" operator="equal">
      <formula>"Borrador"</formula>
    </cfRule>
  </conditionalFormatting>
  <conditionalFormatting sqref="H893:H898">
    <cfRule type="cellIs" dxfId="1271" priority="1629" operator="equal">
      <formula>"Rechazado"</formula>
    </cfRule>
  </conditionalFormatting>
  <conditionalFormatting sqref="H893:H898">
    <cfRule type="cellIs" dxfId="1270" priority="1628" operator="equal">
      <formula>"Terminado"</formula>
    </cfRule>
  </conditionalFormatting>
  <conditionalFormatting sqref="I893">
    <cfRule type="cellIs" dxfId="1269" priority="1624" operator="equal">
      <formula>"Programado para aprobación"</formula>
    </cfRule>
    <cfRule type="cellIs" dxfId="1268" priority="1625" operator="equal">
      <formula>"Cerrado"</formula>
    </cfRule>
    <cfRule type="cellIs" dxfId="1267" priority="1626" operator="equal">
      <formula>"Programado"</formula>
    </cfRule>
    <cfRule type="cellIs" dxfId="1266" priority="1627" operator="equal">
      <formula>"Implantación en curso"</formula>
    </cfRule>
  </conditionalFormatting>
  <conditionalFormatting sqref="I893">
    <cfRule type="cellIs" dxfId="1265" priority="1623" operator="equal">
      <formula>"Borrador"</formula>
    </cfRule>
  </conditionalFormatting>
  <conditionalFormatting sqref="I893">
    <cfRule type="cellIs" dxfId="1264" priority="1622" operator="equal">
      <formula>"Rechazado"</formula>
    </cfRule>
  </conditionalFormatting>
  <conditionalFormatting sqref="I893">
    <cfRule type="cellIs" dxfId="1263" priority="1621" operator="equal">
      <formula>"Terminado"</formula>
    </cfRule>
  </conditionalFormatting>
  <conditionalFormatting sqref="Q893:Q897">
    <cfRule type="duplicateValues" dxfId="1262" priority="1613"/>
  </conditionalFormatting>
  <conditionalFormatting sqref="Q893:Q897">
    <cfRule type="duplicateValues" dxfId="1261" priority="1612"/>
  </conditionalFormatting>
  <conditionalFormatting sqref="Q893:Q897">
    <cfRule type="duplicateValues" dxfId="1260" priority="1611"/>
  </conditionalFormatting>
  <conditionalFormatting sqref="Q893:Q897">
    <cfRule type="duplicateValues" dxfId="1259" priority="1610"/>
  </conditionalFormatting>
  <conditionalFormatting sqref="Q893:Q897">
    <cfRule type="duplicateValues" dxfId="1258" priority="1609"/>
  </conditionalFormatting>
  <conditionalFormatting sqref="I865">
    <cfRule type="cellIs" dxfId="1257" priority="1597" operator="equal">
      <formula>"Programado para aprobación"</formula>
    </cfRule>
    <cfRule type="cellIs" dxfId="1256" priority="1598" operator="equal">
      <formula>"Cerrado"</formula>
    </cfRule>
    <cfRule type="cellIs" dxfId="1255" priority="1599" operator="equal">
      <formula>"Programado"</formula>
    </cfRule>
    <cfRule type="cellIs" dxfId="1254" priority="1600" operator="equal">
      <formula>"Implantación en curso"</formula>
    </cfRule>
  </conditionalFormatting>
  <conditionalFormatting sqref="I865">
    <cfRule type="cellIs" dxfId="1253" priority="1596" operator="equal">
      <formula>"Borrador"</formula>
    </cfRule>
  </conditionalFormatting>
  <conditionalFormatting sqref="I865">
    <cfRule type="cellIs" dxfId="1252" priority="1595" operator="equal">
      <formula>"Rechazado"</formula>
    </cfRule>
  </conditionalFormatting>
  <conditionalFormatting sqref="I865">
    <cfRule type="cellIs" dxfId="1251" priority="1594" operator="equal">
      <formula>"Terminado"</formula>
    </cfRule>
  </conditionalFormatting>
  <conditionalFormatting sqref="H865">
    <cfRule type="cellIs" dxfId="1250" priority="1583" operator="equal">
      <formula>"Programado para aprobación"</formula>
    </cfRule>
    <cfRule type="cellIs" dxfId="1249" priority="1584" operator="equal">
      <formula>"Cerrado"</formula>
    </cfRule>
    <cfRule type="cellIs" dxfId="1248" priority="1585" operator="equal">
      <formula>"Programado"</formula>
    </cfRule>
    <cfRule type="cellIs" dxfId="1247" priority="1586" operator="equal">
      <formula>"Implantación en curso"</formula>
    </cfRule>
  </conditionalFormatting>
  <conditionalFormatting sqref="H865">
    <cfRule type="cellIs" dxfId="1246" priority="1582" operator="equal">
      <formula>"Borrador"</formula>
    </cfRule>
  </conditionalFormatting>
  <conditionalFormatting sqref="H865">
    <cfRule type="cellIs" dxfId="1245" priority="1581" operator="equal">
      <formula>"Rechazado"</formula>
    </cfRule>
  </conditionalFormatting>
  <conditionalFormatting sqref="H865">
    <cfRule type="cellIs" dxfId="1244" priority="1580" operator="equal">
      <formula>"Terminado"</formula>
    </cfRule>
  </conditionalFormatting>
  <conditionalFormatting sqref="H914:H915">
    <cfRule type="cellIs" dxfId="1243" priority="1569" operator="equal">
      <formula>"Programado para aprobación"</formula>
    </cfRule>
    <cfRule type="cellIs" dxfId="1242" priority="1570" operator="equal">
      <formula>"Cerrado"</formula>
    </cfRule>
    <cfRule type="cellIs" dxfId="1241" priority="1571" operator="equal">
      <formula>"Programado"</formula>
    </cfRule>
    <cfRule type="cellIs" dxfId="1240" priority="1572" operator="equal">
      <formula>"Implantación en curso"</formula>
    </cfRule>
  </conditionalFormatting>
  <conditionalFormatting sqref="H914:H915">
    <cfRule type="cellIs" dxfId="1239" priority="1568" operator="equal">
      <formula>"Borrador"</formula>
    </cfRule>
  </conditionalFormatting>
  <conditionalFormatting sqref="H914:H915">
    <cfRule type="cellIs" dxfId="1238" priority="1567" operator="equal">
      <formula>"Rechazado"</formula>
    </cfRule>
  </conditionalFormatting>
  <conditionalFormatting sqref="H914:H915">
    <cfRule type="cellIs" dxfId="1237" priority="1566" operator="equal">
      <formula>"Terminado"</formula>
    </cfRule>
  </conditionalFormatting>
  <conditionalFormatting sqref="I914">
    <cfRule type="cellIs" dxfId="1236" priority="1562" operator="equal">
      <formula>"Programado para aprobación"</formula>
    </cfRule>
    <cfRule type="cellIs" dxfId="1235" priority="1563" operator="equal">
      <formula>"Cerrado"</formula>
    </cfRule>
    <cfRule type="cellIs" dxfId="1234" priority="1564" operator="equal">
      <formula>"Programado"</formula>
    </cfRule>
    <cfRule type="cellIs" dxfId="1233" priority="1565" operator="equal">
      <formula>"Implantación en curso"</formula>
    </cfRule>
  </conditionalFormatting>
  <conditionalFormatting sqref="I914">
    <cfRule type="cellIs" dxfId="1232" priority="1561" operator="equal">
      <formula>"Borrador"</formula>
    </cfRule>
  </conditionalFormatting>
  <conditionalFormatting sqref="I914">
    <cfRule type="cellIs" dxfId="1231" priority="1560" operator="equal">
      <formula>"Rechazado"</formula>
    </cfRule>
  </conditionalFormatting>
  <conditionalFormatting sqref="I914">
    <cfRule type="cellIs" dxfId="1230" priority="1559" operator="equal">
      <formula>"Terminado"</formula>
    </cfRule>
  </conditionalFormatting>
  <conditionalFormatting sqref="Q914:Q917">
    <cfRule type="duplicateValues" dxfId="1229" priority="1551"/>
  </conditionalFormatting>
  <conditionalFormatting sqref="Q914:Q917">
    <cfRule type="duplicateValues" dxfId="1228" priority="1550"/>
  </conditionalFormatting>
  <conditionalFormatting sqref="Q914:Q917">
    <cfRule type="duplicateValues" dxfId="1227" priority="1549"/>
  </conditionalFormatting>
  <conditionalFormatting sqref="I875">
    <cfRule type="cellIs" dxfId="1226" priority="1524" operator="equal">
      <formula>"Programado para aprobación"</formula>
    </cfRule>
    <cfRule type="cellIs" dxfId="1225" priority="1525" operator="equal">
      <formula>"Cerrado"</formula>
    </cfRule>
    <cfRule type="cellIs" dxfId="1224" priority="1526" operator="equal">
      <formula>"Programado"</formula>
    </cfRule>
    <cfRule type="cellIs" dxfId="1223" priority="1527" operator="equal">
      <formula>"Implantación en curso"</formula>
    </cfRule>
  </conditionalFormatting>
  <conditionalFormatting sqref="I875">
    <cfRule type="cellIs" dxfId="1222" priority="1523" operator="equal">
      <formula>"Borrador"</formula>
    </cfRule>
  </conditionalFormatting>
  <conditionalFormatting sqref="I875">
    <cfRule type="cellIs" dxfId="1221" priority="1522" operator="equal">
      <formula>"Rechazado"</formula>
    </cfRule>
  </conditionalFormatting>
  <conditionalFormatting sqref="I875">
    <cfRule type="cellIs" dxfId="1220" priority="1521" operator="equal">
      <formula>"Terminado"</formula>
    </cfRule>
  </conditionalFormatting>
  <conditionalFormatting sqref="Q876">
    <cfRule type="duplicateValues" dxfId="1219" priority="1520"/>
  </conditionalFormatting>
  <conditionalFormatting sqref="Q876">
    <cfRule type="duplicateValues" dxfId="1218" priority="1519"/>
  </conditionalFormatting>
  <conditionalFormatting sqref="Q876">
    <cfRule type="duplicateValues" dxfId="1217" priority="1518"/>
  </conditionalFormatting>
  <conditionalFormatting sqref="I871">
    <cfRule type="cellIs" dxfId="1216" priority="1514" operator="equal">
      <formula>"Programado para aprobación"</formula>
    </cfRule>
    <cfRule type="cellIs" dxfId="1215" priority="1515" operator="equal">
      <formula>"Cerrado"</formula>
    </cfRule>
    <cfRule type="cellIs" dxfId="1214" priority="1516" operator="equal">
      <formula>"Programado"</formula>
    </cfRule>
    <cfRule type="cellIs" dxfId="1213" priority="1517" operator="equal">
      <formula>"Implantación en curso"</formula>
    </cfRule>
  </conditionalFormatting>
  <conditionalFormatting sqref="I871">
    <cfRule type="cellIs" dxfId="1212" priority="1513" operator="equal">
      <formula>"Borrador"</formula>
    </cfRule>
  </conditionalFormatting>
  <conditionalFormatting sqref="I871">
    <cfRule type="cellIs" dxfId="1211" priority="1512" operator="equal">
      <formula>"Rechazado"</formula>
    </cfRule>
  </conditionalFormatting>
  <conditionalFormatting sqref="I871">
    <cfRule type="cellIs" dxfId="1210" priority="1511" operator="equal">
      <formula>"Terminado"</formula>
    </cfRule>
  </conditionalFormatting>
  <conditionalFormatting sqref="I874">
    <cfRule type="cellIs" dxfId="1209" priority="1507" operator="equal">
      <formula>"Programado para aprobación"</formula>
    </cfRule>
    <cfRule type="cellIs" dxfId="1208" priority="1508" operator="equal">
      <formula>"Cerrado"</formula>
    </cfRule>
    <cfRule type="cellIs" dxfId="1207" priority="1509" operator="equal">
      <formula>"Programado"</formula>
    </cfRule>
    <cfRule type="cellIs" dxfId="1206" priority="1510" operator="equal">
      <formula>"Implantación en curso"</formula>
    </cfRule>
  </conditionalFormatting>
  <conditionalFormatting sqref="I874">
    <cfRule type="cellIs" dxfId="1205" priority="1506" operator="equal">
      <formula>"Borrador"</formula>
    </cfRule>
  </conditionalFormatting>
  <conditionalFormatting sqref="I874">
    <cfRule type="cellIs" dxfId="1204" priority="1505" operator="equal">
      <formula>"Rechazado"</formula>
    </cfRule>
  </conditionalFormatting>
  <conditionalFormatting sqref="I874">
    <cfRule type="cellIs" dxfId="1203" priority="1504" operator="equal">
      <formula>"Terminado"</formula>
    </cfRule>
  </conditionalFormatting>
  <conditionalFormatting sqref="I858:I859">
    <cfRule type="cellIs" dxfId="1202" priority="1500" operator="equal">
      <formula>"Programado para aprobación"</formula>
    </cfRule>
    <cfRule type="cellIs" dxfId="1201" priority="1501" operator="equal">
      <formula>"Cerrado"</formula>
    </cfRule>
    <cfRule type="cellIs" dxfId="1200" priority="1502" operator="equal">
      <formula>"Programado"</formula>
    </cfRule>
    <cfRule type="cellIs" dxfId="1199" priority="1503" operator="equal">
      <formula>"Implantación en curso"</formula>
    </cfRule>
  </conditionalFormatting>
  <conditionalFormatting sqref="I858:I859">
    <cfRule type="cellIs" dxfId="1198" priority="1499" operator="equal">
      <formula>"Borrador"</formula>
    </cfRule>
  </conditionalFormatting>
  <conditionalFormatting sqref="I858:I859">
    <cfRule type="cellIs" dxfId="1197" priority="1498" operator="equal">
      <formula>"Rechazado"</formula>
    </cfRule>
  </conditionalFormatting>
  <conditionalFormatting sqref="I858:I859">
    <cfRule type="cellIs" dxfId="1196" priority="1497" operator="equal">
      <formula>"Terminado"</formula>
    </cfRule>
  </conditionalFormatting>
  <conditionalFormatting sqref="I884">
    <cfRule type="cellIs" dxfId="1195" priority="1493" operator="equal">
      <formula>"Programado para aprobación"</formula>
    </cfRule>
    <cfRule type="cellIs" dxfId="1194" priority="1494" operator="equal">
      <formula>"Cerrado"</formula>
    </cfRule>
    <cfRule type="cellIs" dxfId="1193" priority="1495" operator="equal">
      <formula>"Programado"</formula>
    </cfRule>
    <cfRule type="cellIs" dxfId="1192" priority="1496" operator="equal">
      <formula>"Implantación en curso"</formula>
    </cfRule>
  </conditionalFormatting>
  <conditionalFormatting sqref="I884">
    <cfRule type="cellIs" dxfId="1191" priority="1492" operator="equal">
      <formula>"Borrador"</formula>
    </cfRule>
  </conditionalFormatting>
  <conditionalFormatting sqref="I884">
    <cfRule type="cellIs" dxfId="1190" priority="1491" operator="equal">
      <formula>"Rechazado"</formula>
    </cfRule>
  </conditionalFormatting>
  <conditionalFormatting sqref="I884">
    <cfRule type="cellIs" dxfId="1189" priority="1490" operator="equal">
      <formula>"Terminado"</formula>
    </cfRule>
  </conditionalFormatting>
  <conditionalFormatting sqref="Q884:Q887 Q890:Q892">
    <cfRule type="duplicateValues" dxfId="1188" priority="1489"/>
  </conditionalFormatting>
  <conditionalFormatting sqref="Q884:Q887">
    <cfRule type="duplicateValues" dxfId="1187" priority="1488"/>
  </conditionalFormatting>
  <conditionalFormatting sqref="Q884:Q887">
    <cfRule type="duplicateValues" dxfId="1186" priority="1487"/>
  </conditionalFormatting>
  <conditionalFormatting sqref="Q884:Q887">
    <cfRule type="duplicateValues" dxfId="1185" priority="1486"/>
  </conditionalFormatting>
  <conditionalFormatting sqref="Q884:Q887">
    <cfRule type="duplicateValues" dxfId="1184" priority="1485"/>
  </conditionalFormatting>
  <conditionalFormatting sqref="I890">
    <cfRule type="cellIs" dxfId="1183" priority="1481" operator="equal">
      <formula>"Programado para aprobación"</formula>
    </cfRule>
    <cfRule type="cellIs" dxfId="1182" priority="1482" operator="equal">
      <formula>"Cerrado"</formula>
    </cfRule>
    <cfRule type="cellIs" dxfId="1181" priority="1483" operator="equal">
      <formula>"Programado"</formula>
    </cfRule>
    <cfRule type="cellIs" dxfId="1180" priority="1484" operator="equal">
      <formula>"Implantación en curso"</formula>
    </cfRule>
  </conditionalFormatting>
  <conditionalFormatting sqref="I890">
    <cfRule type="cellIs" dxfId="1179" priority="1480" operator="equal">
      <formula>"Borrador"</formula>
    </cfRule>
  </conditionalFormatting>
  <conditionalFormatting sqref="I890">
    <cfRule type="cellIs" dxfId="1178" priority="1479" operator="equal">
      <formula>"Rechazado"</formula>
    </cfRule>
  </conditionalFormatting>
  <conditionalFormatting sqref="I890">
    <cfRule type="cellIs" dxfId="1177" priority="1478" operator="equal">
      <formula>"Terminado"</formula>
    </cfRule>
  </conditionalFormatting>
  <conditionalFormatting sqref="Q913">
    <cfRule type="duplicateValues" dxfId="1176" priority="1477"/>
  </conditionalFormatting>
  <conditionalFormatting sqref="Q913">
    <cfRule type="duplicateValues" dxfId="1175" priority="1476"/>
  </conditionalFormatting>
  <conditionalFormatting sqref="Q913">
    <cfRule type="duplicateValues" dxfId="1174" priority="1475"/>
  </conditionalFormatting>
  <conditionalFormatting sqref="Q913">
    <cfRule type="duplicateValues" dxfId="1173" priority="1474"/>
  </conditionalFormatting>
  <conditionalFormatting sqref="Q913">
    <cfRule type="duplicateValues" dxfId="1172" priority="1473"/>
  </conditionalFormatting>
  <conditionalFormatting sqref="Q913">
    <cfRule type="duplicateValues" dxfId="1171" priority="1472"/>
  </conditionalFormatting>
  <conditionalFormatting sqref="Q913">
    <cfRule type="duplicateValues" dxfId="1170" priority="1471"/>
  </conditionalFormatting>
  <conditionalFormatting sqref="Q913">
    <cfRule type="duplicateValues" dxfId="1169" priority="1470"/>
  </conditionalFormatting>
  <conditionalFormatting sqref="Q913">
    <cfRule type="duplicateValues" dxfId="1168" priority="1469"/>
  </conditionalFormatting>
  <conditionalFormatting sqref="Q913">
    <cfRule type="duplicateValues" dxfId="1167" priority="1468"/>
  </conditionalFormatting>
  <conditionalFormatting sqref="F781">
    <cfRule type="cellIs" dxfId="1166" priority="1458" operator="equal">
      <formula>"APLAZADO"</formula>
    </cfRule>
    <cfRule type="cellIs" dxfId="1165" priority="1459" operator="equal">
      <formula>"CANCELADO"</formula>
    </cfRule>
    <cfRule type="cellIs" dxfId="1164" priority="1460" operator="equal">
      <formula>"NO EJECUTADO"</formula>
    </cfRule>
    <cfRule type="cellIs" dxfId="1163" priority="1461" operator="equal">
      <formula>"FPE"</formula>
    </cfRule>
    <cfRule type="cellIs" dxfId="1162" priority="1462" operator="equal">
      <formula>"AMA"</formula>
    </cfRule>
    <cfRule type="cellIs" dxfId="1161" priority="1463" operator="equal">
      <formula>"SIN DATOS"</formula>
    </cfRule>
    <cfRule type="cellIs" dxfId="1160" priority="1464" operator="equal">
      <formula>"SIN DATOS"</formula>
    </cfRule>
    <cfRule type="cellIs" dxfId="1159" priority="1465" operator="equal">
      <formula>"NO EJECTUTADO"</formula>
    </cfRule>
    <cfRule type="cellIs" dxfId="1158" priority="1466" operator="equal">
      <formula>"FE"</formula>
    </cfRule>
    <cfRule type="cellIs" dxfId="1157" priority="1467" operator="equal">
      <formula>"FE"</formula>
    </cfRule>
  </conditionalFormatting>
  <conditionalFormatting sqref="F781">
    <cfRule type="cellIs" dxfId="1156" priority="1456" operator="equal">
      <formula>"Retirado"</formula>
    </cfRule>
    <cfRule type="cellIs" dxfId="1155" priority="1457" operator="equal">
      <formula>"FSE"</formula>
    </cfRule>
  </conditionalFormatting>
  <conditionalFormatting sqref="Q782">
    <cfRule type="duplicateValues" dxfId="1154" priority="1455"/>
  </conditionalFormatting>
  <conditionalFormatting sqref="Q782">
    <cfRule type="duplicateValues" dxfId="1153" priority="1454"/>
  </conditionalFormatting>
  <conditionalFormatting sqref="I996">
    <cfRule type="cellIs" dxfId="1152" priority="1450" operator="equal">
      <formula>"Programado para aprobación"</formula>
    </cfRule>
    <cfRule type="cellIs" dxfId="1151" priority="1451" operator="equal">
      <formula>"Cerrado"</formula>
    </cfRule>
    <cfRule type="cellIs" dxfId="1150" priority="1452" operator="equal">
      <formula>"Programado"</formula>
    </cfRule>
    <cfRule type="cellIs" dxfId="1149" priority="1453" operator="equal">
      <formula>"Implantación en curso"</formula>
    </cfRule>
  </conditionalFormatting>
  <conditionalFormatting sqref="I996">
    <cfRule type="cellIs" dxfId="1148" priority="1449" operator="equal">
      <formula>"Borrador"</formula>
    </cfRule>
  </conditionalFormatting>
  <conditionalFormatting sqref="I996">
    <cfRule type="cellIs" dxfId="1147" priority="1448" operator="equal">
      <formula>"Rechazado"</formula>
    </cfRule>
  </conditionalFormatting>
  <conditionalFormatting sqref="I996">
    <cfRule type="cellIs" dxfId="1146" priority="1447" operator="equal">
      <formula>"Terminado"</formula>
    </cfRule>
  </conditionalFormatting>
  <conditionalFormatting sqref="I888">
    <cfRule type="cellIs" dxfId="1145" priority="1443" operator="equal">
      <formula>"Programado para aprobación"</formula>
    </cfRule>
    <cfRule type="cellIs" dxfId="1144" priority="1444" operator="equal">
      <formula>"Cerrado"</formula>
    </cfRule>
    <cfRule type="cellIs" dxfId="1143" priority="1445" operator="equal">
      <formula>"Programado"</formula>
    </cfRule>
    <cfRule type="cellIs" dxfId="1142" priority="1446" operator="equal">
      <formula>"Implantación en curso"</formula>
    </cfRule>
  </conditionalFormatting>
  <conditionalFormatting sqref="I888">
    <cfRule type="cellIs" dxfId="1141" priority="1442" operator="equal">
      <formula>"Borrador"</formula>
    </cfRule>
  </conditionalFormatting>
  <conditionalFormatting sqref="I888">
    <cfRule type="cellIs" dxfId="1140" priority="1441" operator="equal">
      <formula>"Rechazado"</formula>
    </cfRule>
  </conditionalFormatting>
  <conditionalFormatting sqref="I888">
    <cfRule type="cellIs" dxfId="1139" priority="1440" operator="equal">
      <formula>"Terminado"</formula>
    </cfRule>
  </conditionalFormatting>
  <conditionalFormatting sqref="I879">
    <cfRule type="cellIs" dxfId="1138" priority="1436" operator="equal">
      <formula>"Programado para aprobación"</formula>
    </cfRule>
    <cfRule type="cellIs" dxfId="1137" priority="1437" operator="equal">
      <formula>"Cerrado"</formula>
    </cfRule>
    <cfRule type="cellIs" dxfId="1136" priority="1438" operator="equal">
      <formula>"Programado"</formula>
    </cfRule>
    <cfRule type="cellIs" dxfId="1135" priority="1439" operator="equal">
      <formula>"Implantación en curso"</formula>
    </cfRule>
  </conditionalFormatting>
  <conditionalFormatting sqref="I879">
    <cfRule type="cellIs" dxfId="1134" priority="1435" operator="equal">
      <formula>"Borrador"</formula>
    </cfRule>
  </conditionalFormatting>
  <conditionalFormatting sqref="I879">
    <cfRule type="cellIs" dxfId="1133" priority="1434" operator="equal">
      <formula>"Rechazado"</formula>
    </cfRule>
  </conditionalFormatting>
  <conditionalFormatting sqref="I879">
    <cfRule type="cellIs" dxfId="1132" priority="1433" operator="equal">
      <formula>"Terminado"</formula>
    </cfRule>
  </conditionalFormatting>
  <conditionalFormatting sqref="F987">
    <cfRule type="cellIs" dxfId="1131" priority="1418" operator="equal">
      <formula>"APLAZADO"</formula>
    </cfRule>
    <cfRule type="cellIs" dxfId="1130" priority="1419" operator="equal">
      <formula>"CANCELADO"</formula>
    </cfRule>
    <cfRule type="cellIs" dxfId="1129" priority="1420" operator="equal">
      <formula>"NO EJECUTADO"</formula>
    </cfRule>
    <cfRule type="cellIs" dxfId="1128" priority="1421" operator="equal">
      <formula>"FPE"</formula>
    </cfRule>
    <cfRule type="cellIs" dxfId="1127" priority="1422" operator="equal">
      <formula>"AMA"</formula>
    </cfRule>
    <cfRule type="cellIs" dxfId="1126" priority="1423" operator="equal">
      <formula>"SIN DATOS"</formula>
    </cfRule>
    <cfRule type="cellIs" dxfId="1125" priority="1424" operator="equal">
      <formula>"SIN DATOS"</formula>
    </cfRule>
    <cfRule type="cellIs" dxfId="1124" priority="1425" operator="equal">
      <formula>"NO EJECTUTADO"</formula>
    </cfRule>
    <cfRule type="cellIs" dxfId="1123" priority="1426" operator="equal">
      <formula>"FE"</formula>
    </cfRule>
    <cfRule type="cellIs" dxfId="1122" priority="1427" operator="equal">
      <formula>"FE"</formula>
    </cfRule>
  </conditionalFormatting>
  <conditionalFormatting sqref="F987">
    <cfRule type="cellIs" dxfId="1121" priority="1416" operator="equal">
      <formula>"Retirado"</formula>
    </cfRule>
    <cfRule type="cellIs" dxfId="1120" priority="1417" operator="equal">
      <formula>"FSE"</formula>
    </cfRule>
  </conditionalFormatting>
  <conditionalFormatting sqref="I751">
    <cfRule type="cellIs" dxfId="1119" priority="1412" operator="equal">
      <formula>"Programado para aprobación"</formula>
    </cfRule>
    <cfRule type="cellIs" dxfId="1118" priority="1413" operator="equal">
      <formula>"Cerrado"</formula>
    </cfRule>
    <cfRule type="cellIs" dxfId="1117" priority="1414" operator="equal">
      <formula>"Programado"</formula>
    </cfRule>
    <cfRule type="cellIs" dxfId="1116" priority="1415" operator="equal">
      <formula>"Implantación en curso"</formula>
    </cfRule>
  </conditionalFormatting>
  <conditionalFormatting sqref="I751">
    <cfRule type="cellIs" dxfId="1115" priority="1411" operator="equal">
      <formula>"Borrador"</formula>
    </cfRule>
  </conditionalFormatting>
  <conditionalFormatting sqref="I751">
    <cfRule type="cellIs" dxfId="1114" priority="1410" operator="equal">
      <formula>"Rechazado"</formula>
    </cfRule>
  </conditionalFormatting>
  <conditionalFormatting sqref="I751">
    <cfRule type="cellIs" dxfId="1113" priority="1409" operator="equal">
      <formula>"Terminado"</formula>
    </cfRule>
  </conditionalFormatting>
  <conditionalFormatting sqref="Q681:Q702 Q704:Q749 Q751:Q767">
    <cfRule type="duplicateValues" dxfId="1112" priority="137191"/>
  </conditionalFormatting>
  <conditionalFormatting sqref="Q1:Q749 Q751:Q813 Q890:Q897 Q1003 Q939:Q943 Q905 Q907:Q908 Q928 Q945:Q949 Q930 Q932:Q933 Q815:Q887 Q911:Q923 Q951:Q1001 Q1005:Q1017">
    <cfRule type="duplicateValues" dxfId="1111" priority="137216"/>
  </conditionalFormatting>
  <conditionalFormatting sqref="I750">
    <cfRule type="cellIs" dxfId="1110" priority="1405" operator="equal">
      <formula>"Programado para aprobación"</formula>
    </cfRule>
    <cfRule type="cellIs" dxfId="1109" priority="1406" operator="equal">
      <formula>"Cerrado"</formula>
    </cfRule>
    <cfRule type="cellIs" dxfId="1108" priority="1407" operator="equal">
      <formula>"Programado"</formula>
    </cfRule>
    <cfRule type="cellIs" dxfId="1107" priority="1408" operator="equal">
      <formula>"Implantación en curso"</formula>
    </cfRule>
  </conditionalFormatting>
  <conditionalFormatting sqref="I750">
    <cfRule type="cellIs" dxfId="1106" priority="1404" operator="equal">
      <formula>"Borrador"</formula>
    </cfRule>
  </conditionalFormatting>
  <conditionalFormatting sqref="I750">
    <cfRule type="cellIs" dxfId="1105" priority="1403" operator="equal">
      <formula>"Rechazado"</formula>
    </cfRule>
  </conditionalFormatting>
  <conditionalFormatting sqref="I750">
    <cfRule type="cellIs" dxfId="1104" priority="1402" operator="equal">
      <formula>"Terminado"</formula>
    </cfRule>
  </conditionalFormatting>
  <conditionalFormatting sqref="Q750">
    <cfRule type="duplicateValues" dxfId="1103" priority="1401"/>
  </conditionalFormatting>
  <conditionalFormatting sqref="Q750">
    <cfRule type="duplicateValues" dxfId="1102" priority="1400"/>
  </conditionalFormatting>
  <conditionalFormatting sqref="Q750">
    <cfRule type="duplicateValues" dxfId="1101" priority="1399"/>
  </conditionalFormatting>
  <conditionalFormatting sqref="Q750">
    <cfRule type="duplicateValues" dxfId="1100" priority="1398"/>
  </conditionalFormatting>
  <conditionalFormatting sqref="Q750">
    <cfRule type="duplicateValues" dxfId="1099" priority="1397"/>
  </conditionalFormatting>
  <conditionalFormatting sqref="Q750">
    <cfRule type="duplicateValues" dxfId="1098" priority="1396"/>
  </conditionalFormatting>
  <conditionalFormatting sqref="F610">
    <cfRule type="cellIs" dxfId="1097" priority="1386" operator="equal">
      <formula>"APLAZADO"</formula>
    </cfRule>
    <cfRule type="cellIs" dxfId="1096" priority="1387" operator="equal">
      <formula>"CANCELADO"</formula>
    </cfRule>
    <cfRule type="cellIs" dxfId="1095" priority="1388" operator="equal">
      <formula>"NO EJECUTADO"</formula>
    </cfRule>
    <cfRule type="cellIs" dxfId="1094" priority="1389" operator="equal">
      <formula>"FPE"</formula>
    </cfRule>
    <cfRule type="cellIs" dxfId="1093" priority="1390" operator="equal">
      <formula>"AMA"</formula>
    </cfRule>
    <cfRule type="cellIs" dxfId="1092" priority="1391" operator="equal">
      <formula>"SIN DATOS"</formula>
    </cfRule>
    <cfRule type="cellIs" dxfId="1091" priority="1392" operator="equal">
      <formula>"SIN DATOS"</formula>
    </cfRule>
    <cfRule type="cellIs" dxfId="1090" priority="1393" operator="equal">
      <formula>"NO EJECTUTADO"</formula>
    </cfRule>
    <cfRule type="cellIs" dxfId="1089" priority="1394" operator="equal">
      <formula>"FE"</formula>
    </cfRule>
    <cfRule type="cellIs" dxfId="1088" priority="1395" operator="equal">
      <formula>"FE"</formula>
    </cfRule>
  </conditionalFormatting>
  <conditionalFormatting sqref="F610">
    <cfRule type="cellIs" dxfId="1087" priority="1384" operator="equal">
      <formula>"Retirado"</formula>
    </cfRule>
    <cfRule type="cellIs" dxfId="1086" priority="1385" operator="equal">
      <formula>"FSE"</formula>
    </cfRule>
  </conditionalFormatting>
  <conditionalFormatting sqref="I758">
    <cfRule type="cellIs" dxfId="1085" priority="1380" operator="equal">
      <formula>"Programado para aprobación"</formula>
    </cfRule>
    <cfRule type="cellIs" dxfId="1084" priority="1381" operator="equal">
      <formula>"Cerrado"</formula>
    </cfRule>
    <cfRule type="cellIs" dxfId="1083" priority="1382" operator="equal">
      <formula>"Programado"</formula>
    </cfRule>
    <cfRule type="cellIs" dxfId="1082" priority="1383" operator="equal">
      <formula>"Implantación en curso"</formula>
    </cfRule>
  </conditionalFormatting>
  <conditionalFormatting sqref="I758">
    <cfRule type="cellIs" dxfId="1081" priority="1379" operator="equal">
      <formula>"Borrador"</formula>
    </cfRule>
  </conditionalFormatting>
  <conditionalFormatting sqref="I758">
    <cfRule type="cellIs" dxfId="1080" priority="1378" operator="equal">
      <formula>"Rechazado"</formula>
    </cfRule>
  </conditionalFormatting>
  <conditionalFormatting sqref="I758">
    <cfRule type="cellIs" dxfId="1079" priority="1377" operator="equal">
      <formula>"Terminado"</formula>
    </cfRule>
  </conditionalFormatting>
  <conditionalFormatting sqref="I885">
    <cfRule type="cellIs" dxfId="1078" priority="1373" operator="equal">
      <formula>"Programado para aprobación"</formula>
    </cfRule>
    <cfRule type="cellIs" dxfId="1077" priority="1374" operator="equal">
      <formula>"Cerrado"</formula>
    </cfRule>
    <cfRule type="cellIs" dxfId="1076" priority="1375" operator="equal">
      <formula>"Programado"</formula>
    </cfRule>
    <cfRule type="cellIs" dxfId="1075" priority="1376" operator="equal">
      <formula>"Implantación en curso"</formula>
    </cfRule>
  </conditionalFormatting>
  <conditionalFormatting sqref="I885">
    <cfRule type="cellIs" dxfId="1074" priority="1372" operator="equal">
      <formula>"Borrador"</formula>
    </cfRule>
  </conditionalFormatting>
  <conditionalFormatting sqref="I885">
    <cfRule type="cellIs" dxfId="1073" priority="1371" operator="equal">
      <formula>"Rechazado"</formula>
    </cfRule>
  </conditionalFormatting>
  <conditionalFormatting sqref="I885">
    <cfRule type="cellIs" dxfId="1072" priority="1370" operator="equal">
      <formula>"Terminado"</formula>
    </cfRule>
  </conditionalFormatting>
  <conditionalFormatting sqref="I881">
    <cfRule type="cellIs" dxfId="1071" priority="1366" operator="equal">
      <formula>"Programado para aprobación"</formula>
    </cfRule>
    <cfRule type="cellIs" dxfId="1070" priority="1367" operator="equal">
      <formula>"Cerrado"</formula>
    </cfRule>
    <cfRule type="cellIs" dxfId="1069" priority="1368" operator="equal">
      <formula>"Programado"</formula>
    </cfRule>
    <cfRule type="cellIs" dxfId="1068" priority="1369" operator="equal">
      <formula>"Implantación en curso"</formula>
    </cfRule>
  </conditionalFormatting>
  <conditionalFormatting sqref="I881">
    <cfRule type="cellIs" dxfId="1067" priority="1365" operator="equal">
      <formula>"Borrador"</formula>
    </cfRule>
  </conditionalFormatting>
  <conditionalFormatting sqref="I881">
    <cfRule type="cellIs" dxfId="1066" priority="1364" operator="equal">
      <formula>"Rechazado"</formula>
    </cfRule>
  </conditionalFormatting>
  <conditionalFormatting sqref="I881">
    <cfRule type="cellIs" dxfId="1065" priority="1363" operator="equal">
      <formula>"Terminado"</formula>
    </cfRule>
  </conditionalFormatting>
  <conditionalFormatting sqref="I886">
    <cfRule type="cellIs" dxfId="1064" priority="1359" operator="equal">
      <formula>"Programado para aprobación"</formula>
    </cfRule>
    <cfRule type="cellIs" dxfId="1063" priority="1360" operator="equal">
      <formula>"Cerrado"</formula>
    </cfRule>
    <cfRule type="cellIs" dxfId="1062" priority="1361" operator="equal">
      <formula>"Programado"</formula>
    </cfRule>
    <cfRule type="cellIs" dxfId="1061" priority="1362" operator="equal">
      <formula>"Implantación en curso"</formula>
    </cfRule>
  </conditionalFormatting>
  <conditionalFormatting sqref="I886">
    <cfRule type="cellIs" dxfId="1060" priority="1358" operator="equal">
      <formula>"Borrador"</formula>
    </cfRule>
  </conditionalFormatting>
  <conditionalFormatting sqref="I886">
    <cfRule type="cellIs" dxfId="1059" priority="1357" operator="equal">
      <formula>"Rechazado"</formula>
    </cfRule>
  </conditionalFormatting>
  <conditionalFormatting sqref="I886">
    <cfRule type="cellIs" dxfId="1058" priority="1356" operator="equal">
      <formula>"Terminado"</formula>
    </cfRule>
  </conditionalFormatting>
  <conditionalFormatting sqref="I905">
    <cfRule type="cellIs" dxfId="1057" priority="1341" operator="equal">
      <formula>"Programado para aprobación"</formula>
    </cfRule>
    <cfRule type="cellIs" dxfId="1056" priority="1342" operator="equal">
      <formula>"Cerrado"</formula>
    </cfRule>
    <cfRule type="cellIs" dxfId="1055" priority="1343" operator="equal">
      <formula>"Programado"</formula>
    </cfRule>
    <cfRule type="cellIs" dxfId="1054" priority="1344" operator="equal">
      <formula>"Implantación en curso"</formula>
    </cfRule>
  </conditionalFormatting>
  <conditionalFormatting sqref="I905">
    <cfRule type="cellIs" dxfId="1053" priority="1340" operator="equal">
      <formula>"Borrador"</formula>
    </cfRule>
  </conditionalFormatting>
  <conditionalFormatting sqref="I905">
    <cfRule type="cellIs" dxfId="1052" priority="1339" operator="equal">
      <formula>"Rechazado"</formula>
    </cfRule>
  </conditionalFormatting>
  <conditionalFormatting sqref="I905">
    <cfRule type="cellIs" dxfId="1051" priority="1338" operator="equal">
      <formula>"Terminado"</formula>
    </cfRule>
  </conditionalFormatting>
  <conditionalFormatting sqref="Q905">
    <cfRule type="duplicateValues" dxfId="1050" priority="1337"/>
  </conditionalFormatting>
  <conditionalFormatting sqref="Q905">
    <cfRule type="duplicateValues" dxfId="1049" priority="1336"/>
  </conditionalFormatting>
  <conditionalFormatting sqref="Q905">
    <cfRule type="duplicateValues" dxfId="1048" priority="1335"/>
  </conditionalFormatting>
  <conditionalFormatting sqref="Q905">
    <cfRule type="duplicateValues" dxfId="1047" priority="1334"/>
  </conditionalFormatting>
  <conditionalFormatting sqref="Q905">
    <cfRule type="duplicateValues" dxfId="1046" priority="1333"/>
  </conditionalFormatting>
  <conditionalFormatting sqref="Q905">
    <cfRule type="duplicateValues" dxfId="1045" priority="1332"/>
  </conditionalFormatting>
  <conditionalFormatting sqref="Q905">
    <cfRule type="duplicateValues" dxfId="1044" priority="1331"/>
  </conditionalFormatting>
  <conditionalFormatting sqref="Q905">
    <cfRule type="duplicateValues" dxfId="1043" priority="1330"/>
  </conditionalFormatting>
  <conditionalFormatting sqref="Q905">
    <cfRule type="duplicateValues" dxfId="1042" priority="1329"/>
  </conditionalFormatting>
  <conditionalFormatting sqref="Q905">
    <cfRule type="duplicateValues" dxfId="1041" priority="1328"/>
  </conditionalFormatting>
  <conditionalFormatting sqref="Q905">
    <cfRule type="duplicateValues" dxfId="1040" priority="1327"/>
  </conditionalFormatting>
  <conditionalFormatting sqref="Q905">
    <cfRule type="duplicateValues" dxfId="1039" priority="1326"/>
  </conditionalFormatting>
  <conditionalFormatting sqref="Q905">
    <cfRule type="duplicateValues" dxfId="1038" priority="1325"/>
  </conditionalFormatting>
  <conditionalFormatting sqref="I911">
    <cfRule type="cellIs" dxfId="1037" priority="1321" operator="equal">
      <formula>"Programado para aprobación"</formula>
    </cfRule>
    <cfRule type="cellIs" dxfId="1036" priority="1322" operator="equal">
      <formula>"Cerrado"</formula>
    </cfRule>
    <cfRule type="cellIs" dxfId="1035" priority="1323" operator="equal">
      <formula>"Programado"</formula>
    </cfRule>
    <cfRule type="cellIs" dxfId="1034" priority="1324" operator="equal">
      <formula>"Implantación en curso"</formula>
    </cfRule>
  </conditionalFormatting>
  <conditionalFormatting sqref="I911">
    <cfRule type="cellIs" dxfId="1033" priority="1320" operator="equal">
      <formula>"Borrador"</formula>
    </cfRule>
  </conditionalFormatting>
  <conditionalFormatting sqref="I911">
    <cfRule type="cellIs" dxfId="1032" priority="1319" operator="equal">
      <formula>"Rechazado"</formula>
    </cfRule>
  </conditionalFormatting>
  <conditionalFormatting sqref="I911">
    <cfRule type="cellIs" dxfId="1031" priority="1318" operator="equal">
      <formula>"Terminado"</formula>
    </cfRule>
  </conditionalFormatting>
  <conditionalFormatting sqref="Q934 Q937">
    <cfRule type="duplicateValues" dxfId="1030" priority="1317"/>
  </conditionalFormatting>
  <conditionalFormatting sqref="Q934">
    <cfRule type="duplicateValues" dxfId="1029" priority="1316"/>
  </conditionalFormatting>
  <conditionalFormatting sqref="Q934">
    <cfRule type="duplicateValues" dxfId="1028" priority="1315"/>
  </conditionalFormatting>
  <conditionalFormatting sqref="Q934">
    <cfRule type="duplicateValues" dxfId="1027" priority="1314"/>
  </conditionalFormatting>
  <conditionalFormatting sqref="Q934">
    <cfRule type="duplicateValues" dxfId="1026" priority="1313"/>
  </conditionalFormatting>
  <conditionalFormatting sqref="Q934">
    <cfRule type="duplicateValues" dxfId="1025" priority="1312"/>
  </conditionalFormatting>
  <conditionalFormatting sqref="Q934">
    <cfRule type="duplicateValues" dxfId="1024" priority="1311"/>
  </conditionalFormatting>
  <conditionalFormatting sqref="Q934">
    <cfRule type="duplicateValues" dxfId="1023" priority="1310"/>
  </conditionalFormatting>
  <conditionalFormatting sqref="Q934">
    <cfRule type="duplicateValues" dxfId="1022" priority="1309"/>
  </conditionalFormatting>
  <conditionalFormatting sqref="Q934">
    <cfRule type="duplicateValues" dxfId="1021" priority="1308"/>
  </conditionalFormatting>
  <conditionalFormatting sqref="Q934">
    <cfRule type="duplicateValues" dxfId="1020" priority="1307"/>
  </conditionalFormatting>
  <conditionalFormatting sqref="Q934">
    <cfRule type="duplicateValues" dxfId="1019" priority="1306"/>
  </conditionalFormatting>
  <conditionalFormatting sqref="Q934">
    <cfRule type="duplicateValues" dxfId="1018" priority="1305"/>
  </conditionalFormatting>
  <conditionalFormatting sqref="Q934">
    <cfRule type="duplicateValues" dxfId="1017" priority="1304"/>
  </conditionalFormatting>
  <conditionalFormatting sqref="Q934">
    <cfRule type="duplicateValues" dxfId="1016" priority="1303"/>
  </conditionalFormatting>
  <conditionalFormatting sqref="Q934">
    <cfRule type="duplicateValues" dxfId="1015" priority="1302"/>
  </conditionalFormatting>
  <conditionalFormatting sqref="Q934">
    <cfRule type="duplicateValues" dxfId="1014" priority="1301"/>
  </conditionalFormatting>
  <conditionalFormatting sqref="Q934">
    <cfRule type="duplicateValues" dxfId="1013" priority="1300"/>
  </conditionalFormatting>
  <conditionalFormatting sqref="Q934">
    <cfRule type="duplicateValues" dxfId="1012" priority="1299"/>
  </conditionalFormatting>
  <conditionalFormatting sqref="I856">
    <cfRule type="cellIs" dxfId="1011" priority="1295" operator="equal">
      <formula>"Programado para aprobación"</formula>
    </cfRule>
    <cfRule type="cellIs" dxfId="1010" priority="1296" operator="equal">
      <formula>"Cerrado"</formula>
    </cfRule>
    <cfRule type="cellIs" dxfId="1009" priority="1297" operator="equal">
      <formula>"Programado"</formula>
    </cfRule>
    <cfRule type="cellIs" dxfId="1008" priority="1298" operator="equal">
      <formula>"Implantación en curso"</formula>
    </cfRule>
  </conditionalFormatting>
  <conditionalFormatting sqref="I856">
    <cfRule type="cellIs" dxfId="1007" priority="1294" operator="equal">
      <formula>"Borrador"</formula>
    </cfRule>
  </conditionalFormatting>
  <conditionalFormatting sqref="I856">
    <cfRule type="cellIs" dxfId="1006" priority="1293" operator="equal">
      <formula>"Rechazado"</formula>
    </cfRule>
  </conditionalFormatting>
  <conditionalFormatting sqref="I856">
    <cfRule type="cellIs" dxfId="1005" priority="1292" operator="equal">
      <formula>"Terminado"</formula>
    </cfRule>
  </conditionalFormatting>
  <conditionalFormatting sqref="Q856">
    <cfRule type="duplicateValues" dxfId="1004" priority="1291"/>
  </conditionalFormatting>
  <conditionalFormatting sqref="Q856">
    <cfRule type="duplicateValues" dxfId="1003" priority="1290"/>
  </conditionalFormatting>
  <conditionalFormatting sqref="Q856">
    <cfRule type="duplicateValues" dxfId="1002" priority="1289"/>
  </conditionalFormatting>
  <conditionalFormatting sqref="I887">
    <cfRule type="cellIs" dxfId="1001" priority="1285" operator="equal">
      <formula>"Programado para aprobación"</formula>
    </cfRule>
    <cfRule type="cellIs" dxfId="1000" priority="1286" operator="equal">
      <formula>"Cerrado"</formula>
    </cfRule>
    <cfRule type="cellIs" dxfId="999" priority="1287" operator="equal">
      <formula>"Programado"</formula>
    </cfRule>
    <cfRule type="cellIs" dxfId="998" priority="1288" operator="equal">
      <formula>"Implantación en curso"</formula>
    </cfRule>
  </conditionalFormatting>
  <conditionalFormatting sqref="I887">
    <cfRule type="cellIs" dxfId="997" priority="1284" operator="equal">
      <formula>"Borrador"</formula>
    </cfRule>
  </conditionalFormatting>
  <conditionalFormatting sqref="I887">
    <cfRule type="cellIs" dxfId="996" priority="1283" operator="equal">
      <formula>"Rechazado"</formula>
    </cfRule>
  </conditionalFormatting>
  <conditionalFormatting sqref="I887">
    <cfRule type="cellIs" dxfId="995" priority="1282" operator="equal">
      <formula>"Terminado"</formula>
    </cfRule>
  </conditionalFormatting>
  <conditionalFormatting sqref="Q888">
    <cfRule type="duplicateValues" dxfId="994" priority="1281"/>
  </conditionalFormatting>
  <conditionalFormatting sqref="Q888">
    <cfRule type="duplicateValues" dxfId="993" priority="1280"/>
  </conditionalFormatting>
  <conditionalFormatting sqref="Q888">
    <cfRule type="duplicateValues" dxfId="992" priority="1279"/>
  </conditionalFormatting>
  <conditionalFormatting sqref="Q888">
    <cfRule type="duplicateValues" dxfId="991" priority="1278"/>
  </conditionalFormatting>
  <conditionalFormatting sqref="Q888">
    <cfRule type="duplicateValues" dxfId="990" priority="1277"/>
  </conditionalFormatting>
  <conditionalFormatting sqref="Q888">
    <cfRule type="duplicateValues" dxfId="989" priority="1276"/>
  </conditionalFormatting>
  <conditionalFormatting sqref="Q888">
    <cfRule type="duplicateValues" dxfId="988" priority="1275"/>
  </conditionalFormatting>
  <conditionalFormatting sqref="Q888">
    <cfRule type="duplicateValues" dxfId="987" priority="1274"/>
  </conditionalFormatting>
  <conditionalFormatting sqref="Q888">
    <cfRule type="duplicateValues" dxfId="986" priority="1273"/>
  </conditionalFormatting>
  <conditionalFormatting sqref="Q888">
    <cfRule type="duplicateValues" dxfId="985" priority="1272"/>
  </conditionalFormatting>
  <conditionalFormatting sqref="Q888">
    <cfRule type="duplicateValues" dxfId="984" priority="1271"/>
  </conditionalFormatting>
  <conditionalFormatting sqref="I937">
    <cfRule type="cellIs" dxfId="983" priority="1267" operator="equal">
      <formula>"Programado para aprobación"</formula>
    </cfRule>
    <cfRule type="cellIs" dxfId="982" priority="1268" operator="equal">
      <formula>"Cerrado"</formula>
    </cfRule>
    <cfRule type="cellIs" dxfId="981" priority="1269" operator="equal">
      <formula>"Programado"</formula>
    </cfRule>
    <cfRule type="cellIs" dxfId="980" priority="1270" operator="equal">
      <formula>"Implantación en curso"</formula>
    </cfRule>
  </conditionalFormatting>
  <conditionalFormatting sqref="I937">
    <cfRule type="cellIs" dxfId="979" priority="1266" operator="equal">
      <formula>"Borrador"</formula>
    </cfRule>
  </conditionalFormatting>
  <conditionalFormatting sqref="I937">
    <cfRule type="cellIs" dxfId="978" priority="1265" operator="equal">
      <formula>"Rechazado"</formula>
    </cfRule>
  </conditionalFormatting>
  <conditionalFormatting sqref="I937">
    <cfRule type="cellIs" dxfId="977" priority="1264" operator="equal">
      <formula>"Terminado"</formula>
    </cfRule>
  </conditionalFormatting>
  <conditionalFormatting sqref="Q938">
    <cfRule type="duplicateValues" dxfId="976" priority="1263"/>
  </conditionalFormatting>
  <conditionalFormatting sqref="Q938">
    <cfRule type="duplicateValues" dxfId="975" priority="1262"/>
  </conditionalFormatting>
  <conditionalFormatting sqref="Q938">
    <cfRule type="duplicateValues" dxfId="974" priority="1261"/>
  </conditionalFormatting>
  <conditionalFormatting sqref="Q938">
    <cfRule type="duplicateValues" dxfId="973" priority="1260"/>
  </conditionalFormatting>
  <conditionalFormatting sqref="Q938">
    <cfRule type="duplicateValues" dxfId="972" priority="1259"/>
  </conditionalFormatting>
  <conditionalFormatting sqref="Q938">
    <cfRule type="duplicateValues" dxfId="971" priority="1258"/>
  </conditionalFormatting>
  <conditionalFormatting sqref="Q938">
    <cfRule type="duplicateValues" dxfId="970" priority="1257"/>
  </conditionalFormatting>
  <conditionalFormatting sqref="Q938">
    <cfRule type="duplicateValues" dxfId="969" priority="1256"/>
  </conditionalFormatting>
  <conditionalFormatting sqref="Q938">
    <cfRule type="duplicateValues" dxfId="968" priority="1255"/>
  </conditionalFormatting>
  <conditionalFormatting sqref="Q938">
    <cfRule type="duplicateValues" dxfId="967" priority="1254"/>
  </conditionalFormatting>
  <conditionalFormatting sqref="Q938">
    <cfRule type="duplicateValues" dxfId="966" priority="1253"/>
  </conditionalFormatting>
  <conditionalFormatting sqref="I935">
    <cfRule type="cellIs" dxfId="965" priority="1249" operator="equal">
      <formula>"Programado para aprobación"</formula>
    </cfRule>
    <cfRule type="cellIs" dxfId="964" priority="1250" operator="equal">
      <formula>"Cerrado"</formula>
    </cfRule>
    <cfRule type="cellIs" dxfId="963" priority="1251" operator="equal">
      <formula>"Programado"</formula>
    </cfRule>
    <cfRule type="cellIs" dxfId="962" priority="1252" operator="equal">
      <formula>"Implantación en curso"</formula>
    </cfRule>
  </conditionalFormatting>
  <conditionalFormatting sqref="I935">
    <cfRule type="cellIs" dxfId="961" priority="1248" operator="equal">
      <formula>"Borrador"</formula>
    </cfRule>
  </conditionalFormatting>
  <conditionalFormatting sqref="I935">
    <cfRule type="cellIs" dxfId="960" priority="1247" operator="equal">
      <formula>"Rechazado"</formula>
    </cfRule>
  </conditionalFormatting>
  <conditionalFormatting sqref="I935">
    <cfRule type="cellIs" dxfId="959" priority="1246" operator="equal">
      <formula>"Terminado"</formula>
    </cfRule>
  </conditionalFormatting>
  <conditionalFormatting sqref="Q935">
    <cfRule type="duplicateValues" dxfId="958" priority="1245"/>
  </conditionalFormatting>
  <conditionalFormatting sqref="Q935">
    <cfRule type="duplicateValues" dxfId="957" priority="1244"/>
  </conditionalFormatting>
  <conditionalFormatting sqref="Q935">
    <cfRule type="duplicateValues" dxfId="956" priority="1243"/>
  </conditionalFormatting>
  <conditionalFormatting sqref="Q935">
    <cfRule type="duplicateValues" dxfId="955" priority="1242"/>
  </conditionalFormatting>
  <conditionalFormatting sqref="Q935">
    <cfRule type="duplicateValues" dxfId="954" priority="1241"/>
  </conditionalFormatting>
  <conditionalFormatting sqref="Q935">
    <cfRule type="duplicateValues" dxfId="953" priority="1240"/>
  </conditionalFormatting>
  <conditionalFormatting sqref="Q935">
    <cfRule type="duplicateValues" dxfId="952" priority="1239"/>
  </conditionalFormatting>
  <conditionalFormatting sqref="Q935">
    <cfRule type="duplicateValues" dxfId="951" priority="1238"/>
  </conditionalFormatting>
  <conditionalFormatting sqref="Q935">
    <cfRule type="duplicateValues" dxfId="950" priority="1237"/>
  </conditionalFormatting>
  <conditionalFormatting sqref="Q935">
    <cfRule type="duplicateValues" dxfId="949" priority="1236"/>
  </conditionalFormatting>
  <conditionalFormatting sqref="Q935">
    <cfRule type="duplicateValues" dxfId="948" priority="1235"/>
  </conditionalFormatting>
  <conditionalFormatting sqref="Q935">
    <cfRule type="duplicateValues" dxfId="947" priority="1234"/>
  </conditionalFormatting>
  <conditionalFormatting sqref="Q935">
    <cfRule type="duplicateValues" dxfId="946" priority="1233"/>
  </conditionalFormatting>
  <conditionalFormatting sqref="Q935">
    <cfRule type="duplicateValues" dxfId="945" priority="1232"/>
  </conditionalFormatting>
  <conditionalFormatting sqref="Q935">
    <cfRule type="duplicateValues" dxfId="944" priority="1231"/>
  </conditionalFormatting>
  <conditionalFormatting sqref="Q935">
    <cfRule type="duplicateValues" dxfId="943" priority="1230"/>
  </conditionalFormatting>
  <conditionalFormatting sqref="Q935">
    <cfRule type="duplicateValues" dxfId="942" priority="1229"/>
  </conditionalFormatting>
  <conditionalFormatting sqref="Q935">
    <cfRule type="duplicateValues" dxfId="941" priority="1228"/>
  </conditionalFormatting>
  <conditionalFormatting sqref="Q935">
    <cfRule type="duplicateValues" dxfId="940" priority="1227"/>
  </conditionalFormatting>
  <conditionalFormatting sqref="I891">
    <cfRule type="cellIs" dxfId="939" priority="1223" operator="equal">
      <formula>"Programado para aprobación"</formula>
    </cfRule>
    <cfRule type="cellIs" dxfId="938" priority="1224" operator="equal">
      <formula>"Cerrado"</formula>
    </cfRule>
    <cfRule type="cellIs" dxfId="937" priority="1225" operator="equal">
      <formula>"Programado"</formula>
    </cfRule>
    <cfRule type="cellIs" dxfId="936" priority="1226" operator="equal">
      <formula>"Implantación en curso"</formula>
    </cfRule>
  </conditionalFormatting>
  <conditionalFormatting sqref="I891">
    <cfRule type="cellIs" dxfId="935" priority="1222" operator="equal">
      <formula>"Borrador"</formula>
    </cfRule>
  </conditionalFormatting>
  <conditionalFormatting sqref="I891">
    <cfRule type="cellIs" dxfId="934" priority="1221" operator="equal">
      <formula>"Rechazado"</formula>
    </cfRule>
  </conditionalFormatting>
  <conditionalFormatting sqref="I891">
    <cfRule type="cellIs" dxfId="933" priority="1220" operator="equal">
      <formula>"Terminado"</formula>
    </cfRule>
  </conditionalFormatting>
  <conditionalFormatting sqref="Q893:Q897">
    <cfRule type="duplicateValues" dxfId="932" priority="1219"/>
  </conditionalFormatting>
  <conditionalFormatting sqref="Q893:Q897">
    <cfRule type="duplicateValues" dxfId="931" priority="1218"/>
  </conditionalFormatting>
  <conditionalFormatting sqref="Q893:Q897">
    <cfRule type="duplicateValues" dxfId="930" priority="1217"/>
  </conditionalFormatting>
  <conditionalFormatting sqref="Q893:Q897">
    <cfRule type="duplicateValues" dxfId="929" priority="1216"/>
  </conditionalFormatting>
  <conditionalFormatting sqref="Q893:Q897">
    <cfRule type="duplicateValues" dxfId="928" priority="1215"/>
  </conditionalFormatting>
  <conditionalFormatting sqref="Q893:Q897">
    <cfRule type="duplicateValues" dxfId="927" priority="1214"/>
  </conditionalFormatting>
  <conditionalFormatting sqref="Q893:Q897">
    <cfRule type="duplicateValues" dxfId="926" priority="1213"/>
  </conditionalFormatting>
  <conditionalFormatting sqref="Q893:Q897">
    <cfRule type="duplicateValues" dxfId="925" priority="1212"/>
  </conditionalFormatting>
  <conditionalFormatting sqref="Q893:Q897">
    <cfRule type="duplicateValues" dxfId="924" priority="1211"/>
  </conditionalFormatting>
  <conditionalFormatting sqref="Q893:Q897">
    <cfRule type="duplicateValues" dxfId="923" priority="1210"/>
  </conditionalFormatting>
  <conditionalFormatting sqref="I897">
    <cfRule type="cellIs" dxfId="922" priority="1206" operator="equal">
      <formula>"Programado para aprobación"</formula>
    </cfRule>
    <cfRule type="cellIs" dxfId="921" priority="1207" operator="equal">
      <formula>"Cerrado"</formula>
    </cfRule>
    <cfRule type="cellIs" dxfId="920" priority="1208" operator="equal">
      <formula>"Programado"</formula>
    </cfRule>
    <cfRule type="cellIs" dxfId="919" priority="1209" operator="equal">
      <formula>"Implantación en curso"</formula>
    </cfRule>
  </conditionalFormatting>
  <conditionalFormatting sqref="I897">
    <cfRule type="cellIs" dxfId="918" priority="1205" operator="equal">
      <formula>"Borrador"</formula>
    </cfRule>
  </conditionalFormatting>
  <conditionalFormatting sqref="I897">
    <cfRule type="cellIs" dxfId="917" priority="1204" operator="equal">
      <formula>"Rechazado"</formula>
    </cfRule>
  </conditionalFormatting>
  <conditionalFormatting sqref="I897">
    <cfRule type="cellIs" dxfId="916" priority="1203" operator="equal">
      <formula>"Terminado"</formula>
    </cfRule>
  </conditionalFormatting>
  <conditionalFormatting sqref="Q899">
    <cfRule type="duplicateValues" dxfId="915" priority="1202"/>
  </conditionalFormatting>
  <conditionalFormatting sqref="Q899">
    <cfRule type="duplicateValues" dxfId="914" priority="1201"/>
  </conditionalFormatting>
  <conditionalFormatting sqref="Q899">
    <cfRule type="duplicateValues" dxfId="913" priority="1200"/>
  </conditionalFormatting>
  <conditionalFormatting sqref="Q899">
    <cfRule type="duplicateValues" dxfId="912" priority="1199"/>
  </conditionalFormatting>
  <conditionalFormatting sqref="Q899">
    <cfRule type="duplicateValues" dxfId="911" priority="1198"/>
  </conditionalFormatting>
  <conditionalFormatting sqref="Q899">
    <cfRule type="duplicateValues" dxfId="910" priority="1197"/>
  </conditionalFormatting>
  <conditionalFormatting sqref="Q899">
    <cfRule type="duplicateValues" dxfId="909" priority="1196"/>
  </conditionalFormatting>
  <conditionalFormatting sqref="Q899">
    <cfRule type="duplicateValues" dxfId="908" priority="1195"/>
  </conditionalFormatting>
  <conditionalFormatting sqref="Q899">
    <cfRule type="duplicateValues" dxfId="907" priority="1194"/>
  </conditionalFormatting>
  <conditionalFormatting sqref="Q899">
    <cfRule type="duplicateValues" dxfId="906" priority="1193"/>
  </conditionalFormatting>
  <conditionalFormatting sqref="Q899">
    <cfRule type="duplicateValues" dxfId="905" priority="1192"/>
  </conditionalFormatting>
  <conditionalFormatting sqref="Q899">
    <cfRule type="duplicateValues" dxfId="904" priority="1191"/>
  </conditionalFormatting>
  <conditionalFormatting sqref="Q899">
    <cfRule type="duplicateValues" dxfId="903" priority="1190"/>
  </conditionalFormatting>
  <conditionalFormatting sqref="Q899">
    <cfRule type="duplicateValues" dxfId="902" priority="1189"/>
  </conditionalFormatting>
  <conditionalFormatting sqref="Q899">
    <cfRule type="duplicateValues" dxfId="901" priority="1188"/>
  </conditionalFormatting>
  <conditionalFormatting sqref="Q899">
    <cfRule type="duplicateValues" dxfId="900" priority="1187"/>
  </conditionalFormatting>
  <conditionalFormatting sqref="F989">
    <cfRule type="cellIs" dxfId="899" priority="1177" operator="equal">
      <formula>"APLAZADO"</formula>
    </cfRule>
    <cfRule type="cellIs" dxfId="898" priority="1178" operator="equal">
      <formula>"CANCELADO"</formula>
    </cfRule>
    <cfRule type="cellIs" dxfId="897" priority="1179" operator="equal">
      <formula>"NO EJECUTADO"</formula>
    </cfRule>
    <cfRule type="cellIs" dxfId="896" priority="1180" operator="equal">
      <formula>"FPE"</formula>
    </cfRule>
    <cfRule type="cellIs" dxfId="895" priority="1181" operator="equal">
      <formula>"AMA"</formula>
    </cfRule>
    <cfRule type="cellIs" dxfId="894" priority="1182" operator="equal">
      <formula>"SIN DATOS"</formula>
    </cfRule>
    <cfRule type="cellIs" dxfId="893" priority="1183" operator="equal">
      <formula>"SIN DATOS"</formula>
    </cfRule>
    <cfRule type="cellIs" dxfId="892" priority="1184" operator="equal">
      <formula>"NO EJECTUTADO"</formula>
    </cfRule>
    <cfRule type="cellIs" dxfId="891" priority="1185" operator="equal">
      <formula>"FE"</formula>
    </cfRule>
    <cfRule type="cellIs" dxfId="890" priority="1186" operator="equal">
      <formula>"FE"</formula>
    </cfRule>
  </conditionalFormatting>
  <conditionalFormatting sqref="F989">
    <cfRule type="cellIs" dxfId="889" priority="1175" operator="equal">
      <formula>"Retirado"</formula>
    </cfRule>
    <cfRule type="cellIs" dxfId="888" priority="1176" operator="equal">
      <formula>"FSE"</formula>
    </cfRule>
  </conditionalFormatting>
  <conditionalFormatting sqref="I903">
    <cfRule type="cellIs" dxfId="887" priority="1171" operator="equal">
      <formula>"Programado para aprobación"</formula>
    </cfRule>
    <cfRule type="cellIs" dxfId="886" priority="1172" operator="equal">
      <formula>"Cerrado"</formula>
    </cfRule>
    <cfRule type="cellIs" dxfId="885" priority="1173" operator="equal">
      <formula>"Programado"</formula>
    </cfRule>
    <cfRule type="cellIs" dxfId="884" priority="1174" operator="equal">
      <formula>"Implantación en curso"</formula>
    </cfRule>
  </conditionalFormatting>
  <conditionalFormatting sqref="I903">
    <cfRule type="cellIs" dxfId="883" priority="1170" operator="equal">
      <formula>"Borrador"</formula>
    </cfRule>
  </conditionalFormatting>
  <conditionalFormatting sqref="I903">
    <cfRule type="cellIs" dxfId="882" priority="1169" operator="equal">
      <formula>"Rechazado"</formula>
    </cfRule>
  </conditionalFormatting>
  <conditionalFormatting sqref="I903">
    <cfRule type="cellIs" dxfId="881" priority="1168" operator="equal">
      <formula>"Terminado"</formula>
    </cfRule>
  </conditionalFormatting>
  <conditionalFormatting sqref="Q903">
    <cfRule type="duplicateValues" dxfId="880" priority="1167"/>
  </conditionalFormatting>
  <conditionalFormatting sqref="Q903">
    <cfRule type="duplicateValues" dxfId="879" priority="1166"/>
  </conditionalFormatting>
  <conditionalFormatting sqref="Q903">
    <cfRule type="duplicateValues" dxfId="878" priority="1165"/>
  </conditionalFormatting>
  <conditionalFormatting sqref="Q903">
    <cfRule type="duplicateValues" dxfId="877" priority="1164"/>
  </conditionalFormatting>
  <conditionalFormatting sqref="Q903">
    <cfRule type="duplicateValues" dxfId="876" priority="1163"/>
  </conditionalFormatting>
  <conditionalFormatting sqref="Q903">
    <cfRule type="duplicateValues" dxfId="875" priority="1162"/>
  </conditionalFormatting>
  <conditionalFormatting sqref="Q903">
    <cfRule type="duplicateValues" dxfId="874" priority="1161"/>
  </conditionalFormatting>
  <conditionalFormatting sqref="Q903">
    <cfRule type="duplicateValues" dxfId="873" priority="1160"/>
  </conditionalFormatting>
  <conditionalFormatting sqref="Q903">
    <cfRule type="duplicateValues" dxfId="872" priority="1159"/>
  </conditionalFormatting>
  <conditionalFormatting sqref="Q903">
    <cfRule type="duplicateValues" dxfId="871" priority="1158"/>
  </conditionalFormatting>
  <conditionalFormatting sqref="Q903">
    <cfRule type="duplicateValues" dxfId="870" priority="1157"/>
  </conditionalFormatting>
  <conditionalFormatting sqref="Q903">
    <cfRule type="duplicateValues" dxfId="869" priority="1156"/>
  </conditionalFormatting>
  <conditionalFormatting sqref="Q903">
    <cfRule type="duplicateValues" dxfId="868" priority="1155"/>
  </conditionalFormatting>
  <conditionalFormatting sqref="Q903">
    <cfRule type="duplicateValues" dxfId="867" priority="1154"/>
  </conditionalFormatting>
  <conditionalFormatting sqref="Q903">
    <cfRule type="duplicateValues" dxfId="866" priority="1153"/>
  </conditionalFormatting>
  <conditionalFormatting sqref="Q903">
    <cfRule type="duplicateValues" dxfId="865" priority="1152"/>
  </conditionalFormatting>
  <conditionalFormatting sqref="Q903">
    <cfRule type="duplicateValues" dxfId="864" priority="1151"/>
  </conditionalFormatting>
  <conditionalFormatting sqref="Q903">
    <cfRule type="duplicateValues" dxfId="863" priority="1150"/>
  </conditionalFormatting>
  <conditionalFormatting sqref="Q903">
    <cfRule type="duplicateValues" dxfId="862" priority="1149"/>
  </conditionalFormatting>
  <conditionalFormatting sqref="I894">
    <cfRule type="cellIs" dxfId="861" priority="1145" operator="equal">
      <formula>"Programado para aprobación"</formula>
    </cfRule>
    <cfRule type="cellIs" dxfId="860" priority="1146" operator="equal">
      <formula>"Cerrado"</formula>
    </cfRule>
    <cfRule type="cellIs" dxfId="859" priority="1147" operator="equal">
      <formula>"Programado"</formula>
    </cfRule>
    <cfRule type="cellIs" dxfId="858" priority="1148" operator="equal">
      <formula>"Implantación en curso"</formula>
    </cfRule>
  </conditionalFormatting>
  <conditionalFormatting sqref="I894">
    <cfRule type="cellIs" dxfId="857" priority="1144" operator="equal">
      <formula>"Borrador"</formula>
    </cfRule>
  </conditionalFormatting>
  <conditionalFormatting sqref="I894">
    <cfRule type="cellIs" dxfId="856" priority="1143" operator="equal">
      <formula>"Rechazado"</formula>
    </cfRule>
  </conditionalFormatting>
  <conditionalFormatting sqref="I894">
    <cfRule type="cellIs" dxfId="855" priority="1142" operator="equal">
      <formula>"Terminado"</formula>
    </cfRule>
  </conditionalFormatting>
  <conditionalFormatting sqref="I880">
    <cfRule type="cellIs" dxfId="854" priority="1138" operator="equal">
      <formula>"Programado para aprobación"</formula>
    </cfRule>
    <cfRule type="cellIs" dxfId="853" priority="1139" operator="equal">
      <formula>"Cerrado"</formula>
    </cfRule>
    <cfRule type="cellIs" dxfId="852" priority="1140" operator="equal">
      <formula>"Programado"</formula>
    </cfRule>
    <cfRule type="cellIs" dxfId="851" priority="1141" operator="equal">
      <formula>"Implantación en curso"</formula>
    </cfRule>
  </conditionalFormatting>
  <conditionalFormatting sqref="I880">
    <cfRule type="cellIs" dxfId="850" priority="1137" operator="equal">
      <formula>"Borrador"</formula>
    </cfRule>
  </conditionalFormatting>
  <conditionalFormatting sqref="I880">
    <cfRule type="cellIs" dxfId="849" priority="1136" operator="equal">
      <formula>"Rechazado"</formula>
    </cfRule>
  </conditionalFormatting>
  <conditionalFormatting sqref="I880">
    <cfRule type="cellIs" dxfId="848" priority="1135" operator="equal">
      <formula>"Terminado"</formula>
    </cfRule>
  </conditionalFormatting>
  <conditionalFormatting sqref="I889">
    <cfRule type="cellIs" dxfId="847" priority="1131" operator="equal">
      <formula>"Programado para aprobación"</formula>
    </cfRule>
    <cfRule type="cellIs" dxfId="846" priority="1132" operator="equal">
      <formula>"Cerrado"</formula>
    </cfRule>
    <cfRule type="cellIs" dxfId="845" priority="1133" operator="equal">
      <formula>"Programado"</formula>
    </cfRule>
    <cfRule type="cellIs" dxfId="844" priority="1134" operator="equal">
      <formula>"Implantación en curso"</formula>
    </cfRule>
  </conditionalFormatting>
  <conditionalFormatting sqref="I889">
    <cfRule type="cellIs" dxfId="843" priority="1130" operator="equal">
      <formula>"Borrador"</formula>
    </cfRule>
  </conditionalFormatting>
  <conditionalFormatting sqref="I889">
    <cfRule type="cellIs" dxfId="842" priority="1129" operator="equal">
      <formula>"Rechazado"</formula>
    </cfRule>
  </conditionalFormatting>
  <conditionalFormatting sqref="I889">
    <cfRule type="cellIs" dxfId="841" priority="1128" operator="equal">
      <formula>"Terminado"</formula>
    </cfRule>
  </conditionalFormatting>
  <conditionalFormatting sqref="Q889">
    <cfRule type="duplicateValues" dxfId="840" priority="1116"/>
  </conditionalFormatting>
  <conditionalFormatting sqref="Q889">
    <cfRule type="duplicateValues" dxfId="839" priority="1115"/>
  </conditionalFormatting>
  <conditionalFormatting sqref="Q889">
    <cfRule type="duplicateValues" dxfId="838" priority="1114"/>
  </conditionalFormatting>
  <conditionalFormatting sqref="I883">
    <cfRule type="cellIs" dxfId="837" priority="1121" operator="equal">
      <formula>"Programado para aprobación"</formula>
    </cfRule>
    <cfRule type="cellIs" dxfId="836" priority="1122" operator="equal">
      <formula>"Cerrado"</formula>
    </cfRule>
    <cfRule type="cellIs" dxfId="835" priority="1123" operator="equal">
      <formula>"Programado"</formula>
    </cfRule>
    <cfRule type="cellIs" dxfId="834" priority="1124" operator="equal">
      <formula>"Implantación en curso"</formula>
    </cfRule>
  </conditionalFormatting>
  <conditionalFormatting sqref="I883">
    <cfRule type="cellIs" dxfId="833" priority="1120" operator="equal">
      <formula>"Borrador"</formula>
    </cfRule>
  </conditionalFormatting>
  <conditionalFormatting sqref="I883">
    <cfRule type="cellIs" dxfId="832" priority="1119" operator="equal">
      <formula>"Rechazado"</formula>
    </cfRule>
  </conditionalFormatting>
  <conditionalFormatting sqref="I883">
    <cfRule type="cellIs" dxfId="831" priority="1118" operator="equal">
      <formula>"Terminado"</formula>
    </cfRule>
  </conditionalFormatting>
  <conditionalFormatting sqref="Q889">
    <cfRule type="duplicateValues" dxfId="830" priority="1117"/>
  </conditionalFormatting>
  <conditionalFormatting sqref="Q889">
    <cfRule type="duplicateValues" dxfId="829" priority="1113"/>
  </conditionalFormatting>
  <conditionalFormatting sqref="Q889">
    <cfRule type="duplicateValues" dxfId="828" priority="1112"/>
  </conditionalFormatting>
  <conditionalFormatting sqref="Q889">
    <cfRule type="duplicateValues" dxfId="827" priority="1111"/>
  </conditionalFormatting>
  <conditionalFormatting sqref="Q889">
    <cfRule type="duplicateValues" dxfId="826" priority="1110"/>
  </conditionalFormatting>
  <conditionalFormatting sqref="Q889">
    <cfRule type="duplicateValues" dxfId="825" priority="1109"/>
  </conditionalFormatting>
  <conditionalFormatting sqref="Q889">
    <cfRule type="duplicateValues" dxfId="824" priority="1108"/>
  </conditionalFormatting>
  <conditionalFormatting sqref="Q889">
    <cfRule type="duplicateValues" dxfId="823" priority="1107"/>
  </conditionalFormatting>
  <conditionalFormatting sqref="I892">
    <cfRule type="cellIs" dxfId="822" priority="1103" operator="equal">
      <formula>"Programado para aprobación"</formula>
    </cfRule>
    <cfRule type="cellIs" dxfId="821" priority="1104" operator="equal">
      <formula>"Cerrado"</formula>
    </cfRule>
    <cfRule type="cellIs" dxfId="820" priority="1105" operator="equal">
      <formula>"Programado"</formula>
    </cfRule>
    <cfRule type="cellIs" dxfId="819" priority="1106" operator="equal">
      <formula>"Implantación en curso"</formula>
    </cfRule>
  </conditionalFormatting>
  <conditionalFormatting sqref="I892">
    <cfRule type="cellIs" dxfId="818" priority="1102" operator="equal">
      <formula>"Borrador"</formula>
    </cfRule>
  </conditionalFormatting>
  <conditionalFormatting sqref="I892">
    <cfRule type="cellIs" dxfId="817" priority="1101" operator="equal">
      <formula>"Rechazado"</formula>
    </cfRule>
  </conditionalFormatting>
  <conditionalFormatting sqref="I892">
    <cfRule type="cellIs" dxfId="816" priority="1100" operator="equal">
      <formula>"Terminado"</formula>
    </cfRule>
  </conditionalFormatting>
  <conditionalFormatting sqref="Q892">
    <cfRule type="duplicateValues" dxfId="815" priority="1099"/>
  </conditionalFormatting>
  <conditionalFormatting sqref="Q892">
    <cfRule type="duplicateValues" dxfId="814" priority="1098"/>
  </conditionalFormatting>
  <conditionalFormatting sqref="Q892">
    <cfRule type="duplicateValues" dxfId="813" priority="1097"/>
  </conditionalFormatting>
  <conditionalFormatting sqref="Q892">
    <cfRule type="duplicateValues" dxfId="812" priority="1096"/>
  </conditionalFormatting>
  <conditionalFormatting sqref="Q892">
    <cfRule type="duplicateValues" dxfId="811" priority="1095"/>
  </conditionalFormatting>
  <conditionalFormatting sqref="Q892">
    <cfRule type="duplicateValues" dxfId="810" priority="1094"/>
  </conditionalFormatting>
  <conditionalFormatting sqref="Q892">
    <cfRule type="duplicateValues" dxfId="809" priority="1093"/>
  </conditionalFormatting>
  <conditionalFormatting sqref="Q892">
    <cfRule type="duplicateValues" dxfId="808" priority="1092"/>
  </conditionalFormatting>
  <conditionalFormatting sqref="Q892">
    <cfRule type="duplicateValues" dxfId="807" priority="1091"/>
  </conditionalFormatting>
  <conditionalFormatting sqref="Q892">
    <cfRule type="duplicateValues" dxfId="806" priority="1090"/>
  </conditionalFormatting>
  <conditionalFormatting sqref="Q892">
    <cfRule type="duplicateValues" dxfId="805" priority="1089"/>
  </conditionalFormatting>
  <conditionalFormatting sqref="Q892">
    <cfRule type="duplicateValues" dxfId="804" priority="1088"/>
  </conditionalFormatting>
  <conditionalFormatting sqref="Q892">
    <cfRule type="duplicateValues" dxfId="803" priority="1087"/>
  </conditionalFormatting>
  <conditionalFormatting sqref="Q892">
    <cfRule type="duplicateValues" dxfId="802" priority="1086"/>
  </conditionalFormatting>
  <conditionalFormatting sqref="Q892">
    <cfRule type="duplicateValues" dxfId="801" priority="1085"/>
  </conditionalFormatting>
  <conditionalFormatting sqref="I861">
    <cfRule type="cellIs" dxfId="800" priority="1081" operator="equal">
      <formula>"Programado para aprobación"</formula>
    </cfRule>
    <cfRule type="cellIs" dxfId="799" priority="1082" operator="equal">
      <formula>"Cerrado"</formula>
    </cfRule>
    <cfRule type="cellIs" dxfId="798" priority="1083" operator="equal">
      <formula>"Programado"</formula>
    </cfRule>
    <cfRule type="cellIs" dxfId="797" priority="1084" operator="equal">
      <formula>"Implantación en curso"</formula>
    </cfRule>
  </conditionalFormatting>
  <conditionalFormatting sqref="I861">
    <cfRule type="cellIs" dxfId="796" priority="1080" operator="equal">
      <formula>"Borrador"</formula>
    </cfRule>
  </conditionalFormatting>
  <conditionalFormatting sqref="I861">
    <cfRule type="cellIs" dxfId="795" priority="1079" operator="equal">
      <formula>"Rechazado"</formula>
    </cfRule>
  </conditionalFormatting>
  <conditionalFormatting sqref="I861">
    <cfRule type="cellIs" dxfId="794" priority="1078" operator="equal">
      <formula>"Terminado"</formula>
    </cfRule>
  </conditionalFormatting>
  <conditionalFormatting sqref="I895">
    <cfRule type="cellIs" dxfId="793" priority="1074" operator="equal">
      <formula>"Programado para aprobación"</formula>
    </cfRule>
    <cfRule type="cellIs" dxfId="792" priority="1075" operator="equal">
      <formula>"Cerrado"</formula>
    </cfRule>
    <cfRule type="cellIs" dxfId="791" priority="1076" operator="equal">
      <formula>"Programado"</formula>
    </cfRule>
    <cfRule type="cellIs" dxfId="790" priority="1077" operator="equal">
      <formula>"Implantación en curso"</formula>
    </cfRule>
  </conditionalFormatting>
  <conditionalFormatting sqref="I895">
    <cfRule type="cellIs" dxfId="789" priority="1073" operator="equal">
      <formula>"Borrador"</formula>
    </cfRule>
  </conditionalFormatting>
  <conditionalFormatting sqref="I895">
    <cfRule type="cellIs" dxfId="788" priority="1072" operator="equal">
      <formula>"Rechazado"</formula>
    </cfRule>
  </conditionalFormatting>
  <conditionalFormatting sqref="I895">
    <cfRule type="cellIs" dxfId="787" priority="1071" operator="equal">
      <formula>"Terminado"</formula>
    </cfRule>
  </conditionalFormatting>
  <conditionalFormatting sqref="I898">
    <cfRule type="cellIs" dxfId="786" priority="1067" operator="equal">
      <formula>"Programado para aprobación"</formula>
    </cfRule>
    <cfRule type="cellIs" dxfId="785" priority="1068" operator="equal">
      <formula>"Cerrado"</formula>
    </cfRule>
    <cfRule type="cellIs" dxfId="784" priority="1069" operator="equal">
      <formula>"Programado"</formula>
    </cfRule>
    <cfRule type="cellIs" dxfId="783" priority="1070" operator="equal">
      <formula>"Implantación en curso"</formula>
    </cfRule>
  </conditionalFormatting>
  <conditionalFormatting sqref="I898">
    <cfRule type="cellIs" dxfId="782" priority="1066" operator="equal">
      <formula>"Borrador"</formula>
    </cfRule>
  </conditionalFormatting>
  <conditionalFormatting sqref="I898">
    <cfRule type="cellIs" dxfId="781" priority="1065" operator="equal">
      <formula>"Rechazado"</formula>
    </cfRule>
  </conditionalFormatting>
  <conditionalFormatting sqref="I898">
    <cfRule type="cellIs" dxfId="780" priority="1064" operator="equal">
      <formula>"Terminado"</formula>
    </cfRule>
  </conditionalFormatting>
  <conditionalFormatting sqref="Q898">
    <cfRule type="duplicateValues" dxfId="779" priority="1063"/>
  </conditionalFormatting>
  <conditionalFormatting sqref="Q898">
    <cfRule type="duplicateValues" dxfId="778" priority="1062"/>
  </conditionalFormatting>
  <conditionalFormatting sqref="Q898">
    <cfRule type="duplicateValues" dxfId="777" priority="1061"/>
  </conditionalFormatting>
  <conditionalFormatting sqref="Q898">
    <cfRule type="duplicateValues" dxfId="776" priority="1060"/>
  </conditionalFormatting>
  <conditionalFormatting sqref="Q898">
    <cfRule type="duplicateValues" dxfId="775" priority="1059"/>
  </conditionalFormatting>
  <conditionalFormatting sqref="Q898">
    <cfRule type="duplicateValues" dxfId="774" priority="1058"/>
  </conditionalFormatting>
  <conditionalFormatting sqref="Q898">
    <cfRule type="duplicateValues" dxfId="773" priority="1057"/>
  </conditionalFormatting>
  <conditionalFormatting sqref="Q898">
    <cfRule type="duplicateValues" dxfId="772" priority="1056"/>
  </conditionalFormatting>
  <conditionalFormatting sqref="Q898">
    <cfRule type="duplicateValues" dxfId="771" priority="1055"/>
  </conditionalFormatting>
  <conditionalFormatting sqref="Q898">
    <cfRule type="duplicateValues" dxfId="770" priority="1054"/>
  </conditionalFormatting>
  <conditionalFormatting sqref="Q898">
    <cfRule type="duplicateValues" dxfId="769" priority="1053"/>
  </conditionalFormatting>
  <conditionalFormatting sqref="Q898">
    <cfRule type="duplicateValues" dxfId="768" priority="1052"/>
  </conditionalFormatting>
  <conditionalFormatting sqref="Q898">
    <cfRule type="duplicateValues" dxfId="767" priority="1051"/>
  </conditionalFormatting>
  <conditionalFormatting sqref="Q898">
    <cfRule type="duplicateValues" dxfId="766" priority="1050"/>
  </conditionalFormatting>
  <conditionalFormatting sqref="Q898">
    <cfRule type="duplicateValues" dxfId="765" priority="1049"/>
  </conditionalFormatting>
  <conditionalFormatting sqref="Q898">
    <cfRule type="duplicateValues" dxfId="764" priority="1048"/>
  </conditionalFormatting>
  <conditionalFormatting sqref="I814">
    <cfRule type="cellIs" dxfId="763" priority="1044" operator="equal">
      <formula>"Programado para aprobación"</formula>
    </cfRule>
    <cfRule type="cellIs" dxfId="762" priority="1045" operator="equal">
      <formula>"Cerrado"</formula>
    </cfRule>
    <cfRule type="cellIs" dxfId="761" priority="1046" operator="equal">
      <formula>"Programado"</formula>
    </cfRule>
    <cfRule type="cellIs" dxfId="760" priority="1047" operator="equal">
      <formula>"Implantación en curso"</formula>
    </cfRule>
  </conditionalFormatting>
  <conditionalFormatting sqref="I814">
    <cfRule type="cellIs" dxfId="759" priority="1043" operator="equal">
      <formula>"Borrador"</formula>
    </cfRule>
  </conditionalFormatting>
  <conditionalFormatting sqref="I814">
    <cfRule type="cellIs" dxfId="758" priority="1042" operator="equal">
      <formula>"Rechazado"</formula>
    </cfRule>
  </conditionalFormatting>
  <conditionalFormatting sqref="I814">
    <cfRule type="cellIs" dxfId="757" priority="1041" operator="equal">
      <formula>"Terminado"</formula>
    </cfRule>
  </conditionalFormatting>
  <conditionalFormatting sqref="P814">
    <cfRule type="cellIs" dxfId="756" priority="1037" operator="equal">
      <formula>"Programado para aprobación"</formula>
    </cfRule>
    <cfRule type="cellIs" dxfId="755" priority="1038" operator="equal">
      <formula>"Cerrado"</formula>
    </cfRule>
    <cfRule type="cellIs" dxfId="754" priority="1039" operator="equal">
      <formula>"Programado"</formula>
    </cfRule>
    <cfRule type="cellIs" dxfId="753" priority="1040" operator="equal">
      <formula>"Implantación en curso"</formula>
    </cfRule>
  </conditionalFormatting>
  <conditionalFormatting sqref="P814">
    <cfRule type="cellIs" dxfId="752" priority="1036" operator="equal">
      <formula>"Borrador"</formula>
    </cfRule>
  </conditionalFormatting>
  <conditionalFormatting sqref="P814">
    <cfRule type="cellIs" dxfId="751" priority="1035" operator="equal">
      <formula>"Rechazado"</formula>
    </cfRule>
  </conditionalFormatting>
  <conditionalFormatting sqref="P814">
    <cfRule type="cellIs" dxfId="750" priority="1034" operator="equal">
      <formula>"Terminado"</formula>
    </cfRule>
  </conditionalFormatting>
  <conditionalFormatting sqref="Q814">
    <cfRule type="duplicateValues" dxfId="749" priority="1033"/>
  </conditionalFormatting>
  <conditionalFormatting sqref="Q814">
    <cfRule type="duplicateValues" dxfId="748" priority="1032"/>
  </conditionalFormatting>
  <conditionalFormatting sqref="Q814">
    <cfRule type="duplicateValues" dxfId="747" priority="1031"/>
  </conditionalFormatting>
  <conditionalFormatting sqref="Q814">
    <cfRule type="duplicateValues" dxfId="746" priority="1030"/>
  </conditionalFormatting>
  <conditionalFormatting sqref="Q814">
    <cfRule type="duplicateValues" dxfId="745" priority="1029"/>
  </conditionalFormatting>
  <conditionalFormatting sqref="I896">
    <cfRule type="cellIs" dxfId="744" priority="1025" operator="equal">
      <formula>"Programado para aprobación"</formula>
    </cfRule>
    <cfRule type="cellIs" dxfId="743" priority="1026" operator="equal">
      <formula>"Cerrado"</formula>
    </cfRule>
    <cfRule type="cellIs" dxfId="742" priority="1027" operator="equal">
      <formula>"Programado"</formula>
    </cfRule>
    <cfRule type="cellIs" dxfId="741" priority="1028" operator="equal">
      <formula>"Implantación en curso"</formula>
    </cfRule>
  </conditionalFormatting>
  <conditionalFormatting sqref="I896">
    <cfRule type="cellIs" dxfId="740" priority="1024" operator="equal">
      <formula>"Borrador"</formula>
    </cfRule>
  </conditionalFormatting>
  <conditionalFormatting sqref="I896">
    <cfRule type="cellIs" dxfId="739" priority="1023" operator="equal">
      <formula>"Rechazado"</formula>
    </cfRule>
  </conditionalFormatting>
  <conditionalFormatting sqref="I896">
    <cfRule type="cellIs" dxfId="738" priority="1022" operator="equal">
      <formula>"Terminado"</formula>
    </cfRule>
  </conditionalFormatting>
  <conditionalFormatting sqref="Q1002">
    <cfRule type="duplicateValues" dxfId="737" priority="1021"/>
  </conditionalFormatting>
  <conditionalFormatting sqref="Q1002">
    <cfRule type="duplicateValues" dxfId="736" priority="1020"/>
  </conditionalFormatting>
  <conditionalFormatting sqref="Q1002">
    <cfRule type="duplicateValues" dxfId="735" priority="1019"/>
  </conditionalFormatting>
  <conditionalFormatting sqref="Q1002">
    <cfRule type="duplicateValues" dxfId="734" priority="1018"/>
  </conditionalFormatting>
  <conditionalFormatting sqref="Q1002">
    <cfRule type="duplicateValues" dxfId="733" priority="1017"/>
  </conditionalFormatting>
  <conditionalFormatting sqref="Q1002">
    <cfRule type="duplicateValues" dxfId="732" priority="1016"/>
  </conditionalFormatting>
  <conditionalFormatting sqref="Q1002">
    <cfRule type="duplicateValues" dxfId="731" priority="1015"/>
  </conditionalFormatting>
  <conditionalFormatting sqref="Q1002">
    <cfRule type="duplicateValues" dxfId="730" priority="1014"/>
  </conditionalFormatting>
  <conditionalFormatting sqref="Q1002">
    <cfRule type="duplicateValues" dxfId="729" priority="1013"/>
  </conditionalFormatting>
  <conditionalFormatting sqref="Q1002">
    <cfRule type="duplicateValues" dxfId="728" priority="1012"/>
  </conditionalFormatting>
  <conditionalFormatting sqref="Q1002">
    <cfRule type="duplicateValues" dxfId="727" priority="1011"/>
  </conditionalFormatting>
  <conditionalFormatting sqref="Q1002">
    <cfRule type="duplicateValues" dxfId="726" priority="1010"/>
  </conditionalFormatting>
  <conditionalFormatting sqref="Q1002">
    <cfRule type="duplicateValues" dxfId="725" priority="1009"/>
  </conditionalFormatting>
  <conditionalFormatting sqref="Q1002">
    <cfRule type="duplicateValues" dxfId="724" priority="1008"/>
  </conditionalFormatting>
  <conditionalFormatting sqref="Q1002">
    <cfRule type="duplicateValues" dxfId="723" priority="1007"/>
  </conditionalFormatting>
  <conditionalFormatting sqref="Q1002">
    <cfRule type="duplicateValues" dxfId="722" priority="1006"/>
  </conditionalFormatting>
  <conditionalFormatting sqref="I901:I902">
    <cfRule type="cellIs" dxfId="721" priority="1002" operator="equal">
      <formula>"Programado para aprobación"</formula>
    </cfRule>
    <cfRule type="cellIs" dxfId="720" priority="1003" operator="equal">
      <formula>"Cerrado"</formula>
    </cfRule>
    <cfRule type="cellIs" dxfId="719" priority="1004" operator="equal">
      <formula>"Programado"</formula>
    </cfRule>
    <cfRule type="cellIs" dxfId="718" priority="1005" operator="equal">
      <formula>"Implantación en curso"</formula>
    </cfRule>
  </conditionalFormatting>
  <conditionalFormatting sqref="I901:I902">
    <cfRule type="cellIs" dxfId="717" priority="1001" operator="equal">
      <formula>"Borrador"</formula>
    </cfRule>
  </conditionalFormatting>
  <conditionalFormatting sqref="I901:I902">
    <cfRule type="cellIs" dxfId="716" priority="1000" operator="equal">
      <formula>"Rechazado"</formula>
    </cfRule>
  </conditionalFormatting>
  <conditionalFormatting sqref="I901:I902">
    <cfRule type="cellIs" dxfId="715" priority="999" operator="equal">
      <formula>"Terminado"</formula>
    </cfRule>
  </conditionalFormatting>
  <conditionalFormatting sqref="Q901:Q902">
    <cfRule type="duplicateValues" dxfId="714" priority="998"/>
  </conditionalFormatting>
  <conditionalFormatting sqref="Q901:Q902">
    <cfRule type="duplicateValues" dxfId="713" priority="997"/>
  </conditionalFormatting>
  <conditionalFormatting sqref="Q901:Q902">
    <cfRule type="duplicateValues" dxfId="712" priority="996"/>
  </conditionalFormatting>
  <conditionalFormatting sqref="Q901:Q902">
    <cfRule type="duplicateValues" dxfId="711" priority="995"/>
  </conditionalFormatting>
  <conditionalFormatting sqref="Q901:Q902">
    <cfRule type="duplicateValues" dxfId="710" priority="994"/>
  </conditionalFormatting>
  <conditionalFormatting sqref="Q901:Q902">
    <cfRule type="duplicateValues" dxfId="709" priority="993"/>
  </conditionalFormatting>
  <conditionalFormatting sqref="Q901:Q902">
    <cfRule type="duplicateValues" dxfId="708" priority="992"/>
  </conditionalFormatting>
  <conditionalFormatting sqref="Q901:Q902">
    <cfRule type="duplicateValues" dxfId="707" priority="991"/>
  </conditionalFormatting>
  <conditionalFormatting sqref="Q901:Q902">
    <cfRule type="duplicateValues" dxfId="706" priority="990"/>
  </conditionalFormatting>
  <conditionalFormatting sqref="Q901:Q902">
    <cfRule type="duplicateValues" dxfId="705" priority="989"/>
  </conditionalFormatting>
  <conditionalFormatting sqref="Q901:Q902">
    <cfRule type="duplicateValues" dxfId="704" priority="988"/>
  </conditionalFormatting>
  <conditionalFormatting sqref="Q901:Q902">
    <cfRule type="duplicateValues" dxfId="703" priority="987"/>
  </conditionalFormatting>
  <conditionalFormatting sqref="Q901:Q902">
    <cfRule type="duplicateValues" dxfId="702" priority="986"/>
  </conditionalFormatting>
  <conditionalFormatting sqref="Q901:Q902">
    <cfRule type="duplicateValues" dxfId="701" priority="985"/>
  </conditionalFormatting>
  <conditionalFormatting sqref="Q901:Q902">
    <cfRule type="duplicateValues" dxfId="700" priority="984"/>
  </conditionalFormatting>
  <conditionalFormatting sqref="Q901:Q902">
    <cfRule type="duplicateValues" dxfId="699" priority="983"/>
  </conditionalFormatting>
  <conditionalFormatting sqref="Q901:Q902">
    <cfRule type="duplicateValues" dxfId="698" priority="982"/>
  </conditionalFormatting>
  <conditionalFormatting sqref="Q901:Q902">
    <cfRule type="duplicateValues" dxfId="697" priority="981"/>
  </conditionalFormatting>
  <conditionalFormatting sqref="Q901:Q902">
    <cfRule type="duplicateValues" dxfId="696" priority="980"/>
  </conditionalFormatting>
  <conditionalFormatting sqref="I900">
    <cfRule type="cellIs" dxfId="695" priority="976" operator="equal">
      <formula>"Programado para aprobación"</formula>
    </cfRule>
    <cfRule type="cellIs" dxfId="694" priority="977" operator="equal">
      <formula>"Cerrado"</formula>
    </cfRule>
    <cfRule type="cellIs" dxfId="693" priority="978" operator="equal">
      <formula>"Programado"</formula>
    </cfRule>
    <cfRule type="cellIs" dxfId="692" priority="979" operator="equal">
      <formula>"Implantación en curso"</formula>
    </cfRule>
  </conditionalFormatting>
  <conditionalFormatting sqref="I900">
    <cfRule type="cellIs" dxfId="691" priority="975" operator="equal">
      <formula>"Borrador"</formula>
    </cfRule>
  </conditionalFormatting>
  <conditionalFormatting sqref="I900">
    <cfRule type="cellIs" dxfId="690" priority="974" operator="equal">
      <formula>"Rechazado"</formula>
    </cfRule>
  </conditionalFormatting>
  <conditionalFormatting sqref="I900">
    <cfRule type="cellIs" dxfId="689" priority="973" operator="equal">
      <formula>"Terminado"</formula>
    </cfRule>
  </conditionalFormatting>
  <conditionalFormatting sqref="Q900">
    <cfRule type="duplicateValues" dxfId="688" priority="972"/>
  </conditionalFormatting>
  <conditionalFormatting sqref="Q900">
    <cfRule type="duplicateValues" dxfId="687" priority="971"/>
  </conditionalFormatting>
  <conditionalFormatting sqref="Q900">
    <cfRule type="duplicateValues" dxfId="686" priority="970"/>
  </conditionalFormatting>
  <conditionalFormatting sqref="Q900">
    <cfRule type="duplicateValues" dxfId="685" priority="969"/>
  </conditionalFormatting>
  <conditionalFormatting sqref="Q900">
    <cfRule type="duplicateValues" dxfId="684" priority="968"/>
  </conditionalFormatting>
  <conditionalFormatting sqref="Q900">
    <cfRule type="duplicateValues" dxfId="683" priority="967"/>
  </conditionalFormatting>
  <conditionalFormatting sqref="Q900">
    <cfRule type="duplicateValues" dxfId="682" priority="966"/>
  </conditionalFormatting>
  <conditionalFormatting sqref="Q900">
    <cfRule type="duplicateValues" dxfId="681" priority="965"/>
  </conditionalFormatting>
  <conditionalFormatting sqref="Q900">
    <cfRule type="duplicateValues" dxfId="680" priority="964"/>
  </conditionalFormatting>
  <conditionalFormatting sqref="Q900">
    <cfRule type="duplicateValues" dxfId="679" priority="963"/>
  </conditionalFormatting>
  <conditionalFormatting sqref="Q900">
    <cfRule type="duplicateValues" dxfId="678" priority="962"/>
  </conditionalFormatting>
  <conditionalFormatting sqref="Q900">
    <cfRule type="duplicateValues" dxfId="677" priority="961"/>
  </conditionalFormatting>
  <conditionalFormatting sqref="Q900">
    <cfRule type="duplicateValues" dxfId="676" priority="960"/>
  </conditionalFormatting>
  <conditionalFormatting sqref="Q900">
    <cfRule type="duplicateValues" dxfId="675" priority="959"/>
  </conditionalFormatting>
  <conditionalFormatting sqref="Q900">
    <cfRule type="duplicateValues" dxfId="674" priority="958"/>
  </conditionalFormatting>
  <conditionalFormatting sqref="Q900">
    <cfRule type="duplicateValues" dxfId="673" priority="957"/>
  </conditionalFormatting>
  <conditionalFormatting sqref="Q900">
    <cfRule type="duplicateValues" dxfId="672" priority="956"/>
  </conditionalFormatting>
  <conditionalFormatting sqref="Q900">
    <cfRule type="duplicateValues" dxfId="671" priority="955"/>
  </conditionalFormatting>
  <conditionalFormatting sqref="Q900">
    <cfRule type="duplicateValues" dxfId="670" priority="954"/>
  </conditionalFormatting>
  <conditionalFormatting sqref="Q1004">
    <cfRule type="duplicateValues" dxfId="669" priority="953"/>
  </conditionalFormatting>
  <conditionalFormatting sqref="Q1004">
    <cfRule type="duplicateValues" dxfId="668" priority="952"/>
  </conditionalFormatting>
  <conditionalFormatting sqref="Q1004">
    <cfRule type="duplicateValues" dxfId="667" priority="951"/>
  </conditionalFormatting>
  <conditionalFormatting sqref="Q1004">
    <cfRule type="duplicateValues" dxfId="666" priority="950"/>
  </conditionalFormatting>
  <conditionalFormatting sqref="Q1004">
    <cfRule type="duplicateValues" dxfId="665" priority="949"/>
  </conditionalFormatting>
  <conditionalFormatting sqref="Q1004">
    <cfRule type="duplicateValues" dxfId="664" priority="948"/>
  </conditionalFormatting>
  <conditionalFormatting sqref="Q1004">
    <cfRule type="duplicateValues" dxfId="663" priority="947"/>
  </conditionalFormatting>
  <conditionalFormatting sqref="Q1004">
    <cfRule type="duplicateValues" dxfId="662" priority="946"/>
  </conditionalFormatting>
  <conditionalFormatting sqref="Q1004">
    <cfRule type="duplicateValues" dxfId="661" priority="945"/>
  </conditionalFormatting>
  <conditionalFormatting sqref="Q1004">
    <cfRule type="duplicateValues" dxfId="660" priority="944"/>
  </conditionalFormatting>
  <conditionalFormatting sqref="Q1004">
    <cfRule type="duplicateValues" dxfId="659" priority="943"/>
  </conditionalFormatting>
  <conditionalFormatting sqref="Q1004">
    <cfRule type="duplicateValues" dxfId="658" priority="942"/>
  </conditionalFormatting>
  <conditionalFormatting sqref="Q1004">
    <cfRule type="duplicateValues" dxfId="657" priority="941"/>
  </conditionalFormatting>
  <conditionalFormatting sqref="Q1004">
    <cfRule type="duplicateValues" dxfId="656" priority="940"/>
  </conditionalFormatting>
  <conditionalFormatting sqref="Q1004">
    <cfRule type="duplicateValues" dxfId="655" priority="939"/>
  </conditionalFormatting>
  <conditionalFormatting sqref="Q1004">
    <cfRule type="duplicateValues" dxfId="654" priority="938"/>
  </conditionalFormatting>
  <conditionalFormatting sqref="Q1004">
    <cfRule type="duplicateValues" dxfId="653" priority="937"/>
  </conditionalFormatting>
  <conditionalFormatting sqref="Q1004">
    <cfRule type="duplicateValues" dxfId="652" priority="936"/>
  </conditionalFormatting>
  <conditionalFormatting sqref="Q1004">
    <cfRule type="duplicateValues" dxfId="651" priority="935"/>
  </conditionalFormatting>
  <conditionalFormatting sqref="I907">
    <cfRule type="cellIs" dxfId="650" priority="931" operator="equal">
      <formula>"Programado para aprobación"</formula>
    </cfRule>
    <cfRule type="cellIs" dxfId="649" priority="932" operator="equal">
      <formula>"Cerrado"</formula>
    </cfRule>
    <cfRule type="cellIs" dxfId="648" priority="933" operator="equal">
      <formula>"Programado"</formula>
    </cfRule>
    <cfRule type="cellIs" dxfId="647" priority="934" operator="equal">
      <formula>"Implantación en curso"</formula>
    </cfRule>
  </conditionalFormatting>
  <conditionalFormatting sqref="I907">
    <cfRule type="cellIs" dxfId="646" priority="930" operator="equal">
      <formula>"Borrador"</formula>
    </cfRule>
  </conditionalFormatting>
  <conditionalFormatting sqref="I907">
    <cfRule type="cellIs" dxfId="645" priority="929" operator="equal">
      <formula>"Rechazado"</formula>
    </cfRule>
  </conditionalFormatting>
  <conditionalFormatting sqref="I907">
    <cfRule type="cellIs" dxfId="644" priority="928" operator="equal">
      <formula>"Terminado"</formula>
    </cfRule>
  </conditionalFormatting>
  <conditionalFormatting sqref="I904">
    <cfRule type="cellIs" dxfId="643" priority="924" operator="equal">
      <formula>"Programado para aprobación"</formula>
    </cfRule>
    <cfRule type="cellIs" dxfId="642" priority="925" operator="equal">
      <formula>"Cerrado"</formula>
    </cfRule>
    <cfRule type="cellIs" dxfId="641" priority="926" operator="equal">
      <formula>"Programado"</formula>
    </cfRule>
    <cfRule type="cellIs" dxfId="640" priority="927" operator="equal">
      <formula>"Implantación en curso"</formula>
    </cfRule>
  </conditionalFormatting>
  <conditionalFormatting sqref="I904">
    <cfRule type="cellIs" dxfId="639" priority="923" operator="equal">
      <formula>"Borrador"</formula>
    </cfRule>
  </conditionalFormatting>
  <conditionalFormatting sqref="I904">
    <cfRule type="cellIs" dxfId="638" priority="922" operator="equal">
      <formula>"Rechazado"</formula>
    </cfRule>
  </conditionalFormatting>
  <conditionalFormatting sqref="I904">
    <cfRule type="cellIs" dxfId="637" priority="921" operator="equal">
      <formula>"Terminado"</formula>
    </cfRule>
  </conditionalFormatting>
  <conditionalFormatting sqref="Q904">
    <cfRule type="duplicateValues" dxfId="636" priority="920"/>
  </conditionalFormatting>
  <conditionalFormatting sqref="Q904">
    <cfRule type="duplicateValues" dxfId="635" priority="919"/>
  </conditionalFormatting>
  <conditionalFormatting sqref="Q904">
    <cfRule type="duplicateValues" dxfId="634" priority="918"/>
  </conditionalFormatting>
  <conditionalFormatting sqref="Q904">
    <cfRule type="duplicateValues" dxfId="633" priority="917"/>
  </conditionalFormatting>
  <conditionalFormatting sqref="Q904">
    <cfRule type="duplicateValues" dxfId="632" priority="916"/>
  </conditionalFormatting>
  <conditionalFormatting sqref="Q904">
    <cfRule type="duplicateValues" dxfId="631" priority="915"/>
  </conditionalFormatting>
  <conditionalFormatting sqref="Q904">
    <cfRule type="duplicateValues" dxfId="630" priority="914"/>
  </conditionalFormatting>
  <conditionalFormatting sqref="Q904">
    <cfRule type="duplicateValues" dxfId="629" priority="913"/>
  </conditionalFormatting>
  <conditionalFormatting sqref="Q904">
    <cfRule type="duplicateValues" dxfId="628" priority="912"/>
  </conditionalFormatting>
  <conditionalFormatting sqref="Q904">
    <cfRule type="duplicateValues" dxfId="627" priority="911"/>
  </conditionalFormatting>
  <conditionalFormatting sqref="Q904">
    <cfRule type="duplicateValues" dxfId="626" priority="910"/>
  </conditionalFormatting>
  <conditionalFormatting sqref="Q904">
    <cfRule type="duplicateValues" dxfId="625" priority="909"/>
  </conditionalFormatting>
  <conditionalFormatting sqref="Q904">
    <cfRule type="duplicateValues" dxfId="624" priority="908"/>
  </conditionalFormatting>
  <conditionalFormatting sqref="Q904">
    <cfRule type="duplicateValues" dxfId="623" priority="907"/>
  </conditionalFormatting>
  <conditionalFormatting sqref="Q904">
    <cfRule type="duplicateValues" dxfId="622" priority="906"/>
  </conditionalFormatting>
  <conditionalFormatting sqref="Q904">
    <cfRule type="duplicateValues" dxfId="621" priority="905"/>
  </conditionalFormatting>
  <conditionalFormatting sqref="Q904">
    <cfRule type="duplicateValues" dxfId="620" priority="904"/>
  </conditionalFormatting>
  <conditionalFormatting sqref="Q904">
    <cfRule type="duplicateValues" dxfId="619" priority="903"/>
  </conditionalFormatting>
  <conditionalFormatting sqref="Q904">
    <cfRule type="duplicateValues" dxfId="618" priority="902"/>
  </conditionalFormatting>
  <conditionalFormatting sqref="I912">
    <cfRule type="cellIs" dxfId="617" priority="898" operator="equal">
      <formula>"Programado para aprobación"</formula>
    </cfRule>
    <cfRule type="cellIs" dxfId="616" priority="899" operator="equal">
      <formula>"Cerrado"</formula>
    </cfRule>
    <cfRule type="cellIs" dxfId="615" priority="900" operator="equal">
      <formula>"Programado"</formula>
    </cfRule>
    <cfRule type="cellIs" dxfId="614" priority="901" operator="equal">
      <formula>"Implantación en curso"</formula>
    </cfRule>
  </conditionalFormatting>
  <conditionalFormatting sqref="I912">
    <cfRule type="cellIs" dxfId="613" priority="897" operator="equal">
      <formula>"Borrador"</formula>
    </cfRule>
  </conditionalFormatting>
  <conditionalFormatting sqref="I912">
    <cfRule type="cellIs" dxfId="612" priority="896" operator="equal">
      <formula>"Rechazado"</formula>
    </cfRule>
  </conditionalFormatting>
  <conditionalFormatting sqref="I912">
    <cfRule type="cellIs" dxfId="611" priority="895" operator="equal">
      <formula>"Terminado"</formula>
    </cfRule>
  </conditionalFormatting>
  <conditionalFormatting sqref="Q912">
    <cfRule type="duplicateValues" dxfId="610" priority="894"/>
  </conditionalFormatting>
  <conditionalFormatting sqref="Q912">
    <cfRule type="duplicateValues" dxfId="609" priority="893"/>
  </conditionalFormatting>
  <conditionalFormatting sqref="Q912">
    <cfRule type="duplicateValues" dxfId="608" priority="892"/>
  </conditionalFormatting>
  <conditionalFormatting sqref="Q912">
    <cfRule type="duplicateValues" dxfId="607" priority="891"/>
  </conditionalFormatting>
  <conditionalFormatting sqref="Q912">
    <cfRule type="duplicateValues" dxfId="606" priority="890"/>
  </conditionalFormatting>
  <conditionalFormatting sqref="Q912">
    <cfRule type="duplicateValues" dxfId="605" priority="889"/>
  </conditionalFormatting>
  <conditionalFormatting sqref="Q912">
    <cfRule type="duplicateValues" dxfId="604" priority="888"/>
  </conditionalFormatting>
  <conditionalFormatting sqref="Q912">
    <cfRule type="duplicateValues" dxfId="603" priority="887"/>
  </conditionalFormatting>
  <conditionalFormatting sqref="Q912">
    <cfRule type="duplicateValues" dxfId="602" priority="886"/>
  </conditionalFormatting>
  <conditionalFormatting sqref="Q912">
    <cfRule type="duplicateValues" dxfId="601" priority="885"/>
  </conditionalFormatting>
  <conditionalFormatting sqref="Q912">
    <cfRule type="duplicateValues" dxfId="600" priority="884"/>
  </conditionalFormatting>
  <conditionalFormatting sqref="Q912">
    <cfRule type="duplicateValues" dxfId="599" priority="883"/>
  </conditionalFormatting>
  <conditionalFormatting sqref="Q912">
    <cfRule type="duplicateValues" dxfId="598" priority="882"/>
  </conditionalFormatting>
  <conditionalFormatting sqref="I908">
    <cfRule type="cellIs" dxfId="597" priority="878" operator="equal">
      <formula>"Programado para aprobación"</formula>
    </cfRule>
    <cfRule type="cellIs" dxfId="596" priority="879" operator="equal">
      <formula>"Cerrado"</formula>
    </cfRule>
    <cfRule type="cellIs" dxfId="595" priority="880" operator="equal">
      <formula>"Programado"</formula>
    </cfRule>
    <cfRule type="cellIs" dxfId="594" priority="881" operator="equal">
      <formula>"Implantación en curso"</formula>
    </cfRule>
  </conditionalFormatting>
  <conditionalFormatting sqref="I908">
    <cfRule type="cellIs" dxfId="593" priority="877" operator="equal">
      <formula>"Borrador"</formula>
    </cfRule>
  </conditionalFormatting>
  <conditionalFormatting sqref="I908">
    <cfRule type="cellIs" dxfId="592" priority="876" operator="equal">
      <formula>"Rechazado"</formula>
    </cfRule>
  </conditionalFormatting>
  <conditionalFormatting sqref="I908">
    <cfRule type="cellIs" dxfId="591" priority="875" operator="equal">
      <formula>"Terminado"</formula>
    </cfRule>
  </conditionalFormatting>
  <conditionalFormatting sqref="I906">
    <cfRule type="cellIs" dxfId="590" priority="871" operator="equal">
      <formula>"Programado para aprobación"</formula>
    </cfRule>
    <cfRule type="cellIs" dxfId="589" priority="872" operator="equal">
      <formula>"Cerrado"</formula>
    </cfRule>
    <cfRule type="cellIs" dxfId="588" priority="873" operator="equal">
      <formula>"Programado"</formula>
    </cfRule>
    <cfRule type="cellIs" dxfId="587" priority="874" operator="equal">
      <formula>"Implantación en curso"</formula>
    </cfRule>
  </conditionalFormatting>
  <conditionalFormatting sqref="I906">
    <cfRule type="cellIs" dxfId="586" priority="870" operator="equal">
      <formula>"Borrador"</formula>
    </cfRule>
  </conditionalFormatting>
  <conditionalFormatting sqref="I906">
    <cfRule type="cellIs" dxfId="585" priority="869" operator="equal">
      <formula>"Rechazado"</formula>
    </cfRule>
  </conditionalFormatting>
  <conditionalFormatting sqref="I906">
    <cfRule type="cellIs" dxfId="584" priority="868" operator="equal">
      <formula>"Terminado"</formula>
    </cfRule>
  </conditionalFormatting>
  <conditionalFormatting sqref="Q906">
    <cfRule type="duplicateValues" dxfId="583" priority="867"/>
  </conditionalFormatting>
  <conditionalFormatting sqref="Q906">
    <cfRule type="duplicateValues" dxfId="582" priority="866"/>
  </conditionalFormatting>
  <conditionalFormatting sqref="Q906">
    <cfRule type="duplicateValues" dxfId="581" priority="865"/>
  </conditionalFormatting>
  <conditionalFormatting sqref="Q906">
    <cfRule type="duplicateValues" dxfId="580" priority="864"/>
  </conditionalFormatting>
  <conditionalFormatting sqref="Q906">
    <cfRule type="duplicateValues" dxfId="579" priority="863"/>
  </conditionalFormatting>
  <conditionalFormatting sqref="Q906">
    <cfRule type="duplicateValues" dxfId="578" priority="862"/>
  </conditionalFormatting>
  <conditionalFormatting sqref="Q906">
    <cfRule type="duplicateValues" dxfId="577" priority="861"/>
  </conditionalFormatting>
  <conditionalFormatting sqref="Q906">
    <cfRule type="duplicateValues" dxfId="576" priority="860"/>
  </conditionalFormatting>
  <conditionalFormatting sqref="Q906">
    <cfRule type="duplicateValues" dxfId="575" priority="859"/>
  </conditionalFormatting>
  <conditionalFormatting sqref="Q906">
    <cfRule type="duplicateValues" dxfId="574" priority="858"/>
  </conditionalFormatting>
  <conditionalFormatting sqref="Q906">
    <cfRule type="duplicateValues" dxfId="573" priority="857"/>
  </conditionalFormatting>
  <conditionalFormatting sqref="Q906">
    <cfRule type="duplicateValues" dxfId="572" priority="856"/>
  </conditionalFormatting>
  <conditionalFormatting sqref="Q906">
    <cfRule type="duplicateValues" dxfId="571" priority="855"/>
  </conditionalFormatting>
  <conditionalFormatting sqref="Q906">
    <cfRule type="duplicateValues" dxfId="570" priority="854"/>
  </conditionalFormatting>
  <conditionalFormatting sqref="Q906">
    <cfRule type="duplicateValues" dxfId="569" priority="853"/>
  </conditionalFormatting>
  <conditionalFormatting sqref="Q906">
    <cfRule type="duplicateValues" dxfId="568" priority="852"/>
  </conditionalFormatting>
  <conditionalFormatting sqref="Q906">
    <cfRule type="duplicateValues" dxfId="567" priority="851"/>
  </conditionalFormatting>
  <conditionalFormatting sqref="Q906">
    <cfRule type="duplicateValues" dxfId="566" priority="850"/>
  </conditionalFormatting>
  <conditionalFormatting sqref="Q906">
    <cfRule type="duplicateValues" dxfId="565" priority="849"/>
  </conditionalFormatting>
  <conditionalFormatting sqref="I920">
    <cfRule type="cellIs" dxfId="564" priority="845" operator="equal">
      <formula>"Programado para aprobación"</formula>
    </cfRule>
    <cfRule type="cellIs" dxfId="563" priority="846" operator="equal">
      <formula>"Cerrado"</formula>
    </cfRule>
    <cfRule type="cellIs" dxfId="562" priority="847" operator="equal">
      <formula>"Programado"</formula>
    </cfRule>
    <cfRule type="cellIs" dxfId="561" priority="848" operator="equal">
      <formula>"Implantación en curso"</formula>
    </cfRule>
  </conditionalFormatting>
  <conditionalFormatting sqref="I920">
    <cfRule type="cellIs" dxfId="560" priority="844" operator="equal">
      <formula>"Borrador"</formula>
    </cfRule>
  </conditionalFormatting>
  <conditionalFormatting sqref="I920">
    <cfRule type="cellIs" dxfId="559" priority="843" operator="equal">
      <formula>"Rechazado"</formula>
    </cfRule>
  </conditionalFormatting>
  <conditionalFormatting sqref="I920">
    <cfRule type="cellIs" dxfId="558" priority="842" operator="equal">
      <formula>"Terminado"</formula>
    </cfRule>
  </conditionalFormatting>
  <conditionalFormatting sqref="Q920">
    <cfRule type="duplicateValues" dxfId="557" priority="841"/>
  </conditionalFormatting>
  <conditionalFormatting sqref="Q920">
    <cfRule type="duplicateValues" dxfId="556" priority="840"/>
  </conditionalFormatting>
  <conditionalFormatting sqref="Q920">
    <cfRule type="duplicateValues" dxfId="555" priority="839"/>
  </conditionalFormatting>
  <conditionalFormatting sqref="Q920">
    <cfRule type="duplicateValues" dxfId="554" priority="838"/>
  </conditionalFormatting>
  <conditionalFormatting sqref="I802">
    <cfRule type="cellIs" dxfId="553" priority="834" operator="equal">
      <formula>"Programado para aprobación"</formula>
    </cfRule>
    <cfRule type="cellIs" dxfId="552" priority="835" operator="equal">
      <formula>"Cerrado"</formula>
    </cfRule>
    <cfRule type="cellIs" dxfId="551" priority="836" operator="equal">
      <formula>"Programado"</formula>
    </cfRule>
    <cfRule type="cellIs" dxfId="550" priority="837" operator="equal">
      <formula>"Implantación en curso"</formula>
    </cfRule>
  </conditionalFormatting>
  <conditionalFormatting sqref="I802">
    <cfRule type="cellIs" dxfId="549" priority="833" operator="equal">
      <formula>"Borrador"</formula>
    </cfRule>
  </conditionalFormatting>
  <conditionalFormatting sqref="I802">
    <cfRule type="cellIs" dxfId="548" priority="832" operator="equal">
      <formula>"Rechazado"</formula>
    </cfRule>
  </conditionalFormatting>
  <conditionalFormatting sqref="I802">
    <cfRule type="cellIs" dxfId="547" priority="831" operator="equal">
      <formula>"Terminado"</formula>
    </cfRule>
  </conditionalFormatting>
  <conditionalFormatting sqref="I923">
    <cfRule type="cellIs" dxfId="546" priority="827" operator="equal">
      <formula>"Programado para aprobación"</formula>
    </cfRule>
    <cfRule type="cellIs" dxfId="545" priority="828" operator="equal">
      <formula>"Cerrado"</formula>
    </cfRule>
    <cfRule type="cellIs" dxfId="544" priority="829" operator="equal">
      <formula>"Programado"</formula>
    </cfRule>
    <cfRule type="cellIs" dxfId="543" priority="830" operator="equal">
      <formula>"Implantación en curso"</formula>
    </cfRule>
  </conditionalFormatting>
  <conditionalFormatting sqref="I923">
    <cfRule type="cellIs" dxfId="542" priority="826" operator="equal">
      <formula>"Borrador"</formula>
    </cfRule>
  </conditionalFormatting>
  <conditionalFormatting sqref="I923">
    <cfRule type="cellIs" dxfId="541" priority="825" operator="equal">
      <formula>"Rechazado"</formula>
    </cfRule>
  </conditionalFormatting>
  <conditionalFormatting sqref="I923">
    <cfRule type="cellIs" dxfId="540" priority="824" operator="equal">
      <formula>"Terminado"</formula>
    </cfRule>
  </conditionalFormatting>
  <conditionalFormatting sqref="Q924">
    <cfRule type="duplicateValues" dxfId="539" priority="823"/>
  </conditionalFormatting>
  <conditionalFormatting sqref="Q924">
    <cfRule type="duplicateValues" dxfId="538" priority="822"/>
  </conditionalFormatting>
  <conditionalFormatting sqref="Q924">
    <cfRule type="duplicateValues" dxfId="537" priority="821"/>
  </conditionalFormatting>
  <conditionalFormatting sqref="Q924">
    <cfRule type="duplicateValues" dxfId="536" priority="820"/>
  </conditionalFormatting>
  <conditionalFormatting sqref="Q924">
    <cfRule type="duplicateValues" dxfId="535" priority="819"/>
  </conditionalFormatting>
  <conditionalFormatting sqref="Q924">
    <cfRule type="duplicateValues" dxfId="534" priority="818"/>
  </conditionalFormatting>
  <conditionalFormatting sqref="I926">
    <cfRule type="cellIs" dxfId="533" priority="814" operator="equal">
      <formula>"Programado para aprobación"</formula>
    </cfRule>
    <cfRule type="cellIs" dxfId="532" priority="815" operator="equal">
      <formula>"Cerrado"</formula>
    </cfRule>
    <cfRule type="cellIs" dxfId="531" priority="816" operator="equal">
      <formula>"Programado"</formula>
    </cfRule>
    <cfRule type="cellIs" dxfId="530" priority="817" operator="equal">
      <formula>"Implantación en curso"</formula>
    </cfRule>
  </conditionalFormatting>
  <conditionalFormatting sqref="I926">
    <cfRule type="cellIs" dxfId="529" priority="813" operator="equal">
      <formula>"Borrador"</formula>
    </cfRule>
  </conditionalFormatting>
  <conditionalFormatting sqref="I926">
    <cfRule type="cellIs" dxfId="528" priority="812" operator="equal">
      <formula>"Rechazado"</formula>
    </cfRule>
  </conditionalFormatting>
  <conditionalFormatting sqref="I926">
    <cfRule type="cellIs" dxfId="527" priority="811" operator="equal">
      <formula>"Terminado"</formula>
    </cfRule>
  </conditionalFormatting>
  <conditionalFormatting sqref="Q926">
    <cfRule type="duplicateValues" dxfId="526" priority="810"/>
  </conditionalFormatting>
  <conditionalFormatting sqref="Q926">
    <cfRule type="duplicateValues" dxfId="525" priority="809"/>
  </conditionalFormatting>
  <conditionalFormatting sqref="Q926">
    <cfRule type="duplicateValues" dxfId="524" priority="808"/>
  </conditionalFormatting>
  <conditionalFormatting sqref="Q926">
    <cfRule type="duplicateValues" dxfId="523" priority="807"/>
  </conditionalFormatting>
  <conditionalFormatting sqref="Q926">
    <cfRule type="duplicateValues" dxfId="522" priority="806"/>
  </conditionalFormatting>
  <conditionalFormatting sqref="Q926">
    <cfRule type="duplicateValues" dxfId="521" priority="805"/>
  </conditionalFormatting>
  <conditionalFormatting sqref="Q944">
    <cfRule type="duplicateValues" dxfId="520" priority="804"/>
  </conditionalFormatting>
  <conditionalFormatting sqref="Q944">
    <cfRule type="duplicateValues" dxfId="519" priority="803"/>
  </conditionalFormatting>
  <conditionalFormatting sqref="Q944">
    <cfRule type="duplicateValues" dxfId="518" priority="802"/>
  </conditionalFormatting>
  <conditionalFormatting sqref="Q944">
    <cfRule type="duplicateValues" dxfId="517" priority="801"/>
  </conditionalFormatting>
  <conditionalFormatting sqref="Q944">
    <cfRule type="duplicateValues" dxfId="516" priority="800"/>
  </conditionalFormatting>
  <conditionalFormatting sqref="Q944">
    <cfRule type="duplicateValues" dxfId="515" priority="799"/>
  </conditionalFormatting>
  <conditionalFormatting sqref="I925">
    <cfRule type="cellIs" dxfId="514" priority="795" operator="equal">
      <formula>"Programado para aprobación"</formula>
    </cfRule>
    <cfRule type="cellIs" dxfId="513" priority="796" operator="equal">
      <formula>"Cerrado"</formula>
    </cfRule>
    <cfRule type="cellIs" dxfId="512" priority="797" operator="equal">
      <formula>"Programado"</formula>
    </cfRule>
    <cfRule type="cellIs" dxfId="511" priority="798" operator="equal">
      <formula>"Implantación en curso"</formula>
    </cfRule>
  </conditionalFormatting>
  <conditionalFormatting sqref="I925">
    <cfRule type="cellIs" dxfId="510" priority="794" operator="equal">
      <formula>"Borrador"</formula>
    </cfRule>
  </conditionalFormatting>
  <conditionalFormatting sqref="I925">
    <cfRule type="cellIs" dxfId="509" priority="793" operator="equal">
      <formula>"Rechazado"</formula>
    </cfRule>
  </conditionalFormatting>
  <conditionalFormatting sqref="I925">
    <cfRule type="cellIs" dxfId="508" priority="792" operator="equal">
      <formula>"Terminado"</formula>
    </cfRule>
  </conditionalFormatting>
  <conditionalFormatting sqref="Q925">
    <cfRule type="duplicateValues" dxfId="507" priority="791"/>
  </conditionalFormatting>
  <conditionalFormatting sqref="Q925">
    <cfRule type="duplicateValues" dxfId="506" priority="790"/>
  </conditionalFormatting>
  <conditionalFormatting sqref="Q925">
    <cfRule type="duplicateValues" dxfId="505" priority="789"/>
  </conditionalFormatting>
  <conditionalFormatting sqref="Q925">
    <cfRule type="duplicateValues" dxfId="504" priority="788"/>
  </conditionalFormatting>
  <conditionalFormatting sqref="Q925">
    <cfRule type="duplicateValues" dxfId="503" priority="787"/>
  </conditionalFormatting>
  <conditionalFormatting sqref="Q925">
    <cfRule type="duplicateValues" dxfId="502" priority="786"/>
  </conditionalFormatting>
  <conditionalFormatting sqref="I927">
    <cfRule type="cellIs" dxfId="501" priority="782" operator="equal">
      <formula>"Programado para aprobación"</formula>
    </cfRule>
    <cfRule type="cellIs" dxfId="500" priority="783" operator="equal">
      <formula>"Cerrado"</formula>
    </cfRule>
    <cfRule type="cellIs" dxfId="499" priority="784" operator="equal">
      <formula>"Programado"</formula>
    </cfRule>
    <cfRule type="cellIs" dxfId="498" priority="785" operator="equal">
      <formula>"Implantación en curso"</formula>
    </cfRule>
  </conditionalFormatting>
  <conditionalFormatting sqref="I927">
    <cfRule type="cellIs" dxfId="497" priority="781" operator="equal">
      <formula>"Borrador"</formula>
    </cfRule>
  </conditionalFormatting>
  <conditionalFormatting sqref="I927">
    <cfRule type="cellIs" dxfId="496" priority="780" operator="equal">
      <formula>"Rechazado"</formula>
    </cfRule>
  </conditionalFormatting>
  <conditionalFormatting sqref="I927">
    <cfRule type="cellIs" dxfId="495" priority="779" operator="equal">
      <formula>"Terminado"</formula>
    </cfRule>
  </conditionalFormatting>
  <conditionalFormatting sqref="Q927">
    <cfRule type="duplicateValues" dxfId="494" priority="778"/>
  </conditionalFormatting>
  <conditionalFormatting sqref="Q927">
    <cfRule type="duplicateValues" dxfId="493" priority="777"/>
  </conditionalFormatting>
  <conditionalFormatting sqref="Q927">
    <cfRule type="duplicateValues" dxfId="492" priority="776"/>
  </conditionalFormatting>
  <conditionalFormatting sqref="Q927">
    <cfRule type="duplicateValues" dxfId="491" priority="775"/>
  </conditionalFormatting>
  <conditionalFormatting sqref="Q927">
    <cfRule type="duplicateValues" dxfId="490" priority="774"/>
  </conditionalFormatting>
  <conditionalFormatting sqref="Q927">
    <cfRule type="duplicateValues" dxfId="489" priority="773"/>
  </conditionalFormatting>
  <conditionalFormatting sqref="Q929">
    <cfRule type="duplicateValues" dxfId="488" priority="772"/>
  </conditionalFormatting>
  <conditionalFormatting sqref="Q929">
    <cfRule type="duplicateValues" dxfId="487" priority="771"/>
  </conditionalFormatting>
  <conditionalFormatting sqref="Q929">
    <cfRule type="duplicateValues" dxfId="486" priority="770"/>
  </conditionalFormatting>
  <conditionalFormatting sqref="Q929">
    <cfRule type="duplicateValues" dxfId="485" priority="769"/>
  </conditionalFormatting>
  <conditionalFormatting sqref="Q929">
    <cfRule type="duplicateValues" dxfId="484" priority="768"/>
  </conditionalFormatting>
  <conditionalFormatting sqref="Q929">
    <cfRule type="duplicateValues" dxfId="483" priority="767"/>
  </conditionalFormatting>
  <conditionalFormatting sqref="I931">
    <cfRule type="cellIs" dxfId="482" priority="763" operator="equal">
      <formula>"Programado para aprobación"</formula>
    </cfRule>
    <cfRule type="cellIs" dxfId="481" priority="764" operator="equal">
      <formula>"Cerrado"</formula>
    </cfRule>
    <cfRule type="cellIs" dxfId="480" priority="765" operator="equal">
      <formula>"Programado"</formula>
    </cfRule>
    <cfRule type="cellIs" dxfId="479" priority="766" operator="equal">
      <formula>"Implantación en curso"</formula>
    </cfRule>
  </conditionalFormatting>
  <conditionalFormatting sqref="I931">
    <cfRule type="cellIs" dxfId="478" priority="762" operator="equal">
      <formula>"Borrador"</formula>
    </cfRule>
  </conditionalFormatting>
  <conditionalFormatting sqref="I931">
    <cfRule type="cellIs" dxfId="477" priority="761" operator="equal">
      <formula>"Rechazado"</formula>
    </cfRule>
  </conditionalFormatting>
  <conditionalFormatting sqref="I931">
    <cfRule type="cellIs" dxfId="476" priority="760" operator="equal">
      <formula>"Terminado"</formula>
    </cfRule>
  </conditionalFormatting>
  <conditionalFormatting sqref="Q931">
    <cfRule type="duplicateValues" dxfId="475" priority="759"/>
  </conditionalFormatting>
  <conditionalFormatting sqref="Q931">
    <cfRule type="duplicateValues" dxfId="474" priority="758"/>
  </conditionalFormatting>
  <conditionalFormatting sqref="Q931">
    <cfRule type="duplicateValues" dxfId="473" priority="757"/>
  </conditionalFormatting>
  <conditionalFormatting sqref="Q931">
    <cfRule type="duplicateValues" dxfId="472" priority="756"/>
  </conditionalFormatting>
  <conditionalFormatting sqref="Q931">
    <cfRule type="duplicateValues" dxfId="471" priority="755"/>
  </conditionalFormatting>
  <conditionalFormatting sqref="Q931">
    <cfRule type="duplicateValues" dxfId="470" priority="754"/>
  </conditionalFormatting>
  <conditionalFormatting sqref="I757">
    <cfRule type="cellIs" dxfId="469" priority="750" operator="equal">
      <formula>"Programado para aprobación"</formula>
    </cfRule>
    <cfRule type="cellIs" dxfId="468" priority="751" operator="equal">
      <formula>"Cerrado"</formula>
    </cfRule>
    <cfRule type="cellIs" dxfId="467" priority="752" operator="equal">
      <formula>"Programado"</formula>
    </cfRule>
    <cfRule type="cellIs" dxfId="466" priority="753" operator="equal">
      <formula>"Implantación en curso"</formula>
    </cfRule>
  </conditionalFormatting>
  <conditionalFormatting sqref="I757">
    <cfRule type="cellIs" dxfId="465" priority="749" operator="equal">
      <formula>"Borrador"</formula>
    </cfRule>
  </conditionalFormatting>
  <conditionalFormatting sqref="I757">
    <cfRule type="cellIs" dxfId="464" priority="748" operator="equal">
      <formula>"Rechazado"</formula>
    </cfRule>
  </conditionalFormatting>
  <conditionalFormatting sqref="I757">
    <cfRule type="cellIs" dxfId="463" priority="747" operator="equal">
      <formula>"Terminado"</formula>
    </cfRule>
  </conditionalFormatting>
  <conditionalFormatting sqref="I936">
    <cfRule type="cellIs" dxfId="462" priority="743" operator="equal">
      <formula>"Programado para aprobación"</formula>
    </cfRule>
    <cfRule type="cellIs" dxfId="461" priority="744" operator="equal">
      <formula>"Cerrado"</formula>
    </cfRule>
    <cfRule type="cellIs" dxfId="460" priority="745" operator="equal">
      <formula>"Programado"</formula>
    </cfRule>
    <cfRule type="cellIs" dxfId="459" priority="746" operator="equal">
      <formula>"Implantación en curso"</formula>
    </cfRule>
  </conditionalFormatting>
  <conditionalFormatting sqref="I936">
    <cfRule type="cellIs" dxfId="458" priority="742" operator="equal">
      <formula>"Borrador"</formula>
    </cfRule>
  </conditionalFormatting>
  <conditionalFormatting sqref="I936">
    <cfRule type="cellIs" dxfId="457" priority="741" operator="equal">
      <formula>"Rechazado"</formula>
    </cfRule>
  </conditionalFormatting>
  <conditionalFormatting sqref="I936">
    <cfRule type="cellIs" dxfId="456" priority="740" operator="equal">
      <formula>"Terminado"</formula>
    </cfRule>
  </conditionalFormatting>
  <conditionalFormatting sqref="Q936">
    <cfRule type="duplicateValues" dxfId="455" priority="739"/>
  </conditionalFormatting>
  <conditionalFormatting sqref="I950">
    <cfRule type="cellIs" dxfId="454" priority="735" operator="equal">
      <formula>"Programado para aprobación"</formula>
    </cfRule>
    <cfRule type="cellIs" dxfId="453" priority="736" operator="equal">
      <formula>"Cerrado"</formula>
    </cfRule>
    <cfRule type="cellIs" dxfId="452" priority="737" operator="equal">
      <formula>"Programado"</formula>
    </cfRule>
    <cfRule type="cellIs" dxfId="451" priority="738" operator="equal">
      <formula>"Implantación en curso"</formula>
    </cfRule>
  </conditionalFormatting>
  <conditionalFormatting sqref="I950">
    <cfRule type="cellIs" dxfId="450" priority="734" operator="equal">
      <formula>"Borrador"</formula>
    </cfRule>
  </conditionalFormatting>
  <conditionalFormatting sqref="I950">
    <cfRule type="cellIs" dxfId="449" priority="733" operator="equal">
      <formula>"Rechazado"</formula>
    </cfRule>
  </conditionalFormatting>
  <conditionalFormatting sqref="I950">
    <cfRule type="cellIs" dxfId="448" priority="732" operator="equal">
      <formula>"Terminado"</formula>
    </cfRule>
  </conditionalFormatting>
  <conditionalFormatting sqref="Q950">
    <cfRule type="duplicateValues" dxfId="447" priority="731"/>
  </conditionalFormatting>
  <conditionalFormatting sqref="Q950">
    <cfRule type="duplicateValues" dxfId="446" priority="730"/>
  </conditionalFormatting>
  <conditionalFormatting sqref="Q950">
    <cfRule type="duplicateValues" dxfId="445" priority="729"/>
  </conditionalFormatting>
  <conditionalFormatting sqref="Q950">
    <cfRule type="duplicateValues" dxfId="444" priority="728"/>
  </conditionalFormatting>
  <conditionalFormatting sqref="Q950">
    <cfRule type="duplicateValues" dxfId="443" priority="727"/>
  </conditionalFormatting>
  <conditionalFormatting sqref="Q950">
    <cfRule type="duplicateValues" dxfId="442" priority="726"/>
  </conditionalFormatting>
  <conditionalFormatting sqref="I829">
    <cfRule type="cellIs" dxfId="441" priority="722" operator="equal">
      <formula>"Programado para aprobación"</formula>
    </cfRule>
    <cfRule type="cellIs" dxfId="440" priority="723" operator="equal">
      <formula>"Cerrado"</formula>
    </cfRule>
    <cfRule type="cellIs" dxfId="439" priority="724" operator="equal">
      <formula>"Programado"</formula>
    </cfRule>
    <cfRule type="cellIs" dxfId="438" priority="725" operator="equal">
      <formula>"Implantación en curso"</formula>
    </cfRule>
  </conditionalFormatting>
  <conditionalFormatting sqref="I829">
    <cfRule type="cellIs" dxfId="437" priority="721" operator="equal">
      <formula>"Borrador"</formula>
    </cfRule>
  </conditionalFormatting>
  <conditionalFormatting sqref="I829">
    <cfRule type="cellIs" dxfId="436" priority="720" operator="equal">
      <formula>"Rechazado"</formula>
    </cfRule>
  </conditionalFormatting>
  <conditionalFormatting sqref="I829">
    <cfRule type="cellIs" dxfId="435" priority="719" operator="equal">
      <formula>"Terminado"</formula>
    </cfRule>
  </conditionalFormatting>
  <conditionalFormatting sqref="I915">
    <cfRule type="cellIs" dxfId="434" priority="715" operator="equal">
      <formula>"Programado para aprobación"</formula>
    </cfRule>
    <cfRule type="cellIs" dxfId="433" priority="716" operator="equal">
      <formula>"Cerrado"</formula>
    </cfRule>
    <cfRule type="cellIs" dxfId="432" priority="717" operator="equal">
      <formula>"Programado"</formula>
    </cfRule>
    <cfRule type="cellIs" dxfId="431" priority="718" operator="equal">
      <formula>"Implantación en curso"</formula>
    </cfRule>
  </conditionalFormatting>
  <conditionalFormatting sqref="I915">
    <cfRule type="cellIs" dxfId="430" priority="714" operator="equal">
      <formula>"Borrador"</formula>
    </cfRule>
  </conditionalFormatting>
  <conditionalFormatting sqref="I915">
    <cfRule type="cellIs" dxfId="429" priority="713" operator="equal">
      <formula>"Rechazado"</formula>
    </cfRule>
  </conditionalFormatting>
  <conditionalFormatting sqref="I915">
    <cfRule type="cellIs" dxfId="428" priority="712" operator="equal">
      <formula>"Terminado"</formula>
    </cfRule>
  </conditionalFormatting>
  <conditionalFormatting sqref="F249">
    <cfRule type="cellIs" dxfId="427" priority="695" operator="equal">
      <formula>"APLAZADO"</formula>
    </cfRule>
    <cfRule type="cellIs" dxfId="426" priority="696" operator="equal">
      <formula>"CANCELADO"</formula>
    </cfRule>
    <cfRule type="cellIs" dxfId="425" priority="697" operator="equal">
      <formula>"NO EJECUTADO"</formula>
    </cfRule>
    <cfRule type="cellIs" dxfId="424" priority="698" operator="equal">
      <formula>"FPE"</formula>
    </cfRule>
    <cfRule type="cellIs" dxfId="423" priority="699" operator="equal">
      <formula>"AMA"</formula>
    </cfRule>
    <cfRule type="cellIs" dxfId="422" priority="700" operator="equal">
      <formula>"SIN DATOS"</formula>
    </cfRule>
    <cfRule type="cellIs" dxfId="421" priority="701" operator="equal">
      <formula>"SIN DATOS"</formula>
    </cfRule>
    <cfRule type="cellIs" dxfId="420" priority="702" operator="equal">
      <formula>"NO EJECTUTADO"</formula>
    </cfRule>
    <cfRule type="cellIs" dxfId="419" priority="703" operator="equal">
      <formula>"FE"</formula>
    </cfRule>
    <cfRule type="cellIs" dxfId="418" priority="704" operator="equal">
      <formula>"FE"</formula>
    </cfRule>
  </conditionalFormatting>
  <conditionalFormatting sqref="F249">
    <cfRule type="cellIs" dxfId="417" priority="693" operator="equal">
      <formula>"Retirado"</formula>
    </cfRule>
    <cfRule type="cellIs" dxfId="416" priority="694" operator="equal">
      <formula>"FSE"</formula>
    </cfRule>
  </conditionalFormatting>
  <conditionalFormatting sqref="H909">
    <cfRule type="cellIs" dxfId="415" priority="689" operator="equal">
      <formula>"Programado para aprobación"</formula>
    </cfRule>
    <cfRule type="cellIs" dxfId="414" priority="690" operator="equal">
      <formula>"Cerrado"</formula>
    </cfRule>
    <cfRule type="cellIs" dxfId="413" priority="691" operator="equal">
      <formula>"Programado"</formula>
    </cfRule>
    <cfRule type="cellIs" dxfId="412" priority="692" operator="equal">
      <formula>"Implantación en curso"</formula>
    </cfRule>
  </conditionalFormatting>
  <conditionalFormatting sqref="H909">
    <cfRule type="cellIs" dxfId="411" priority="688" operator="equal">
      <formula>"Borrador"</formula>
    </cfRule>
  </conditionalFormatting>
  <conditionalFormatting sqref="H909">
    <cfRule type="cellIs" dxfId="410" priority="687" operator="equal">
      <formula>"Rechazado"</formula>
    </cfRule>
  </conditionalFormatting>
  <conditionalFormatting sqref="H909">
    <cfRule type="cellIs" dxfId="409" priority="686" operator="equal">
      <formula>"Terminado"</formula>
    </cfRule>
  </conditionalFormatting>
  <conditionalFormatting sqref="I909">
    <cfRule type="cellIs" dxfId="408" priority="671" operator="equal">
      <formula>"Programado para aprobación"</formula>
    </cfRule>
    <cfRule type="cellIs" dxfId="407" priority="672" operator="equal">
      <formula>"Cerrado"</formula>
    </cfRule>
    <cfRule type="cellIs" dxfId="406" priority="673" operator="equal">
      <formula>"Programado"</formula>
    </cfRule>
    <cfRule type="cellIs" dxfId="405" priority="674" operator="equal">
      <formula>"Implantación en curso"</formula>
    </cfRule>
  </conditionalFormatting>
  <conditionalFormatting sqref="I909">
    <cfRule type="cellIs" dxfId="404" priority="670" operator="equal">
      <formula>"Borrador"</formula>
    </cfRule>
  </conditionalFormatting>
  <conditionalFormatting sqref="I909">
    <cfRule type="cellIs" dxfId="403" priority="669" operator="equal">
      <formula>"Rechazado"</formula>
    </cfRule>
  </conditionalFormatting>
  <conditionalFormatting sqref="I909">
    <cfRule type="cellIs" dxfId="402" priority="668" operator="equal">
      <formula>"Terminado"</formula>
    </cfRule>
  </conditionalFormatting>
  <conditionalFormatting sqref="H910">
    <cfRule type="cellIs" dxfId="401" priority="661" operator="equal">
      <formula>"Programado para aprobación"</formula>
    </cfRule>
    <cfRule type="cellIs" dxfId="400" priority="662" operator="equal">
      <formula>"Cerrado"</formula>
    </cfRule>
    <cfRule type="cellIs" dxfId="399" priority="663" operator="equal">
      <formula>"Programado"</formula>
    </cfRule>
    <cfRule type="cellIs" dxfId="398" priority="664" operator="equal">
      <formula>"Implantación en curso"</formula>
    </cfRule>
  </conditionalFormatting>
  <conditionalFormatting sqref="H910">
    <cfRule type="cellIs" dxfId="397" priority="660" operator="equal">
      <formula>"Borrador"</formula>
    </cfRule>
  </conditionalFormatting>
  <conditionalFormatting sqref="H910">
    <cfRule type="cellIs" dxfId="396" priority="659" operator="equal">
      <formula>"Rechazado"</formula>
    </cfRule>
  </conditionalFormatting>
  <conditionalFormatting sqref="H910">
    <cfRule type="cellIs" dxfId="395" priority="658" operator="equal">
      <formula>"Terminado"</formula>
    </cfRule>
  </conditionalFormatting>
  <conditionalFormatting sqref="I910">
    <cfRule type="cellIs" dxfId="394" priority="644" operator="equal">
      <formula>"Programado para aprobación"</formula>
    </cfRule>
    <cfRule type="cellIs" dxfId="393" priority="645" operator="equal">
      <formula>"Cerrado"</formula>
    </cfRule>
    <cfRule type="cellIs" dxfId="392" priority="646" operator="equal">
      <formula>"Programado"</formula>
    </cfRule>
    <cfRule type="cellIs" dxfId="391" priority="647" operator="equal">
      <formula>"Implantación en curso"</formula>
    </cfRule>
  </conditionalFormatting>
  <conditionalFormatting sqref="I910">
    <cfRule type="cellIs" dxfId="390" priority="643" operator="equal">
      <formula>"Borrador"</formula>
    </cfRule>
  </conditionalFormatting>
  <conditionalFormatting sqref="I910">
    <cfRule type="cellIs" dxfId="389" priority="642" operator="equal">
      <formula>"Rechazado"</formula>
    </cfRule>
  </conditionalFormatting>
  <conditionalFormatting sqref="I910">
    <cfRule type="cellIs" dxfId="388" priority="641" operator="equal">
      <formula>"Terminado"</formula>
    </cfRule>
  </conditionalFormatting>
  <conditionalFormatting sqref="Q909">
    <cfRule type="duplicateValues" dxfId="387" priority="640"/>
  </conditionalFormatting>
  <conditionalFormatting sqref="Q909">
    <cfRule type="duplicateValues" dxfId="386" priority="639"/>
  </conditionalFormatting>
  <conditionalFormatting sqref="Q909">
    <cfRule type="duplicateValues" dxfId="385" priority="638"/>
  </conditionalFormatting>
  <conditionalFormatting sqref="Q909">
    <cfRule type="duplicateValues" dxfId="384" priority="637"/>
  </conditionalFormatting>
  <conditionalFormatting sqref="Q910">
    <cfRule type="duplicateValues" dxfId="383" priority="636"/>
  </conditionalFormatting>
  <conditionalFormatting sqref="Q910">
    <cfRule type="duplicateValues" dxfId="382" priority="635"/>
  </conditionalFormatting>
  <conditionalFormatting sqref="Q910">
    <cfRule type="duplicateValues" dxfId="381" priority="634"/>
  </conditionalFormatting>
  <conditionalFormatting sqref="Q910">
    <cfRule type="duplicateValues" dxfId="380" priority="633"/>
  </conditionalFormatting>
  <conditionalFormatting sqref="Q1089:Q1048576 Q1:Q1029">
    <cfRule type="duplicateValues" dxfId="379" priority="632"/>
  </conditionalFormatting>
  <conditionalFormatting sqref="H916">
    <cfRule type="cellIs" dxfId="378" priority="628" operator="equal">
      <formula>"Programado para aprobación"</formula>
    </cfRule>
    <cfRule type="cellIs" dxfId="377" priority="629" operator="equal">
      <formula>"Cerrado"</formula>
    </cfRule>
    <cfRule type="cellIs" dxfId="376" priority="630" operator="equal">
      <formula>"Programado"</formula>
    </cfRule>
    <cfRule type="cellIs" dxfId="375" priority="631" operator="equal">
      <formula>"Implantación en curso"</formula>
    </cfRule>
  </conditionalFormatting>
  <conditionalFormatting sqref="H916">
    <cfRule type="cellIs" dxfId="374" priority="627" operator="equal">
      <formula>"Borrador"</formula>
    </cfRule>
  </conditionalFormatting>
  <conditionalFormatting sqref="H916">
    <cfRule type="cellIs" dxfId="373" priority="626" operator="equal">
      <formula>"Rechazado"</formula>
    </cfRule>
  </conditionalFormatting>
  <conditionalFormatting sqref="H916">
    <cfRule type="cellIs" dxfId="372" priority="625" operator="equal">
      <formula>"Terminado"</formula>
    </cfRule>
  </conditionalFormatting>
  <conditionalFormatting sqref="I916">
    <cfRule type="cellIs" dxfId="371" priority="621" operator="equal">
      <formula>"Programado para aprobación"</formula>
    </cfRule>
    <cfRule type="cellIs" dxfId="370" priority="622" operator="equal">
      <formula>"Cerrado"</formula>
    </cfRule>
    <cfRule type="cellIs" dxfId="369" priority="623" operator="equal">
      <formula>"Programado"</formula>
    </cfRule>
    <cfRule type="cellIs" dxfId="368" priority="624" operator="equal">
      <formula>"Implantación en curso"</formula>
    </cfRule>
  </conditionalFormatting>
  <conditionalFormatting sqref="I916">
    <cfRule type="cellIs" dxfId="367" priority="620" operator="equal">
      <formula>"Borrador"</formula>
    </cfRule>
  </conditionalFormatting>
  <conditionalFormatting sqref="I916">
    <cfRule type="cellIs" dxfId="366" priority="619" operator="equal">
      <formula>"Rechazado"</formula>
    </cfRule>
  </conditionalFormatting>
  <conditionalFormatting sqref="I916">
    <cfRule type="cellIs" dxfId="365" priority="618" operator="equal">
      <formula>"Terminado"</formula>
    </cfRule>
  </conditionalFormatting>
  <conditionalFormatting sqref="H917">
    <cfRule type="cellIs" dxfId="364" priority="607" operator="equal">
      <formula>"Programado para aprobación"</formula>
    </cfRule>
    <cfRule type="cellIs" dxfId="363" priority="608" operator="equal">
      <formula>"Cerrado"</formula>
    </cfRule>
    <cfRule type="cellIs" dxfId="362" priority="609" operator="equal">
      <formula>"Programado"</formula>
    </cfRule>
    <cfRule type="cellIs" dxfId="361" priority="610" operator="equal">
      <formula>"Implantación en curso"</formula>
    </cfRule>
  </conditionalFormatting>
  <conditionalFormatting sqref="H917">
    <cfRule type="cellIs" dxfId="360" priority="606" operator="equal">
      <formula>"Borrador"</formula>
    </cfRule>
  </conditionalFormatting>
  <conditionalFormatting sqref="H917">
    <cfRule type="cellIs" dxfId="359" priority="605" operator="equal">
      <formula>"Rechazado"</formula>
    </cfRule>
  </conditionalFormatting>
  <conditionalFormatting sqref="H917">
    <cfRule type="cellIs" dxfId="358" priority="604" operator="equal">
      <formula>"Terminado"</formula>
    </cfRule>
  </conditionalFormatting>
  <conditionalFormatting sqref="I917">
    <cfRule type="cellIs" dxfId="357" priority="600" operator="equal">
      <formula>"Programado para aprobación"</formula>
    </cfRule>
    <cfRule type="cellIs" dxfId="356" priority="601" operator="equal">
      <formula>"Cerrado"</formula>
    </cfRule>
    <cfRule type="cellIs" dxfId="355" priority="602" operator="equal">
      <formula>"Programado"</formula>
    </cfRule>
    <cfRule type="cellIs" dxfId="354" priority="603" operator="equal">
      <formula>"Implantación en curso"</formula>
    </cfRule>
  </conditionalFormatting>
  <conditionalFormatting sqref="I917">
    <cfRule type="cellIs" dxfId="353" priority="599" operator="equal">
      <formula>"Borrador"</formula>
    </cfRule>
  </conditionalFormatting>
  <conditionalFormatting sqref="I917">
    <cfRule type="cellIs" dxfId="352" priority="598" operator="equal">
      <formula>"Rechazado"</formula>
    </cfRule>
  </conditionalFormatting>
  <conditionalFormatting sqref="I917">
    <cfRule type="cellIs" dxfId="351" priority="597" operator="equal">
      <formula>"Terminado"</formula>
    </cfRule>
  </conditionalFormatting>
  <conditionalFormatting sqref="Q916">
    <cfRule type="duplicateValues" dxfId="350" priority="589"/>
  </conditionalFormatting>
  <conditionalFormatting sqref="Q916">
    <cfRule type="duplicateValues" dxfId="349" priority="588"/>
  </conditionalFormatting>
  <conditionalFormatting sqref="Q916">
    <cfRule type="duplicateValues" dxfId="348" priority="587"/>
  </conditionalFormatting>
  <conditionalFormatting sqref="Q917">
    <cfRule type="duplicateValues" dxfId="347" priority="586"/>
  </conditionalFormatting>
  <conditionalFormatting sqref="Q917">
    <cfRule type="duplicateValues" dxfId="346" priority="585"/>
  </conditionalFormatting>
  <conditionalFormatting sqref="Q917">
    <cfRule type="duplicateValues" dxfId="345" priority="584"/>
  </conditionalFormatting>
  <conditionalFormatting sqref="Q909">
    <cfRule type="duplicateValues" dxfId="344" priority="583"/>
  </conditionalFormatting>
  <conditionalFormatting sqref="Q909">
    <cfRule type="duplicateValues" dxfId="343" priority="582"/>
  </conditionalFormatting>
  <conditionalFormatting sqref="Q909">
    <cfRule type="duplicateValues" dxfId="342" priority="581"/>
  </conditionalFormatting>
  <conditionalFormatting sqref="Q909">
    <cfRule type="duplicateValues" dxfId="341" priority="580"/>
  </conditionalFormatting>
  <conditionalFormatting sqref="Q909">
    <cfRule type="duplicateValues" dxfId="340" priority="579"/>
  </conditionalFormatting>
  <conditionalFormatting sqref="Q910">
    <cfRule type="duplicateValues" dxfId="339" priority="578"/>
  </conditionalFormatting>
  <conditionalFormatting sqref="Q910">
    <cfRule type="duplicateValues" dxfId="338" priority="577"/>
  </conditionalFormatting>
  <conditionalFormatting sqref="Q910">
    <cfRule type="duplicateValues" dxfId="337" priority="576"/>
  </conditionalFormatting>
  <conditionalFormatting sqref="Q910">
    <cfRule type="duplicateValues" dxfId="336" priority="575"/>
  </conditionalFormatting>
  <conditionalFormatting sqref="Q910">
    <cfRule type="duplicateValues" dxfId="335" priority="574"/>
  </conditionalFormatting>
  <conditionalFormatting sqref="Q1004">
    <cfRule type="duplicateValues" dxfId="334" priority="573"/>
  </conditionalFormatting>
  <conditionalFormatting sqref="Q1004">
    <cfRule type="duplicateValues" dxfId="333" priority="572"/>
  </conditionalFormatting>
  <conditionalFormatting sqref="Q1004">
    <cfRule type="duplicateValues" dxfId="332" priority="571"/>
  </conditionalFormatting>
  <conditionalFormatting sqref="Q1004">
    <cfRule type="duplicateValues" dxfId="331" priority="570"/>
  </conditionalFormatting>
  <conditionalFormatting sqref="Q1004">
    <cfRule type="duplicateValues" dxfId="330" priority="569"/>
  </conditionalFormatting>
  <conditionalFormatting sqref="Q1004">
    <cfRule type="duplicateValues" dxfId="329" priority="568"/>
  </conditionalFormatting>
  <conditionalFormatting sqref="G2:G993 G995:G1014">
    <cfRule type="cellIs" dxfId="328" priority="508" operator="equal">
      <formula>"Programado para aprobación"</formula>
    </cfRule>
    <cfRule type="cellIs" dxfId="327" priority="509" operator="equal">
      <formula>"Cerrado"</formula>
    </cfRule>
    <cfRule type="cellIs" dxfId="326" priority="510" operator="equal">
      <formula>"Programado"</formula>
    </cfRule>
    <cfRule type="cellIs" dxfId="325" priority="511" operator="equal">
      <formula>"Implantación en curso"</formula>
    </cfRule>
  </conditionalFormatting>
  <conditionalFormatting sqref="G2:G993 G995:G1014">
    <cfRule type="cellIs" dxfId="324" priority="507" operator="equal">
      <formula>"Borrador"</formula>
    </cfRule>
  </conditionalFormatting>
  <conditionalFormatting sqref="G2:G993 G995:G1014">
    <cfRule type="cellIs" dxfId="323" priority="506" operator="equal">
      <formula>"Rechazado"</formula>
    </cfRule>
  </conditionalFormatting>
  <conditionalFormatting sqref="G2:G993 G995:G1014">
    <cfRule type="cellIs" dxfId="322" priority="505" operator="equal">
      <formula>"Terminado"</formula>
    </cfRule>
  </conditionalFormatting>
  <conditionalFormatting sqref="G994">
    <cfRule type="cellIs" dxfId="321" priority="501" operator="equal">
      <formula>"Programado para aprobación"</formula>
    </cfRule>
    <cfRule type="cellIs" dxfId="320" priority="502" operator="equal">
      <formula>"Cerrado"</formula>
    </cfRule>
    <cfRule type="cellIs" dxfId="319" priority="503" operator="equal">
      <formula>"Programado"</formula>
    </cfRule>
    <cfRule type="cellIs" dxfId="318" priority="504" operator="equal">
      <formula>"Implantación en curso"</formula>
    </cfRule>
  </conditionalFormatting>
  <conditionalFormatting sqref="G994">
    <cfRule type="cellIs" dxfId="317" priority="500" operator="equal">
      <formula>"Borrador"</formula>
    </cfRule>
  </conditionalFormatting>
  <conditionalFormatting sqref="G994">
    <cfRule type="cellIs" dxfId="316" priority="499" operator="equal">
      <formula>"Rechazado"</formula>
    </cfRule>
  </conditionalFormatting>
  <conditionalFormatting sqref="G994">
    <cfRule type="cellIs" dxfId="315" priority="498" operator="equal">
      <formula>"Terminado"</formula>
    </cfRule>
  </conditionalFormatting>
  <conditionalFormatting sqref="G1016">
    <cfRule type="cellIs" dxfId="314" priority="480" operator="equal">
      <formula>"Programado para aprobación"</formula>
    </cfRule>
    <cfRule type="cellIs" dxfId="313" priority="481" operator="equal">
      <formula>"Cerrado"</formula>
    </cfRule>
    <cfRule type="cellIs" dxfId="312" priority="482" operator="equal">
      <formula>"Programado"</formula>
    </cfRule>
    <cfRule type="cellIs" dxfId="311" priority="483" operator="equal">
      <formula>"Implantación en curso"</formula>
    </cfRule>
  </conditionalFormatting>
  <conditionalFormatting sqref="G1016">
    <cfRule type="cellIs" dxfId="310" priority="479" operator="equal">
      <formula>"Borrador"</formula>
    </cfRule>
  </conditionalFormatting>
  <conditionalFormatting sqref="G1016">
    <cfRule type="cellIs" dxfId="309" priority="478" operator="equal">
      <formula>"Rechazado"</formula>
    </cfRule>
  </conditionalFormatting>
  <conditionalFormatting sqref="G1016">
    <cfRule type="cellIs" dxfId="308" priority="477" operator="equal">
      <formula>"Terminado"</formula>
    </cfRule>
  </conditionalFormatting>
  <conditionalFormatting sqref="G1015">
    <cfRule type="cellIs" dxfId="307" priority="445" operator="equal">
      <formula>"Programado para aprobación"</formula>
    </cfRule>
    <cfRule type="cellIs" dxfId="306" priority="446" operator="equal">
      <formula>"Cerrado"</formula>
    </cfRule>
    <cfRule type="cellIs" dxfId="305" priority="447" operator="equal">
      <formula>"Programado"</formula>
    </cfRule>
    <cfRule type="cellIs" dxfId="304" priority="448" operator="equal">
      <formula>"Implantación en curso"</formula>
    </cfRule>
  </conditionalFormatting>
  <conditionalFormatting sqref="G1015">
    <cfRule type="cellIs" dxfId="303" priority="444" operator="equal">
      <formula>"Borrador"</formula>
    </cfRule>
  </conditionalFormatting>
  <conditionalFormatting sqref="G1015">
    <cfRule type="cellIs" dxfId="302" priority="443" operator="equal">
      <formula>"Rechazado"</formula>
    </cfRule>
  </conditionalFormatting>
  <conditionalFormatting sqref="G1015">
    <cfRule type="cellIs" dxfId="301" priority="442" operator="equal">
      <formula>"Terminado"</formula>
    </cfRule>
  </conditionalFormatting>
  <conditionalFormatting sqref="Q1017">
    <cfRule type="duplicateValues" dxfId="300" priority="441"/>
  </conditionalFormatting>
  <conditionalFormatting sqref="G1017">
    <cfRule type="cellIs" dxfId="299" priority="437" operator="equal">
      <formula>"Programado para aprobación"</formula>
    </cfRule>
    <cfRule type="cellIs" dxfId="298" priority="438" operator="equal">
      <formula>"Cerrado"</formula>
    </cfRule>
    <cfRule type="cellIs" dxfId="297" priority="439" operator="equal">
      <formula>"Programado"</formula>
    </cfRule>
    <cfRule type="cellIs" dxfId="296" priority="440" operator="equal">
      <formula>"Implantación en curso"</formula>
    </cfRule>
  </conditionalFormatting>
  <conditionalFormatting sqref="G1017">
    <cfRule type="cellIs" dxfId="295" priority="436" operator="equal">
      <formula>"Borrador"</formula>
    </cfRule>
  </conditionalFormatting>
  <conditionalFormatting sqref="G1017">
    <cfRule type="cellIs" dxfId="294" priority="435" operator="equal">
      <formula>"Rechazado"</formula>
    </cfRule>
  </conditionalFormatting>
  <conditionalFormatting sqref="G1017">
    <cfRule type="cellIs" dxfId="293" priority="434" operator="equal">
      <formula>"Terminado"</formula>
    </cfRule>
  </conditionalFormatting>
  <conditionalFormatting sqref="Q1018">
    <cfRule type="duplicateValues" dxfId="292" priority="433"/>
  </conditionalFormatting>
  <conditionalFormatting sqref="G1018">
    <cfRule type="cellIs" dxfId="291" priority="422" operator="equal">
      <formula>"Programado para aprobación"</formula>
    </cfRule>
    <cfRule type="cellIs" dxfId="290" priority="423" operator="equal">
      <formula>"Cerrado"</formula>
    </cfRule>
    <cfRule type="cellIs" dxfId="289" priority="424" operator="equal">
      <formula>"Programado"</formula>
    </cfRule>
    <cfRule type="cellIs" dxfId="288" priority="425" operator="equal">
      <formula>"Implantación en curso"</formula>
    </cfRule>
  </conditionalFormatting>
  <conditionalFormatting sqref="G1018">
    <cfRule type="cellIs" dxfId="287" priority="421" operator="equal">
      <formula>"Borrador"</formula>
    </cfRule>
  </conditionalFormatting>
  <conditionalFormatting sqref="G1018">
    <cfRule type="cellIs" dxfId="286" priority="420" operator="equal">
      <formula>"Rechazado"</formula>
    </cfRule>
  </conditionalFormatting>
  <conditionalFormatting sqref="G1018">
    <cfRule type="cellIs" dxfId="285" priority="419" operator="equal">
      <formula>"Terminado"</formula>
    </cfRule>
  </conditionalFormatting>
  <conditionalFormatting sqref="B1019">
    <cfRule type="cellIs" dxfId="284" priority="414" operator="equal">
      <formula>"Sin éxito"</formula>
    </cfRule>
    <cfRule type="cellIs" dxfId="283" priority="415" operator="equal">
      <formula>"Éxito con problemas"</formula>
    </cfRule>
    <cfRule type="cellIs" dxfId="282" priority="416" operator="equal">
      <formula>"CANCELADO"</formula>
    </cfRule>
    <cfRule type="cellIs" dxfId="281" priority="417" operator="equal">
      <formula>"Aplicada marcha atrás"</formula>
    </cfRule>
    <cfRule type="cellIs" dxfId="280" priority="418" operator="equal">
      <formula>"CON ÉXITO"</formula>
    </cfRule>
  </conditionalFormatting>
  <conditionalFormatting sqref="Q1019">
    <cfRule type="duplicateValues" dxfId="279" priority="413"/>
  </conditionalFormatting>
  <conditionalFormatting sqref="G1019">
    <cfRule type="cellIs" dxfId="278" priority="409" operator="equal">
      <formula>"Programado para aprobación"</formula>
    </cfRule>
    <cfRule type="cellIs" dxfId="277" priority="410" operator="equal">
      <formula>"Cerrado"</formula>
    </cfRule>
    <cfRule type="cellIs" dxfId="276" priority="411" operator="equal">
      <formula>"Programado"</formula>
    </cfRule>
    <cfRule type="cellIs" dxfId="275" priority="412" operator="equal">
      <formula>"Implantación en curso"</formula>
    </cfRule>
  </conditionalFormatting>
  <conditionalFormatting sqref="G1019">
    <cfRule type="cellIs" dxfId="274" priority="408" operator="equal">
      <formula>"Borrador"</formula>
    </cfRule>
  </conditionalFormatting>
  <conditionalFormatting sqref="G1019">
    <cfRule type="cellIs" dxfId="273" priority="407" operator="equal">
      <formula>"Rechazado"</formula>
    </cfRule>
  </conditionalFormatting>
  <conditionalFormatting sqref="G1019">
    <cfRule type="cellIs" dxfId="272" priority="406" operator="equal">
      <formula>"Terminado"</formula>
    </cfRule>
  </conditionalFormatting>
  <conditionalFormatting sqref="H1020">
    <cfRule type="duplicateValues" dxfId="271" priority="405"/>
  </conditionalFormatting>
  <conditionalFormatting sqref="F1020">
    <cfRule type="cellIs" dxfId="270" priority="395" operator="equal">
      <formula>"APLAZADO"</formula>
    </cfRule>
    <cfRule type="cellIs" dxfId="269" priority="396" operator="equal">
      <formula>"CANCELADO"</formula>
    </cfRule>
    <cfRule type="cellIs" dxfId="268" priority="397" operator="equal">
      <formula>"NO EJECUTADO"</formula>
    </cfRule>
    <cfRule type="cellIs" dxfId="267" priority="398" operator="equal">
      <formula>"FPE"</formula>
    </cfRule>
    <cfRule type="cellIs" dxfId="266" priority="399" operator="equal">
      <formula>"AMA"</formula>
    </cfRule>
    <cfRule type="cellIs" dxfId="265" priority="400" operator="equal">
      <formula>"SIN DATOS"</formula>
    </cfRule>
    <cfRule type="cellIs" dxfId="264" priority="401" operator="equal">
      <formula>"SIN DATOS"</formula>
    </cfRule>
    <cfRule type="cellIs" dxfId="263" priority="402" operator="equal">
      <formula>"NO EJECTUTADO"</formula>
    </cfRule>
    <cfRule type="cellIs" dxfId="262" priority="403" operator="equal">
      <formula>"FE"</formula>
    </cfRule>
    <cfRule type="cellIs" dxfId="261" priority="404" operator="equal">
      <formula>"FE"</formula>
    </cfRule>
  </conditionalFormatting>
  <conditionalFormatting sqref="F1020">
    <cfRule type="cellIs" dxfId="260" priority="393" operator="equal">
      <formula>"Retirado"</formula>
    </cfRule>
    <cfRule type="cellIs" dxfId="259" priority="394" operator="equal">
      <formula>"FSE"</formula>
    </cfRule>
  </conditionalFormatting>
  <conditionalFormatting sqref="H1020">
    <cfRule type="duplicateValues" dxfId="258" priority="392"/>
  </conditionalFormatting>
  <conditionalFormatting sqref="Q1020">
    <cfRule type="duplicateValues" dxfId="257" priority="384"/>
  </conditionalFormatting>
  <conditionalFormatting sqref="Q1020">
    <cfRule type="duplicateValues" dxfId="256" priority="383"/>
  </conditionalFormatting>
  <conditionalFormatting sqref="G1020">
    <cfRule type="cellIs" dxfId="255" priority="379" operator="equal">
      <formula>"Programado para aprobación"</formula>
    </cfRule>
    <cfRule type="cellIs" dxfId="254" priority="380" operator="equal">
      <formula>"Cerrado"</formula>
    </cfRule>
    <cfRule type="cellIs" dxfId="253" priority="381" operator="equal">
      <formula>"Programado"</formula>
    </cfRule>
    <cfRule type="cellIs" dxfId="252" priority="382" operator="equal">
      <formula>"Implantación en curso"</formula>
    </cfRule>
  </conditionalFormatting>
  <conditionalFormatting sqref="G1020">
    <cfRule type="cellIs" dxfId="251" priority="378" operator="equal">
      <formula>"Borrador"</formula>
    </cfRule>
  </conditionalFormatting>
  <conditionalFormatting sqref="G1020">
    <cfRule type="cellIs" dxfId="250" priority="377" operator="equal">
      <formula>"Rechazado"</formula>
    </cfRule>
  </conditionalFormatting>
  <conditionalFormatting sqref="G1020">
    <cfRule type="cellIs" dxfId="249" priority="376" operator="equal">
      <formula>"Terminado"</formula>
    </cfRule>
  </conditionalFormatting>
  <conditionalFormatting sqref="I1021">
    <cfRule type="cellIs" dxfId="248" priority="372" operator="equal">
      <formula>"Programado para aprobación"</formula>
    </cfRule>
    <cfRule type="cellIs" dxfId="247" priority="373" operator="equal">
      <formula>"Cerrado"</formula>
    </cfRule>
    <cfRule type="cellIs" dxfId="246" priority="374" operator="equal">
      <formula>"Programado"</formula>
    </cfRule>
    <cfRule type="cellIs" dxfId="245" priority="375" operator="equal">
      <formula>"Implantación en curso"</formula>
    </cfRule>
  </conditionalFormatting>
  <conditionalFormatting sqref="I1021">
    <cfRule type="cellIs" dxfId="244" priority="371" operator="equal">
      <formula>"Borrador"</formula>
    </cfRule>
  </conditionalFormatting>
  <conditionalFormatting sqref="I1021">
    <cfRule type="cellIs" dxfId="243" priority="370" operator="equal">
      <formula>"Rechazado"</formula>
    </cfRule>
  </conditionalFormatting>
  <conditionalFormatting sqref="I1021">
    <cfRule type="cellIs" dxfId="242" priority="369" operator="equal">
      <formula>"Terminado"</formula>
    </cfRule>
  </conditionalFormatting>
  <conditionalFormatting sqref="Q1021">
    <cfRule type="duplicateValues" dxfId="241" priority="368"/>
  </conditionalFormatting>
  <conditionalFormatting sqref="Q1021">
    <cfRule type="duplicateValues" dxfId="240" priority="367"/>
  </conditionalFormatting>
  <conditionalFormatting sqref="G1021">
    <cfRule type="cellIs" dxfId="239" priority="363" operator="equal">
      <formula>"Programado para aprobación"</formula>
    </cfRule>
    <cfRule type="cellIs" dxfId="238" priority="364" operator="equal">
      <formula>"Cerrado"</formula>
    </cfRule>
    <cfRule type="cellIs" dxfId="237" priority="365" operator="equal">
      <formula>"Programado"</formula>
    </cfRule>
    <cfRule type="cellIs" dxfId="236" priority="366" operator="equal">
      <formula>"Implantación en curso"</formula>
    </cfRule>
  </conditionalFormatting>
  <conditionalFormatting sqref="G1021">
    <cfRule type="cellIs" dxfId="235" priority="362" operator="equal">
      <formula>"Borrador"</formula>
    </cfRule>
  </conditionalFormatting>
  <conditionalFormatting sqref="G1021">
    <cfRule type="cellIs" dxfId="234" priority="361" operator="equal">
      <formula>"Rechazado"</formula>
    </cfRule>
  </conditionalFormatting>
  <conditionalFormatting sqref="G1021">
    <cfRule type="cellIs" dxfId="233" priority="360" operator="equal">
      <formula>"Terminado"</formula>
    </cfRule>
  </conditionalFormatting>
  <conditionalFormatting sqref="Q1022">
    <cfRule type="duplicateValues" dxfId="232" priority="359"/>
  </conditionalFormatting>
  <conditionalFormatting sqref="Q1022">
    <cfRule type="duplicateValues" dxfId="231" priority="358"/>
  </conditionalFormatting>
  <conditionalFormatting sqref="Q1022">
    <cfRule type="duplicateValues" dxfId="230" priority="357"/>
  </conditionalFormatting>
  <conditionalFormatting sqref="Q1022">
    <cfRule type="duplicateValues" dxfId="229" priority="356"/>
  </conditionalFormatting>
  <conditionalFormatting sqref="Q1022">
    <cfRule type="duplicateValues" dxfId="228" priority="355"/>
  </conditionalFormatting>
  <conditionalFormatting sqref="Q1022">
    <cfRule type="duplicateValues" dxfId="227" priority="354"/>
  </conditionalFormatting>
  <conditionalFormatting sqref="G1022">
    <cfRule type="cellIs" dxfId="226" priority="343" operator="equal">
      <formula>"Programado para aprobación"</formula>
    </cfRule>
    <cfRule type="cellIs" dxfId="225" priority="344" operator="equal">
      <formula>"Cerrado"</formula>
    </cfRule>
    <cfRule type="cellIs" dxfId="224" priority="345" operator="equal">
      <formula>"Programado"</formula>
    </cfRule>
    <cfRule type="cellIs" dxfId="223" priority="346" operator="equal">
      <formula>"Implantación en curso"</formula>
    </cfRule>
  </conditionalFormatting>
  <conditionalFormatting sqref="G1022">
    <cfRule type="cellIs" dxfId="222" priority="342" operator="equal">
      <formula>"Borrador"</formula>
    </cfRule>
  </conditionalFormatting>
  <conditionalFormatting sqref="G1022">
    <cfRule type="cellIs" dxfId="221" priority="341" operator="equal">
      <formula>"Rechazado"</formula>
    </cfRule>
  </conditionalFormatting>
  <conditionalFormatting sqref="G1022">
    <cfRule type="cellIs" dxfId="220" priority="340" operator="equal">
      <formula>"Terminado"</formula>
    </cfRule>
  </conditionalFormatting>
  <conditionalFormatting sqref="Q1023">
    <cfRule type="duplicateValues" dxfId="219" priority="339"/>
  </conditionalFormatting>
  <conditionalFormatting sqref="Q1023">
    <cfRule type="duplicateValues" dxfId="218" priority="338"/>
  </conditionalFormatting>
  <conditionalFormatting sqref="Q1024">
    <cfRule type="duplicateValues" dxfId="217" priority="336"/>
  </conditionalFormatting>
  <conditionalFormatting sqref="Q1024">
    <cfRule type="duplicateValues" dxfId="216" priority="335"/>
  </conditionalFormatting>
  <conditionalFormatting sqref="Q1024">
    <cfRule type="duplicateValues" dxfId="215" priority="334"/>
  </conditionalFormatting>
  <conditionalFormatting sqref="Q1024">
    <cfRule type="duplicateValues" dxfId="214" priority="333"/>
  </conditionalFormatting>
  <conditionalFormatting sqref="Q1024">
    <cfRule type="duplicateValues" dxfId="213" priority="332"/>
  </conditionalFormatting>
  <conditionalFormatting sqref="Q1024">
    <cfRule type="duplicateValues" dxfId="212" priority="331"/>
  </conditionalFormatting>
  <conditionalFormatting sqref="Q1024">
    <cfRule type="duplicateValues" dxfId="211" priority="330"/>
  </conditionalFormatting>
  <conditionalFormatting sqref="Q1024">
    <cfRule type="duplicateValues" dxfId="210" priority="329"/>
  </conditionalFormatting>
  <conditionalFormatting sqref="Q1024">
    <cfRule type="duplicateValues" dxfId="209" priority="328"/>
  </conditionalFormatting>
  <conditionalFormatting sqref="Q1024">
    <cfRule type="duplicateValues" dxfId="208" priority="327"/>
  </conditionalFormatting>
  <conditionalFormatting sqref="G1023:G1024">
    <cfRule type="cellIs" dxfId="207" priority="323" operator="equal">
      <formula>"Programado para aprobación"</formula>
    </cfRule>
    <cfRule type="cellIs" dxfId="206" priority="324" operator="equal">
      <formula>"Cerrado"</formula>
    </cfRule>
    <cfRule type="cellIs" dxfId="205" priority="325" operator="equal">
      <formula>"Programado"</formula>
    </cfRule>
    <cfRule type="cellIs" dxfId="204" priority="326" operator="equal">
      <formula>"Implantación en curso"</formula>
    </cfRule>
  </conditionalFormatting>
  <conditionalFormatting sqref="G1023:G1024">
    <cfRule type="cellIs" dxfId="203" priority="322" operator="equal">
      <formula>"Borrador"</formula>
    </cfRule>
  </conditionalFormatting>
  <conditionalFormatting sqref="G1023:G1024">
    <cfRule type="cellIs" dxfId="202" priority="321" operator="equal">
      <formula>"Rechazado"</formula>
    </cfRule>
  </conditionalFormatting>
  <conditionalFormatting sqref="G1023:G1024">
    <cfRule type="cellIs" dxfId="201" priority="320" operator="equal">
      <formula>"Terminado"</formula>
    </cfRule>
  </conditionalFormatting>
  <conditionalFormatting sqref="Q1025">
    <cfRule type="duplicateValues" dxfId="200" priority="319"/>
  </conditionalFormatting>
  <conditionalFormatting sqref="Q1025">
    <cfRule type="duplicateValues" dxfId="199" priority="318"/>
  </conditionalFormatting>
  <conditionalFormatting sqref="G1025">
    <cfRule type="cellIs" dxfId="198" priority="314" operator="equal">
      <formula>"Programado para aprobación"</formula>
    </cfRule>
    <cfRule type="cellIs" dxfId="197" priority="315" operator="equal">
      <formula>"Cerrado"</formula>
    </cfRule>
    <cfRule type="cellIs" dxfId="196" priority="316" operator="equal">
      <formula>"Programado"</formula>
    </cfRule>
    <cfRule type="cellIs" dxfId="195" priority="317" operator="equal">
      <formula>"Implantación en curso"</formula>
    </cfRule>
  </conditionalFormatting>
  <conditionalFormatting sqref="G1025">
    <cfRule type="cellIs" dxfId="194" priority="313" operator="equal">
      <formula>"Borrador"</formula>
    </cfRule>
  </conditionalFormatting>
  <conditionalFormatting sqref="G1025">
    <cfRule type="cellIs" dxfId="193" priority="312" operator="equal">
      <formula>"Rechazado"</formula>
    </cfRule>
  </conditionalFormatting>
  <conditionalFormatting sqref="G1025">
    <cfRule type="cellIs" dxfId="192" priority="311" operator="equal">
      <formula>"Terminado"</formula>
    </cfRule>
  </conditionalFormatting>
  <conditionalFormatting sqref="Q1026">
    <cfRule type="duplicateValues" dxfId="191" priority="310"/>
  </conditionalFormatting>
  <conditionalFormatting sqref="Q1026">
    <cfRule type="duplicateValues" dxfId="190" priority="309"/>
  </conditionalFormatting>
  <conditionalFormatting sqref="G1026">
    <cfRule type="cellIs" dxfId="189" priority="305" operator="equal">
      <formula>"Programado para aprobación"</formula>
    </cfRule>
    <cfRule type="cellIs" dxfId="188" priority="306" operator="equal">
      <formula>"Cerrado"</formula>
    </cfRule>
    <cfRule type="cellIs" dxfId="187" priority="307" operator="equal">
      <formula>"Programado"</formula>
    </cfRule>
    <cfRule type="cellIs" dxfId="186" priority="308" operator="equal">
      <formula>"Implantación en curso"</formula>
    </cfRule>
  </conditionalFormatting>
  <conditionalFormatting sqref="G1026">
    <cfRule type="cellIs" dxfId="185" priority="304" operator="equal">
      <formula>"Borrador"</formula>
    </cfRule>
  </conditionalFormatting>
  <conditionalFormatting sqref="G1026">
    <cfRule type="cellIs" dxfId="184" priority="303" operator="equal">
      <formula>"Rechazado"</formula>
    </cfRule>
  </conditionalFormatting>
  <conditionalFormatting sqref="G1026">
    <cfRule type="cellIs" dxfId="183" priority="302" operator="equal">
      <formula>"Terminado"</formula>
    </cfRule>
  </conditionalFormatting>
  <conditionalFormatting sqref="B1027">
    <cfRule type="cellIs" dxfId="182" priority="297" operator="equal">
      <formula>"Sin éxito"</formula>
    </cfRule>
    <cfRule type="cellIs" dxfId="181" priority="298" operator="equal">
      <formula>"Éxito con problemas"</formula>
    </cfRule>
    <cfRule type="cellIs" dxfId="180" priority="299" operator="equal">
      <formula>"CANCELADO"</formula>
    </cfRule>
    <cfRule type="cellIs" dxfId="179" priority="300" operator="equal">
      <formula>"Aplicada marcha atrás"</formula>
    </cfRule>
    <cfRule type="cellIs" dxfId="178" priority="301" operator="equal">
      <formula>"CON ÉXITO"</formula>
    </cfRule>
  </conditionalFormatting>
  <conditionalFormatting sqref="Q1027">
    <cfRule type="duplicateValues" dxfId="177" priority="296"/>
  </conditionalFormatting>
  <conditionalFormatting sqref="Q1027">
    <cfRule type="duplicateValues" dxfId="176" priority="295"/>
  </conditionalFormatting>
  <conditionalFormatting sqref="G1027">
    <cfRule type="cellIs" dxfId="175" priority="291" operator="equal">
      <formula>"Programado para aprobación"</formula>
    </cfRule>
    <cfRule type="cellIs" dxfId="174" priority="292" operator="equal">
      <formula>"Cerrado"</formula>
    </cfRule>
    <cfRule type="cellIs" dxfId="173" priority="293" operator="equal">
      <formula>"Programado"</formula>
    </cfRule>
    <cfRule type="cellIs" dxfId="172" priority="294" operator="equal">
      <formula>"Implantación en curso"</formula>
    </cfRule>
  </conditionalFormatting>
  <conditionalFormatting sqref="G1027">
    <cfRule type="cellIs" dxfId="171" priority="290" operator="equal">
      <formula>"Borrador"</formula>
    </cfRule>
  </conditionalFormatting>
  <conditionalFormatting sqref="G1027">
    <cfRule type="cellIs" dxfId="170" priority="289" operator="equal">
      <formula>"Rechazado"</formula>
    </cfRule>
  </conditionalFormatting>
  <conditionalFormatting sqref="G1027">
    <cfRule type="cellIs" dxfId="169" priority="288" operator="equal">
      <formula>"Terminado"</formula>
    </cfRule>
  </conditionalFormatting>
  <conditionalFormatting sqref="B1028">
    <cfRule type="cellIs" dxfId="168" priority="283" operator="equal">
      <formula>"Sin éxito"</formula>
    </cfRule>
    <cfRule type="cellIs" dxfId="167" priority="284" operator="equal">
      <formula>"Éxito con problemas"</formula>
    </cfRule>
    <cfRule type="cellIs" dxfId="166" priority="285" operator="equal">
      <formula>"CANCELADO"</formula>
    </cfRule>
    <cfRule type="cellIs" dxfId="165" priority="286" operator="equal">
      <formula>"Aplicada marcha atrás"</formula>
    </cfRule>
    <cfRule type="cellIs" dxfId="164" priority="287" operator="equal">
      <formula>"CON ÉXITO"</formula>
    </cfRule>
  </conditionalFormatting>
  <conditionalFormatting sqref="Q1028">
    <cfRule type="duplicateValues" dxfId="163" priority="282"/>
  </conditionalFormatting>
  <conditionalFormatting sqref="Q1028">
    <cfRule type="duplicateValues" dxfId="162" priority="281"/>
  </conditionalFormatting>
  <conditionalFormatting sqref="G1028">
    <cfRule type="cellIs" dxfId="161" priority="277" operator="equal">
      <formula>"Programado para aprobación"</formula>
    </cfRule>
    <cfRule type="cellIs" dxfId="160" priority="278" operator="equal">
      <formula>"Cerrado"</formula>
    </cfRule>
    <cfRule type="cellIs" dxfId="159" priority="279" operator="equal">
      <formula>"Programado"</formula>
    </cfRule>
    <cfRule type="cellIs" dxfId="158" priority="280" operator="equal">
      <formula>"Implantación en curso"</formula>
    </cfRule>
  </conditionalFormatting>
  <conditionalFormatting sqref="G1028">
    <cfRule type="cellIs" dxfId="157" priority="276" operator="equal">
      <formula>"Borrador"</formula>
    </cfRule>
  </conditionalFormatting>
  <conditionalFormatting sqref="G1028">
    <cfRule type="cellIs" dxfId="156" priority="275" operator="equal">
      <formula>"Rechazado"</formula>
    </cfRule>
  </conditionalFormatting>
  <conditionalFormatting sqref="G1028">
    <cfRule type="cellIs" dxfId="155" priority="274" operator="equal">
      <formula>"Terminado"</formula>
    </cfRule>
  </conditionalFormatting>
  <conditionalFormatting sqref="I1029">
    <cfRule type="cellIs" dxfId="154" priority="270" operator="equal">
      <formula>"Programado para aprobación"</formula>
    </cfRule>
    <cfRule type="cellIs" dxfId="153" priority="271" operator="equal">
      <formula>"Cerrado"</formula>
    </cfRule>
    <cfRule type="cellIs" dxfId="152" priority="272" operator="equal">
      <formula>"Programado"</formula>
    </cfRule>
    <cfRule type="cellIs" dxfId="151" priority="273" operator="equal">
      <formula>"Implantación en curso"</formula>
    </cfRule>
  </conditionalFormatting>
  <conditionalFormatting sqref="I1029">
    <cfRule type="cellIs" dxfId="150" priority="269" operator="equal">
      <formula>"Borrador"</formula>
    </cfRule>
  </conditionalFormatting>
  <conditionalFormatting sqref="I1029">
    <cfRule type="cellIs" dxfId="149" priority="268" operator="equal">
      <formula>"Rechazado"</formula>
    </cfRule>
  </conditionalFormatting>
  <conditionalFormatting sqref="I1029">
    <cfRule type="cellIs" dxfId="148" priority="267" operator="equal">
      <formula>"Terminado"</formula>
    </cfRule>
  </conditionalFormatting>
  <conditionalFormatting sqref="Q1029">
    <cfRule type="duplicateValues" dxfId="147" priority="266"/>
  </conditionalFormatting>
  <conditionalFormatting sqref="Q1029">
    <cfRule type="duplicateValues" dxfId="146" priority="265"/>
  </conditionalFormatting>
  <conditionalFormatting sqref="G1029">
    <cfRule type="cellIs" dxfId="145" priority="261" operator="equal">
      <formula>"Programado para aprobación"</formula>
    </cfRule>
    <cfRule type="cellIs" dxfId="144" priority="262" operator="equal">
      <formula>"Cerrado"</formula>
    </cfRule>
    <cfRule type="cellIs" dxfId="143" priority="263" operator="equal">
      <formula>"Programado"</formula>
    </cfRule>
    <cfRule type="cellIs" dxfId="142" priority="264" operator="equal">
      <formula>"Implantación en curso"</formula>
    </cfRule>
  </conditionalFormatting>
  <conditionalFormatting sqref="G1029">
    <cfRule type="cellIs" dxfId="141" priority="260" operator="equal">
      <formula>"Borrador"</formula>
    </cfRule>
  </conditionalFormatting>
  <conditionalFormatting sqref="G1029">
    <cfRule type="cellIs" dxfId="140" priority="259" operator="equal">
      <formula>"Rechazado"</formula>
    </cfRule>
  </conditionalFormatting>
  <conditionalFormatting sqref="G1029">
    <cfRule type="cellIs" dxfId="139" priority="258" operator="equal">
      <formula>"Terminado"</formula>
    </cfRule>
  </conditionalFormatting>
  <conditionalFormatting sqref="B1030:B1033">
    <cfRule type="cellIs" dxfId="138" priority="145" operator="equal">
      <formula>"Sin éxito"</formula>
    </cfRule>
    <cfRule type="cellIs" dxfId="137" priority="146" operator="equal">
      <formula>"Éxito con problemas"</formula>
    </cfRule>
    <cfRule type="cellIs" dxfId="136" priority="147" operator="equal">
      <formula>"CANCELADO"</formula>
    </cfRule>
    <cfRule type="cellIs" dxfId="135" priority="148" operator="equal">
      <formula>"Aplicada marcha atrás"</formula>
    </cfRule>
    <cfRule type="cellIs" dxfId="134" priority="149" operator="equal">
      <formula>"CON ÉXITO"</formula>
    </cfRule>
  </conditionalFormatting>
  <conditionalFormatting sqref="H1030:H1033">
    <cfRule type="cellIs" dxfId="133" priority="141" operator="equal">
      <formula>"Programado para aprobación"</formula>
    </cfRule>
    <cfRule type="cellIs" dxfId="132" priority="142" operator="equal">
      <formula>"Cerrado"</formula>
    </cfRule>
    <cfRule type="cellIs" dxfId="131" priority="143" operator="equal">
      <formula>"Programado"</formula>
    </cfRule>
    <cfRule type="cellIs" dxfId="130" priority="144" operator="equal">
      <formula>"Implantación en curso"</formula>
    </cfRule>
  </conditionalFormatting>
  <conditionalFormatting sqref="H1030:H1033">
    <cfRule type="cellIs" dxfId="129" priority="140" operator="equal">
      <formula>"Borrador"</formula>
    </cfRule>
  </conditionalFormatting>
  <conditionalFormatting sqref="H1030:H1033">
    <cfRule type="cellIs" dxfId="128" priority="139" operator="equal">
      <formula>"Rechazado"</formula>
    </cfRule>
  </conditionalFormatting>
  <conditionalFormatting sqref="H1030:H1033">
    <cfRule type="cellIs" dxfId="127" priority="138" operator="equal">
      <formula>"Terminado"</formula>
    </cfRule>
  </conditionalFormatting>
  <conditionalFormatting sqref="Q1030:Q1033">
    <cfRule type="duplicateValues" dxfId="126" priority="137"/>
  </conditionalFormatting>
  <conditionalFormatting sqref="Q1030:Q1033">
    <cfRule type="duplicateValues" dxfId="125" priority="136"/>
  </conditionalFormatting>
  <conditionalFormatting sqref="Q1030:Q1033">
    <cfRule type="duplicateValues" dxfId="124" priority="135"/>
  </conditionalFormatting>
  <conditionalFormatting sqref="Q1030:Q1033">
    <cfRule type="duplicateValues" dxfId="123" priority="134"/>
  </conditionalFormatting>
  <conditionalFormatting sqref="Q1030:Q1033">
    <cfRule type="duplicateValues" dxfId="122" priority="133"/>
  </conditionalFormatting>
  <conditionalFormatting sqref="Q1030:Q1033">
    <cfRule type="duplicateValues" dxfId="121" priority="132"/>
  </conditionalFormatting>
  <conditionalFormatting sqref="Q1030:Q1033">
    <cfRule type="duplicateValues" dxfId="120" priority="131"/>
  </conditionalFormatting>
  <conditionalFormatting sqref="Q1030:Q1033">
    <cfRule type="duplicateValues" dxfId="119" priority="130"/>
  </conditionalFormatting>
  <conditionalFormatting sqref="Q1030:Q1033">
    <cfRule type="duplicateValues" dxfId="118" priority="129"/>
  </conditionalFormatting>
  <conditionalFormatting sqref="Q1030:Q1033">
    <cfRule type="duplicateValues" dxfId="117" priority="128"/>
  </conditionalFormatting>
  <conditionalFormatting sqref="Q1030:Q1033">
    <cfRule type="duplicateValues" dxfId="116" priority="127"/>
  </conditionalFormatting>
  <conditionalFormatting sqref="G1030:G1033">
    <cfRule type="cellIs" dxfId="115" priority="123" operator="equal">
      <formula>"Programado para aprobación"</formula>
    </cfRule>
    <cfRule type="cellIs" dxfId="114" priority="124" operator="equal">
      <formula>"Cerrado"</formula>
    </cfRule>
    <cfRule type="cellIs" dxfId="113" priority="125" operator="equal">
      <formula>"Programado"</formula>
    </cfRule>
    <cfRule type="cellIs" dxfId="112" priority="126" operator="equal">
      <formula>"Implantación en curso"</formula>
    </cfRule>
  </conditionalFormatting>
  <conditionalFormatting sqref="G1030:G1033">
    <cfRule type="cellIs" dxfId="111" priority="122" operator="equal">
      <formula>"Borrador"</formula>
    </cfRule>
  </conditionalFormatting>
  <conditionalFormatting sqref="G1030:G1033">
    <cfRule type="cellIs" dxfId="110" priority="121" operator="equal">
      <formula>"Rechazado"</formula>
    </cfRule>
  </conditionalFormatting>
  <conditionalFormatting sqref="G1030:G1033">
    <cfRule type="cellIs" dxfId="109" priority="120" operator="equal">
      <formula>"Terminado"</formula>
    </cfRule>
  </conditionalFormatting>
  <conditionalFormatting sqref="F1034">
    <cfRule type="cellIs" dxfId="108" priority="110" operator="equal">
      <formula>"APLAZADO"</formula>
    </cfRule>
    <cfRule type="cellIs" dxfId="107" priority="111" operator="equal">
      <formula>"CANCELADO"</formula>
    </cfRule>
    <cfRule type="cellIs" dxfId="106" priority="112" operator="equal">
      <formula>"NO EJECUTADO"</formula>
    </cfRule>
    <cfRule type="cellIs" dxfId="105" priority="113" operator="equal">
      <formula>"FPE"</formula>
    </cfRule>
    <cfRule type="cellIs" dxfId="104" priority="114" operator="equal">
      <formula>"AMA"</formula>
    </cfRule>
    <cfRule type="cellIs" dxfId="103" priority="115" operator="equal">
      <formula>"SIN DATOS"</formula>
    </cfRule>
    <cfRule type="cellIs" dxfId="102" priority="116" operator="equal">
      <formula>"SIN DATOS"</formula>
    </cfRule>
    <cfRule type="cellIs" dxfId="101" priority="117" operator="equal">
      <formula>"NO EJECTUTADO"</formula>
    </cfRule>
    <cfRule type="cellIs" dxfId="100" priority="118" operator="equal">
      <formula>"FE"</formula>
    </cfRule>
    <cfRule type="cellIs" dxfId="99" priority="119" operator="equal">
      <formula>"FE"</formula>
    </cfRule>
  </conditionalFormatting>
  <conditionalFormatting sqref="F1034">
    <cfRule type="cellIs" dxfId="98" priority="108" operator="equal">
      <formula>"Retirado"</formula>
    </cfRule>
    <cfRule type="cellIs" dxfId="97" priority="109" operator="equal">
      <formula>"FSE"</formula>
    </cfRule>
  </conditionalFormatting>
  <conditionalFormatting sqref="Q1034">
    <cfRule type="duplicateValues" dxfId="96" priority="107"/>
  </conditionalFormatting>
  <conditionalFormatting sqref="Q1034">
    <cfRule type="duplicateValues" dxfId="95" priority="106"/>
  </conditionalFormatting>
  <conditionalFormatting sqref="Q1034">
    <cfRule type="duplicateValues" dxfId="94" priority="105"/>
  </conditionalFormatting>
  <conditionalFormatting sqref="Q1034">
    <cfRule type="duplicateValues" dxfId="93" priority="104"/>
  </conditionalFormatting>
  <conditionalFormatting sqref="Q1034">
    <cfRule type="duplicateValues" dxfId="92" priority="103"/>
  </conditionalFormatting>
  <conditionalFormatting sqref="Q1034">
    <cfRule type="duplicateValues" dxfId="91" priority="102"/>
  </conditionalFormatting>
  <conditionalFormatting sqref="Q1034">
    <cfRule type="duplicateValues" dxfId="90" priority="101"/>
  </conditionalFormatting>
  <conditionalFormatting sqref="G1034">
    <cfRule type="cellIs" dxfId="89" priority="97" operator="equal">
      <formula>"Programado para aprobación"</formula>
    </cfRule>
    <cfRule type="cellIs" dxfId="88" priority="98" operator="equal">
      <formula>"Cerrado"</formula>
    </cfRule>
    <cfRule type="cellIs" dxfId="87" priority="99" operator="equal">
      <formula>"Programado"</formula>
    </cfRule>
    <cfRule type="cellIs" dxfId="86" priority="100" operator="equal">
      <formula>"Implantación en curso"</formula>
    </cfRule>
  </conditionalFormatting>
  <conditionalFormatting sqref="G1034">
    <cfRule type="cellIs" dxfId="85" priority="96" operator="equal">
      <formula>"Borrador"</formula>
    </cfRule>
  </conditionalFormatting>
  <conditionalFormatting sqref="G1034">
    <cfRule type="cellIs" dxfId="84" priority="95" operator="equal">
      <formula>"Rechazado"</formula>
    </cfRule>
  </conditionalFormatting>
  <conditionalFormatting sqref="G1034">
    <cfRule type="cellIs" dxfId="83" priority="94" operator="equal">
      <formula>"Terminado"</formula>
    </cfRule>
  </conditionalFormatting>
  <conditionalFormatting sqref="B1035">
    <cfRule type="cellIs" dxfId="82" priority="89" operator="equal">
      <formula>"Sin éxito"</formula>
    </cfRule>
    <cfRule type="cellIs" dxfId="81" priority="90" operator="equal">
      <formula>"Éxito con problemas"</formula>
    </cfRule>
    <cfRule type="cellIs" dxfId="80" priority="91" operator="equal">
      <formula>"CANCELADO"</formula>
    </cfRule>
    <cfRule type="cellIs" dxfId="79" priority="92" operator="equal">
      <formula>"Aplicada marcha atrás"</formula>
    </cfRule>
    <cfRule type="cellIs" dxfId="78" priority="93" operator="equal">
      <formula>"CON ÉXITO"</formula>
    </cfRule>
  </conditionalFormatting>
  <conditionalFormatting sqref="G1035">
    <cfRule type="cellIs" dxfId="77" priority="78" operator="equal">
      <formula>"Programado para aprobación"</formula>
    </cfRule>
    <cfRule type="cellIs" dxfId="76" priority="79" operator="equal">
      <formula>"Cerrado"</formula>
    </cfRule>
    <cfRule type="cellIs" dxfId="75" priority="80" operator="equal">
      <formula>"Programado"</formula>
    </cfRule>
    <cfRule type="cellIs" dxfId="74" priority="81" operator="equal">
      <formula>"Implantación en curso"</formula>
    </cfRule>
  </conditionalFormatting>
  <conditionalFormatting sqref="G1035">
    <cfRule type="cellIs" dxfId="73" priority="77" operator="equal">
      <formula>"Borrador"</formula>
    </cfRule>
  </conditionalFormatting>
  <conditionalFormatting sqref="G1035">
    <cfRule type="cellIs" dxfId="72" priority="76" operator="equal">
      <formula>"Rechazado"</formula>
    </cfRule>
  </conditionalFormatting>
  <conditionalFormatting sqref="G1035">
    <cfRule type="cellIs" dxfId="71" priority="75" operator="equal">
      <formula>"Terminado"</formula>
    </cfRule>
  </conditionalFormatting>
  <conditionalFormatting sqref="Q1035:Q1036">
    <cfRule type="duplicateValues" dxfId="70" priority="74"/>
  </conditionalFormatting>
  <conditionalFormatting sqref="Q1035">
    <cfRule type="duplicateValues" dxfId="69" priority="73"/>
  </conditionalFormatting>
  <conditionalFormatting sqref="Q1035">
    <cfRule type="duplicateValues" dxfId="68" priority="72"/>
  </conditionalFormatting>
  <conditionalFormatting sqref="Q1035">
    <cfRule type="duplicateValues" dxfId="67" priority="71"/>
  </conditionalFormatting>
  <conditionalFormatting sqref="Q1035">
    <cfRule type="duplicateValues" dxfId="66" priority="70"/>
  </conditionalFormatting>
  <conditionalFormatting sqref="Q1035">
    <cfRule type="duplicateValues" dxfId="65" priority="69"/>
  </conditionalFormatting>
  <conditionalFormatting sqref="Q1035">
    <cfRule type="duplicateValues" dxfId="64" priority="68"/>
  </conditionalFormatting>
  <conditionalFormatting sqref="Q1037">
    <cfRule type="duplicateValues" dxfId="63" priority="65"/>
  </conditionalFormatting>
  <conditionalFormatting sqref="Q1037">
    <cfRule type="duplicateValues" dxfId="62" priority="64"/>
  </conditionalFormatting>
  <conditionalFormatting sqref="Q1037">
    <cfRule type="duplicateValues" dxfId="61" priority="63"/>
  </conditionalFormatting>
  <conditionalFormatting sqref="Q1037">
    <cfRule type="duplicateValues" dxfId="60" priority="62"/>
  </conditionalFormatting>
  <conditionalFormatting sqref="Q1037">
    <cfRule type="duplicateValues" dxfId="59" priority="61"/>
  </conditionalFormatting>
  <conditionalFormatting sqref="Q1037:Q1052">
    <cfRule type="duplicateValues" dxfId="58" priority="140631"/>
  </conditionalFormatting>
  <conditionalFormatting sqref="H1053">
    <cfRule type="cellIs" dxfId="57" priority="57" operator="equal">
      <formula>"Programado para aprobación"</formula>
    </cfRule>
    <cfRule type="cellIs" dxfId="56" priority="58" operator="equal">
      <formula>"Cerrado"</formula>
    </cfRule>
    <cfRule type="cellIs" dxfId="55" priority="59" operator="equal">
      <formula>"Programado"</formula>
    </cfRule>
    <cfRule type="cellIs" dxfId="54" priority="60" operator="equal">
      <formula>"Implantación en curso"</formula>
    </cfRule>
  </conditionalFormatting>
  <conditionalFormatting sqref="H1053">
    <cfRule type="cellIs" dxfId="53" priority="56" operator="equal">
      <formula>"Borrador"</formula>
    </cfRule>
  </conditionalFormatting>
  <conditionalFormatting sqref="H1053">
    <cfRule type="cellIs" dxfId="52" priority="55" operator="equal">
      <formula>"Rechazado"</formula>
    </cfRule>
  </conditionalFormatting>
  <conditionalFormatting sqref="H1053">
    <cfRule type="cellIs" dxfId="51" priority="54" operator="equal">
      <formula>"Terminado"</formula>
    </cfRule>
  </conditionalFormatting>
  <conditionalFormatting sqref="B1053">
    <cfRule type="cellIs" dxfId="50" priority="44" operator="equal">
      <formula>"Sin éxito"</formula>
    </cfRule>
    <cfRule type="cellIs" dxfId="49" priority="45" operator="equal">
      <formula>"Éxito con problemas"</formula>
    </cfRule>
    <cfRule type="cellIs" dxfId="48" priority="46" operator="equal">
      <formula>"CANCELADO"</formula>
    </cfRule>
    <cfRule type="cellIs" dxfId="47" priority="47" operator="equal">
      <formula>"Aplicada marcha atrás"</formula>
    </cfRule>
    <cfRule type="cellIs" dxfId="46" priority="48" operator="equal">
      <formula>"CON ÉXITO"</formula>
    </cfRule>
  </conditionalFormatting>
  <conditionalFormatting sqref="G1053">
    <cfRule type="cellIs" dxfId="45" priority="39" operator="equal">
      <formula>"Programado para aprobación"</formula>
    </cfRule>
    <cfRule type="cellIs" dxfId="44" priority="40" operator="equal">
      <formula>"Cerrado"</formula>
    </cfRule>
    <cfRule type="cellIs" dxfId="43" priority="41" operator="equal">
      <formula>"Programado"</formula>
    </cfRule>
    <cfRule type="cellIs" dxfId="42" priority="42" operator="equal">
      <formula>"Implantación en curso"</formula>
    </cfRule>
  </conditionalFormatting>
  <conditionalFormatting sqref="G1053">
    <cfRule type="cellIs" dxfId="41" priority="38" operator="equal">
      <formula>"Borrador"</formula>
    </cfRule>
  </conditionalFormatting>
  <conditionalFormatting sqref="G1053">
    <cfRule type="cellIs" dxfId="40" priority="37" operator="equal">
      <formula>"Rechazado"</formula>
    </cfRule>
  </conditionalFormatting>
  <conditionalFormatting sqref="G1053">
    <cfRule type="cellIs" dxfId="39" priority="36" operator="equal">
      <formula>"Terminado"</formula>
    </cfRule>
  </conditionalFormatting>
  <conditionalFormatting sqref="Q1053">
    <cfRule type="duplicateValues" dxfId="38" priority="31"/>
  </conditionalFormatting>
  <conditionalFormatting sqref="Q1053">
    <cfRule type="duplicateValues" dxfId="37" priority="30"/>
  </conditionalFormatting>
  <conditionalFormatting sqref="Q1053:Q1071">
    <cfRule type="duplicateValues" dxfId="36" priority="141107"/>
  </conditionalFormatting>
  <conditionalFormatting sqref="B1072">
    <cfRule type="cellIs" dxfId="35" priority="18" operator="equal">
      <formula>"Sin éxito"</formula>
    </cfRule>
    <cfRule type="cellIs" dxfId="34" priority="19" operator="equal">
      <formula>"Éxito con problemas"</formula>
    </cfRule>
    <cfRule type="cellIs" dxfId="33" priority="20" operator="equal">
      <formula>"CANCELADO"</formula>
    </cfRule>
    <cfRule type="cellIs" dxfId="32" priority="21" operator="equal">
      <formula>"Aplicada marcha atrás"</formula>
    </cfRule>
    <cfRule type="cellIs" dxfId="31" priority="22" operator="equal">
      <formula>"CON ÉXITO"</formula>
    </cfRule>
  </conditionalFormatting>
  <conditionalFormatting sqref="H1072">
    <cfRule type="cellIs" dxfId="30" priority="14" operator="equal">
      <formula>"Programado para aprobación"</formula>
    </cfRule>
    <cfRule type="cellIs" dxfId="29" priority="15" operator="equal">
      <formula>"Cerrado"</formula>
    </cfRule>
    <cfRule type="cellIs" dxfId="28" priority="16" operator="equal">
      <formula>"Programado"</formula>
    </cfRule>
    <cfRule type="cellIs" dxfId="27" priority="17" operator="equal">
      <formula>"Implantación en curso"</formula>
    </cfRule>
  </conditionalFormatting>
  <conditionalFormatting sqref="H1072">
    <cfRule type="cellIs" dxfId="26" priority="13" operator="equal">
      <formula>"Borrador"</formula>
    </cfRule>
  </conditionalFormatting>
  <conditionalFormatting sqref="H1072">
    <cfRule type="cellIs" dxfId="25" priority="12" operator="equal">
      <formula>"Rechazado"</formula>
    </cfRule>
  </conditionalFormatting>
  <conditionalFormatting sqref="H1072">
    <cfRule type="cellIs" dxfId="24" priority="11" operator="equal">
      <formula>"Terminado"</formula>
    </cfRule>
  </conditionalFormatting>
  <conditionalFormatting sqref="G1072">
    <cfRule type="cellIs" dxfId="23" priority="6" operator="equal">
      <formula>"Programado para aprobación"</formula>
    </cfRule>
    <cfRule type="cellIs" dxfId="22" priority="7" operator="equal">
      <formula>"Cerrado"</formula>
    </cfRule>
    <cfRule type="cellIs" dxfId="21" priority="8" operator="equal">
      <formula>"Programado"</formula>
    </cfRule>
    <cfRule type="cellIs" dxfId="20" priority="9" operator="equal">
      <formula>"Implantación en curso"</formula>
    </cfRule>
  </conditionalFormatting>
  <conditionalFormatting sqref="G1072">
    <cfRule type="cellIs" dxfId="19" priority="5" operator="equal">
      <formula>"Borrador"</formula>
    </cfRule>
  </conditionalFormatting>
  <conditionalFormatting sqref="G1072">
    <cfRule type="cellIs" dxfId="18" priority="4" operator="equal">
      <formula>"Rechazado"</formula>
    </cfRule>
  </conditionalFormatting>
  <conditionalFormatting sqref="G1072">
    <cfRule type="cellIs" dxfId="17" priority="3" operator="equal">
      <formula>"Terminado"</formula>
    </cfRule>
  </conditionalFormatting>
  <conditionalFormatting sqref="Q1072">
    <cfRule type="duplicateValues" dxfId="16" priority="1"/>
  </conditionalFormatting>
  <conditionalFormatting sqref="Q1073:Q1088">
    <cfRule type="duplicateValues" dxfId="15" priority="141439"/>
  </conditionalFormatting>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Import">
                <anchor moveWithCells="1" sizeWithCells="1">
                  <from>
                    <xdr:col>0</xdr:col>
                    <xdr:colOff>28575</xdr:colOff>
                    <xdr:row>0</xdr:row>
                    <xdr:rowOff>66675</xdr:rowOff>
                  </from>
                  <to>
                    <xdr:col>0</xdr:col>
                    <xdr:colOff>257175</xdr:colOff>
                    <xdr:row>0</xdr:row>
                    <xdr:rowOff>295275</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CA242-82EA-464C-9F89-C25BB04C9120}">
  <sheetPr codeName="Sheet12"/>
  <dimension ref="A1:V2"/>
  <sheetViews>
    <sheetView workbookViewId="0">
      <selection activeCell="G2" sqref="G2"/>
    </sheetView>
  </sheetViews>
  <sheetFormatPr defaultRowHeight="15" x14ac:dyDescent="0.25"/>
  <cols>
    <col min="1" max="1" width="9.7109375" style="62" customWidth="1"/>
    <col min="2" max="2" width="19.28515625" style="62" customWidth="1"/>
    <col min="3" max="3" width="13.42578125" style="62" customWidth="1"/>
    <col min="4" max="4" width="9.140625" style="62"/>
    <col min="5" max="5" width="26.7109375" style="62" customWidth="1"/>
    <col min="6" max="6" width="13" style="62" customWidth="1"/>
    <col min="7" max="8" width="9.140625" style="62"/>
    <col min="9" max="9" width="11.42578125" style="62" customWidth="1"/>
    <col min="10" max="12" width="9.140625" style="62"/>
    <col min="13" max="13" width="15.85546875" style="62" customWidth="1"/>
    <col min="14" max="14" width="18.5703125" style="62" customWidth="1"/>
    <col min="15" max="15" width="12.5703125" style="62" bestFit="1" customWidth="1"/>
    <col min="16" max="16" width="14.28515625" style="62" customWidth="1"/>
    <col min="17" max="17" width="23.140625" style="62" customWidth="1"/>
    <col min="18" max="18" width="22.140625" style="62" customWidth="1"/>
    <col min="19" max="19" width="12.7109375" style="62" customWidth="1"/>
    <col min="20" max="20" width="21" style="62" customWidth="1"/>
    <col min="21" max="21" width="14" style="62" customWidth="1"/>
    <col min="22" max="22" width="22.28515625" style="62" customWidth="1"/>
    <col min="23" max="16384" width="9.140625" style="62"/>
  </cols>
  <sheetData>
    <row r="1" spans="1:22" x14ac:dyDescent="0.25">
      <c r="A1" s="81" t="s">
        <v>7269</v>
      </c>
      <c r="B1" s="82" t="s">
        <v>0</v>
      </c>
      <c r="C1" s="81" t="s">
        <v>2</v>
      </c>
      <c r="D1" s="82" t="s">
        <v>1544</v>
      </c>
      <c r="E1" s="82" t="s">
        <v>1545</v>
      </c>
      <c r="F1" s="81" t="s">
        <v>82</v>
      </c>
      <c r="G1" s="81" t="s">
        <v>1546</v>
      </c>
      <c r="H1" s="81" t="s">
        <v>6</v>
      </c>
      <c r="I1" s="81" t="s">
        <v>7</v>
      </c>
      <c r="J1" s="81" t="s">
        <v>77</v>
      </c>
      <c r="K1" s="81" t="s">
        <v>1547</v>
      </c>
      <c r="L1" s="81" t="s">
        <v>8</v>
      </c>
      <c r="M1" s="83" t="s">
        <v>10</v>
      </c>
      <c r="N1" s="83" t="s">
        <v>11</v>
      </c>
      <c r="O1" s="81" t="s">
        <v>81</v>
      </c>
      <c r="P1" s="81" t="s">
        <v>1548</v>
      </c>
      <c r="Q1" s="81" t="s">
        <v>12</v>
      </c>
      <c r="R1" s="84" t="s">
        <v>1549</v>
      </c>
      <c r="S1" s="84" t="s">
        <v>1550</v>
      </c>
      <c r="T1" s="84" t="s">
        <v>1551</v>
      </c>
      <c r="U1" s="84" t="s">
        <v>1552</v>
      </c>
      <c r="V1" s="84" t="s">
        <v>1553</v>
      </c>
    </row>
    <row r="2" spans="1:22" x14ac:dyDescent="0.25">
      <c r="G2" s="62" t="s">
        <v>7175</v>
      </c>
      <c r="M2" s="130"/>
      <c r="N2" s="130"/>
      <c r="O2" s="62" t="str">
        <f>PROPER(TEXT(Table4[[#This Row],[Fecha Inicio]],"mmmm"))</f>
        <v>Enero</v>
      </c>
      <c r="R2" s="62">
        <f>LEN(TRIM(P2))-LEN(SUBSTITUTE(TRIM(P2),",",""))+1</f>
        <v>1</v>
      </c>
      <c r="S2" s="62" t="str">
        <f>IF(B2="CON ÉXITO",R2,"-")</f>
        <v>-</v>
      </c>
      <c r="T2" s="62" t="str">
        <f>IF($B2="Éxito con problemas",S2,"-")</f>
        <v>-</v>
      </c>
      <c r="U2" s="62" t="str">
        <f>IF($B2="CANCELADO",R2,"-")</f>
        <v>-</v>
      </c>
      <c r="V2" s="62" t="str">
        <f>IF($B2="Aplicada marcha atrás",R2,"-")</f>
        <v>-</v>
      </c>
    </row>
  </sheetData>
  <conditionalFormatting sqref="B2">
    <cfRule type="cellIs" dxfId="14" priority="42" operator="equal">
      <formula>"Sin éxito"</formula>
    </cfRule>
    <cfRule type="cellIs" dxfId="13" priority="43" operator="equal">
      <formula>"Éxito con problemas"</formula>
    </cfRule>
    <cfRule type="cellIs" dxfId="12" priority="44" operator="equal">
      <formula>"CANCELADO"</formula>
    </cfRule>
    <cfRule type="cellIs" dxfId="11" priority="45" operator="equal">
      <formula>"Aplicada marcha atrás"</formula>
    </cfRule>
    <cfRule type="cellIs" dxfId="10" priority="46" operator="equal">
      <formula>"CON ÉXITO"</formula>
    </cfRule>
  </conditionalFormatting>
  <conditionalFormatting sqref="G2">
    <cfRule type="cellIs" dxfId="9" priority="37" operator="equal">
      <formula>"Programado para aprobación"</formula>
    </cfRule>
    <cfRule type="cellIs" dxfId="8" priority="38" operator="equal">
      <formula>"Programado"</formula>
    </cfRule>
    <cfRule type="cellIs" dxfId="7" priority="39" operator="equal">
      <formula>"Implantación en curso"</formula>
    </cfRule>
    <cfRule type="cellIs" dxfId="6" priority="41" operator="equal">
      <formula>"Cerrado"</formula>
    </cfRule>
  </conditionalFormatting>
  <conditionalFormatting sqref="G2">
    <cfRule type="cellIs" dxfId="5" priority="35" operator="equal">
      <formula>"Borrador"</formula>
    </cfRule>
  </conditionalFormatting>
  <conditionalFormatting sqref="G2">
    <cfRule type="cellIs" dxfId="4" priority="36" operator="equal">
      <formula>"Rechazado"</formula>
    </cfRule>
  </conditionalFormatting>
  <conditionalFormatting sqref="G2">
    <cfRule type="cellIs" dxfId="3" priority="40" operator="equal">
      <formula>"Terminado"</formula>
    </cfRule>
  </conditionalFormatting>
  <conditionalFormatting sqref="H2">
    <cfRule type="duplicateValues" dxfId="2" priority="140625"/>
  </conditionalFormatting>
  <conditionalFormatting sqref="Q2">
    <cfRule type="duplicateValues" dxfId="1" priority="140626"/>
  </conditionalFormatting>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K24"/>
  <sheetViews>
    <sheetView topLeftCell="B1" zoomScaleNormal="100" workbookViewId="0">
      <pane ySplit="1" topLeftCell="A2" activePane="bottomLeft" state="frozen"/>
      <selection activeCell="B1" sqref="B1"/>
      <selection pane="bottomLeft" activeCell="K4" sqref="K4"/>
    </sheetView>
  </sheetViews>
  <sheetFormatPr defaultColWidth="9.140625" defaultRowHeight="15" x14ac:dyDescent="0.25"/>
  <cols>
    <col min="1" max="1" width="11.5703125" style="62" bestFit="1" customWidth="1"/>
    <col min="2" max="2" width="21.7109375" style="62" bestFit="1" customWidth="1"/>
    <col min="3" max="3" width="22.28515625" style="62" bestFit="1" customWidth="1"/>
    <col min="4" max="4" width="13.42578125" style="62" bestFit="1" customWidth="1"/>
    <col min="5" max="5" width="15.7109375" style="62" customWidth="1"/>
    <col min="6" max="6" width="36.42578125" style="62" customWidth="1"/>
    <col min="7" max="7" width="42.5703125" style="62" customWidth="1"/>
    <col min="8" max="8" width="28.28515625" bestFit="1" customWidth="1"/>
    <col min="9" max="9" width="26.28515625" customWidth="1"/>
    <col min="10" max="10" width="24.28515625" bestFit="1" customWidth="1"/>
    <col min="11" max="11" width="25.7109375" bestFit="1" customWidth="1"/>
  </cols>
  <sheetData>
    <row r="1" spans="1:11" x14ac:dyDescent="0.25">
      <c r="A1" s="15" t="s">
        <v>7231</v>
      </c>
      <c r="B1" s="15" t="s">
        <v>4419</v>
      </c>
      <c r="C1" s="15" t="s">
        <v>4420</v>
      </c>
      <c r="D1" s="15" t="s">
        <v>4421</v>
      </c>
      <c r="E1" s="15" t="s">
        <v>446</v>
      </c>
      <c r="F1" s="15" t="s">
        <v>4422</v>
      </c>
      <c r="G1" s="15" t="s">
        <v>324</v>
      </c>
      <c r="H1" s="15" t="s">
        <v>4423</v>
      </c>
      <c r="I1" s="15" t="s">
        <v>4424</v>
      </c>
      <c r="J1" s="15" t="s">
        <v>4425</v>
      </c>
      <c r="K1" s="15" t="s">
        <v>4426</v>
      </c>
    </row>
    <row r="2" spans="1:11" x14ac:dyDescent="0.25">
      <c r="A2" s="15"/>
      <c r="B2" s="15" t="s">
        <v>4427</v>
      </c>
      <c r="C2" s="15" t="s">
        <v>4428</v>
      </c>
      <c r="D2" s="15" t="s">
        <v>4428</v>
      </c>
      <c r="E2" s="15" t="s">
        <v>4429</v>
      </c>
      <c r="F2" s="15" t="s">
        <v>1341</v>
      </c>
      <c r="G2" s="15" t="s">
        <v>4430</v>
      </c>
      <c r="H2" s="15"/>
      <c r="I2" s="15"/>
      <c r="J2" s="15"/>
      <c r="K2" s="15"/>
    </row>
    <row r="3" spans="1:11" x14ac:dyDescent="0.25">
      <c r="A3" s="15"/>
      <c r="B3" s="15" t="s">
        <v>421</v>
      </c>
      <c r="C3" s="15" t="s">
        <v>4431</v>
      </c>
      <c r="D3" s="15" t="s">
        <v>4431</v>
      </c>
      <c r="E3" s="15" t="s">
        <v>4429</v>
      </c>
      <c r="F3" s="15" t="s">
        <v>1341</v>
      </c>
      <c r="G3" s="15"/>
      <c r="H3" s="15"/>
      <c r="I3" s="15"/>
      <c r="J3" s="15"/>
      <c r="K3" s="15"/>
    </row>
    <row r="4" spans="1:11" x14ac:dyDescent="0.25">
      <c r="A4" s="15" t="s">
        <v>370</v>
      </c>
      <c r="B4" s="15" t="s">
        <v>326</v>
      </c>
      <c r="C4" s="15" t="s">
        <v>1631</v>
      </c>
      <c r="D4" s="15" t="s">
        <v>4432</v>
      </c>
      <c r="E4" s="15" t="s">
        <v>4429</v>
      </c>
      <c r="F4" s="15" t="s">
        <v>403</v>
      </c>
      <c r="G4" s="15" t="s">
        <v>4433</v>
      </c>
      <c r="H4" s="15" t="s">
        <v>4434</v>
      </c>
      <c r="I4" s="15" t="s">
        <v>4435</v>
      </c>
      <c r="J4" s="15" t="s">
        <v>4436</v>
      </c>
      <c r="K4" s="15" t="s">
        <v>4437</v>
      </c>
    </row>
    <row r="5" spans="1:11" x14ac:dyDescent="0.25">
      <c r="A5" s="15" t="s">
        <v>7236</v>
      </c>
      <c r="B5" s="15" t="s">
        <v>326</v>
      </c>
      <c r="C5" s="15" t="s">
        <v>1742</v>
      </c>
      <c r="D5" s="15" t="s">
        <v>4432</v>
      </c>
      <c r="E5" s="15" t="s">
        <v>4429</v>
      </c>
      <c r="F5" s="15" t="s">
        <v>4438</v>
      </c>
      <c r="G5" s="15" t="s">
        <v>4439</v>
      </c>
      <c r="H5" s="15" t="s">
        <v>4440</v>
      </c>
      <c r="I5" s="15" t="s">
        <v>4441</v>
      </c>
      <c r="J5" s="15" t="s">
        <v>4436</v>
      </c>
      <c r="K5" s="15" t="s">
        <v>4437</v>
      </c>
    </row>
    <row r="6" spans="1:11" x14ac:dyDescent="0.25">
      <c r="A6" s="15" t="s">
        <v>364</v>
      </c>
      <c r="B6" s="15" t="s">
        <v>1554</v>
      </c>
      <c r="C6" s="15" t="s">
        <v>1555</v>
      </c>
      <c r="D6" s="15" t="s">
        <v>4442</v>
      </c>
      <c r="E6" s="15" t="s">
        <v>4429</v>
      </c>
      <c r="F6" s="15" t="s">
        <v>499</v>
      </c>
      <c r="G6" s="15" t="s">
        <v>501</v>
      </c>
      <c r="H6" s="15" t="s">
        <v>4434</v>
      </c>
      <c r="I6" s="15" t="s">
        <v>4443</v>
      </c>
      <c r="J6" s="15" t="s">
        <v>4436</v>
      </c>
      <c r="K6" s="15" t="s">
        <v>4437</v>
      </c>
    </row>
    <row r="7" spans="1:11" x14ac:dyDescent="0.25">
      <c r="A7" s="15" t="s">
        <v>1623</v>
      </c>
      <c r="B7" s="15" t="s">
        <v>1623</v>
      </c>
      <c r="C7" s="15" t="s">
        <v>1624</v>
      </c>
      <c r="D7" s="15" t="s">
        <v>4432</v>
      </c>
      <c r="E7" s="15" t="s">
        <v>4429</v>
      </c>
      <c r="F7" s="15" t="s">
        <v>4444</v>
      </c>
      <c r="G7" s="15" t="s">
        <v>4445</v>
      </c>
      <c r="H7" s="15" t="s">
        <v>4440</v>
      </c>
      <c r="I7" s="15" t="s">
        <v>4446</v>
      </c>
      <c r="J7" s="15" t="s">
        <v>4436</v>
      </c>
      <c r="K7" s="15" t="s">
        <v>4437</v>
      </c>
    </row>
    <row r="8" spans="1:11" x14ac:dyDescent="0.25">
      <c r="A8" s="15"/>
      <c r="B8" s="15" t="s">
        <v>382</v>
      </c>
      <c r="C8" s="15" t="s">
        <v>382</v>
      </c>
      <c r="D8" s="15" t="s">
        <v>382</v>
      </c>
      <c r="E8" s="15" t="s">
        <v>4429</v>
      </c>
      <c r="F8" s="15" t="s">
        <v>412</v>
      </c>
      <c r="G8" s="15" t="s">
        <v>4439</v>
      </c>
      <c r="H8" s="15" t="s">
        <v>4440</v>
      </c>
      <c r="I8" s="15" t="s">
        <v>4447</v>
      </c>
      <c r="J8" s="15" t="s">
        <v>4448</v>
      </c>
      <c r="K8" s="15" t="s">
        <v>4449</v>
      </c>
    </row>
    <row r="9" spans="1:11" x14ac:dyDescent="0.25">
      <c r="A9" s="15" t="s">
        <v>1571</v>
      </c>
      <c r="B9" s="15" t="s">
        <v>1570</v>
      </c>
      <c r="C9" s="15" t="s">
        <v>1571</v>
      </c>
      <c r="D9" s="15" t="s">
        <v>1570</v>
      </c>
      <c r="E9" s="15" t="s">
        <v>4429</v>
      </c>
      <c r="F9" s="15" t="s">
        <v>418</v>
      </c>
      <c r="G9" s="15" t="s">
        <v>4450</v>
      </c>
      <c r="H9" s="15" t="s">
        <v>4451</v>
      </c>
      <c r="I9" s="15" t="s">
        <v>4435</v>
      </c>
      <c r="J9" s="15" t="s">
        <v>4436</v>
      </c>
      <c r="K9" s="15" t="s">
        <v>4437</v>
      </c>
    </row>
    <row r="10" spans="1:11" x14ac:dyDescent="0.25">
      <c r="A10" s="15" t="s">
        <v>7232</v>
      </c>
      <c r="B10" s="15" t="s">
        <v>1579</v>
      </c>
      <c r="C10" s="15" t="s">
        <v>1580</v>
      </c>
      <c r="D10" s="15" t="s">
        <v>4432</v>
      </c>
      <c r="E10" s="15" t="s">
        <v>4429</v>
      </c>
      <c r="F10" s="15" t="s">
        <v>4452</v>
      </c>
      <c r="G10" s="15" t="s">
        <v>4453</v>
      </c>
      <c r="H10" s="15" t="s">
        <v>4454</v>
      </c>
      <c r="I10" s="15" t="s">
        <v>4455</v>
      </c>
      <c r="J10" s="15" t="s">
        <v>4436</v>
      </c>
      <c r="K10" s="15" t="s">
        <v>4437</v>
      </c>
    </row>
    <row r="11" spans="1:11" x14ac:dyDescent="0.25">
      <c r="A11" s="15" t="s">
        <v>7235</v>
      </c>
      <c r="B11" s="15" t="s">
        <v>1579</v>
      </c>
      <c r="C11" s="15" t="s">
        <v>2972</v>
      </c>
      <c r="D11" s="15" t="s">
        <v>4432</v>
      </c>
      <c r="E11" s="15" t="s">
        <v>4429</v>
      </c>
      <c r="F11" s="15" t="s">
        <v>4456</v>
      </c>
      <c r="G11" s="15" t="s">
        <v>4453</v>
      </c>
      <c r="H11" s="15" t="s">
        <v>4454</v>
      </c>
      <c r="I11" s="15" t="s">
        <v>4455</v>
      </c>
      <c r="J11" s="15" t="s">
        <v>4436</v>
      </c>
      <c r="K11" s="15" t="s">
        <v>4437</v>
      </c>
    </row>
    <row r="12" spans="1:11" x14ac:dyDescent="0.25">
      <c r="A12" s="15"/>
      <c r="B12" s="15" t="s">
        <v>4457</v>
      </c>
      <c r="C12" s="15" t="s">
        <v>4458</v>
      </c>
      <c r="D12" s="15" t="s">
        <v>4432</v>
      </c>
      <c r="E12" s="15" t="s">
        <v>4429</v>
      </c>
      <c r="F12" s="15" t="s">
        <v>772</v>
      </c>
      <c r="G12" s="15" t="s">
        <v>4439</v>
      </c>
      <c r="H12" s="15" t="s">
        <v>4440</v>
      </c>
      <c r="I12" s="15" t="s">
        <v>4443</v>
      </c>
      <c r="J12" s="15" t="s">
        <v>4436</v>
      </c>
      <c r="K12" s="15" t="s">
        <v>4437</v>
      </c>
    </row>
    <row r="13" spans="1:11" x14ac:dyDescent="0.25">
      <c r="A13" s="15" t="s">
        <v>7237</v>
      </c>
      <c r="B13" s="15" t="s">
        <v>344</v>
      </c>
      <c r="C13" s="15" t="s">
        <v>4459</v>
      </c>
      <c r="D13" s="15" t="s">
        <v>4459</v>
      </c>
      <c r="E13" s="15" t="s">
        <v>4429</v>
      </c>
      <c r="F13" s="15"/>
      <c r="G13" s="15"/>
      <c r="H13" s="15" t="s">
        <v>4460</v>
      </c>
      <c r="I13" s="15" t="s">
        <v>4447</v>
      </c>
      <c r="J13" s="15" t="s">
        <v>4448</v>
      </c>
      <c r="K13" s="15" t="s">
        <v>4449</v>
      </c>
    </row>
    <row r="14" spans="1:11" x14ac:dyDescent="0.25">
      <c r="A14" s="15" t="s">
        <v>7233</v>
      </c>
      <c r="B14" s="15" t="s">
        <v>344</v>
      </c>
      <c r="C14" s="15" t="s">
        <v>1616</v>
      </c>
      <c r="D14" s="15" t="s">
        <v>349</v>
      </c>
      <c r="E14" s="15" t="s">
        <v>4429</v>
      </c>
      <c r="F14" s="15" t="s">
        <v>408</v>
      </c>
      <c r="G14" s="15" t="s">
        <v>4461</v>
      </c>
      <c r="H14" s="15" t="s">
        <v>4462</v>
      </c>
      <c r="I14" s="15" t="s">
        <v>4447</v>
      </c>
      <c r="J14" s="15" t="s">
        <v>4448</v>
      </c>
      <c r="K14" s="15" t="s">
        <v>4449</v>
      </c>
    </row>
    <row r="15" spans="1:11" x14ac:dyDescent="0.25">
      <c r="A15" s="15" t="s">
        <v>1799</v>
      </c>
      <c r="B15" s="15" t="s">
        <v>344</v>
      </c>
      <c r="C15" s="15" t="s">
        <v>1799</v>
      </c>
      <c r="D15" s="15" t="s">
        <v>1799</v>
      </c>
      <c r="E15" s="15" t="s">
        <v>4429</v>
      </c>
      <c r="F15" s="15" t="s">
        <v>409</v>
      </c>
      <c r="G15" s="15" t="s">
        <v>4463</v>
      </c>
      <c r="H15" s="15" t="s">
        <v>4434</v>
      </c>
      <c r="I15" s="15" t="s">
        <v>4464</v>
      </c>
      <c r="J15" s="15" t="s">
        <v>4436</v>
      </c>
      <c r="K15" s="15" t="s">
        <v>4437</v>
      </c>
    </row>
    <row r="16" spans="1:11" x14ac:dyDescent="0.25">
      <c r="A16" s="15"/>
      <c r="B16" s="15" t="s">
        <v>344</v>
      </c>
      <c r="C16" s="15" t="s">
        <v>4465</v>
      </c>
      <c r="D16" s="15" t="s">
        <v>4466</v>
      </c>
      <c r="E16" s="15" t="s">
        <v>4429</v>
      </c>
      <c r="F16" s="15" t="s">
        <v>4467</v>
      </c>
      <c r="G16" s="15"/>
      <c r="H16" s="15" t="s">
        <v>4468</v>
      </c>
      <c r="I16" s="15" t="s">
        <v>4469</v>
      </c>
      <c r="J16" s="15" t="s">
        <v>4436</v>
      </c>
      <c r="K16" s="15" t="s">
        <v>4437</v>
      </c>
    </row>
    <row r="17" spans="1:11" x14ac:dyDescent="0.25">
      <c r="A17" s="15" t="s">
        <v>7272</v>
      </c>
      <c r="B17" s="15" t="s">
        <v>1665</v>
      </c>
      <c r="C17" s="15" t="s">
        <v>1666</v>
      </c>
      <c r="D17" s="15" t="s">
        <v>4466</v>
      </c>
      <c r="E17" s="15" t="s">
        <v>4429</v>
      </c>
      <c r="F17" s="15" t="s">
        <v>4470</v>
      </c>
      <c r="G17" s="15" t="s">
        <v>4471</v>
      </c>
      <c r="H17" s="15" t="s">
        <v>4468</v>
      </c>
      <c r="I17" s="15" t="s">
        <v>4472</v>
      </c>
      <c r="J17" s="15" t="s">
        <v>4436</v>
      </c>
      <c r="K17" s="15" t="s">
        <v>4437</v>
      </c>
    </row>
    <row r="18" spans="1:11" x14ac:dyDescent="0.25">
      <c r="A18" s="15" t="s">
        <v>7272</v>
      </c>
      <c r="B18" s="15" t="s">
        <v>1665</v>
      </c>
      <c r="C18" s="15" t="s">
        <v>2228</v>
      </c>
      <c r="D18" s="15" t="s">
        <v>4466</v>
      </c>
      <c r="E18" s="15" t="s">
        <v>4429</v>
      </c>
      <c r="F18" s="15" t="s">
        <v>4473</v>
      </c>
      <c r="G18" s="15" t="s">
        <v>4474</v>
      </c>
      <c r="H18" s="15" t="s">
        <v>4468</v>
      </c>
      <c r="I18" s="15" t="s">
        <v>7208</v>
      </c>
      <c r="J18" s="15" t="s">
        <v>4436</v>
      </c>
      <c r="K18" s="15" t="s">
        <v>4437</v>
      </c>
    </row>
    <row r="19" spans="1:11" x14ac:dyDescent="0.25">
      <c r="A19" s="15" t="s">
        <v>7272</v>
      </c>
      <c r="B19" s="15" t="s">
        <v>1665</v>
      </c>
      <c r="C19" s="15" t="s">
        <v>2192</v>
      </c>
      <c r="D19" s="15" t="s">
        <v>4466</v>
      </c>
      <c r="E19" s="15" t="s">
        <v>4429</v>
      </c>
      <c r="F19" s="15" t="s">
        <v>4475</v>
      </c>
      <c r="G19" s="15" t="s">
        <v>4474</v>
      </c>
      <c r="H19" s="15" t="s">
        <v>4468</v>
      </c>
      <c r="I19" s="15" t="s">
        <v>7208</v>
      </c>
      <c r="J19" s="15" t="s">
        <v>4436</v>
      </c>
      <c r="K19" s="15" t="s">
        <v>4437</v>
      </c>
    </row>
    <row r="20" spans="1:11" x14ac:dyDescent="0.25">
      <c r="A20" s="15" t="s">
        <v>7234</v>
      </c>
      <c r="B20" s="15" t="s">
        <v>4476</v>
      </c>
      <c r="C20" s="15" t="s">
        <v>4477</v>
      </c>
      <c r="D20" s="15" t="s">
        <v>4477</v>
      </c>
      <c r="E20" s="15" t="s">
        <v>4429</v>
      </c>
      <c r="F20" s="15" t="s">
        <v>4478</v>
      </c>
      <c r="G20" s="15" t="s">
        <v>4479</v>
      </c>
      <c r="H20" s="15" t="s">
        <v>4480</v>
      </c>
      <c r="I20" s="15"/>
      <c r="J20" s="15"/>
      <c r="K20" s="15"/>
    </row>
    <row r="21" spans="1:11" x14ac:dyDescent="0.25">
      <c r="A21" s="15"/>
      <c r="B21" s="15"/>
      <c r="C21" s="15"/>
      <c r="D21" s="15"/>
      <c r="E21" s="15"/>
      <c r="F21" s="15" t="s">
        <v>4481</v>
      </c>
      <c r="G21" s="15" t="s">
        <v>4482</v>
      </c>
      <c r="H21" s="15"/>
      <c r="I21" s="15"/>
      <c r="J21" s="15"/>
      <c r="K21" s="15"/>
    </row>
    <row r="22" spans="1:11" x14ac:dyDescent="0.25">
      <c r="A22" s="15"/>
      <c r="B22" s="15"/>
      <c r="C22" s="15"/>
      <c r="D22" s="15"/>
      <c r="E22" s="15"/>
      <c r="F22" s="15" t="s">
        <v>4483</v>
      </c>
      <c r="G22" s="15" t="s">
        <v>4484</v>
      </c>
      <c r="H22" s="15"/>
      <c r="I22" s="15"/>
      <c r="J22" s="15"/>
      <c r="K22" s="15"/>
    </row>
    <row r="23" spans="1:11" x14ac:dyDescent="0.25">
      <c r="A23" s="15"/>
      <c r="B23" s="15"/>
      <c r="C23" s="15"/>
      <c r="D23" s="15"/>
      <c r="E23" s="15"/>
      <c r="F23" s="15" t="s">
        <v>4485</v>
      </c>
      <c r="G23" s="15" t="s">
        <v>461</v>
      </c>
      <c r="H23" s="15"/>
      <c r="I23" s="15"/>
      <c r="J23" s="15"/>
      <c r="K23" s="15"/>
    </row>
    <row r="24" spans="1:11" x14ac:dyDescent="0.25">
      <c r="A24" s="15"/>
      <c r="B24" s="15"/>
      <c r="C24" s="15"/>
      <c r="D24" s="15"/>
      <c r="E24" s="15"/>
      <c r="F24" s="15" t="s">
        <v>4483</v>
      </c>
      <c r="G24" s="15" t="s">
        <v>4484</v>
      </c>
      <c r="H24" s="15"/>
      <c r="I24" s="15"/>
      <c r="J24" s="15"/>
      <c r="K24" s="15"/>
    </row>
  </sheetData>
  <hyperlinks>
    <hyperlink ref="G4" r:id="rId1" xr:uid="{00000000-0004-0000-0B00-000000000000}"/>
    <hyperlink ref="G10" r:id="rId2" xr:uid="{00000000-0004-0000-0B00-000001000000}"/>
    <hyperlink ref="G9" r:id="rId3" xr:uid="{00000000-0004-0000-0B00-000002000000}"/>
    <hyperlink ref="G20" r:id="rId4" xr:uid="{00000000-0004-0000-0B00-000003000000}"/>
    <hyperlink ref="G14" r:id="rId5" xr:uid="{00000000-0004-0000-0B00-000004000000}"/>
    <hyperlink ref="G15" r:id="rId6" xr:uid="{00000000-0004-0000-0B00-000005000000}"/>
    <hyperlink ref="G5" r:id="rId7" xr:uid="{00000000-0004-0000-0B00-000006000000}"/>
    <hyperlink ref="G7" r:id="rId8" xr:uid="{00000000-0004-0000-0B00-000007000000}"/>
    <hyperlink ref="G2" r:id="rId9" xr:uid="{00000000-0004-0000-0B00-000008000000}"/>
    <hyperlink ref="G18" r:id="rId10" xr:uid="{00000000-0004-0000-0B00-000009000000}"/>
    <hyperlink ref="G19" r:id="rId11" xr:uid="{00000000-0004-0000-0B00-00000A000000}"/>
    <hyperlink ref="G17" r:id="rId12" xr:uid="{00000000-0004-0000-0B00-00000B000000}"/>
    <hyperlink ref="G6" r:id="rId13" xr:uid="{00000000-0004-0000-0B00-00000C000000}"/>
    <hyperlink ref="G11" r:id="rId14" xr:uid="{00000000-0004-0000-0B00-00000D000000}"/>
    <hyperlink ref="G8" r:id="rId15" xr:uid="{00000000-0004-0000-0B00-00000E000000}"/>
    <hyperlink ref="G12" r:id="rId16" xr:uid="{00000000-0004-0000-0B00-00000F000000}"/>
    <hyperlink ref="G21" r:id="rId17" xr:uid="{00000000-0004-0000-0B00-000010000000}"/>
    <hyperlink ref="G22" r:id="rId18" xr:uid="{00000000-0004-0000-0B00-000011000000}"/>
    <hyperlink ref="G23" r:id="rId19" xr:uid="{00000000-0004-0000-0B00-000012000000}"/>
    <hyperlink ref="G24" r:id="rId20" xr:uid="{00000000-0004-0000-0B00-000013000000}"/>
  </hyperlinks>
  <pageMargins left="0.7" right="0.7" top="0.75" bottom="0.75" header="0.3" footer="0.3"/>
  <pageSetup paperSize="9" orientation="portrait" r:id="rId2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1006"/>
  <sheetViews>
    <sheetView workbookViewId="0">
      <pane ySplit="1" topLeftCell="A65" activePane="bottomLeft" state="frozen"/>
      <selection pane="bottomLeft" activeCell="F1007" sqref="F1007"/>
    </sheetView>
  </sheetViews>
  <sheetFormatPr defaultColWidth="9.140625" defaultRowHeight="15" x14ac:dyDescent="0.25"/>
  <cols>
    <col min="1" max="1" width="11.140625" bestFit="1" customWidth="1"/>
    <col min="2" max="2" width="41" customWidth="1"/>
    <col min="3" max="3" width="44.85546875" style="15" customWidth="1"/>
    <col min="4" max="4" width="48.28515625" style="15" bestFit="1" customWidth="1"/>
    <col min="5" max="5" width="10.85546875" style="15" bestFit="1" customWidth="1"/>
  </cols>
  <sheetData>
    <row r="1" spans="1:6" ht="15.75" x14ac:dyDescent="0.25">
      <c r="A1" t="s">
        <v>6911</v>
      </c>
      <c r="B1" t="s">
        <v>4486</v>
      </c>
      <c r="C1" t="s">
        <v>4487</v>
      </c>
      <c r="D1" t="s">
        <v>4488</v>
      </c>
      <c r="E1" t="s">
        <v>4489</v>
      </c>
      <c r="F1" t="s">
        <v>6637</v>
      </c>
    </row>
    <row r="2" spans="1:6" x14ac:dyDescent="0.25">
      <c r="A2" t="s">
        <v>5304</v>
      </c>
      <c r="B2" t="s">
        <v>5305</v>
      </c>
      <c r="C2" t="s">
        <v>4492</v>
      </c>
      <c r="D2" t="s">
        <v>4493</v>
      </c>
      <c r="E2" t="s">
        <v>4494</v>
      </c>
      <c r="F2" t="s">
        <v>1575</v>
      </c>
    </row>
    <row r="3" spans="1:6" x14ac:dyDescent="0.25">
      <c r="A3" t="s">
        <v>5955</v>
      </c>
      <c r="B3" t="s">
        <v>5956</v>
      </c>
      <c r="C3" t="s">
        <v>4492</v>
      </c>
      <c r="D3" t="s">
        <v>4493</v>
      </c>
      <c r="E3" t="s">
        <v>4494</v>
      </c>
      <c r="F3" t="s">
        <v>1575</v>
      </c>
    </row>
    <row r="4" spans="1:6" x14ac:dyDescent="0.25">
      <c r="A4" t="s">
        <v>5653</v>
      </c>
      <c r="B4" t="s">
        <v>5654</v>
      </c>
      <c r="C4" t="s">
        <v>4492</v>
      </c>
      <c r="D4" t="s">
        <v>4493</v>
      </c>
      <c r="E4" t="s">
        <v>4494</v>
      </c>
      <c r="F4" t="s">
        <v>1575</v>
      </c>
    </row>
    <row r="5" spans="1:6" x14ac:dyDescent="0.25">
      <c r="A5" t="s">
        <v>5676</v>
      </c>
      <c r="B5" t="s">
        <v>5677</v>
      </c>
      <c r="C5" t="s">
        <v>4492</v>
      </c>
      <c r="D5" t="s">
        <v>4493</v>
      </c>
      <c r="E5" t="s">
        <v>4494</v>
      </c>
      <c r="F5" t="s">
        <v>1575</v>
      </c>
    </row>
    <row r="6" spans="1:6" x14ac:dyDescent="0.25">
      <c r="A6" t="s">
        <v>5475</v>
      </c>
      <c r="B6" t="s">
        <v>5476</v>
      </c>
      <c r="C6" t="s">
        <v>4492</v>
      </c>
      <c r="D6" t="s">
        <v>4493</v>
      </c>
      <c r="E6" t="s">
        <v>4494</v>
      </c>
      <c r="F6" t="s">
        <v>1575</v>
      </c>
    </row>
    <row r="7" spans="1:6" x14ac:dyDescent="0.25">
      <c r="A7" t="s">
        <v>5202</v>
      </c>
      <c r="B7" t="s">
        <v>5203</v>
      </c>
      <c r="C7" t="s">
        <v>4492</v>
      </c>
      <c r="D7" t="s">
        <v>4493</v>
      </c>
      <c r="E7" t="s">
        <v>4494</v>
      </c>
      <c r="F7" t="s">
        <v>1575</v>
      </c>
    </row>
    <row r="8" spans="1:6" x14ac:dyDescent="0.25">
      <c r="A8" t="s">
        <v>5743</v>
      </c>
      <c r="B8" t="s">
        <v>5744</v>
      </c>
      <c r="C8" t="s">
        <v>4492</v>
      </c>
      <c r="D8" t="s">
        <v>4493</v>
      </c>
      <c r="E8" t="s">
        <v>4494</v>
      </c>
      <c r="F8" t="s">
        <v>1575</v>
      </c>
    </row>
    <row r="9" spans="1:6" x14ac:dyDescent="0.25">
      <c r="A9" t="s">
        <v>4537</v>
      </c>
      <c r="B9" t="s">
        <v>4538</v>
      </c>
      <c r="C9" t="s">
        <v>4492</v>
      </c>
      <c r="D9" t="s">
        <v>4493</v>
      </c>
      <c r="E9" t="s">
        <v>4494</v>
      </c>
      <c r="F9" t="s">
        <v>1575</v>
      </c>
    </row>
    <row r="10" spans="1:6" x14ac:dyDescent="0.25">
      <c r="A10" t="s">
        <v>4769</v>
      </c>
      <c r="B10" t="s">
        <v>4770</v>
      </c>
      <c r="C10" t="s">
        <v>4492</v>
      </c>
      <c r="D10" t="s">
        <v>4493</v>
      </c>
      <c r="E10" t="s">
        <v>4494</v>
      </c>
      <c r="F10" t="s">
        <v>1575</v>
      </c>
    </row>
    <row r="11" spans="1:6" x14ac:dyDescent="0.25">
      <c r="A11" t="s">
        <v>6018</v>
      </c>
      <c r="B11" t="s">
        <v>6019</v>
      </c>
      <c r="C11" t="s">
        <v>4492</v>
      </c>
      <c r="D11" t="s">
        <v>4493</v>
      </c>
      <c r="E11" t="s">
        <v>4494</v>
      </c>
      <c r="F11" t="s">
        <v>1575</v>
      </c>
    </row>
    <row r="12" spans="1:6" x14ac:dyDescent="0.25">
      <c r="A12" t="s">
        <v>5567</v>
      </c>
      <c r="B12" t="s">
        <v>5568</v>
      </c>
      <c r="C12" t="s">
        <v>4492</v>
      </c>
      <c r="D12" t="s">
        <v>4493</v>
      </c>
      <c r="E12" t="s">
        <v>4494</v>
      </c>
      <c r="F12" t="s">
        <v>1575</v>
      </c>
    </row>
    <row r="13" spans="1:6" ht="30" x14ac:dyDescent="0.25">
      <c r="A13" t="s">
        <v>4697</v>
      </c>
      <c r="B13" t="s">
        <v>4698</v>
      </c>
      <c r="C13" t="s">
        <v>4492</v>
      </c>
      <c r="D13" t="s">
        <v>4493</v>
      </c>
      <c r="E13" t="s">
        <v>4494</v>
      </c>
      <c r="F13" t="s">
        <v>1575</v>
      </c>
    </row>
    <row r="14" spans="1:6" x14ac:dyDescent="0.25">
      <c r="A14" t="s">
        <v>4867</v>
      </c>
      <c r="B14" t="s">
        <v>4868</v>
      </c>
      <c r="C14" t="s">
        <v>4492</v>
      </c>
      <c r="D14" t="s">
        <v>4493</v>
      </c>
      <c r="E14" t="s">
        <v>4494</v>
      </c>
      <c r="F14" t="s">
        <v>1575</v>
      </c>
    </row>
    <row r="15" spans="1:6" x14ac:dyDescent="0.25">
      <c r="A15" t="s">
        <v>5259</v>
      </c>
      <c r="B15" t="s">
        <v>5260</v>
      </c>
      <c r="C15" t="s">
        <v>4492</v>
      </c>
      <c r="D15" t="s">
        <v>4493</v>
      </c>
      <c r="E15" t="s">
        <v>4494</v>
      </c>
      <c r="F15" t="s">
        <v>1575</v>
      </c>
    </row>
    <row r="16" spans="1:6" x14ac:dyDescent="0.25">
      <c r="A16" t="s">
        <v>6510</v>
      </c>
      <c r="B16" t="s">
        <v>6511</v>
      </c>
      <c r="C16" t="s">
        <v>4492</v>
      </c>
      <c r="D16" t="s">
        <v>4493</v>
      </c>
      <c r="E16" t="s">
        <v>4494</v>
      </c>
      <c r="F16" t="s">
        <v>1575</v>
      </c>
    </row>
    <row r="17" spans="1:6" x14ac:dyDescent="0.25">
      <c r="A17" t="s">
        <v>5318</v>
      </c>
      <c r="B17" t="s">
        <v>5319</v>
      </c>
      <c r="C17" t="s">
        <v>4492</v>
      </c>
      <c r="D17" t="s">
        <v>4493</v>
      </c>
      <c r="E17" t="s">
        <v>4494</v>
      </c>
      <c r="F17" t="s">
        <v>1575</v>
      </c>
    </row>
    <row r="18" spans="1:6" x14ac:dyDescent="0.25">
      <c r="A18" t="s">
        <v>6300</v>
      </c>
      <c r="B18" t="s">
        <v>6301</v>
      </c>
      <c r="C18" t="s">
        <v>5050</v>
      </c>
      <c r="D18" t="s">
        <v>5051</v>
      </c>
      <c r="E18">
        <v>636957860</v>
      </c>
      <c r="F18" t="s">
        <v>6668</v>
      </c>
    </row>
    <row r="19" spans="1:6" x14ac:dyDescent="0.25">
      <c r="A19" t="s">
        <v>6420</v>
      </c>
      <c r="B19" t="s">
        <v>6421</v>
      </c>
      <c r="C19" t="s">
        <v>4492</v>
      </c>
      <c r="D19" t="s">
        <v>4493</v>
      </c>
      <c r="E19" t="s">
        <v>4494</v>
      </c>
      <c r="F19" t="s">
        <v>1575</v>
      </c>
    </row>
    <row r="20" spans="1:6" ht="30" x14ac:dyDescent="0.25">
      <c r="A20" t="s">
        <v>6310</v>
      </c>
      <c r="B20" t="s">
        <v>6311</v>
      </c>
      <c r="C20" t="s">
        <v>4492</v>
      </c>
      <c r="D20" t="s">
        <v>4493</v>
      </c>
      <c r="E20" t="s">
        <v>4494</v>
      </c>
      <c r="F20" t="s">
        <v>1575</v>
      </c>
    </row>
    <row r="21" spans="1:6" x14ac:dyDescent="0.25">
      <c r="A21" t="s">
        <v>6294</v>
      </c>
      <c r="B21" t="s">
        <v>6295</v>
      </c>
      <c r="C21" t="s">
        <v>4492</v>
      </c>
      <c r="D21" t="s">
        <v>4493</v>
      </c>
      <c r="E21" t="s">
        <v>4494</v>
      </c>
      <c r="F21" t="s">
        <v>1575</v>
      </c>
    </row>
    <row r="22" spans="1:6" ht="30" x14ac:dyDescent="0.25">
      <c r="A22" t="s">
        <v>5831</v>
      </c>
      <c r="B22" t="s">
        <v>5832</v>
      </c>
      <c r="C22" t="s">
        <v>4492</v>
      </c>
      <c r="D22" t="s">
        <v>4493</v>
      </c>
      <c r="E22" t="s">
        <v>4494</v>
      </c>
      <c r="F22" t="s">
        <v>1575</v>
      </c>
    </row>
    <row r="23" spans="1:6" ht="30" x14ac:dyDescent="0.25">
      <c r="A23" t="s">
        <v>6385</v>
      </c>
      <c r="B23" t="s">
        <v>6386</v>
      </c>
      <c r="C23" t="s">
        <v>1695</v>
      </c>
      <c r="D23" t="s">
        <v>4687</v>
      </c>
      <c r="E23">
        <v>618790056</v>
      </c>
      <c r="F23" t="s">
        <v>6787</v>
      </c>
    </row>
    <row r="24" spans="1:6" x14ac:dyDescent="0.25">
      <c r="A24" t="s">
        <v>6026</v>
      </c>
      <c r="B24" t="s">
        <v>6027</v>
      </c>
      <c r="C24" t="s">
        <v>4492</v>
      </c>
      <c r="D24" t="s">
        <v>4493</v>
      </c>
      <c r="E24" t="s">
        <v>4494</v>
      </c>
      <c r="F24" t="s">
        <v>1575</v>
      </c>
    </row>
    <row r="25" spans="1:6" x14ac:dyDescent="0.25">
      <c r="A25" t="s">
        <v>6138</v>
      </c>
      <c r="B25" t="s">
        <v>6139</v>
      </c>
      <c r="C25" t="s">
        <v>4492</v>
      </c>
      <c r="D25" t="s">
        <v>4493</v>
      </c>
      <c r="E25" t="s">
        <v>4494</v>
      </c>
      <c r="F25" t="s">
        <v>1575</v>
      </c>
    </row>
    <row r="26" spans="1:6" x14ac:dyDescent="0.25">
      <c r="A26" t="s">
        <v>5726</v>
      </c>
      <c r="B26" t="s">
        <v>5727</v>
      </c>
      <c r="C26" t="s">
        <v>4492</v>
      </c>
      <c r="D26" t="s">
        <v>4493</v>
      </c>
      <c r="E26" t="s">
        <v>4494</v>
      </c>
      <c r="F26" t="s">
        <v>1575</v>
      </c>
    </row>
    <row r="27" spans="1:6" x14ac:dyDescent="0.25">
      <c r="A27" t="s">
        <v>5216</v>
      </c>
      <c r="B27" t="s">
        <v>5217</v>
      </c>
      <c r="C27" t="s">
        <v>4492</v>
      </c>
      <c r="D27" t="s">
        <v>4493</v>
      </c>
      <c r="E27" t="s">
        <v>4494</v>
      </c>
      <c r="F27" t="s">
        <v>1575</v>
      </c>
    </row>
    <row r="28" spans="1:6" x14ac:dyDescent="0.25">
      <c r="A28" t="s">
        <v>5356</v>
      </c>
      <c r="B28" t="s">
        <v>5357</v>
      </c>
      <c r="C28" t="s">
        <v>4492</v>
      </c>
      <c r="D28" t="s">
        <v>4493</v>
      </c>
      <c r="E28" t="s">
        <v>4494</v>
      </c>
      <c r="F28" t="s">
        <v>1575</v>
      </c>
    </row>
    <row r="29" spans="1:6" x14ac:dyDescent="0.25">
      <c r="A29" t="s">
        <v>6160</v>
      </c>
      <c r="B29" t="s">
        <v>6161</v>
      </c>
      <c r="C29" t="s">
        <v>4492</v>
      </c>
      <c r="D29" t="s">
        <v>4493</v>
      </c>
      <c r="E29" t="s">
        <v>4494</v>
      </c>
      <c r="F29" t="s">
        <v>1575</v>
      </c>
    </row>
    <row r="30" spans="1:6" x14ac:dyDescent="0.25">
      <c r="A30" t="s">
        <v>6156</v>
      </c>
      <c r="B30" t="s">
        <v>6157</v>
      </c>
      <c r="C30" t="s">
        <v>4492</v>
      </c>
      <c r="D30" t="s">
        <v>4493</v>
      </c>
      <c r="E30" t="s">
        <v>4494</v>
      </c>
      <c r="F30" t="s">
        <v>1575</v>
      </c>
    </row>
    <row r="31" spans="1:6" x14ac:dyDescent="0.25">
      <c r="A31" t="s">
        <v>6250</v>
      </c>
      <c r="B31" t="s">
        <v>6251</v>
      </c>
      <c r="C31" t="s">
        <v>4492</v>
      </c>
      <c r="D31" t="s">
        <v>4493</v>
      </c>
      <c r="E31" t="s">
        <v>4494</v>
      </c>
      <c r="F31" t="s">
        <v>1575</v>
      </c>
    </row>
    <row r="32" spans="1:6" x14ac:dyDescent="0.25">
      <c r="A32" t="s">
        <v>6184</v>
      </c>
      <c r="B32" t="s">
        <v>6185</v>
      </c>
      <c r="C32" t="s">
        <v>4492</v>
      </c>
      <c r="D32" t="s">
        <v>4493</v>
      </c>
      <c r="E32" t="s">
        <v>4494</v>
      </c>
      <c r="F32" t="s">
        <v>1575</v>
      </c>
    </row>
    <row r="33" spans="1:6" x14ac:dyDescent="0.25">
      <c r="A33" t="s">
        <v>6162</v>
      </c>
      <c r="B33" t="s">
        <v>6163</v>
      </c>
      <c r="C33" t="s">
        <v>4492</v>
      </c>
      <c r="D33" t="s">
        <v>4493</v>
      </c>
      <c r="E33" t="s">
        <v>4494</v>
      </c>
      <c r="F33" t="s">
        <v>1575</v>
      </c>
    </row>
    <row r="34" spans="1:6" x14ac:dyDescent="0.25">
      <c r="A34" t="s">
        <v>6252</v>
      </c>
      <c r="B34" t="s">
        <v>6253</v>
      </c>
      <c r="C34" t="s">
        <v>4492</v>
      </c>
      <c r="D34" t="s">
        <v>4493</v>
      </c>
      <c r="E34" t="s">
        <v>4494</v>
      </c>
      <c r="F34" t="s">
        <v>1575</v>
      </c>
    </row>
    <row r="35" spans="1:6" x14ac:dyDescent="0.25">
      <c r="A35" t="s">
        <v>4731</v>
      </c>
      <c r="B35" t="s">
        <v>4732</v>
      </c>
      <c r="C35" t="s">
        <v>4492</v>
      </c>
      <c r="D35" t="s">
        <v>4493</v>
      </c>
      <c r="E35" t="s">
        <v>4494</v>
      </c>
      <c r="F35" t="s">
        <v>1575</v>
      </c>
    </row>
    <row r="36" spans="1:6" x14ac:dyDescent="0.25">
      <c r="A36" t="s">
        <v>4811</v>
      </c>
      <c r="B36" t="s">
        <v>4812</v>
      </c>
      <c r="C36" t="s">
        <v>4813</v>
      </c>
      <c r="D36" t="s">
        <v>4814</v>
      </c>
      <c r="E36">
        <v>608677497</v>
      </c>
      <c r="F36" t="s">
        <v>6734</v>
      </c>
    </row>
    <row r="37" spans="1:6" x14ac:dyDescent="0.25">
      <c r="A37" t="s">
        <v>5949</v>
      </c>
      <c r="B37" t="s">
        <v>5950</v>
      </c>
      <c r="C37" t="s">
        <v>4492</v>
      </c>
      <c r="D37" t="s">
        <v>4493</v>
      </c>
      <c r="E37" t="s">
        <v>4494</v>
      </c>
      <c r="F37" t="s">
        <v>1575</v>
      </c>
    </row>
    <row r="38" spans="1:6" x14ac:dyDescent="0.25">
      <c r="A38" t="s">
        <v>4515</v>
      </c>
      <c r="B38" t="s">
        <v>4516</v>
      </c>
      <c r="C38" t="s">
        <v>4492</v>
      </c>
      <c r="D38" t="s">
        <v>4493</v>
      </c>
      <c r="E38" t="s">
        <v>4494</v>
      </c>
      <c r="F38" t="s">
        <v>1575</v>
      </c>
    </row>
    <row r="39" spans="1:6" x14ac:dyDescent="0.25">
      <c r="A39" t="s">
        <v>5688</v>
      </c>
      <c r="B39" t="s">
        <v>5689</v>
      </c>
      <c r="C39" t="s">
        <v>4492</v>
      </c>
      <c r="D39" t="s">
        <v>4493</v>
      </c>
      <c r="E39" t="s">
        <v>4494</v>
      </c>
      <c r="F39" t="s">
        <v>1575</v>
      </c>
    </row>
    <row r="40" spans="1:6" x14ac:dyDescent="0.25">
      <c r="A40" t="s">
        <v>5931</v>
      </c>
      <c r="B40" t="s">
        <v>5932</v>
      </c>
      <c r="C40" t="s">
        <v>4492</v>
      </c>
      <c r="D40" t="s">
        <v>4493</v>
      </c>
      <c r="E40" t="s">
        <v>4494</v>
      </c>
      <c r="F40" t="s">
        <v>1575</v>
      </c>
    </row>
    <row r="41" spans="1:6" x14ac:dyDescent="0.25">
      <c r="A41" t="s">
        <v>5204</v>
      </c>
      <c r="B41" t="s">
        <v>5205</v>
      </c>
      <c r="C41" t="s">
        <v>4492</v>
      </c>
      <c r="D41" t="s">
        <v>4493</v>
      </c>
      <c r="E41" t="s">
        <v>4494</v>
      </c>
      <c r="F41" t="s">
        <v>1575</v>
      </c>
    </row>
    <row r="42" spans="1:6" x14ac:dyDescent="0.25">
      <c r="A42" t="s">
        <v>5495</v>
      </c>
      <c r="B42" t="s">
        <v>5496</v>
      </c>
      <c r="C42" t="s">
        <v>4492</v>
      </c>
      <c r="D42" t="s">
        <v>4493</v>
      </c>
      <c r="E42" t="s">
        <v>4494</v>
      </c>
      <c r="F42" t="s">
        <v>1575</v>
      </c>
    </row>
    <row r="43" spans="1:6" x14ac:dyDescent="0.25">
      <c r="A43" t="s">
        <v>5755</v>
      </c>
      <c r="B43" t="s">
        <v>5756</v>
      </c>
      <c r="C43" t="s">
        <v>4492</v>
      </c>
      <c r="D43" t="s">
        <v>4493</v>
      </c>
      <c r="E43" t="s">
        <v>4494</v>
      </c>
      <c r="F43" t="s">
        <v>1575</v>
      </c>
    </row>
    <row r="44" spans="1:6" x14ac:dyDescent="0.25">
      <c r="A44" t="s">
        <v>5545</v>
      </c>
      <c r="B44" t="s">
        <v>5546</v>
      </c>
      <c r="C44" t="s">
        <v>4492</v>
      </c>
      <c r="D44" t="s">
        <v>4493</v>
      </c>
      <c r="E44" t="s">
        <v>4494</v>
      </c>
      <c r="F44" t="s">
        <v>1575</v>
      </c>
    </row>
    <row r="45" spans="1:6" x14ac:dyDescent="0.25">
      <c r="A45" t="s">
        <v>5696</v>
      </c>
      <c r="B45" t="s">
        <v>5697</v>
      </c>
      <c r="C45" t="s">
        <v>4492</v>
      </c>
      <c r="D45" t="s">
        <v>4493</v>
      </c>
      <c r="E45" t="s">
        <v>4494</v>
      </c>
      <c r="F45" t="s">
        <v>1575</v>
      </c>
    </row>
    <row r="46" spans="1:6" x14ac:dyDescent="0.25">
      <c r="A46" t="s">
        <v>4643</v>
      </c>
      <c r="B46" t="s">
        <v>4644</v>
      </c>
      <c r="C46" t="s">
        <v>4492</v>
      </c>
      <c r="D46" t="s">
        <v>4493</v>
      </c>
      <c r="E46" t="s">
        <v>4494</v>
      </c>
      <c r="F46" t="s">
        <v>1575</v>
      </c>
    </row>
    <row r="47" spans="1:6" x14ac:dyDescent="0.25">
      <c r="A47" t="s">
        <v>5559</v>
      </c>
      <c r="B47" t="s">
        <v>5560</v>
      </c>
      <c r="C47" t="s">
        <v>4492</v>
      </c>
      <c r="D47" t="s">
        <v>4493</v>
      </c>
      <c r="E47" t="s">
        <v>4494</v>
      </c>
      <c r="F47" t="s">
        <v>1575</v>
      </c>
    </row>
    <row r="48" spans="1:6" x14ac:dyDescent="0.25">
      <c r="A48" t="s">
        <v>5290</v>
      </c>
      <c r="B48" t="s">
        <v>5291</v>
      </c>
      <c r="C48" t="s">
        <v>4492</v>
      </c>
      <c r="D48" t="s">
        <v>4493</v>
      </c>
      <c r="E48" t="s">
        <v>4494</v>
      </c>
      <c r="F48" t="s">
        <v>1575</v>
      </c>
    </row>
    <row r="49" spans="1:6" x14ac:dyDescent="0.25">
      <c r="A49" t="s">
        <v>5200</v>
      </c>
      <c r="B49" t="s">
        <v>5201</v>
      </c>
      <c r="C49" t="s">
        <v>4492</v>
      </c>
      <c r="D49" t="s">
        <v>4493</v>
      </c>
      <c r="E49" t="s">
        <v>4494</v>
      </c>
      <c r="F49" t="s">
        <v>1575</v>
      </c>
    </row>
    <row r="50" spans="1:6" x14ac:dyDescent="0.25">
      <c r="A50" t="s">
        <v>6000</v>
      </c>
      <c r="B50" t="s">
        <v>6001</v>
      </c>
      <c r="C50" t="s">
        <v>4492</v>
      </c>
      <c r="D50" t="s">
        <v>4493</v>
      </c>
      <c r="E50" t="s">
        <v>4494</v>
      </c>
      <c r="F50" t="s">
        <v>1575</v>
      </c>
    </row>
    <row r="51" spans="1:6" x14ac:dyDescent="0.25">
      <c r="A51" t="s">
        <v>4845</v>
      </c>
      <c r="B51" t="s">
        <v>4846</v>
      </c>
      <c r="C51" t="s">
        <v>4492</v>
      </c>
      <c r="D51" t="s">
        <v>4493</v>
      </c>
      <c r="E51" t="s">
        <v>4494</v>
      </c>
      <c r="F51" t="s">
        <v>1575</v>
      </c>
    </row>
    <row r="52" spans="1:6" x14ac:dyDescent="0.25">
      <c r="A52" t="s">
        <v>5714</v>
      </c>
      <c r="B52" t="s">
        <v>5715</v>
      </c>
      <c r="C52" t="s">
        <v>4492</v>
      </c>
      <c r="D52" t="s">
        <v>4493</v>
      </c>
      <c r="E52" t="s">
        <v>4494</v>
      </c>
      <c r="F52" t="s">
        <v>1575</v>
      </c>
    </row>
    <row r="53" spans="1:6" x14ac:dyDescent="0.25">
      <c r="A53" t="s">
        <v>6136</v>
      </c>
      <c r="B53" t="s">
        <v>6137</v>
      </c>
      <c r="C53" t="s">
        <v>4492</v>
      </c>
      <c r="D53" t="s">
        <v>4493</v>
      </c>
      <c r="E53" t="s">
        <v>4494</v>
      </c>
      <c r="F53" t="s">
        <v>1575</v>
      </c>
    </row>
    <row r="54" spans="1:6" x14ac:dyDescent="0.25">
      <c r="A54" t="s">
        <v>5575</v>
      </c>
      <c r="B54" t="s">
        <v>5576</v>
      </c>
      <c r="C54" t="s">
        <v>4492</v>
      </c>
      <c r="D54" t="s">
        <v>4493</v>
      </c>
      <c r="E54" t="s">
        <v>4494</v>
      </c>
      <c r="F54" t="s">
        <v>1575</v>
      </c>
    </row>
    <row r="55" spans="1:6" x14ac:dyDescent="0.25">
      <c r="A55" t="s">
        <v>6032</v>
      </c>
      <c r="B55" t="s">
        <v>6033</v>
      </c>
      <c r="C55" t="s">
        <v>4492</v>
      </c>
      <c r="D55" t="s">
        <v>4493</v>
      </c>
      <c r="E55" t="s">
        <v>4494</v>
      </c>
      <c r="F55" t="s">
        <v>1575</v>
      </c>
    </row>
    <row r="56" spans="1:6" x14ac:dyDescent="0.25">
      <c r="A56" t="s">
        <v>5326</v>
      </c>
      <c r="B56" t="s">
        <v>5327</v>
      </c>
      <c r="C56" t="s">
        <v>4492</v>
      </c>
      <c r="D56" t="s">
        <v>4493</v>
      </c>
      <c r="E56" t="s">
        <v>4494</v>
      </c>
      <c r="F56" t="s">
        <v>1575</v>
      </c>
    </row>
    <row r="57" spans="1:6" x14ac:dyDescent="0.25">
      <c r="A57" t="s">
        <v>6044</v>
      </c>
      <c r="B57" t="s">
        <v>6045</v>
      </c>
      <c r="C57" t="s">
        <v>4492</v>
      </c>
      <c r="D57" t="s">
        <v>4493</v>
      </c>
      <c r="E57" t="s">
        <v>4494</v>
      </c>
      <c r="F57" t="s">
        <v>1575</v>
      </c>
    </row>
    <row r="58" spans="1:6" x14ac:dyDescent="0.25">
      <c r="A58" t="s">
        <v>5531</v>
      </c>
      <c r="B58" t="s">
        <v>5532</v>
      </c>
      <c r="C58" t="s">
        <v>4492</v>
      </c>
      <c r="D58" t="s">
        <v>4493</v>
      </c>
      <c r="E58" t="s">
        <v>4494</v>
      </c>
      <c r="F58" t="s">
        <v>1575</v>
      </c>
    </row>
    <row r="59" spans="1:6" x14ac:dyDescent="0.25">
      <c r="A59" t="s">
        <v>4847</v>
      </c>
      <c r="B59" t="s">
        <v>4848</v>
      </c>
      <c r="C59" t="s">
        <v>4492</v>
      </c>
      <c r="D59" t="s">
        <v>4493</v>
      </c>
      <c r="E59" t="s">
        <v>4494</v>
      </c>
      <c r="F59" t="s">
        <v>1575</v>
      </c>
    </row>
    <row r="60" spans="1:6" x14ac:dyDescent="0.25">
      <c r="A60" t="s">
        <v>4893</v>
      </c>
      <c r="B60" t="s">
        <v>4894</v>
      </c>
      <c r="C60" t="s">
        <v>4492</v>
      </c>
      <c r="D60" t="s">
        <v>4493</v>
      </c>
      <c r="E60" t="s">
        <v>4494</v>
      </c>
      <c r="F60" t="s">
        <v>1575</v>
      </c>
    </row>
    <row r="61" spans="1:6" x14ac:dyDescent="0.25">
      <c r="A61" t="s">
        <v>5885</v>
      </c>
      <c r="B61" t="s">
        <v>5886</v>
      </c>
      <c r="C61" t="s">
        <v>4492</v>
      </c>
      <c r="D61" t="s">
        <v>4493</v>
      </c>
      <c r="E61" t="s">
        <v>4494</v>
      </c>
      <c r="F61" t="s">
        <v>1575</v>
      </c>
    </row>
    <row r="62" spans="1:6" x14ac:dyDescent="0.25">
      <c r="A62" t="s">
        <v>4527</v>
      </c>
      <c r="B62" t="s">
        <v>4528</v>
      </c>
      <c r="C62" t="s">
        <v>4492</v>
      </c>
      <c r="D62" t="s">
        <v>4493</v>
      </c>
      <c r="E62" t="s">
        <v>4494</v>
      </c>
      <c r="F62" t="s">
        <v>1575</v>
      </c>
    </row>
    <row r="63" spans="1:6" x14ac:dyDescent="0.25">
      <c r="A63" t="s">
        <v>5328</v>
      </c>
      <c r="B63" t="s">
        <v>5329</v>
      </c>
      <c r="C63" t="s">
        <v>4492</v>
      </c>
      <c r="D63" t="s">
        <v>4493</v>
      </c>
      <c r="E63" t="s">
        <v>4494</v>
      </c>
      <c r="F63" t="s">
        <v>1575</v>
      </c>
    </row>
    <row r="64" spans="1:6" x14ac:dyDescent="0.25">
      <c r="A64" t="s">
        <v>5369</v>
      </c>
      <c r="B64" t="s">
        <v>5370</v>
      </c>
      <c r="C64" t="s">
        <v>4492</v>
      </c>
      <c r="D64" t="s">
        <v>4493</v>
      </c>
      <c r="E64" t="s">
        <v>4494</v>
      </c>
      <c r="F64" t="s">
        <v>1575</v>
      </c>
    </row>
    <row r="65" spans="1:6" x14ac:dyDescent="0.25">
      <c r="A65" t="s">
        <v>5160</v>
      </c>
      <c r="B65" t="s">
        <v>5161</v>
      </c>
      <c r="C65" t="s">
        <v>4492</v>
      </c>
      <c r="D65" t="s">
        <v>4493</v>
      </c>
      <c r="E65" t="s">
        <v>4494</v>
      </c>
      <c r="F65" t="s">
        <v>1575</v>
      </c>
    </row>
    <row r="66" spans="1:6" x14ac:dyDescent="0.25">
      <c r="A66" t="s">
        <v>4923</v>
      </c>
      <c r="B66" t="s">
        <v>4924</v>
      </c>
      <c r="C66" t="s">
        <v>4492</v>
      </c>
      <c r="D66" t="s">
        <v>4493</v>
      </c>
      <c r="E66" t="s">
        <v>4494</v>
      </c>
      <c r="F66" t="s">
        <v>1575</v>
      </c>
    </row>
    <row r="67" spans="1:6" x14ac:dyDescent="0.25">
      <c r="A67" t="s">
        <v>4600</v>
      </c>
      <c r="B67" t="s">
        <v>4601</v>
      </c>
      <c r="C67" t="s">
        <v>4492</v>
      </c>
      <c r="D67" t="s">
        <v>4493</v>
      </c>
      <c r="E67" t="s">
        <v>4494</v>
      </c>
      <c r="F67" t="s">
        <v>1575</v>
      </c>
    </row>
    <row r="68" spans="1:6" x14ac:dyDescent="0.25">
      <c r="A68" t="s">
        <v>5745</v>
      </c>
      <c r="B68" t="s">
        <v>5746</v>
      </c>
      <c r="C68" t="s">
        <v>4492</v>
      </c>
      <c r="D68" t="s">
        <v>4493</v>
      </c>
      <c r="E68" t="s">
        <v>4494</v>
      </c>
      <c r="F68" t="s">
        <v>1575</v>
      </c>
    </row>
    <row r="69" spans="1:6" x14ac:dyDescent="0.25">
      <c r="A69" t="s">
        <v>5829</v>
      </c>
      <c r="B69" t="s">
        <v>5830</v>
      </c>
      <c r="C69" t="s">
        <v>4492</v>
      </c>
      <c r="D69" t="s">
        <v>4493</v>
      </c>
      <c r="E69" t="s">
        <v>4494</v>
      </c>
      <c r="F69" t="s">
        <v>1575</v>
      </c>
    </row>
    <row r="70" spans="1:6" x14ac:dyDescent="0.25">
      <c r="A70" t="s">
        <v>4653</v>
      </c>
      <c r="B70" t="s">
        <v>4654</v>
      </c>
      <c r="C70" t="s">
        <v>4492</v>
      </c>
      <c r="D70" t="s">
        <v>4493</v>
      </c>
      <c r="E70" t="s">
        <v>4494</v>
      </c>
      <c r="F70" t="s">
        <v>1575</v>
      </c>
    </row>
    <row r="71" spans="1:6" x14ac:dyDescent="0.25">
      <c r="A71" t="s">
        <v>5158</v>
      </c>
      <c r="B71" t="s">
        <v>5159</v>
      </c>
      <c r="C71" t="s">
        <v>4492</v>
      </c>
      <c r="D71" t="s">
        <v>4493</v>
      </c>
      <c r="E71" t="s">
        <v>4494</v>
      </c>
      <c r="F71" t="s">
        <v>1575</v>
      </c>
    </row>
    <row r="72" spans="1:6" x14ac:dyDescent="0.25">
      <c r="A72" t="s">
        <v>6389</v>
      </c>
      <c r="B72" t="s">
        <v>6390</v>
      </c>
      <c r="C72" t="s">
        <v>4492</v>
      </c>
      <c r="D72" t="s">
        <v>4493</v>
      </c>
      <c r="E72" t="s">
        <v>4494</v>
      </c>
      <c r="F72" t="s">
        <v>1575</v>
      </c>
    </row>
    <row r="73" spans="1:6" x14ac:dyDescent="0.25">
      <c r="A73" t="s">
        <v>4979</v>
      </c>
      <c r="B73" t="s">
        <v>4980</v>
      </c>
      <c r="C73" t="s">
        <v>4492</v>
      </c>
      <c r="D73" t="s">
        <v>4493</v>
      </c>
      <c r="E73" t="s">
        <v>4494</v>
      </c>
      <c r="F73" t="s">
        <v>1575</v>
      </c>
    </row>
    <row r="74" spans="1:6" x14ac:dyDescent="0.25">
      <c r="A74" t="s">
        <v>4568</v>
      </c>
      <c r="B74" t="s">
        <v>4569</v>
      </c>
      <c r="C74" t="s">
        <v>4492</v>
      </c>
      <c r="D74" t="s">
        <v>4493</v>
      </c>
      <c r="E74" t="s">
        <v>4494</v>
      </c>
      <c r="F74" t="s">
        <v>1575</v>
      </c>
    </row>
    <row r="75" spans="1:6" x14ac:dyDescent="0.25">
      <c r="A75" t="s">
        <v>5340</v>
      </c>
      <c r="B75" t="s">
        <v>5341</v>
      </c>
      <c r="C75" t="s">
        <v>4492</v>
      </c>
      <c r="D75" t="s">
        <v>4493</v>
      </c>
      <c r="E75" t="s">
        <v>4494</v>
      </c>
      <c r="F75" t="s">
        <v>1575</v>
      </c>
    </row>
    <row r="76" spans="1:6" x14ac:dyDescent="0.25">
      <c r="A76" t="s">
        <v>7171</v>
      </c>
      <c r="B76" t="s">
        <v>7170</v>
      </c>
      <c r="C76" t="s">
        <v>4492</v>
      </c>
      <c r="D76" t="s">
        <v>4493</v>
      </c>
      <c r="E76" t="s">
        <v>4494</v>
      </c>
      <c r="F76" t="s">
        <v>1575</v>
      </c>
    </row>
    <row r="77" spans="1:6" x14ac:dyDescent="0.25">
      <c r="A77" t="s">
        <v>4566</v>
      </c>
      <c r="B77" t="s">
        <v>4567</v>
      </c>
      <c r="C77" t="s">
        <v>4492</v>
      </c>
      <c r="D77" t="s">
        <v>4493</v>
      </c>
      <c r="E77" t="s">
        <v>4494</v>
      </c>
      <c r="F77" t="s">
        <v>1575</v>
      </c>
    </row>
    <row r="78" spans="1:6" x14ac:dyDescent="0.25">
      <c r="A78" t="s">
        <v>6134</v>
      </c>
      <c r="B78" t="s">
        <v>6135</v>
      </c>
      <c r="C78" t="s">
        <v>4492</v>
      </c>
      <c r="D78" t="s">
        <v>4493</v>
      </c>
      <c r="E78" t="s">
        <v>4494</v>
      </c>
      <c r="F78" t="s">
        <v>1575</v>
      </c>
    </row>
    <row r="79" spans="1:6" x14ac:dyDescent="0.25">
      <c r="A79" t="s">
        <v>6118</v>
      </c>
      <c r="B79" t="s">
        <v>6119</v>
      </c>
      <c r="C79" t="s">
        <v>4492</v>
      </c>
      <c r="D79" t="s">
        <v>4493</v>
      </c>
      <c r="E79" t="s">
        <v>4494</v>
      </c>
      <c r="F79" t="s">
        <v>1575</v>
      </c>
    </row>
    <row r="80" spans="1:6" x14ac:dyDescent="0.25">
      <c r="A80" t="s">
        <v>5678</v>
      </c>
      <c r="B80" t="s">
        <v>5679</v>
      </c>
      <c r="C80" t="s">
        <v>4492</v>
      </c>
      <c r="D80" t="s">
        <v>4493</v>
      </c>
      <c r="E80" t="s">
        <v>4494</v>
      </c>
      <c r="F80" t="s">
        <v>1575</v>
      </c>
    </row>
    <row r="81" spans="1:6" x14ac:dyDescent="0.25">
      <c r="A81" t="s">
        <v>5994</v>
      </c>
      <c r="B81" t="s">
        <v>5995</v>
      </c>
      <c r="C81" t="s">
        <v>4492</v>
      </c>
      <c r="D81" t="s">
        <v>4493</v>
      </c>
      <c r="E81" t="s">
        <v>4494</v>
      </c>
      <c r="F81" t="s">
        <v>1575</v>
      </c>
    </row>
    <row r="82" spans="1:6" x14ac:dyDescent="0.25">
      <c r="A82" t="s">
        <v>4933</v>
      </c>
      <c r="B82" t="s">
        <v>4934</v>
      </c>
      <c r="C82" t="s">
        <v>4492</v>
      </c>
      <c r="D82" t="s">
        <v>4493</v>
      </c>
      <c r="E82" t="s">
        <v>4494</v>
      </c>
      <c r="F82" t="s">
        <v>1575</v>
      </c>
    </row>
    <row r="83" spans="1:6" x14ac:dyDescent="0.25">
      <c r="A83" t="s">
        <v>4909</v>
      </c>
      <c r="B83" t="s">
        <v>4910</v>
      </c>
      <c r="C83" t="s">
        <v>4492</v>
      </c>
      <c r="D83" t="s">
        <v>4493</v>
      </c>
      <c r="E83" t="s">
        <v>4494</v>
      </c>
      <c r="F83" t="s">
        <v>1575</v>
      </c>
    </row>
    <row r="84" spans="1:6" x14ac:dyDescent="0.25">
      <c r="A84" t="s">
        <v>4871</v>
      </c>
      <c r="B84" t="s">
        <v>4872</v>
      </c>
      <c r="C84" t="s">
        <v>4492</v>
      </c>
      <c r="D84" t="s">
        <v>4493</v>
      </c>
      <c r="E84" t="s">
        <v>4494</v>
      </c>
      <c r="F84" t="s">
        <v>1575</v>
      </c>
    </row>
    <row r="85" spans="1:6" x14ac:dyDescent="0.25">
      <c r="A85" t="s">
        <v>5503</v>
      </c>
      <c r="B85" t="s">
        <v>5504</v>
      </c>
      <c r="C85" t="s">
        <v>4492</v>
      </c>
      <c r="D85" t="s">
        <v>4493</v>
      </c>
      <c r="E85" t="s">
        <v>4494</v>
      </c>
      <c r="F85" t="s">
        <v>1575</v>
      </c>
    </row>
    <row r="86" spans="1:6" x14ac:dyDescent="0.25">
      <c r="A86" t="s">
        <v>5910</v>
      </c>
      <c r="B86" t="s">
        <v>5911</v>
      </c>
      <c r="C86" t="s">
        <v>1584</v>
      </c>
      <c r="D86" t="s">
        <v>4939</v>
      </c>
      <c r="E86">
        <v>629650764</v>
      </c>
      <c r="F86" t="s">
        <v>6782</v>
      </c>
    </row>
    <row r="87" spans="1:6" x14ac:dyDescent="0.25">
      <c r="A87" t="s">
        <v>5121</v>
      </c>
      <c r="B87" t="s">
        <v>5122</v>
      </c>
      <c r="C87" t="s">
        <v>1584</v>
      </c>
      <c r="D87" t="s">
        <v>4939</v>
      </c>
      <c r="E87">
        <v>629650764</v>
      </c>
      <c r="F87" t="s">
        <v>6782</v>
      </c>
    </row>
    <row r="88" spans="1:6" x14ac:dyDescent="0.25">
      <c r="A88" t="s">
        <v>4767</v>
      </c>
      <c r="B88" t="s">
        <v>4768</v>
      </c>
      <c r="C88" t="s">
        <v>4492</v>
      </c>
      <c r="D88" t="s">
        <v>4493</v>
      </c>
      <c r="E88" t="s">
        <v>4494</v>
      </c>
      <c r="F88" t="s">
        <v>1575</v>
      </c>
    </row>
    <row r="89" spans="1:6" x14ac:dyDescent="0.25">
      <c r="A89" t="s">
        <v>5125</v>
      </c>
      <c r="B89" t="s">
        <v>5126</v>
      </c>
      <c r="C89" t="s">
        <v>4492</v>
      </c>
      <c r="D89" t="s">
        <v>4493</v>
      </c>
      <c r="E89" t="s">
        <v>4494</v>
      </c>
      <c r="F89" t="s">
        <v>1575</v>
      </c>
    </row>
    <row r="90" spans="1:6" x14ac:dyDescent="0.25">
      <c r="A90" t="s">
        <v>5243</v>
      </c>
      <c r="B90" t="s">
        <v>5244</v>
      </c>
      <c r="C90" t="s">
        <v>4492</v>
      </c>
      <c r="D90" t="s">
        <v>4493</v>
      </c>
      <c r="E90" t="s">
        <v>4494</v>
      </c>
      <c r="F90" t="s">
        <v>1575</v>
      </c>
    </row>
    <row r="91" spans="1:6" x14ac:dyDescent="0.25">
      <c r="A91" t="s">
        <v>4897</v>
      </c>
      <c r="B91" t="s">
        <v>4898</v>
      </c>
      <c r="C91" t="s">
        <v>4492</v>
      </c>
      <c r="D91" t="s">
        <v>4493</v>
      </c>
      <c r="E91" t="s">
        <v>4494</v>
      </c>
      <c r="F91" t="s">
        <v>1575</v>
      </c>
    </row>
    <row r="92" spans="1:6" x14ac:dyDescent="0.25">
      <c r="A92" t="s">
        <v>5263</v>
      </c>
      <c r="B92" t="s">
        <v>5264</v>
      </c>
      <c r="C92" t="s">
        <v>4492</v>
      </c>
      <c r="D92" t="s">
        <v>4493</v>
      </c>
      <c r="E92" t="s">
        <v>4494</v>
      </c>
      <c r="F92" t="s">
        <v>1575</v>
      </c>
    </row>
    <row r="93" spans="1:6" x14ac:dyDescent="0.25">
      <c r="A93" t="s">
        <v>4513</v>
      </c>
      <c r="B93" t="s">
        <v>4514</v>
      </c>
      <c r="C93" t="s">
        <v>4492</v>
      </c>
      <c r="D93" t="s">
        <v>4493</v>
      </c>
      <c r="E93" t="s">
        <v>4494</v>
      </c>
      <c r="F93" t="s">
        <v>1575</v>
      </c>
    </row>
    <row r="94" spans="1:6" x14ac:dyDescent="0.25">
      <c r="A94" t="s">
        <v>6274</v>
      </c>
      <c r="B94" t="s">
        <v>6275</v>
      </c>
      <c r="C94" t="s">
        <v>4492</v>
      </c>
      <c r="D94" t="s">
        <v>4493</v>
      </c>
      <c r="E94" t="s">
        <v>4494</v>
      </c>
      <c r="F94" t="s">
        <v>1575</v>
      </c>
    </row>
    <row r="95" spans="1:6" x14ac:dyDescent="0.25">
      <c r="A95" t="s">
        <v>6350</v>
      </c>
      <c r="B95" t="s">
        <v>6351</v>
      </c>
      <c r="C95" t="s">
        <v>4492</v>
      </c>
      <c r="D95" t="s">
        <v>4493</v>
      </c>
      <c r="E95" t="s">
        <v>4494</v>
      </c>
      <c r="F95" t="s">
        <v>1575</v>
      </c>
    </row>
    <row r="96" spans="1:6" x14ac:dyDescent="0.25">
      <c r="A96" t="s">
        <v>5515</v>
      </c>
      <c r="B96" t="s">
        <v>5516</v>
      </c>
      <c r="C96" t="s">
        <v>4492</v>
      </c>
      <c r="D96" t="s">
        <v>4493</v>
      </c>
      <c r="E96" t="s">
        <v>4494</v>
      </c>
      <c r="F96" t="s">
        <v>1575</v>
      </c>
    </row>
    <row r="97" spans="1:6" x14ac:dyDescent="0.25">
      <c r="A97" t="s">
        <v>5210</v>
      </c>
      <c r="B97" t="s">
        <v>5211</v>
      </c>
      <c r="C97" t="s">
        <v>4492</v>
      </c>
      <c r="D97" t="s">
        <v>4493</v>
      </c>
      <c r="E97" t="s">
        <v>4494</v>
      </c>
      <c r="F97" t="s">
        <v>1575</v>
      </c>
    </row>
    <row r="98" spans="1:6" x14ac:dyDescent="0.25">
      <c r="A98" t="s">
        <v>5210</v>
      </c>
      <c r="B98" t="s">
        <v>6915</v>
      </c>
      <c r="C98" t="s">
        <v>1735</v>
      </c>
      <c r="D98" t="s">
        <v>5364</v>
      </c>
      <c r="E98">
        <v>690606852</v>
      </c>
      <c r="F98" t="s">
        <v>6750</v>
      </c>
    </row>
    <row r="99" spans="1:6" x14ac:dyDescent="0.25">
      <c r="A99" t="s">
        <v>5668</v>
      </c>
      <c r="B99" t="s">
        <v>5669</v>
      </c>
      <c r="C99" t="s">
        <v>4492</v>
      </c>
      <c r="D99" t="s">
        <v>4493</v>
      </c>
      <c r="E99" t="s">
        <v>4494</v>
      </c>
      <c r="F99" t="s">
        <v>1575</v>
      </c>
    </row>
    <row r="100" spans="1:6" x14ac:dyDescent="0.25">
      <c r="A100" t="s">
        <v>4946</v>
      </c>
      <c r="B100" t="s">
        <v>4947</v>
      </c>
      <c r="C100" t="s">
        <v>4492</v>
      </c>
      <c r="D100" t="s">
        <v>4493</v>
      </c>
      <c r="E100" t="s">
        <v>4494</v>
      </c>
      <c r="F100" t="s">
        <v>1575</v>
      </c>
    </row>
    <row r="101" spans="1:6" x14ac:dyDescent="0.25">
      <c r="A101" t="s">
        <v>6230</v>
      </c>
      <c r="B101" t="s">
        <v>6231</v>
      </c>
      <c r="C101" t="s">
        <v>4492</v>
      </c>
      <c r="D101" t="s">
        <v>4493</v>
      </c>
      <c r="E101" t="s">
        <v>4494</v>
      </c>
      <c r="F101" t="s">
        <v>1575</v>
      </c>
    </row>
    <row r="102" spans="1:6" x14ac:dyDescent="0.25">
      <c r="A102" t="s">
        <v>6190</v>
      </c>
      <c r="B102" t="s">
        <v>6191</v>
      </c>
      <c r="C102" t="s">
        <v>2136</v>
      </c>
      <c r="D102" t="s">
        <v>4591</v>
      </c>
      <c r="E102">
        <v>683705001</v>
      </c>
      <c r="F102" t="s">
        <v>6688</v>
      </c>
    </row>
    <row r="103" spans="1:6" x14ac:dyDescent="0.25">
      <c r="A103" t="s">
        <v>6192</v>
      </c>
      <c r="B103" t="s">
        <v>6193</v>
      </c>
      <c r="C103" t="s">
        <v>4492</v>
      </c>
      <c r="D103" t="s">
        <v>4493</v>
      </c>
      <c r="E103" t="s">
        <v>4494</v>
      </c>
      <c r="F103" t="s">
        <v>1575</v>
      </c>
    </row>
    <row r="104" spans="1:6" x14ac:dyDescent="0.25">
      <c r="A104" t="s">
        <v>6152</v>
      </c>
      <c r="B104" t="s">
        <v>6153</v>
      </c>
      <c r="C104" t="s">
        <v>4492</v>
      </c>
      <c r="D104" t="s">
        <v>4493</v>
      </c>
      <c r="E104" t="s">
        <v>4494</v>
      </c>
      <c r="F104" t="s">
        <v>1575</v>
      </c>
    </row>
    <row r="105" spans="1:6" x14ac:dyDescent="0.25">
      <c r="A105" t="s">
        <v>6212</v>
      </c>
      <c r="B105" t="s">
        <v>6213</v>
      </c>
      <c r="C105" t="s">
        <v>4492</v>
      </c>
      <c r="D105" t="s">
        <v>4493</v>
      </c>
      <c r="E105" t="s">
        <v>4494</v>
      </c>
      <c r="F105" t="s">
        <v>1575</v>
      </c>
    </row>
    <row r="106" spans="1:6" x14ac:dyDescent="0.25">
      <c r="A106" t="s">
        <v>6178</v>
      </c>
      <c r="B106" t="s">
        <v>6179</v>
      </c>
      <c r="C106" t="s">
        <v>4492</v>
      </c>
      <c r="D106" t="s">
        <v>4493</v>
      </c>
      <c r="E106" t="s">
        <v>4494</v>
      </c>
      <c r="F106" t="s">
        <v>1575</v>
      </c>
    </row>
    <row r="107" spans="1:6" x14ac:dyDescent="0.25">
      <c r="A107" t="s">
        <v>6154</v>
      </c>
      <c r="B107" t="s">
        <v>6155</v>
      </c>
      <c r="C107" t="s">
        <v>4492</v>
      </c>
      <c r="D107" t="s">
        <v>4493</v>
      </c>
      <c r="E107" t="s">
        <v>4494</v>
      </c>
      <c r="F107" t="s">
        <v>1575</v>
      </c>
    </row>
    <row r="108" spans="1:6" x14ac:dyDescent="0.25">
      <c r="A108" t="s">
        <v>6146</v>
      </c>
      <c r="B108" t="s">
        <v>6147</v>
      </c>
      <c r="C108" t="s">
        <v>4492</v>
      </c>
      <c r="D108" t="s">
        <v>4493</v>
      </c>
      <c r="E108" t="s">
        <v>4494</v>
      </c>
      <c r="F108" t="s">
        <v>1575</v>
      </c>
    </row>
    <row r="109" spans="1:6" x14ac:dyDescent="0.25">
      <c r="A109" t="s">
        <v>6168</v>
      </c>
      <c r="B109" t="s">
        <v>6169</v>
      </c>
      <c r="C109" t="s">
        <v>4492</v>
      </c>
      <c r="D109" t="s">
        <v>4493</v>
      </c>
      <c r="E109" t="s">
        <v>4494</v>
      </c>
      <c r="F109" t="s">
        <v>1575</v>
      </c>
    </row>
    <row r="110" spans="1:6" x14ac:dyDescent="0.25">
      <c r="A110" t="s">
        <v>6206</v>
      </c>
      <c r="B110" t="s">
        <v>6207</v>
      </c>
      <c r="C110" t="s">
        <v>4492</v>
      </c>
      <c r="D110" t="s">
        <v>4493</v>
      </c>
      <c r="E110" t="s">
        <v>4494</v>
      </c>
      <c r="F110" t="s">
        <v>1575</v>
      </c>
    </row>
    <row r="111" spans="1:6" x14ac:dyDescent="0.25">
      <c r="A111" t="s">
        <v>6254</v>
      </c>
      <c r="B111" t="s">
        <v>6255</v>
      </c>
      <c r="C111" t="s">
        <v>4492</v>
      </c>
      <c r="D111" t="s">
        <v>4493</v>
      </c>
      <c r="E111" t="s">
        <v>4494</v>
      </c>
      <c r="F111" t="s">
        <v>1575</v>
      </c>
    </row>
    <row r="112" spans="1:6" x14ac:dyDescent="0.25">
      <c r="A112" t="s">
        <v>6246</v>
      </c>
      <c r="B112" t="s">
        <v>6247</v>
      </c>
      <c r="C112" t="s">
        <v>4492</v>
      </c>
      <c r="D112" t="s">
        <v>4493</v>
      </c>
      <c r="E112" t="s">
        <v>4494</v>
      </c>
      <c r="F112" t="s">
        <v>1575</v>
      </c>
    </row>
    <row r="113" spans="1:6" x14ac:dyDescent="0.25">
      <c r="A113" t="s">
        <v>6194</v>
      </c>
      <c r="B113" t="s">
        <v>6195</v>
      </c>
      <c r="C113" t="s">
        <v>4492</v>
      </c>
      <c r="D113" t="s">
        <v>4493</v>
      </c>
      <c r="E113" t="s">
        <v>4494</v>
      </c>
      <c r="F113" t="s">
        <v>1575</v>
      </c>
    </row>
    <row r="114" spans="1:6" x14ac:dyDescent="0.25">
      <c r="A114" t="s">
        <v>6196</v>
      </c>
      <c r="B114" t="s">
        <v>6197</v>
      </c>
      <c r="C114" t="s">
        <v>4492</v>
      </c>
      <c r="D114" t="s">
        <v>4493</v>
      </c>
      <c r="E114" t="s">
        <v>4494</v>
      </c>
      <c r="F114" t="s">
        <v>1575</v>
      </c>
    </row>
    <row r="115" spans="1:6" x14ac:dyDescent="0.25">
      <c r="A115" t="s">
        <v>6214</v>
      </c>
      <c r="B115" t="s">
        <v>6215</v>
      </c>
      <c r="C115" t="s">
        <v>4492</v>
      </c>
      <c r="D115" t="s">
        <v>4493</v>
      </c>
      <c r="E115" t="s">
        <v>4494</v>
      </c>
      <c r="F115" t="s">
        <v>1575</v>
      </c>
    </row>
    <row r="116" spans="1:6" x14ac:dyDescent="0.25">
      <c r="A116" t="s">
        <v>6232</v>
      </c>
      <c r="B116" t="s">
        <v>6233</v>
      </c>
      <c r="C116" t="s">
        <v>4492</v>
      </c>
      <c r="D116" t="s">
        <v>4493</v>
      </c>
      <c r="E116" t="s">
        <v>4494</v>
      </c>
      <c r="F116" t="s">
        <v>1575</v>
      </c>
    </row>
    <row r="117" spans="1:6" x14ac:dyDescent="0.25">
      <c r="A117" t="s">
        <v>6148</v>
      </c>
      <c r="B117" t="s">
        <v>6149</v>
      </c>
      <c r="C117" t="s">
        <v>4492</v>
      </c>
      <c r="D117" t="s">
        <v>4493</v>
      </c>
      <c r="E117" t="s">
        <v>4494</v>
      </c>
      <c r="F117" t="s">
        <v>1575</v>
      </c>
    </row>
    <row r="118" spans="1:6" x14ac:dyDescent="0.25">
      <c r="A118" t="s">
        <v>6234</v>
      </c>
      <c r="B118" t="s">
        <v>6235</v>
      </c>
      <c r="C118" t="s">
        <v>4492</v>
      </c>
      <c r="D118" t="s">
        <v>4493</v>
      </c>
      <c r="E118" t="s">
        <v>4494</v>
      </c>
      <c r="F118" t="s">
        <v>1575</v>
      </c>
    </row>
    <row r="119" spans="1:6" x14ac:dyDescent="0.25">
      <c r="A119" t="s">
        <v>6236</v>
      </c>
      <c r="B119" t="s">
        <v>6237</v>
      </c>
      <c r="C119" t="s">
        <v>4492</v>
      </c>
      <c r="D119" t="s">
        <v>4493</v>
      </c>
      <c r="E119" t="s">
        <v>4494</v>
      </c>
      <c r="F119" t="s">
        <v>1575</v>
      </c>
    </row>
    <row r="120" spans="1:6" x14ac:dyDescent="0.25">
      <c r="A120" t="s">
        <v>6216</v>
      </c>
      <c r="B120" t="s">
        <v>6217</v>
      </c>
      <c r="C120" t="s">
        <v>4492</v>
      </c>
      <c r="D120" t="s">
        <v>4493</v>
      </c>
      <c r="E120" t="s">
        <v>4494</v>
      </c>
      <c r="F120" t="s">
        <v>1575</v>
      </c>
    </row>
    <row r="121" spans="1:6" x14ac:dyDescent="0.25">
      <c r="A121" t="s">
        <v>6200</v>
      </c>
      <c r="B121" t="s">
        <v>6201</v>
      </c>
      <c r="C121" t="s">
        <v>4492</v>
      </c>
      <c r="D121" t="s">
        <v>4493</v>
      </c>
      <c r="E121" t="s">
        <v>4494</v>
      </c>
      <c r="F121" t="s">
        <v>1575</v>
      </c>
    </row>
    <row r="122" spans="1:6" x14ac:dyDescent="0.25">
      <c r="A122" t="s">
        <v>6186</v>
      </c>
      <c r="B122" t="s">
        <v>6187</v>
      </c>
      <c r="C122" t="s">
        <v>4492</v>
      </c>
      <c r="D122" t="s">
        <v>4493</v>
      </c>
      <c r="E122" t="s">
        <v>4494</v>
      </c>
      <c r="F122" t="s">
        <v>1575</v>
      </c>
    </row>
    <row r="123" spans="1:6" x14ac:dyDescent="0.25">
      <c r="A123" t="s">
        <v>6210</v>
      </c>
      <c r="B123" t="s">
        <v>6211</v>
      </c>
      <c r="C123" t="s">
        <v>4492</v>
      </c>
      <c r="D123" t="s">
        <v>4493</v>
      </c>
      <c r="E123" t="s">
        <v>4494</v>
      </c>
      <c r="F123" t="s">
        <v>1575</v>
      </c>
    </row>
    <row r="124" spans="1:6" x14ac:dyDescent="0.25">
      <c r="A124" t="s">
        <v>6166</v>
      </c>
      <c r="B124" t="s">
        <v>6167</v>
      </c>
      <c r="C124" t="s">
        <v>4492</v>
      </c>
      <c r="D124" t="s">
        <v>4493</v>
      </c>
      <c r="E124" t="s">
        <v>4494</v>
      </c>
      <c r="F124" t="s">
        <v>1575</v>
      </c>
    </row>
    <row r="125" spans="1:6" x14ac:dyDescent="0.25">
      <c r="A125" t="s">
        <v>6198</v>
      </c>
      <c r="B125" t="s">
        <v>6199</v>
      </c>
      <c r="C125" t="s">
        <v>4492</v>
      </c>
      <c r="D125" t="s">
        <v>4493</v>
      </c>
      <c r="E125" t="s">
        <v>4494</v>
      </c>
      <c r="F125" t="s">
        <v>1575</v>
      </c>
    </row>
    <row r="126" spans="1:6" x14ac:dyDescent="0.25">
      <c r="A126" t="s">
        <v>6204</v>
      </c>
      <c r="B126" t="s">
        <v>6205</v>
      </c>
      <c r="C126" t="s">
        <v>4492</v>
      </c>
      <c r="D126" t="s">
        <v>4493</v>
      </c>
      <c r="E126" t="s">
        <v>4494</v>
      </c>
      <c r="F126" t="s">
        <v>1575</v>
      </c>
    </row>
    <row r="127" spans="1:6" x14ac:dyDescent="0.25">
      <c r="A127" t="s">
        <v>6208</v>
      </c>
      <c r="B127" t="s">
        <v>6209</v>
      </c>
      <c r="C127" t="s">
        <v>4492</v>
      </c>
      <c r="D127" t="s">
        <v>4493</v>
      </c>
      <c r="E127" t="s">
        <v>4494</v>
      </c>
      <c r="F127" t="s">
        <v>1575</v>
      </c>
    </row>
    <row r="128" spans="1:6" x14ac:dyDescent="0.25">
      <c r="A128" t="s">
        <v>6228</v>
      </c>
      <c r="B128" t="s">
        <v>6229</v>
      </c>
      <c r="C128" t="s">
        <v>4492</v>
      </c>
      <c r="D128" t="s">
        <v>4493</v>
      </c>
      <c r="E128" t="s">
        <v>4494</v>
      </c>
      <c r="F128" t="s">
        <v>1575</v>
      </c>
    </row>
    <row r="129" spans="1:6" x14ac:dyDescent="0.25">
      <c r="A129" t="s">
        <v>6218</v>
      </c>
      <c r="B129" t="s">
        <v>6219</v>
      </c>
      <c r="C129" t="s">
        <v>4492</v>
      </c>
      <c r="D129" t="s">
        <v>4493</v>
      </c>
      <c r="E129" t="s">
        <v>4494</v>
      </c>
      <c r="F129" t="s">
        <v>1575</v>
      </c>
    </row>
    <row r="130" spans="1:6" x14ac:dyDescent="0.25">
      <c r="A130" t="s">
        <v>6170</v>
      </c>
      <c r="B130" t="s">
        <v>6171</v>
      </c>
      <c r="C130" t="s">
        <v>4492</v>
      </c>
      <c r="D130" t="s">
        <v>4493</v>
      </c>
      <c r="E130" t="s">
        <v>4494</v>
      </c>
      <c r="F130" t="s">
        <v>1575</v>
      </c>
    </row>
    <row r="131" spans="1:6" x14ac:dyDescent="0.25">
      <c r="A131" t="s">
        <v>6240</v>
      </c>
      <c r="B131" t="s">
        <v>6241</v>
      </c>
      <c r="C131" t="s">
        <v>4492</v>
      </c>
      <c r="D131" t="s">
        <v>4493</v>
      </c>
      <c r="E131" t="s">
        <v>4494</v>
      </c>
      <c r="F131" t="s">
        <v>1575</v>
      </c>
    </row>
    <row r="132" spans="1:6" x14ac:dyDescent="0.25">
      <c r="A132" t="s">
        <v>6220</v>
      </c>
      <c r="B132" t="s">
        <v>6221</v>
      </c>
      <c r="C132" t="s">
        <v>4492</v>
      </c>
      <c r="D132" t="s">
        <v>4493</v>
      </c>
      <c r="E132" t="s">
        <v>4494</v>
      </c>
      <c r="F132" t="s">
        <v>1575</v>
      </c>
    </row>
    <row r="133" spans="1:6" x14ac:dyDescent="0.25">
      <c r="A133" t="s">
        <v>6242</v>
      </c>
      <c r="B133" t="s">
        <v>6243</v>
      </c>
      <c r="C133" t="s">
        <v>4492</v>
      </c>
      <c r="D133" t="s">
        <v>4493</v>
      </c>
      <c r="E133" t="s">
        <v>4494</v>
      </c>
      <c r="F133" t="s">
        <v>1575</v>
      </c>
    </row>
    <row r="134" spans="1:6" x14ac:dyDescent="0.25">
      <c r="A134" t="s">
        <v>6244</v>
      </c>
      <c r="B134" t="s">
        <v>6245</v>
      </c>
      <c r="C134" t="s">
        <v>4492</v>
      </c>
      <c r="D134" t="s">
        <v>4493</v>
      </c>
      <c r="E134" t="s">
        <v>4494</v>
      </c>
      <c r="F134" t="s">
        <v>1575</v>
      </c>
    </row>
    <row r="135" spans="1:6" x14ac:dyDescent="0.25">
      <c r="A135" t="s">
        <v>6164</v>
      </c>
      <c r="B135" t="s">
        <v>6165</v>
      </c>
      <c r="C135" t="s">
        <v>4492</v>
      </c>
      <c r="D135" t="s">
        <v>4493</v>
      </c>
      <c r="E135" t="s">
        <v>4494</v>
      </c>
      <c r="F135" t="s">
        <v>1575</v>
      </c>
    </row>
    <row r="136" spans="1:6" x14ac:dyDescent="0.25">
      <c r="A136" t="s">
        <v>6222</v>
      </c>
      <c r="B136" t="s">
        <v>6223</v>
      </c>
      <c r="C136" t="s">
        <v>4492</v>
      </c>
      <c r="D136" t="s">
        <v>4493</v>
      </c>
      <c r="E136" t="s">
        <v>4494</v>
      </c>
      <c r="F136" t="s">
        <v>1575</v>
      </c>
    </row>
    <row r="137" spans="1:6" x14ac:dyDescent="0.25">
      <c r="A137" t="s">
        <v>6224</v>
      </c>
      <c r="B137" t="s">
        <v>6225</v>
      </c>
      <c r="C137" t="s">
        <v>4492</v>
      </c>
      <c r="D137" t="s">
        <v>4493</v>
      </c>
      <c r="E137" t="s">
        <v>4494</v>
      </c>
      <c r="F137" t="s">
        <v>1575</v>
      </c>
    </row>
    <row r="138" spans="1:6" x14ac:dyDescent="0.25">
      <c r="A138" t="s">
        <v>6202</v>
      </c>
      <c r="B138" t="s">
        <v>6203</v>
      </c>
      <c r="C138" t="s">
        <v>4492</v>
      </c>
      <c r="D138" t="s">
        <v>4493</v>
      </c>
      <c r="E138" t="s">
        <v>4494</v>
      </c>
      <c r="F138" t="s">
        <v>1575</v>
      </c>
    </row>
    <row r="139" spans="1:6" x14ac:dyDescent="0.25">
      <c r="A139" t="s">
        <v>6238</v>
      </c>
      <c r="B139" t="s">
        <v>6239</v>
      </c>
      <c r="C139" t="s">
        <v>4492</v>
      </c>
      <c r="D139" t="s">
        <v>4493</v>
      </c>
      <c r="E139" t="s">
        <v>4494</v>
      </c>
      <c r="F139" t="s">
        <v>1575</v>
      </c>
    </row>
    <row r="140" spans="1:6" x14ac:dyDescent="0.25">
      <c r="A140" t="s">
        <v>5996</v>
      </c>
      <c r="B140" t="s">
        <v>5997</v>
      </c>
      <c r="C140" t="s">
        <v>4492</v>
      </c>
      <c r="D140" t="s">
        <v>4493</v>
      </c>
      <c r="E140" t="s">
        <v>4494</v>
      </c>
      <c r="F140" t="s">
        <v>1575</v>
      </c>
    </row>
    <row r="141" spans="1:6" x14ac:dyDescent="0.25">
      <c r="A141" t="s">
        <v>5555</v>
      </c>
      <c r="B141" t="s">
        <v>5556</v>
      </c>
      <c r="C141" t="s">
        <v>4492</v>
      </c>
      <c r="D141" t="s">
        <v>4493</v>
      </c>
      <c r="E141" t="s">
        <v>4494</v>
      </c>
      <c r="F141" t="s">
        <v>1575</v>
      </c>
    </row>
    <row r="142" spans="1:6" x14ac:dyDescent="0.25">
      <c r="A142" t="s">
        <v>4521</v>
      </c>
      <c r="B142" t="s">
        <v>4522</v>
      </c>
      <c r="C142" t="s">
        <v>4492</v>
      </c>
      <c r="D142" t="s">
        <v>4493</v>
      </c>
      <c r="E142" t="s">
        <v>4494</v>
      </c>
      <c r="F142" t="s">
        <v>1575</v>
      </c>
    </row>
    <row r="143" spans="1:6" x14ac:dyDescent="0.25">
      <c r="A143" t="s">
        <v>4507</v>
      </c>
      <c r="B143" t="s">
        <v>4508</v>
      </c>
      <c r="C143" t="s">
        <v>4492</v>
      </c>
      <c r="D143" t="s">
        <v>4493</v>
      </c>
      <c r="E143" t="s">
        <v>4494</v>
      </c>
      <c r="F143" t="s">
        <v>1575</v>
      </c>
    </row>
    <row r="144" spans="1:6" x14ac:dyDescent="0.25">
      <c r="A144" t="s">
        <v>4999</v>
      </c>
      <c r="B144" t="s">
        <v>5000</v>
      </c>
      <c r="C144" t="s">
        <v>4492</v>
      </c>
      <c r="D144" t="s">
        <v>4493</v>
      </c>
      <c r="E144" t="s">
        <v>4494</v>
      </c>
      <c r="F144" t="s">
        <v>1575</v>
      </c>
    </row>
    <row r="145" spans="1:6" x14ac:dyDescent="0.25">
      <c r="A145" t="s">
        <v>4808</v>
      </c>
      <c r="B145" t="s">
        <v>4809</v>
      </c>
      <c r="C145" t="s">
        <v>2307</v>
      </c>
      <c r="D145" t="s">
        <v>4810</v>
      </c>
      <c r="E145">
        <v>608696633</v>
      </c>
      <c r="F145" t="s">
        <v>6912</v>
      </c>
    </row>
    <row r="146" spans="1:6" x14ac:dyDescent="0.25">
      <c r="A146" t="s">
        <v>5320</v>
      </c>
      <c r="B146" t="s">
        <v>5321</v>
      </c>
      <c r="C146" t="s">
        <v>4492</v>
      </c>
      <c r="D146" t="s">
        <v>4493</v>
      </c>
      <c r="E146" t="s">
        <v>4494</v>
      </c>
      <c r="F146" t="s">
        <v>1575</v>
      </c>
    </row>
    <row r="147" spans="1:6" x14ac:dyDescent="0.25">
      <c r="A147" t="s">
        <v>6528</v>
      </c>
      <c r="B147" t="s">
        <v>6529</v>
      </c>
      <c r="C147" t="s">
        <v>1641</v>
      </c>
      <c r="D147" t="s">
        <v>4678</v>
      </c>
      <c r="E147">
        <v>618141033</v>
      </c>
      <c r="F147" t="s">
        <v>6801</v>
      </c>
    </row>
    <row r="148" spans="1:6" x14ac:dyDescent="0.25">
      <c r="A148" t="s">
        <v>5272</v>
      </c>
      <c r="B148" t="s">
        <v>5273</v>
      </c>
      <c r="C148" t="s">
        <v>1695</v>
      </c>
      <c r="D148" t="s">
        <v>4687</v>
      </c>
      <c r="E148">
        <v>618790056</v>
      </c>
      <c r="F148" t="s">
        <v>6787</v>
      </c>
    </row>
    <row r="149" spans="1:6" x14ac:dyDescent="0.25">
      <c r="A149" t="s">
        <v>5314</v>
      </c>
      <c r="B149" t="s">
        <v>5315</v>
      </c>
      <c r="C149" t="s">
        <v>4492</v>
      </c>
      <c r="D149" t="s">
        <v>4493</v>
      </c>
      <c r="E149" t="s">
        <v>4494</v>
      </c>
      <c r="F149" t="s">
        <v>1575</v>
      </c>
    </row>
    <row r="150" spans="1:6" x14ac:dyDescent="0.25">
      <c r="A150" t="s">
        <v>4692</v>
      </c>
      <c r="B150" t="s">
        <v>4693</v>
      </c>
      <c r="C150" t="s">
        <v>4492</v>
      </c>
      <c r="D150" t="s">
        <v>4493</v>
      </c>
      <c r="E150" t="s">
        <v>4494</v>
      </c>
      <c r="F150" t="s">
        <v>1575</v>
      </c>
    </row>
    <row r="151" spans="1:6" x14ac:dyDescent="0.25">
      <c r="A151" t="s">
        <v>4956</v>
      </c>
      <c r="B151" t="s">
        <v>4957</v>
      </c>
      <c r="C151" t="s">
        <v>2307</v>
      </c>
      <c r="D151" t="s">
        <v>4810</v>
      </c>
      <c r="E151">
        <v>608696633</v>
      </c>
      <c r="F151" t="s">
        <v>6912</v>
      </c>
    </row>
    <row r="152" spans="1:6" x14ac:dyDescent="0.25">
      <c r="A152" t="s">
        <v>5367</v>
      </c>
      <c r="B152" t="s">
        <v>5368</v>
      </c>
      <c r="C152" t="s">
        <v>4492</v>
      </c>
      <c r="D152" t="s">
        <v>4493</v>
      </c>
      <c r="E152" t="s">
        <v>4494</v>
      </c>
      <c r="F152" t="s">
        <v>1575</v>
      </c>
    </row>
    <row r="153" spans="1:6" x14ac:dyDescent="0.25">
      <c r="A153" t="s">
        <v>5312</v>
      </c>
      <c r="B153" t="s">
        <v>5313</v>
      </c>
      <c r="C153" t="s">
        <v>4492</v>
      </c>
      <c r="D153" t="s">
        <v>4493</v>
      </c>
      <c r="E153" t="s">
        <v>4494</v>
      </c>
      <c r="F153" t="s">
        <v>1575</v>
      </c>
    </row>
    <row r="154" spans="1:6" x14ac:dyDescent="0.25">
      <c r="A154" t="s">
        <v>4679</v>
      </c>
      <c r="B154" t="s">
        <v>4680</v>
      </c>
      <c r="C154" t="s">
        <v>4492</v>
      </c>
      <c r="D154" t="s">
        <v>4493</v>
      </c>
      <c r="E154" t="s">
        <v>4494</v>
      </c>
      <c r="F154" t="s">
        <v>1575</v>
      </c>
    </row>
    <row r="155" spans="1:6" x14ac:dyDescent="0.25">
      <c r="A155" t="s">
        <v>4598</v>
      </c>
      <c r="B155" t="s">
        <v>4599</v>
      </c>
      <c r="C155" t="s">
        <v>4492</v>
      </c>
      <c r="D155" t="s">
        <v>4493</v>
      </c>
      <c r="E155" t="s">
        <v>4494</v>
      </c>
      <c r="F155" t="s">
        <v>1575</v>
      </c>
    </row>
    <row r="156" spans="1:6" x14ac:dyDescent="0.25">
      <c r="A156" t="s">
        <v>6048</v>
      </c>
      <c r="B156" t="s">
        <v>6049</v>
      </c>
      <c r="C156" t="s">
        <v>4492</v>
      </c>
      <c r="D156" t="s">
        <v>4493</v>
      </c>
      <c r="E156" t="s">
        <v>4494</v>
      </c>
      <c r="F156" t="s">
        <v>1575</v>
      </c>
    </row>
    <row r="157" spans="1:6" x14ac:dyDescent="0.25">
      <c r="A157" t="s">
        <v>5521</v>
      </c>
      <c r="B157" t="s">
        <v>5522</v>
      </c>
      <c r="C157" t="s">
        <v>4492</v>
      </c>
      <c r="D157" t="s">
        <v>4493</v>
      </c>
      <c r="E157" t="s">
        <v>4494</v>
      </c>
      <c r="F157" t="s">
        <v>1575</v>
      </c>
    </row>
    <row r="158" spans="1:6" x14ac:dyDescent="0.25">
      <c r="A158" t="s">
        <v>5441</v>
      </c>
      <c r="B158" t="s">
        <v>5442</v>
      </c>
      <c r="C158" t="s">
        <v>4492</v>
      </c>
      <c r="D158" t="s">
        <v>4493</v>
      </c>
      <c r="E158" t="s">
        <v>4494</v>
      </c>
      <c r="F158" t="s">
        <v>1575</v>
      </c>
    </row>
    <row r="159" spans="1:6" x14ac:dyDescent="0.25">
      <c r="A159" t="s">
        <v>5666</v>
      </c>
      <c r="B159" t="s">
        <v>5667</v>
      </c>
      <c r="C159" t="s">
        <v>1584</v>
      </c>
      <c r="D159" t="s">
        <v>4939</v>
      </c>
      <c r="E159">
        <v>629650764</v>
      </c>
      <c r="F159" t="s">
        <v>6782</v>
      </c>
    </row>
    <row r="160" spans="1:6" x14ac:dyDescent="0.25">
      <c r="A160" t="s">
        <v>6052</v>
      </c>
      <c r="B160" t="s">
        <v>6053</v>
      </c>
      <c r="C160" t="s">
        <v>4492</v>
      </c>
      <c r="D160" t="s">
        <v>4493</v>
      </c>
      <c r="E160" t="s">
        <v>4494</v>
      </c>
      <c r="F160" t="s">
        <v>1575</v>
      </c>
    </row>
    <row r="161" spans="1:6" x14ac:dyDescent="0.25">
      <c r="A161" t="s">
        <v>5539</v>
      </c>
      <c r="B161" t="s">
        <v>5540</v>
      </c>
      <c r="C161" t="s">
        <v>4492</v>
      </c>
      <c r="D161" t="s">
        <v>4493</v>
      </c>
      <c r="E161" t="s">
        <v>4494</v>
      </c>
      <c r="F161" t="s">
        <v>1575</v>
      </c>
    </row>
    <row r="162" spans="1:6" x14ac:dyDescent="0.25">
      <c r="A162" t="s">
        <v>4564</v>
      </c>
      <c r="B162" t="s">
        <v>4565</v>
      </c>
      <c r="C162" t="s">
        <v>4492</v>
      </c>
      <c r="D162" t="s">
        <v>4493</v>
      </c>
      <c r="E162" t="s">
        <v>4494</v>
      </c>
      <c r="F162" t="s">
        <v>1575</v>
      </c>
    </row>
    <row r="163" spans="1:6" x14ac:dyDescent="0.25">
      <c r="A163" t="s">
        <v>4633</v>
      </c>
      <c r="B163" t="s">
        <v>4634</v>
      </c>
      <c r="C163" t="s">
        <v>4492</v>
      </c>
      <c r="D163" t="s">
        <v>4493</v>
      </c>
      <c r="E163" t="s">
        <v>4494</v>
      </c>
      <c r="F163" t="s">
        <v>1575</v>
      </c>
    </row>
    <row r="164" spans="1:6" x14ac:dyDescent="0.25">
      <c r="A164" t="s">
        <v>5933</v>
      </c>
      <c r="B164" t="s">
        <v>5934</v>
      </c>
      <c r="C164" t="s">
        <v>4492</v>
      </c>
      <c r="D164" t="s">
        <v>4493</v>
      </c>
      <c r="E164" t="s">
        <v>4494</v>
      </c>
      <c r="F164" t="s">
        <v>1575</v>
      </c>
    </row>
    <row r="165" spans="1:6" x14ac:dyDescent="0.25">
      <c r="A165" t="s">
        <v>5196</v>
      </c>
      <c r="B165" t="s">
        <v>5197</v>
      </c>
      <c r="C165" t="s">
        <v>4492</v>
      </c>
      <c r="D165" t="s">
        <v>4493</v>
      </c>
      <c r="E165" t="s">
        <v>4494</v>
      </c>
      <c r="F165" t="s">
        <v>1575</v>
      </c>
    </row>
    <row r="166" spans="1:6" x14ac:dyDescent="0.25">
      <c r="A166" t="s">
        <v>4596</v>
      </c>
      <c r="B166" t="s">
        <v>4597</v>
      </c>
      <c r="C166" t="s">
        <v>4492</v>
      </c>
      <c r="D166" t="s">
        <v>4493</v>
      </c>
      <c r="E166" t="s">
        <v>4494</v>
      </c>
      <c r="F166" t="s">
        <v>1575</v>
      </c>
    </row>
    <row r="167" spans="1:6" x14ac:dyDescent="0.25">
      <c r="A167" t="s">
        <v>5245</v>
      </c>
      <c r="B167" t="s">
        <v>5246</v>
      </c>
      <c r="C167" t="s">
        <v>4492</v>
      </c>
      <c r="D167" t="s">
        <v>4493</v>
      </c>
      <c r="E167" t="s">
        <v>4494</v>
      </c>
      <c r="F167" t="s">
        <v>1575</v>
      </c>
    </row>
    <row r="168" spans="1:6" x14ac:dyDescent="0.25">
      <c r="A168" t="s">
        <v>4681</v>
      </c>
      <c r="B168" t="s">
        <v>4682</v>
      </c>
      <c r="C168" t="s">
        <v>4492</v>
      </c>
      <c r="D168" t="s">
        <v>4493</v>
      </c>
      <c r="E168" t="s">
        <v>4494</v>
      </c>
      <c r="F168" t="s">
        <v>1575</v>
      </c>
    </row>
    <row r="169" spans="1:6" x14ac:dyDescent="0.25">
      <c r="A169" t="s">
        <v>5003</v>
      </c>
      <c r="B169" t="s">
        <v>5004</v>
      </c>
      <c r="C169" t="s">
        <v>4492</v>
      </c>
      <c r="D169" t="s">
        <v>4493</v>
      </c>
      <c r="E169" t="s">
        <v>4494</v>
      </c>
      <c r="F169" t="s">
        <v>1575</v>
      </c>
    </row>
    <row r="170" spans="1:6" x14ac:dyDescent="0.25">
      <c r="A170" t="s">
        <v>5052</v>
      </c>
      <c r="B170" t="s">
        <v>5053</v>
      </c>
      <c r="C170" t="s">
        <v>4492</v>
      </c>
      <c r="D170" t="s">
        <v>4493</v>
      </c>
      <c r="E170" t="s">
        <v>4494</v>
      </c>
      <c r="F170" t="s">
        <v>1575</v>
      </c>
    </row>
    <row r="171" spans="1:6" x14ac:dyDescent="0.25">
      <c r="A171" t="s">
        <v>5855</v>
      </c>
      <c r="B171" t="s">
        <v>5856</v>
      </c>
      <c r="C171" t="s">
        <v>4492</v>
      </c>
      <c r="D171" t="s">
        <v>4493</v>
      </c>
      <c r="E171" t="s">
        <v>4494</v>
      </c>
      <c r="F171" t="s">
        <v>1575</v>
      </c>
    </row>
    <row r="172" spans="1:6" x14ac:dyDescent="0.25">
      <c r="A172" t="s">
        <v>5979</v>
      </c>
      <c r="B172" t="s">
        <v>5980</v>
      </c>
      <c r="C172" t="s">
        <v>4492</v>
      </c>
      <c r="D172" t="s">
        <v>4493</v>
      </c>
      <c r="E172" t="s">
        <v>4494</v>
      </c>
      <c r="F172" t="s">
        <v>1575</v>
      </c>
    </row>
    <row r="173" spans="1:6" x14ac:dyDescent="0.25">
      <c r="A173" t="s">
        <v>5657</v>
      </c>
      <c r="B173" t="s">
        <v>5658</v>
      </c>
      <c r="C173" t="s">
        <v>4492</v>
      </c>
      <c r="D173" t="s">
        <v>4493</v>
      </c>
      <c r="E173" t="s">
        <v>4494</v>
      </c>
      <c r="F173" t="s">
        <v>1575</v>
      </c>
    </row>
    <row r="174" spans="1:6" x14ac:dyDescent="0.25">
      <c r="A174" t="s">
        <v>5698</v>
      </c>
      <c r="B174" t="s">
        <v>5699</v>
      </c>
      <c r="C174" t="s">
        <v>4492</v>
      </c>
      <c r="D174" t="s">
        <v>4493</v>
      </c>
      <c r="E174" t="s">
        <v>4494</v>
      </c>
      <c r="F174" t="s">
        <v>1575</v>
      </c>
    </row>
    <row r="175" spans="1:6" x14ac:dyDescent="0.25">
      <c r="A175" t="s">
        <v>6042</v>
      </c>
      <c r="B175" t="s">
        <v>6043</v>
      </c>
      <c r="C175" t="s">
        <v>4492</v>
      </c>
      <c r="D175" t="s">
        <v>4493</v>
      </c>
      <c r="E175" t="s">
        <v>4494</v>
      </c>
      <c r="F175" t="s">
        <v>1575</v>
      </c>
    </row>
    <row r="176" spans="1:6" x14ac:dyDescent="0.25">
      <c r="A176" t="s">
        <v>6028</v>
      </c>
      <c r="B176" t="s">
        <v>6029</v>
      </c>
      <c r="C176" t="s">
        <v>4492</v>
      </c>
      <c r="D176" t="s">
        <v>4493</v>
      </c>
      <c r="E176" t="s">
        <v>4494</v>
      </c>
      <c r="F176" t="s">
        <v>1575</v>
      </c>
    </row>
    <row r="177" spans="1:6" x14ac:dyDescent="0.25">
      <c r="A177" t="s">
        <v>4610</v>
      </c>
      <c r="B177" t="s">
        <v>4611</v>
      </c>
      <c r="C177" t="s">
        <v>4492</v>
      </c>
      <c r="D177" t="s">
        <v>4493</v>
      </c>
      <c r="E177" t="s">
        <v>4494</v>
      </c>
      <c r="F177" t="s">
        <v>1575</v>
      </c>
    </row>
    <row r="178" spans="1:6" x14ac:dyDescent="0.25">
      <c r="A178" t="s">
        <v>6062</v>
      </c>
      <c r="B178" t="s">
        <v>6063</v>
      </c>
      <c r="C178" t="s">
        <v>4492</v>
      </c>
      <c r="D178" t="s">
        <v>4493</v>
      </c>
      <c r="E178" t="s">
        <v>4494</v>
      </c>
      <c r="F178" t="s">
        <v>1575</v>
      </c>
    </row>
    <row r="179" spans="1:6" x14ac:dyDescent="0.25">
      <c r="A179" t="s">
        <v>4709</v>
      </c>
      <c r="B179" t="s">
        <v>4710</v>
      </c>
      <c r="C179" t="s">
        <v>4492</v>
      </c>
      <c r="D179" t="s">
        <v>4493</v>
      </c>
      <c r="E179" t="s">
        <v>4494</v>
      </c>
      <c r="F179" t="s">
        <v>1575</v>
      </c>
    </row>
    <row r="180" spans="1:6" x14ac:dyDescent="0.25">
      <c r="A180" t="s">
        <v>6012</v>
      </c>
      <c r="B180" t="s">
        <v>6013</v>
      </c>
      <c r="C180" t="s">
        <v>4492</v>
      </c>
      <c r="D180" t="s">
        <v>4493</v>
      </c>
      <c r="E180" t="s">
        <v>4494</v>
      </c>
      <c r="F180" t="s">
        <v>1575</v>
      </c>
    </row>
    <row r="181" spans="1:6" x14ac:dyDescent="0.25">
      <c r="A181" t="s">
        <v>6036</v>
      </c>
      <c r="B181" t="s">
        <v>6037</v>
      </c>
      <c r="C181" t="s">
        <v>4492</v>
      </c>
      <c r="D181" t="s">
        <v>4493</v>
      </c>
      <c r="E181" t="s">
        <v>4494</v>
      </c>
      <c r="F181" t="s">
        <v>1575</v>
      </c>
    </row>
    <row r="182" spans="1:6" x14ac:dyDescent="0.25">
      <c r="A182" t="s">
        <v>6020</v>
      </c>
      <c r="B182" t="s">
        <v>6021</v>
      </c>
      <c r="C182" t="s">
        <v>4492</v>
      </c>
      <c r="D182" t="s">
        <v>4493</v>
      </c>
      <c r="E182" t="s">
        <v>4494</v>
      </c>
      <c r="F182" t="s">
        <v>1575</v>
      </c>
    </row>
    <row r="183" spans="1:6" x14ac:dyDescent="0.25">
      <c r="A183" t="s">
        <v>6038</v>
      </c>
      <c r="B183" t="s">
        <v>6039</v>
      </c>
      <c r="C183" t="s">
        <v>4492</v>
      </c>
      <c r="D183" t="s">
        <v>4493</v>
      </c>
      <c r="E183" t="s">
        <v>4494</v>
      </c>
      <c r="F183" t="s">
        <v>1575</v>
      </c>
    </row>
    <row r="184" spans="1:6" x14ac:dyDescent="0.25">
      <c r="A184" t="s">
        <v>6050</v>
      </c>
      <c r="B184" t="s">
        <v>6051</v>
      </c>
      <c r="C184" t="s">
        <v>4492</v>
      </c>
      <c r="D184" t="s">
        <v>4493</v>
      </c>
      <c r="E184" t="s">
        <v>4494</v>
      </c>
      <c r="F184" t="s">
        <v>1575</v>
      </c>
    </row>
    <row r="185" spans="1:6" x14ac:dyDescent="0.25">
      <c r="A185" t="s">
        <v>6054</v>
      </c>
      <c r="B185" t="s">
        <v>6055</v>
      </c>
      <c r="C185" t="s">
        <v>4492</v>
      </c>
      <c r="D185" t="s">
        <v>4493</v>
      </c>
      <c r="E185" t="s">
        <v>4494</v>
      </c>
      <c r="F185" t="s">
        <v>1575</v>
      </c>
    </row>
    <row r="186" spans="1:6" x14ac:dyDescent="0.25">
      <c r="A186" t="s">
        <v>6014</v>
      </c>
      <c r="B186" t="s">
        <v>6015</v>
      </c>
      <c r="C186" t="s">
        <v>4492</v>
      </c>
      <c r="D186" t="s">
        <v>4493</v>
      </c>
      <c r="E186" t="s">
        <v>4494</v>
      </c>
      <c r="F186" t="s">
        <v>1575</v>
      </c>
    </row>
    <row r="187" spans="1:6" x14ac:dyDescent="0.25">
      <c r="A187" t="s">
        <v>5350</v>
      </c>
      <c r="B187" t="s">
        <v>5351</v>
      </c>
      <c r="C187" t="s">
        <v>4492</v>
      </c>
      <c r="D187" t="s">
        <v>4493</v>
      </c>
      <c r="E187" t="s">
        <v>4494</v>
      </c>
      <c r="F187" t="s">
        <v>1575</v>
      </c>
    </row>
    <row r="188" spans="1:6" x14ac:dyDescent="0.25">
      <c r="A188" t="s">
        <v>4664</v>
      </c>
      <c r="B188" t="s">
        <v>4665</v>
      </c>
      <c r="C188" t="s">
        <v>4492</v>
      </c>
      <c r="D188" t="s">
        <v>4493</v>
      </c>
      <c r="E188" t="s">
        <v>4494</v>
      </c>
      <c r="F188" t="s">
        <v>1575</v>
      </c>
    </row>
    <row r="189" spans="1:6" x14ac:dyDescent="0.25">
      <c r="A189" t="s">
        <v>6334</v>
      </c>
      <c r="B189" t="s">
        <v>6335</v>
      </c>
      <c r="C189" t="s">
        <v>4813</v>
      </c>
      <c r="D189" t="s">
        <v>4814</v>
      </c>
      <c r="E189">
        <v>608677497</v>
      </c>
      <c r="F189" t="s">
        <v>6734</v>
      </c>
    </row>
    <row r="190" spans="1:6" x14ac:dyDescent="0.25">
      <c r="A190" t="s">
        <v>5090</v>
      </c>
      <c r="B190" t="s">
        <v>5091</v>
      </c>
      <c r="C190" t="s">
        <v>4492</v>
      </c>
      <c r="D190" t="s">
        <v>4493</v>
      </c>
      <c r="E190" t="s">
        <v>4494</v>
      </c>
      <c r="F190" t="s">
        <v>1575</v>
      </c>
    </row>
    <row r="191" spans="1:6" x14ac:dyDescent="0.25">
      <c r="A191" t="s">
        <v>5887</v>
      </c>
      <c r="B191" t="s">
        <v>5888</v>
      </c>
      <c r="C191" t="s">
        <v>2158</v>
      </c>
      <c r="D191" t="s">
        <v>4663</v>
      </c>
      <c r="E191">
        <v>606843871</v>
      </c>
      <c r="F191" t="s">
        <v>6658</v>
      </c>
    </row>
    <row r="192" spans="1:6" x14ac:dyDescent="0.25">
      <c r="A192" t="s">
        <v>5702</v>
      </c>
      <c r="B192" t="s">
        <v>5703</v>
      </c>
      <c r="C192" t="s">
        <v>4492</v>
      </c>
      <c r="D192" t="s">
        <v>4493</v>
      </c>
      <c r="E192" t="s">
        <v>4494</v>
      </c>
      <c r="F192" t="s">
        <v>1575</v>
      </c>
    </row>
    <row r="193" spans="1:6" x14ac:dyDescent="0.25">
      <c r="A193" t="s">
        <v>4608</v>
      </c>
      <c r="B193" t="s">
        <v>4609</v>
      </c>
      <c r="C193" t="s">
        <v>4492</v>
      </c>
      <c r="D193" t="s">
        <v>4493</v>
      </c>
      <c r="E193" t="s">
        <v>4494</v>
      </c>
      <c r="F193" t="s">
        <v>1575</v>
      </c>
    </row>
    <row r="194" spans="1:6" x14ac:dyDescent="0.25">
      <c r="A194" t="s">
        <v>5457</v>
      </c>
      <c r="B194" t="s">
        <v>5458</v>
      </c>
      <c r="C194" t="s">
        <v>4492</v>
      </c>
      <c r="D194" t="s">
        <v>4493</v>
      </c>
      <c r="E194" t="s">
        <v>4494</v>
      </c>
      <c r="F194" t="s">
        <v>1575</v>
      </c>
    </row>
    <row r="195" spans="1:6" x14ac:dyDescent="0.25">
      <c r="A195" t="s">
        <v>4592</v>
      </c>
      <c r="B195" t="s">
        <v>4593</v>
      </c>
      <c r="C195" t="s">
        <v>4492</v>
      </c>
      <c r="D195" t="s">
        <v>4493</v>
      </c>
      <c r="E195" t="s">
        <v>4494</v>
      </c>
      <c r="F195" t="s">
        <v>1575</v>
      </c>
    </row>
    <row r="196" spans="1:6" x14ac:dyDescent="0.25">
      <c r="A196" t="s">
        <v>5992</v>
      </c>
      <c r="B196" t="s">
        <v>5993</v>
      </c>
      <c r="C196" t="s">
        <v>2001</v>
      </c>
      <c r="D196" t="s">
        <v>4578</v>
      </c>
      <c r="E196">
        <v>620361774</v>
      </c>
    </row>
    <row r="197" spans="1:6" x14ac:dyDescent="0.25">
      <c r="A197" t="s">
        <v>5190</v>
      </c>
      <c r="B197" t="s">
        <v>5191</v>
      </c>
      <c r="C197" t="s">
        <v>4492</v>
      </c>
      <c r="D197" t="s">
        <v>4493</v>
      </c>
      <c r="E197" t="s">
        <v>4494</v>
      </c>
      <c r="F197" t="s">
        <v>1575</v>
      </c>
    </row>
    <row r="198" spans="1:6" x14ac:dyDescent="0.25">
      <c r="A198" t="s">
        <v>4958</v>
      </c>
      <c r="B198" t="s">
        <v>4959</v>
      </c>
      <c r="C198" t="s">
        <v>4492</v>
      </c>
      <c r="D198" t="s">
        <v>4493</v>
      </c>
      <c r="E198" t="s">
        <v>4494</v>
      </c>
      <c r="F198" t="s">
        <v>1575</v>
      </c>
    </row>
    <row r="199" spans="1:6" x14ac:dyDescent="0.25">
      <c r="A199" t="s">
        <v>5481</v>
      </c>
      <c r="B199" t="s">
        <v>5482</v>
      </c>
      <c r="C199" t="s">
        <v>1921</v>
      </c>
      <c r="D199" t="s">
        <v>5151</v>
      </c>
      <c r="E199">
        <v>618624075</v>
      </c>
      <c r="F199" t="s">
        <v>6796</v>
      </c>
    </row>
    <row r="200" spans="1:6" x14ac:dyDescent="0.25">
      <c r="A200" t="s">
        <v>6088</v>
      </c>
      <c r="B200" t="s">
        <v>6089</v>
      </c>
      <c r="C200" t="s">
        <v>4492</v>
      </c>
      <c r="D200" t="s">
        <v>4493</v>
      </c>
      <c r="E200" t="s">
        <v>4494</v>
      </c>
      <c r="F200" t="s">
        <v>1575</v>
      </c>
    </row>
    <row r="201" spans="1:6" x14ac:dyDescent="0.25">
      <c r="A201" t="s">
        <v>6276</v>
      </c>
      <c r="B201" t="s">
        <v>6277</v>
      </c>
      <c r="C201" t="s">
        <v>4492</v>
      </c>
      <c r="D201" t="s">
        <v>4493</v>
      </c>
      <c r="E201" t="s">
        <v>4494</v>
      </c>
      <c r="F201" t="s">
        <v>1575</v>
      </c>
    </row>
    <row r="202" spans="1:6" x14ac:dyDescent="0.25">
      <c r="A202" t="s">
        <v>6379</v>
      </c>
      <c r="B202" t="s">
        <v>6380</v>
      </c>
      <c r="C202" t="s">
        <v>4492</v>
      </c>
      <c r="D202" t="s">
        <v>4493</v>
      </c>
      <c r="E202" t="s">
        <v>4494</v>
      </c>
      <c r="F202" t="s">
        <v>1575</v>
      </c>
    </row>
    <row r="203" spans="1:6" x14ac:dyDescent="0.25">
      <c r="A203" t="s">
        <v>4839</v>
      </c>
      <c r="B203" t="s">
        <v>4840</v>
      </c>
      <c r="C203" t="s">
        <v>4492</v>
      </c>
      <c r="D203" t="s">
        <v>4493</v>
      </c>
      <c r="E203" t="s">
        <v>4494</v>
      </c>
      <c r="F203" t="s">
        <v>1575</v>
      </c>
    </row>
    <row r="204" spans="1:6" x14ac:dyDescent="0.25">
      <c r="A204" t="s">
        <v>5571</v>
      </c>
      <c r="B204" t="s">
        <v>5572</v>
      </c>
      <c r="C204" t="s">
        <v>4492</v>
      </c>
      <c r="D204" t="s">
        <v>4493</v>
      </c>
      <c r="E204" t="s">
        <v>4494</v>
      </c>
      <c r="F204" t="s">
        <v>1575</v>
      </c>
    </row>
    <row r="205" spans="1:6" x14ac:dyDescent="0.25">
      <c r="A205" t="s">
        <v>4672</v>
      </c>
      <c r="B205" t="s">
        <v>4673</v>
      </c>
      <c r="C205" t="s">
        <v>4492</v>
      </c>
      <c r="D205" t="s">
        <v>4493</v>
      </c>
      <c r="E205" t="s">
        <v>4494</v>
      </c>
      <c r="F205" t="s">
        <v>1575</v>
      </c>
    </row>
    <row r="206" spans="1:6" x14ac:dyDescent="0.25">
      <c r="A206" t="s">
        <v>4798</v>
      </c>
      <c r="B206" t="s">
        <v>4799</v>
      </c>
      <c r="C206" t="s">
        <v>4492</v>
      </c>
      <c r="D206" t="s">
        <v>4493</v>
      </c>
      <c r="E206" t="s">
        <v>4494</v>
      </c>
      <c r="F206" t="s">
        <v>1575</v>
      </c>
    </row>
    <row r="207" spans="1:6" x14ac:dyDescent="0.25">
      <c r="A207" t="s">
        <v>5381</v>
      </c>
      <c r="B207" t="s">
        <v>5382</v>
      </c>
      <c r="C207" t="s">
        <v>4492</v>
      </c>
      <c r="D207" t="s">
        <v>4493</v>
      </c>
      <c r="E207" t="s">
        <v>4494</v>
      </c>
      <c r="F207" t="s">
        <v>1575</v>
      </c>
    </row>
    <row r="208" spans="1:6" x14ac:dyDescent="0.25">
      <c r="A208" t="s">
        <v>5465</v>
      </c>
      <c r="B208" t="s">
        <v>5466</v>
      </c>
      <c r="C208" t="s">
        <v>4492</v>
      </c>
      <c r="D208" t="s">
        <v>4493</v>
      </c>
      <c r="E208" t="s">
        <v>4494</v>
      </c>
      <c r="F208" t="s">
        <v>1575</v>
      </c>
    </row>
    <row r="209" spans="1:6" x14ac:dyDescent="0.25">
      <c r="A209" t="s">
        <v>4771</v>
      </c>
      <c r="B209" t="s">
        <v>4772</v>
      </c>
      <c r="C209" t="s">
        <v>4492</v>
      </c>
      <c r="D209" t="s">
        <v>4493</v>
      </c>
      <c r="E209" t="s">
        <v>4494</v>
      </c>
      <c r="F209" t="s">
        <v>1575</v>
      </c>
    </row>
    <row r="210" spans="1:6" x14ac:dyDescent="0.25">
      <c r="A210" t="s">
        <v>5395</v>
      </c>
      <c r="B210" t="s">
        <v>5396</v>
      </c>
      <c r="C210" t="s">
        <v>4492</v>
      </c>
      <c r="D210" t="s">
        <v>4493</v>
      </c>
      <c r="E210" t="s">
        <v>4494</v>
      </c>
      <c r="F210" t="s">
        <v>1575</v>
      </c>
    </row>
    <row r="211" spans="1:6" x14ac:dyDescent="0.25">
      <c r="A211" t="s">
        <v>7138</v>
      </c>
      <c r="B211" t="s">
        <v>7139</v>
      </c>
      <c r="C211" t="s">
        <v>4492</v>
      </c>
      <c r="D211" t="s">
        <v>4493</v>
      </c>
      <c r="E211" t="s">
        <v>4494</v>
      </c>
      <c r="F211" t="s">
        <v>1575</v>
      </c>
    </row>
    <row r="212" spans="1:6" x14ac:dyDescent="0.25">
      <c r="A212" t="s">
        <v>4616</v>
      </c>
      <c r="B212" t="s">
        <v>4617</v>
      </c>
      <c r="C212" t="s">
        <v>4492</v>
      </c>
      <c r="D212" t="s">
        <v>4493</v>
      </c>
      <c r="E212" t="s">
        <v>4494</v>
      </c>
      <c r="F212" t="s">
        <v>1575</v>
      </c>
    </row>
    <row r="213" spans="1:6" x14ac:dyDescent="0.25">
      <c r="A213" t="s">
        <v>5839</v>
      </c>
      <c r="B213" t="s">
        <v>5840</v>
      </c>
      <c r="C213" t="s">
        <v>4492</v>
      </c>
      <c r="D213" t="s">
        <v>4493</v>
      </c>
      <c r="E213" t="s">
        <v>4494</v>
      </c>
      <c r="F213" t="s">
        <v>1575</v>
      </c>
    </row>
    <row r="214" spans="1:6" x14ac:dyDescent="0.25">
      <c r="A214" t="s">
        <v>4587</v>
      </c>
      <c r="B214" t="s">
        <v>4588</v>
      </c>
      <c r="C214" t="s">
        <v>4492</v>
      </c>
      <c r="D214" t="s">
        <v>4493</v>
      </c>
      <c r="E214" t="s">
        <v>4494</v>
      </c>
      <c r="F214" t="s">
        <v>1575</v>
      </c>
    </row>
    <row r="215" spans="1:6" x14ac:dyDescent="0.25">
      <c r="A215" t="s">
        <v>4815</v>
      </c>
      <c r="B215" t="s">
        <v>4816</v>
      </c>
      <c r="C215" t="s">
        <v>4492</v>
      </c>
      <c r="D215" t="s">
        <v>4493</v>
      </c>
      <c r="E215" t="s">
        <v>4494</v>
      </c>
      <c r="F215" t="s">
        <v>1575</v>
      </c>
    </row>
    <row r="216" spans="1:6" x14ac:dyDescent="0.25">
      <c r="A216" t="s">
        <v>5310</v>
      </c>
      <c r="B216" t="s">
        <v>5311</v>
      </c>
      <c r="C216" t="s">
        <v>4492</v>
      </c>
      <c r="D216" t="s">
        <v>4493</v>
      </c>
      <c r="E216" t="s">
        <v>4494</v>
      </c>
      <c r="F216" t="s">
        <v>1575</v>
      </c>
    </row>
    <row r="217" spans="1:6" x14ac:dyDescent="0.25">
      <c r="A217" t="s">
        <v>5131</v>
      </c>
      <c r="B217" t="s">
        <v>5132</v>
      </c>
      <c r="C217" t="s">
        <v>4492</v>
      </c>
      <c r="D217" t="s">
        <v>4493</v>
      </c>
      <c r="E217" t="s">
        <v>4494</v>
      </c>
      <c r="F217" t="s">
        <v>1575</v>
      </c>
    </row>
    <row r="218" spans="1:6" x14ac:dyDescent="0.25">
      <c r="A218" t="s">
        <v>4589</v>
      </c>
      <c r="B218" t="s">
        <v>4590</v>
      </c>
      <c r="C218" t="s">
        <v>2136</v>
      </c>
      <c r="D218" t="s">
        <v>4591</v>
      </c>
      <c r="E218">
        <v>683705001</v>
      </c>
      <c r="F218" t="s">
        <v>6688</v>
      </c>
    </row>
    <row r="219" spans="1:6" x14ac:dyDescent="0.25">
      <c r="A219" t="s">
        <v>5469</v>
      </c>
      <c r="B219" t="s">
        <v>5470</v>
      </c>
      <c r="C219" t="s">
        <v>2136</v>
      </c>
      <c r="D219" t="s">
        <v>4591</v>
      </c>
      <c r="E219">
        <v>683705001</v>
      </c>
      <c r="F219" t="s">
        <v>6688</v>
      </c>
    </row>
    <row r="220" spans="1:6" x14ac:dyDescent="0.25">
      <c r="A220" t="s">
        <v>5990</v>
      </c>
      <c r="B220" t="s">
        <v>5991</v>
      </c>
      <c r="C220" t="s">
        <v>1590</v>
      </c>
      <c r="D220" t="s">
        <v>5025</v>
      </c>
      <c r="E220">
        <v>699045113</v>
      </c>
      <c r="F220" t="s">
        <v>6675</v>
      </c>
    </row>
    <row r="221" spans="1:6" x14ac:dyDescent="0.25">
      <c r="A221" t="s">
        <v>5803</v>
      </c>
      <c r="B221" t="s">
        <v>5804</v>
      </c>
      <c r="C221" t="s">
        <v>4492</v>
      </c>
      <c r="D221" t="s">
        <v>4493</v>
      </c>
      <c r="E221" t="s">
        <v>4494</v>
      </c>
      <c r="F221" t="s">
        <v>1575</v>
      </c>
    </row>
    <row r="222" spans="1:6" x14ac:dyDescent="0.25">
      <c r="A222" t="s">
        <v>5184</v>
      </c>
      <c r="B222" t="s">
        <v>5185</v>
      </c>
      <c r="C222" t="s">
        <v>4492</v>
      </c>
      <c r="D222" t="s">
        <v>4493</v>
      </c>
      <c r="E222" t="s">
        <v>4494</v>
      </c>
      <c r="F222" t="s">
        <v>1575</v>
      </c>
    </row>
    <row r="223" spans="1:6" x14ac:dyDescent="0.25">
      <c r="A223" t="s">
        <v>5180</v>
      </c>
      <c r="B223" t="s">
        <v>5181</v>
      </c>
      <c r="C223" t="s">
        <v>4492</v>
      </c>
      <c r="D223" t="s">
        <v>4493</v>
      </c>
      <c r="E223" t="s">
        <v>4494</v>
      </c>
      <c r="F223" t="s">
        <v>1575</v>
      </c>
    </row>
    <row r="224" spans="1:6" x14ac:dyDescent="0.25">
      <c r="A224" t="s">
        <v>5511</v>
      </c>
      <c r="B224" t="s">
        <v>5512</v>
      </c>
      <c r="C224" t="s">
        <v>4492</v>
      </c>
      <c r="D224" t="s">
        <v>4493</v>
      </c>
      <c r="E224" t="s">
        <v>4494</v>
      </c>
      <c r="F224" t="s">
        <v>1575</v>
      </c>
    </row>
    <row r="225" spans="1:6" x14ac:dyDescent="0.25">
      <c r="A225" t="s">
        <v>5877</v>
      </c>
      <c r="B225" t="s">
        <v>5878</v>
      </c>
      <c r="C225" t="s">
        <v>4492</v>
      </c>
      <c r="D225" t="s">
        <v>4493</v>
      </c>
      <c r="E225" t="s">
        <v>4494</v>
      </c>
      <c r="F225" t="s">
        <v>1575</v>
      </c>
    </row>
    <row r="226" spans="1:6" x14ac:dyDescent="0.25">
      <c r="A226" t="s">
        <v>5302</v>
      </c>
      <c r="B226" t="s">
        <v>5303</v>
      </c>
      <c r="C226" t="s">
        <v>4492</v>
      </c>
      <c r="D226" t="s">
        <v>4493</v>
      </c>
      <c r="E226" t="s">
        <v>4494</v>
      </c>
      <c r="F226" t="s">
        <v>1575</v>
      </c>
    </row>
    <row r="227" spans="1:6" x14ac:dyDescent="0.25">
      <c r="A227" t="s">
        <v>5336</v>
      </c>
      <c r="B227" t="s">
        <v>5337</v>
      </c>
      <c r="C227" t="s">
        <v>4492</v>
      </c>
      <c r="D227" t="s">
        <v>4493</v>
      </c>
      <c r="E227" t="s">
        <v>4494</v>
      </c>
      <c r="F227" t="s">
        <v>1575</v>
      </c>
    </row>
    <row r="228" spans="1:6" x14ac:dyDescent="0.25">
      <c r="A228" t="s">
        <v>4545</v>
      </c>
      <c r="B228" t="s">
        <v>4546</v>
      </c>
      <c r="C228" t="s">
        <v>4492</v>
      </c>
      <c r="D228" t="s">
        <v>4493</v>
      </c>
      <c r="E228" t="s">
        <v>4494</v>
      </c>
      <c r="F228" t="s">
        <v>1575</v>
      </c>
    </row>
    <row r="229" spans="1:6" x14ac:dyDescent="0.25">
      <c r="A229" t="s">
        <v>6326</v>
      </c>
      <c r="B229" t="s">
        <v>6327</v>
      </c>
      <c r="C229" t="s">
        <v>4492</v>
      </c>
      <c r="D229" t="s">
        <v>4493</v>
      </c>
      <c r="E229" t="s">
        <v>4494</v>
      </c>
      <c r="F229" t="s">
        <v>1575</v>
      </c>
    </row>
    <row r="230" spans="1:6" x14ac:dyDescent="0.25">
      <c r="A230" t="s">
        <v>4883</v>
      </c>
      <c r="B230" t="s">
        <v>4884</v>
      </c>
      <c r="C230" t="s">
        <v>4492</v>
      </c>
      <c r="D230" t="s">
        <v>4493</v>
      </c>
      <c r="E230" t="s">
        <v>4494</v>
      </c>
      <c r="F230" t="s">
        <v>1575</v>
      </c>
    </row>
    <row r="231" spans="1:6" x14ac:dyDescent="0.25">
      <c r="A231" t="s">
        <v>6278</v>
      </c>
      <c r="B231" t="s">
        <v>6279</v>
      </c>
      <c r="C231" t="s">
        <v>4492</v>
      </c>
      <c r="D231" t="s">
        <v>4493</v>
      </c>
      <c r="E231" t="s">
        <v>4494</v>
      </c>
      <c r="F231" t="s">
        <v>1575</v>
      </c>
    </row>
    <row r="232" spans="1:6" x14ac:dyDescent="0.25">
      <c r="A232" t="s">
        <v>6282</v>
      </c>
      <c r="B232" t="s">
        <v>6283</v>
      </c>
      <c r="C232" t="s">
        <v>4492</v>
      </c>
      <c r="D232" t="s">
        <v>4493</v>
      </c>
      <c r="E232" t="s">
        <v>4494</v>
      </c>
      <c r="F232" t="s">
        <v>1575</v>
      </c>
    </row>
    <row r="233" spans="1:6" x14ac:dyDescent="0.25">
      <c r="A233" t="s">
        <v>6332</v>
      </c>
      <c r="B233" t="s">
        <v>6333</v>
      </c>
      <c r="C233" t="s">
        <v>4492</v>
      </c>
      <c r="D233" t="s">
        <v>4493</v>
      </c>
      <c r="E233" t="s">
        <v>4494</v>
      </c>
      <c r="F233" t="s">
        <v>1575</v>
      </c>
    </row>
    <row r="234" spans="1:6" x14ac:dyDescent="0.25">
      <c r="A234" t="s">
        <v>6348</v>
      </c>
      <c r="B234" t="s">
        <v>6349</v>
      </c>
      <c r="C234" t="s">
        <v>4492</v>
      </c>
      <c r="D234" t="s">
        <v>4493</v>
      </c>
      <c r="E234" t="s">
        <v>4494</v>
      </c>
      <c r="F234" t="s">
        <v>1575</v>
      </c>
    </row>
    <row r="235" spans="1:6" x14ac:dyDescent="0.25">
      <c r="A235" t="s">
        <v>6357</v>
      </c>
      <c r="B235" t="s">
        <v>6358</v>
      </c>
      <c r="C235" t="s">
        <v>4492</v>
      </c>
      <c r="D235" t="s">
        <v>4493</v>
      </c>
      <c r="E235" t="s">
        <v>4494</v>
      </c>
      <c r="F235" t="s">
        <v>1575</v>
      </c>
    </row>
    <row r="236" spans="1:6" x14ac:dyDescent="0.25">
      <c r="A236" t="s">
        <v>6266</v>
      </c>
      <c r="B236" t="s">
        <v>6267</v>
      </c>
      <c r="C236" t="s">
        <v>4492</v>
      </c>
      <c r="D236" t="s">
        <v>4493</v>
      </c>
      <c r="E236" t="s">
        <v>4494</v>
      </c>
      <c r="F236" t="s">
        <v>1575</v>
      </c>
    </row>
    <row r="237" spans="1:6" x14ac:dyDescent="0.25">
      <c r="A237" t="s">
        <v>4631</v>
      </c>
      <c r="B237" t="s">
        <v>4632</v>
      </c>
      <c r="C237" t="s">
        <v>4492</v>
      </c>
      <c r="D237" t="s">
        <v>4493</v>
      </c>
      <c r="E237" t="s">
        <v>4494</v>
      </c>
      <c r="F237" t="s">
        <v>1575</v>
      </c>
    </row>
    <row r="238" spans="1:6" x14ac:dyDescent="0.25">
      <c r="A238" t="s">
        <v>5220</v>
      </c>
      <c r="B238" t="s">
        <v>5221</v>
      </c>
      <c r="C238" t="s">
        <v>4492</v>
      </c>
      <c r="D238" t="s">
        <v>4493</v>
      </c>
      <c r="E238" t="s">
        <v>4494</v>
      </c>
      <c r="F238" t="s">
        <v>1575</v>
      </c>
    </row>
    <row r="239" spans="1:6" x14ac:dyDescent="0.25">
      <c r="A239" t="s">
        <v>5429</v>
      </c>
      <c r="B239" t="s">
        <v>5430</v>
      </c>
      <c r="C239" t="s">
        <v>4492</v>
      </c>
      <c r="D239" t="s">
        <v>4493</v>
      </c>
      <c r="E239" t="s">
        <v>4494</v>
      </c>
      <c r="F239" t="s">
        <v>1575</v>
      </c>
    </row>
    <row r="240" spans="1:6" x14ac:dyDescent="0.25">
      <c r="A240" t="s">
        <v>6180</v>
      </c>
      <c r="B240" t="s">
        <v>6181</v>
      </c>
      <c r="C240" t="s">
        <v>4492</v>
      </c>
      <c r="D240" t="s">
        <v>4493</v>
      </c>
      <c r="E240" t="s">
        <v>4494</v>
      </c>
      <c r="F240" t="s">
        <v>1575</v>
      </c>
    </row>
    <row r="241" spans="1:6" x14ac:dyDescent="0.25">
      <c r="A241" t="s">
        <v>4944</v>
      </c>
      <c r="B241" t="s">
        <v>4945</v>
      </c>
      <c r="C241" t="s">
        <v>4492</v>
      </c>
      <c r="D241" t="s">
        <v>4493</v>
      </c>
      <c r="E241" t="s">
        <v>4494</v>
      </c>
      <c r="F241" t="s">
        <v>1575</v>
      </c>
    </row>
    <row r="242" spans="1:6" x14ac:dyDescent="0.25">
      <c r="A242" t="s">
        <v>4921</v>
      </c>
      <c r="B242" t="s">
        <v>4922</v>
      </c>
      <c r="C242" t="s">
        <v>4492</v>
      </c>
      <c r="D242" t="s">
        <v>4493</v>
      </c>
      <c r="E242" t="s">
        <v>4494</v>
      </c>
      <c r="F242" t="s">
        <v>1575</v>
      </c>
    </row>
    <row r="243" spans="1:6" x14ac:dyDescent="0.25">
      <c r="A243" t="s">
        <v>4891</v>
      </c>
      <c r="B243" t="s">
        <v>4892</v>
      </c>
      <c r="C243" t="s">
        <v>2136</v>
      </c>
      <c r="D243" t="s">
        <v>4591</v>
      </c>
      <c r="E243">
        <v>683705001</v>
      </c>
      <c r="F243" t="s">
        <v>6688</v>
      </c>
    </row>
    <row r="244" spans="1:6" x14ac:dyDescent="0.25">
      <c r="A244" t="s">
        <v>5551</v>
      </c>
      <c r="B244" t="s">
        <v>5552</v>
      </c>
      <c r="C244" t="s">
        <v>4492</v>
      </c>
      <c r="D244" t="s">
        <v>4493</v>
      </c>
      <c r="E244" t="s">
        <v>4494</v>
      </c>
      <c r="F244" t="s">
        <v>1575</v>
      </c>
    </row>
    <row r="245" spans="1:6" x14ac:dyDescent="0.25">
      <c r="A245" t="s">
        <v>4647</v>
      </c>
      <c r="B245" t="s">
        <v>4648</v>
      </c>
      <c r="C245" t="s">
        <v>4492</v>
      </c>
      <c r="D245" t="s">
        <v>4493</v>
      </c>
      <c r="E245" t="s">
        <v>4494</v>
      </c>
      <c r="F245" t="s">
        <v>1575</v>
      </c>
    </row>
    <row r="246" spans="1:6" x14ac:dyDescent="0.25">
      <c r="A246" t="s">
        <v>5145</v>
      </c>
      <c r="B246" t="s">
        <v>5146</v>
      </c>
      <c r="C246" t="s">
        <v>4492</v>
      </c>
      <c r="D246" t="s">
        <v>4493</v>
      </c>
      <c r="E246" t="s">
        <v>4494</v>
      </c>
      <c r="F246" t="s">
        <v>1575</v>
      </c>
    </row>
    <row r="247" spans="1:6" x14ac:dyDescent="0.25">
      <c r="A247" t="s">
        <v>4755</v>
      </c>
      <c r="B247" t="s">
        <v>4756</v>
      </c>
      <c r="C247" t="s">
        <v>4492</v>
      </c>
      <c r="D247" t="s">
        <v>4493</v>
      </c>
      <c r="E247" t="s">
        <v>4494</v>
      </c>
      <c r="F247" t="s">
        <v>1575</v>
      </c>
    </row>
    <row r="248" spans="1:6" x14ac:dyDescent="0.25">
      <c r="A248" t="s">
        <v>4555</v>
      </c>
      <c r="B248" t="s">
        <v>4556</v>
      </c>
      <c r="C248" t="s">
        <v>4492</v>
      </c>
      <c r="D248" t="s">
        <v>4493</v>
      </c>
      <c r="E248" t="s">
        <v>4494</v>
      </c>
      <c r="F248" t="s">
        <v>1575</v>
      </c>
    </row>
    <row r="249" spans="1:6" x14ac:dyDescent="0.25">
      <c r="A249" t="s">
        <v>4694</v>
      </c>
      <c r="B249" t="s">
        <v>4695</v>
      </c>
      <c r="C249" t="s">
        <v>1670</v>
      </c>
      <c r="D249" t="s">
        <v>4696</v>
      </c>
      <c r="E249">
        <v>669772159</v>
      </c>
      <c r="F249" t="s">
        <v>6702</v>
      </c>
    </row>
    <row r="250" spans="1:6" x14ac:dyDescent="0.25">
      <c r="A250" t="s">
        <v>5467</v>
      </c>
      <c r="B250" t="s">
        <v>5468</v>
      </c>
      <c r="C250" t="s">
        <v>4492</v>
      </c>
      <c r="D250" t="s">
        <v>4493</v>
      </c>
      <c r="E250" t="s">
        <v>4494</v>
      </c>
      <c r="F250" t="s">
        <v>1575</v>
      </c>
    </row>
    <row r="251" spans="1:6" x14ac:dyDescent="0.25">
      <c r="A251" t="s">
        <v>4719</v>
      </c>
      <c r="B251" t="s">
        <v>4720</v>
      </c>
      <c r="C251" t="s">
        <v>4492</v>
      </c>
      <c r="D251" t="s">
        <v>4493</v>
      </c>
      <c r="E251" t="s">
        <v>4494</v>
      </c>
      <c r="F251" t="s">
        <v>1575</v>
      </c>
    </row>
    <row r="252" spans="1:6" x14ac:dyDescent="0.25">
      <c r="A252" t="s">
        <v>4759</v>
      </c>
      <c r="B252" t="s">
        <v>4760</v>
      </c>
      <c r="C252" t="s">
        <v>4492</v>
      </c>
      <c r="D252" t="s">
        <v>4493</v>
      </c>
      <c r="E252" t="s">
        <v>4494</v>
      </c>
      <c r="F252" t="s">
        <v>1575</v>
      </c>
    </row>
    <row r="253" spans="1:6" x14ac:dyDescent="0.25">
      <c r="A253" t="s">
        <v>5747</v>
      </c>
      <c r="B253" t="s">
        <v>5748</v>
      </c>
      <c r="C253" t="s">
        <v>4492</v>
      </c>
      <c r="D253" t="s">
        <v>4493</v>
      </c>
      <c r="E253" t="s">
        <v>4494</v>
      </c>
      <c r="F253" t="s">
        <v>1575</v>
      </c>
    </row>
    <row r="254" spans="1:6" x14ac:dyDescent="0.25">
      <c r="A254" t="s">
        <v>5427</v>
      </c>
      <c r="B254" t="s">
        <v>5428</v>
      </c>
      <c r="C254" t="s">
        <v>4492</v>
      </c>
      <c r="D254" t="s">
        <v>4493</v>
      </c>
      <c r="E254" t="s">
        <v>4494</v>
      </c>
      <c r="F254" t="s">
        <v>1575</v>
      </c>
    </row>
    <row r="255" spans="1:6" x14ac:dyDescent="0.25">
      <c r="A255" t="s">
        <v>5525</v>
      </c>
      <c r="B255" t="s">
        <v>5526</v>
      </c>
      <c r="C255" t="s">
        <v>4492</v>
      </c>
      <c r="D255" t="s">
        <v>4493</v>
      </c>
      <c r="E255" t="s">
        <v>4494</v>
      </c>
      <c r="F255" t="s">
        <v>1575</v>
      </c>
    </row>
    <row r="256" spans="1:6" x14ac:dyDescent="0.25">
      <c r="A256" t="s">
        <v>4905</v>
      </c>
      <c r="B256" t="s">
        <v>4906</v>
      </c>
      <c r="C256" t="s">
        <v>4492</v>
      </c>
      <c r="D256" t="s">
        <v>4493</v>
      </c>
      <c r="E256" t="s">
        <v>4494</v>
      </c>
      <c r="F256" t="s">
        <v>1575</v>
      </c>
    </row>
    <row r="257" spans="1:6" x14ac:dyDescent="0.25">
      <c r="A257" t="s">
        <v>6407</v>
      </c>
      <c r="B257" t="s">
        <v>6408</v>
      </c>
      <c r="C257" t="s">
        <v>1791</v>
      </c>
      <c r="D257" t="s">
        <v>6409</v>
      </c>
      <c r="E257">
        <v>650007303</v>
      </c>
      <c r="F257" t="s">
        <v>6825</v>
      </c>
    </row>
    <row r="258" spans="1:6" x14ac:dyDescent="0.25">
      <c r="A258" t="s">
        <v>6226</v>
      </c>
      <c r="B258" t="s">
        <v>6227</v>
      </c>
      <c r="C258" t="s">
        <v>4492</v>
      </c>
      <c r="D258" t="s">
        <v>4493</v>
      </c>
      <c r="E258" t="s">
        <v>4494</v>
      </c>
      <c r="F258" t="s">
        <v>1575</v>
      </c>
    </row>
    <row r="259" spans="1:6" x14ac:dyDescent="0.25">
      <c r="A259" t="s">
        <v>6174</v>
      </c>
      <c r="B259" t="s">
        <v>6175</v>
      </c>
      <c r="C259" t="s">
        <v>4492</v>
      </c>
      <c r="D259" t="s">
        <v>4493</v>
      </c>
      <c r="E259" t="s">
        <v>4494</v>
      </c>
      <c r="F259" t="s">
        <v>1575</v>
      </c>
    </row>
    <row r="260" spans="1:6" x14ac:dyDescent="0.25">
      <c r="A260" t="s">
        <v>5619</v>
      </c>
      <c r="B260" t="s">
        <v>5620</v>
      </c>
      <c r="C260" t="s">
        <v>4492</v>
      </c>
      <c r="D260" t="s">
        <v>4493</v>
      </c>
      <c r="E260" t="s">
        <v>4494</v>
      </c>
      <c r="F260" t="s">
        <v>1575</v>
      </c>
    </row>
    <row r="261" spans="1:6" x14ac:dyDescent="0.25">
      <c r="A261" t="s">
        <v>6096</v>
      </c>
      <c r="B261" t="s">
        <v>6097</v>
      </c>
      <c r="C261" t="s">
        <v>4492</v>
      </c>
      <c r="D261" t="s">
        <v>4493</v>
      </c>
      <c r="E261" t="s">
        <v>4494</v>
      </c>
      <c r="F261" t="s">
        <v>1575</v>
      </c>
    </row>
    <row r="262" spans="1:6" x14ac:dyDescent="0.25">
      <c r="A262" t="s">
        <v>6116</v>
      </c>
      <c r="B262" t="s">
        <v>6117</v>
      </c>
      <c r="C262" t="s">
        <v>4492</v>
      </c>
      <c r="D262" t="s">
        <v>4493</v>
      </c>
      <c r="E262" t="s">
        <v>4494</v>
      </c>
      <c r="F262" t="s">
        <v>1575</v>
      </c>
    </row>
    <row r="263" spans="1:6" x14ac:dyDescent="0.25">
      <c r="A263" t="s">
        <v>6369</v>
      </c>
      <c r="B263" t="s">
        <v>6370</v>
      </c>
      <c r="C263" t="s">
        <v>4492</v>
      </c>
      <c r="D263" t="s">
        <v>4493</v>
      </c>
      <c r="E263" t="s">
        <v>4494</v>
      </c>
      <c r="F263" t="s">
        <v>1575</v>
      </c>
    </row>
    <row r="264" spans="1:6" x14ac:dyDescent="0.25">
      <c r="A264" t="s">
        <v>6270</v>
      </c>
      <c r="B264" t="s">
        <v>6271</v>
      </c>
      <c r="C264" t="s">
        <v>4492</v>
      </c>
      <c r="D264" t="s">
        <v>4493</v>
      </c>
      <c r="E264" t="s">
        <v>4494</v>
      </c>
      <c r="F264" t="s">
        <v>1575</v>
      </c>
    </row>
    <row r="265" spans="1:6" x14ac:dyDescent="0.25">
      <c r="A265" t="s">
        <v>6342</v>
      </c>
      <c r="B265" t="s">
        <v>6343</v>
      </c>
      <c r="C265" t="s">
        <v>4492</v>
      </c>
      <c r="D265" t="s">
        <v>4493</v>
      </c>
      <c r="E265" t="s">
        <v>4494</v>
      </c>
      <c r="F265" t="s">
        <v>1575</v>
      </c>
    </row>
    <row r="266" spans="1:6" x14ac:dyDescent="0.25">
      <c r="A266" t="s">
        <v>5296</v>
      </c>
      <c r="B266" t="s">
        <v>5297</v>
      </c>
      <c r="C266" t="s">
        <v>4492</v>
      </c>
      <c r="D266" t="s">
        <v>4493</v>
      </c>
      <c r="E266" t="s">
        <v>4494</v>
      </c>
      <c r="F266" t="s">
        <v>1575</v>
      </c>
    </row>
    <row r="267" spans="1:6" x14ac:dyDescent="0.25">
      <c r="A267" t="s">
        <v>5141</v>
      </c>
      <c r="B267" t="s">
        <v>5142</v>
      </c>
      <c r="C267" t="s">
        <v>4492</v>
      </c>
      <c r="D267" t="s">
        <v>4493</v>
      </c>
      <c r="E267" t="s">
        <v>4494</v>
      </c>
      <c r="F267" t="s">
        <v>1575</v>
      </c>
    </row>
    <row r="268" spans="1:6" x14ac:dyDescent="0.25">
      <c r="A268" t="s">
        <v>4899</v>
      </c>
      <c r="B268" t="s">
        <v>4900</v>
      </c>
      <c r="C268" t="s">
        <v>4492</v>
      </c>
      <c r="D268" t="s">
        <v>4493</v>
      </c>
      <c r="E268" t="s">
        <v>4494</v>
      </c>
      <c r="F268" t="s">
        <v>1575</v>
      </c>
    </row>
    <row r="269" spans="1:6" x14ac:dyDescent="0.25">
      <c r="A269" t="s">
        <v>6391</v>
      </c>
      <c r="B269" t="s">
        <v>6392</v>
      </c>
      <c r="C269" t="s">
        <v>4492</v>
      </c>
      <c r="D269" t="s">
        <v>4493</v>
      </c>
      <c r="E269" t="s">
        <v>4494</v>
      </c>
      <c r="F269" t="s">
        <v>1575</v>
      </c>
    </row>
    <row r="270" spans="1:6" x14ac:dyDescent="0.25">
      <c r="A270" t="s">
        <v>6429</v>
      </c>
      <c r="B270" t="s">
        <v>6430</v>
      </c>
      <c r="C270" t="s">
        <v>4492</v>
      </c>
      <c r="D270" t="s">
        <v>4493</v>
      </c>
      <c r="E270" t="s">
        <v>4494</v>
      </c>
      <c r="F270" t="s">
        <v>1575</v>
      </c>
    </row>
    <row r="271" spans="1:6" x14ac:dyDescent="0.25">
      <c r="A271" t="s">
        <v>5941</v>
      </c>
      <c r="B271" t="s">
        <v>5942</v>
      </c>
      <c r="C271" t="s">
        <v>4492</v>
      </c>
      <c r="D271" t="s">
        <v>4493</v>
      </c>
      <c r="E271" t="s">
        <v>4494</v>
      </c>
      <c r="F271" t="s">
        <v>1575</v>
      </c>
    </row>
    <row r="272" spans="1:6" x14ac:dyDescent="0.25">
      <c r="A272" t="s">
        <v>6361</v>
      </c>
      <c r="B272" t="s">
        <v>6362</v>
      </c>
      <c r="C272" t="s">
        <v>4492</v>
      </c>
      <c r="D272" t="s">
        <v>4493</v>
      </c>
      <c r="E272" t="s">
        <v>4494</v>
      </c>
      <c r="F272" t="s">
        <v>1575</v>
      </c>
    </row>
    <row r="273" spans="1:6" x14ac:dyDescent="0.25">
      <c r="A273" t="s">
        <v>6286</v>
      </c>
      <c r="B273" t="s">
        <v>6287</v>
      </c>
      <c r="C273" t="s">
        <v>4492</v>
      </c>
      <c r="D273" t="s">
        <v>4493</v>
      </c>
      <c r="E273" t="s">
        <v>4494</v>
      </c>
      <c r="F273" t="s">
        <v>1575</v>
      </c>
    </row>
    <row r="274" spans="1:6" x14ac:dyDescent="0.25">
      <c r="A274" t="s">
        <v>6324</v>
      </c>
      <c r="B274" t="s">
        <v>6325</v>
      </c>
      <c r="C274" t="s">
        <v>4492</v>
      </c>
      <c r="D274" t="s">
        <v>4493</v>
      </c>
      <c r="E274" t="s">
        <v>4494</v>
      </c>
      <c r="F274" t="s">
        <v>1575</v>
      </c>
    </row>
    <row r="275" spans="1:6" x14ac:dyDescent="0.25">
      <c r="A275" t="s">
        <v>6435</v>
      </c>
      <c r="B275" t="s">
        <v>6436</v>
      </c>
      <c r="C275" t="s">
        <v>4492</v>
      </c>
      <c r="D275" t="s">
        <v>4493</v>
      </c>
      <c r="E275" t="s">
        <v>4494</v>
      </c>
      <c r="F275" t="s">
        <v>1575</v>
      </c>
    </row>
    <row r="276" spans="1:6" x14ac:dyDescent="0.25">
      <c r="A276" t="s">
        <v>5060</v>
      </c>
      <c r="B276" t="s">
        <v>5061</v>
      </c>
      <c r="C276" t="s">
        <v>4492</v>
      </c>
      <c r="D276" t="s">
        <v>4493</v>
      </c>
      <c r="E276" t="s">
        <v>4494</v>
      </c>
      <c r="F276" t="s">
        <v>1575</v>
      </c>
    </row>
    <row r="277" spans="1:6" x14ac:dyDescent="0.25">
      <c r="A277" t="s">
        <v>6375</v>
      </c>
      <c r="B277" t="s">
        <v>6376</v>
      </c>
      <c r="C277" t="s">
        <v>4492</v>
      </c>
      <c r="D277" t="s">
        <v>4493</v>
      </c>
      <c r="E277" t="s">
        <v>4494</v>
      </c>
      <c r="F277" t="s">
        <v>1575</v>
      </c>
    </row>
    <row r="278" spans="1:6" x14ac:dyDescent="0.25">
      <c r="A278" t="s">
        <v>6377</v>
      </c>
      <c r="B278" t="s">
        <v>6378</v>
      </c>
      <c r="C278" t="s">
        <v>4492</v>
      </c>
      <c r="D278" t="s">
        <v>4493</v>
      </c>
      <c r="E278" t="s">
        <v>4494</v>
      </c>
      <c r="F278" t="s">
        <v>1575</v>
      </c>
    </row>
    <row r="279" spans="1:6" x14ac:dyDescent="0.25">
      <c r="A279" t="s">
        <v>6258</v>
      </c>
      <c r="B279" t="s">
        <v>6259</v>
      </c>
      <c r="C279" t="s">
        <v>4492</v>
      </c>
      <c r="D279" t="s">
        <v>4493</v>
      </c>
      <c r="E279" t="s">
        <v>4494</v>
      </c>
      <c r="F279" t="s">
        <v>1575</v>
      </c>
    </row>
    <row r="280" spans="1:6" x14ac:dyDescent="0.25">
      <c r="A280" t="s">
        <v>6260</v>
      </c>
      <c r="B280" t="s">
        <v>6261</v>
      </c>
      <c r="C280" t="s">
        <v>4492</v>
      </c>
      <c r="D280" t="s">
        <v>4493</v>
      </c>
      <c r="E280" t="s">
        <v>4494</v>
      </c>
      <c r="F280" t="s">
        <v>1575</v>
      </c>
    </row>
    <row r="281" spans="1:6" x14ac:dyDescent="0.25">
      <c r="A281" t="s">
        <v>4668</v>
      </c>
      <c r="B281" t="s">
        <v>4669</v>
      </c>
      <c r="C281" t="s">
        <v>4492</v>
      </c>
      <c r="D281" t="s">
        <v>4493</v>
      </c>
      <c r="E281" t="s">
        <v>4494</v>
      </c>
      <c r="F281" t="s">
        <v>1575</v>
      </c>
    </row>
    <row r="282" spans="1:6" x14ac:dyDescent="0.25">
      <c r="A282" t="s">
        <v>4843</v>
      </c>
      <c r="B282" t="s">
        <v>4844</v>
      </c>
      <c r="C282" t="s">
        <v>4492</v>
      </c>
      <c r="D282" t="s">
        <v>4493</v>
      </c>
      <c r="E282" t="s">
        <v>4494</v>
      </c>
      <c r="F282" t="s">
        <v>1575</v>
      </c>
    </row>
    <row r="283" spans="1:6" x14ac:dyDescent="0.25">
      <c r="A283" t="s">
        <v>5206</v>
      </c>
      <c r="B283" t="s">
        <v>5207</v>
      </c>
      <c r="C283" t="s">
        <v>4492</v>
      </c>
      <c r="D283" t="s">
        <v>4493</v>
      </c>
      <c r="E283" t="s">
        <v>4494</v>
      </c>
      <c r="F283" t="s">
        <v>1575</v>
      </c>
    </row>
    <row r="284" spans="1:6" x14ac:dyDescent="0.25">
      <c r="A284" t="s">
        <v>5453</v>
      </c>
      <c r="B284" t="s">
        <v>5454</v>
      </c>
      <c r="C284" t="s">
        <v>4492</v>
      </c>
      <c r="D284" t="s">
        <v>4493</v>
      </c>
      <c r="E284" t="s">
        <v>4494</v>
      </c>
      <c r="F284" t="s">
        <v>1575</v>
      </c>
    </row>
    <row r="285" spans="1:6" x14ac:dyDescent="0.25">
      <c r="A285" t="s">
        <v>5577</v>
      </c>
      <c r="B285" t="s">
        <v>5578</v>
      </c>
      <c r="C285" t="s">
        <v>4492</v>
      </c>
      <c r="D285" t="s">
        <v>4493</v>
      </c>
      <c r="E285" t="s">
        <v>4494</v>
      </c>
      <c r="F285" t="s">
        <v>1575</v>
      </c>
    </row>
    <row r="286" spans="1:6" x14ac:dyDescent="0.25">
      <c r="A286" t="s">
        <v>6040</v>
      </c>
      <c r="B286" t="s">
        <v>6041</v>
      </c>
      <c r="C286" t="s">
        <v>4492</v>
      </c>
      <c r="D286" t="s">
        <v>4493</v>
      </c>
      <c r="E286" t="s">
        <v>4494</v>
      </c>
      <c r="F286" t="s">
        <v>1575</v>
      </c>
    </row>
    <row r="287" spans="1:6" x14ac:dyDescent="0.25">
      <c r="A287" t="s">
        <v>5647</v>
      </c>
      <c r="B287" t="s">
        <v>5648</v>
      </c>
      <c r="C287" t="s">
        <v>4492</v>
      </c>
      <c r="D287" t="s">
        <v>4493</v>
      </c>
      <c r="E287" t="s">
        <v>4494</v>
      </c>
      <c r="F287" t="s">
        <v>1575</v>
      </c>
    </row>
    <row r="288" spans="1:6" x14ac:dyDescent="0.25">
      <c r="A288" t="s">
        <v>6024</v>
      </c>
      <c r="B288" t="s">
        <v>6025</v>
      </c>
      <c r="C288" t="s">
        <v>4492</v>
      </c>
      <c r="D288" t="s">
        <v>4493</v>
      </c>
      <c r="E288" t="s">
        <v>4494</v>
      </c>
      <c r="F288" t="s">
        <v>1575</v>
      </c>
    </row>
    <row r="289" spans="1:6" x14ac:dyDescent="0.25">
      <c r="A289" t="s">
        <v>6034</v>
      </c>
      <c r="B289" t="s">
        <v>6035</v>
      </c>
      <c r="C289" t="s">
        <v>4492</v>
      </c>
      <c r="D289" t="s">
        <v>4493</v>
      </c>
      <c r="E289" t="s">
        <v>4494</v>
      </c>
      <c r="F289" t="s">
        <v>1575</v>
      </c>
    </row>
    <row r="290" spans="1:6" x14ac:dyDescent="0.25">
      <c r="A290" t="s">
        <v>5971</v>
      </c>
      <c r="B290" t="s">
        <v>5972</v>
      </c>
      <c r="C290" t="s">
        <v>4492</v>
      </c>
      <c r="D290" t="s">
        <v>4493</v>
      </c>
      <c r="E290" t="s">
        <v>4494</v>
      </c>
      <c r="F290" t="s">
        <v>1575</v>
      </c>
    </row>
    <row r="291" spans="1:6" x14ac:dyDescent="0.25">
      <c r="A291" t="s">
        <v>5704</v>
      </c>
      <c r="B291" t="s">
        <v>5705</v>
      </c>
      <c r="C291" t="s">
        <v>4492</v>
      </c>
      <c r="D291" t="s">
        <v>4493</v>
      </c>
      <c r="E291" t="s">
        <v>4494</v>
      </c>
      <c r="F291" t="s">
        <v>1575</v>
      </c>
    </row>
    <row r="292" spans="1:6" x14ac:dyDescent="0.25">
      <c r="A292" t="s">
        <v>6363</v>
      </c>
      <c r="B292" t="s">
        <v>6364</v>
      </c>
      <c r="C292" t="s">
        <v>4492</v>
      </c>
      <c r="D292" t="s">
        <v>4493</v>
      </c>
      <c r="E292" t="s">
        <v>4494</v>
      </c>
      <c r="F292" t="s">
        <v>1575</v>
      </c>
    </row>
    <row r="293" spans="1:6" x14ac:dyDescent="0.25">
      <c r="A293" t="s">
        <v>4497</v>
      </c>
      <c r="B293" t="s">
        <v>4498</v>
      </c>
      <c r="C293" t="s">
        <v>4492</v>
      </c>
      <c r="D293" t="s">
        <v>4493</v>
      </c>
      <c r="E293" t="s">
        <v>4494</v>
      </c>
      <c r="F293" t="s">
        <v>1575</v>
      </c>
    </row>
    <row r="294" spans="1:6" x14ac:dyDescent="0.25">
      <c r="A294" t="s">
        <v>5643</v>
      </c>
      <c r="B294" t="s">
        <v>5644</v>
      </c>
      <c r="C294" t="s">
        <v>4492</v>
      </c>
      <c r="D294" t="s">
        <v>4493</v>
      </c>
      <c r="E294" t="s">
        <v>4494</v>
      </c>
      <c r="F294" t="s">
        <v>1575</v>
      </c>
    </row>
    <row r="295" spans="1:6" x14ac:dyDescent="0.25">
      <c r="A295" t="s">
        <v>4825</v>
      </c>
      <c r="B295" t="s">
        <v>4826</v>
      </c>
      <c r="C295" t="s">
        <v>4492</v>
      </c>
      <c r="D295" t="s">
        <v>4493</v>
      </c>
      <c r="E295" t="s">
        <v>4494</v>
      </c>
      <c r="F295" t="s">
        <v>1575</v>
      </c>
    </row>
    <row r="296" spans="1:6" x14ac:dyDescent="0.25">
      <c r="A296" t="s">
        <v>4553</v>
      </c>
      <c r="B296" t="s">
        <v>4554</v>
      </c>
      <c r="C296" t="s">
        <v>4492</v>
      </c>
      <c r="D296" t="s">
        <v>4493</v>
      </c>
      <c r="E296" t="s">
        <v>4494</v>
      </c>
      <c r="F296" t="s">
        <v>1575</v>
      </c>
    </row>
    <row r="297" spans="1:6" x14ac:dyDescent="0.25">
      <c r="A297" t="s">
        <v>6473</v>
      </c>
      <c r="B297" t="s">
        <v>6474</v>
      </c>
      <c r="C297" t="s">
        <v>4492</v>
      </c>
      <c r="D297" t="s">
        <v>4493</v>
      </c>
      <c r="E297" t="s">
        <v>4494</v>
      </c>
      <c r="F297" t="s">
        <v>1575</v>
      </c>
    </row>
    <row r="298" spans="1:6" x14ac:dyDescent="0.25">
      <c r="A298" t="s">
        <v>4503</v>
      </c>
      <c r="B298" t="s">
        <v>4504</v>
      </c>
      <c r="C298" t="s">
        <v>4492</v>
      </c>
      <c r="D298" t="s">
        <v>4493</v>
      </c>
      <c r="E298" t="s">
        <v>4494</v>
      </c>
      <c r="F298" t="s">
        <v>1575</v>
      </c>
    </row>
    <row r="299" spans="1:6" x14ac:dyDescent="0.25">
      <c r="A299" t="s">
        <v>5914</v>
      </c>
      <c r="B299" t="s">
        <v>5915</v>
      </c>
      <c r="C299" t="s">
        <v>2522</v>
      </c>
      <c r="D299" t="s">
        <v>5916</v>
      </c>
      <c r="E299">
        <v>682602413</v>
      </c>
      <c r="F299" t="s">
        <v>6707</v>
      </c>
    </row>
    <row r="300" spans="1:6" x14ac:dyDescent="0.25">
      <c r="A300" t="s">
        <v>4511</v>
      </c>
      <c r="B300" t="s">
        <v>4512</v>
      </c>
      <c r="C300" t="s">
        <v>4492</v>
      </c>
      <c r="D300" t="s">
        <v>4493</v>
      </c>
      <c r="E300" t="s">
        <v>4494</v>
      </c>
      <c r="F300" t="s">
        <v>1575</v>
      </c>
    </row>
    <row r="301" spans="1:6" x14ac:dyDescent="0.25">
      <c r="A301" t="s">
        <v>5761</v>
      </c>
      <c r="B301" t="s">
        <v>5762</v>
      </c>
      <c r="C301" t="s">
        <v>4492</v>
      </c>
      <c r="D301" t="s">
        <v>4493</v>
      </c>
      <c r="E301" t="s">
        <v>4494</v>
      </c>
      <c r="F301" t="s">
        <v>1575</v>
      </c>
    </row>
    <row r="302" spans="1:6" x14ac:dyDescent="0.25">
      <c r="A302" t="s">
        <v>4543</v>
      </c>
      <c r="B302" t="s">
        <v>4544</v>
      </c>
      <c r="C302" t="s">
        <v>4492</v>
      </c>
      <c r="D302" t="s">
        <v>4493</v>
      </c>
      <c r="E302" t="s">
        <v>4494</v>
      </c>
      <c r="F302" t="s">
        <v>1575</v>
      </c>
    </row>
    <row r="303" spans="1:6" x14ac:dyDescent="0.25">
      <c r="A303" t="s">
        <v>6328</v>
      </c>
      <c r="B303" t="s">
        <v>6329</v>
      </c>
      <c r="C303" t="s">
        <v>4492</v>
      </c>
      <c r="D303" t="s">
        <v>4493</v>
      </c>
      <c r="E303" t="s">
        <v>4494</v>
      </c>
      <c r="F303" t="s">
        <v>1575</v>
      </c>
    </row>
    <row r="304" spans="1:6" x14ac:dyDescent="0.25">
      <c r="A304" t="s">
        <v>5767</v>
      </c>
      <c r="B304" t="s">
        <v>5768</v>
      </c>
      <c r="C304" t="s">
        <v>4492</v>
      </c>
      <c r="D304" t="s">
        <v>4493</v>
      </c>
      <c r="E304" t="s">
        <v>4494</v>
      </c>
      <c r="F304" t="s">
        <v>1575</v>
      </c>
    </row>
    <row r="305" spans="1:6" x14ac:dyDescent="0.25">
      <c r="A305" t="s">
        <v>5627</v>
      </c>
      <c r="B305" t="s">
        <v>5628</v>
      </c>
      <c r="C305" t="s">
        <v>4492</v>
      </c>
      <c r="D305" t="s">
        <v>4493</v>
      </c>
      <c r="E305" t="s">
        <v>4494</v>
      </c>
      <c r="F305" t="s">
        <v>1575</v>
      </c>
    </row>
    <row r="306" spans="1:6" x14ac:dyDescent="0.25">
      <c r="A306" t="s">
        <v>5149</v>
      </c>
      <c r="B306" t="s">
        <v>5150</v>
      </c>
      <c r="C306" t="s">
        <v>1921</v>
      </c>
      <c r="D306" t="s">
        <v>5151</v>
      </c>
      <c r="E306">
        <v>618624075</v>
      </c>
      <c r="F306" t="s">
        <v>6796</v>
      </c>
    </row>
    <row r="307" spans="1:6" x14ac:dyDescent="0.25">
      <c r="A307" t="s">
        <v>5549</v>
      </c>
      <c r="B307" t="s">
        <v>5550</v>
      </c>
      <c r="C307" t="s">
        <v>1860</v>
      </c>
      <c r="D307" t="s">
        <v>4622</v>
      </c>
      <c r="E307">
        <v>608095586</v>
      </c>
      <c r="F307" t="s">
        <v>6763</v>
      </c>
    </row>
    <row r="308" spans="1:6" x14ac:dyDescent="0.25">
      <c r="A308" t="s">
        <v>5261</v>
      </c>
      <c r="B308" t="s">
        <v>5262</v>
      </c>
      <c r="C308" t="s">
        <v>4492</v>
      </c>
      <c r="D308" t="s">
        <v>4493</v>
      </c>
      <c r="E308">
        <v>1489</v>
      </c>
      <c r="F308" t="s">
        <v>1575</v>
      </c>
    </row>
    <row r="309" spans="1:6" x14ac:dyDescent="0.25">
      <c r="A309" t="s">
        <v>5054</v>
      </c>
      <c r="B309" t="s">
        <v>5055</v>
      </c>
      <c r="C309" t="s">
        <v>4492</v>
      </c>
      <c r="D309" t="s">
        <v>4493</v>
      </c>
      <c r="E309" t="s">
        <v>4494</v>
      </c>
      <c r="F309" t="s">
        <v>1575</v>
      </c>
    </row>
    <row r="310" spans="1:6" x14ac:dyDescent="0.25">
      <c r="A310" t="s">
        <v>4657</v>
      </c>
      <c r="B310" t="s">
        <v>4658</v>
      </c>
      <c r="C310" t="s">
        <v>4492</v>
      </c>
      <c r="D310" t="s">
        <v>4493</v>
      </c>
      <c r="E310" t="s">
        <v>4494</v>
      </c>
      <c r="F310" t="s">
        <v>1575</v>
      </c>
    </row>
    <row r="311" spans="1:6" x14ac:dyDescent="0.25">
      <c r="A311" t="s">
        <v>4649</v>
      </c>
      <c r="B311" t="s">
        <v>4650</v>
      </c>
      <c r="C311" t="s">
        <v>4492</v>
      </c>
      <c r="D311" t="s">
        <v>4493</v>
      </c>
      <c r="E311" t="s">
        <v>4494</v>
      </c>
      <c r="F311" t="s">
        <v>1575</v>
      </c>
    </row>
    <row r="312" spans="1:6" x14ac:dyDescent="0.25">
      <c r="A312" t="s">
        <v>5417</v>
      </c>
      <c r="B312" t="s">
        <v>5418</v>
      </c>
      <c r="C312" t="s">
        <v>4492</v>
      </c>
      <c r="D312" t="s">
        <v>4493</v>
      </c>
      <c r="E312" t="s">
        <v>4494</v>
      </c>
      <c r="F312" t="s">
        <v>1575</v>
      </c>
    </row>
    <row r="313" spans="1:6" x14ac:dyDescent="0.25">
      <c r="A313" t="s">
        <v>4849</v>
      </c>
      <c r="B313" t="s">
        <v>4850</v>
      </c>
      <c r="C313" t="s">
        <v>4492</v>
      </c>
      <c r="D313" t="s">
        <v>4493</v>
      </c>
      <c r="E313" t="s">
        <v>4494</v>
      </c>
      <c r="F313" t="s">
        <v>1575</v>
      </c>
    </row>
    <row r="314" spans="1:6" x14ac:dyDescent="0.25">
      <c r="A314" t="s">
        <v>5706</v>
      </c>
      <c r="B314" t="s">
        <v>5707</v>
      </c>
      <c r="C314" t="s">
        <v>4492</v>
      </c>
      <c r="D314" t="s">
        <v>4493</v>
      </c>
      <c r="E314" t="s">
        <v>4494</v>
      </c>
      <c r="F314" t="s">
        <v>1575</v>
      </c>
    </row>
    <row r="315" spans="1:6" x14ac:dyDescent="0.25">
      <c r="A315" t="s">
        <v>5174</v>
      </c>
      <c r="B315" t="s">
        <v>5175</v>
      </c>
      <c r="C315" t="s">
        <v>4492</v>
      </c>
      <c r="D315" t="s">
        <v>4493</v>
      </c>
      <c r="E315" t="s">
        <v>4494</v>
      </c>
      <c r="F315" t="s">
        <v>1575</v>
      </c>
    </row>
    <row r="316" spans="1:6" x14ac:dyDescent="0.25">
      <c r="A316" t="s">
        <v>6433</v>
      </c>
      <c r="B316" t="s">
        <v>6434</v>
      </c>
      <c r="C316" t="s">
        <v>4492</v>
      </c>
      <c r="D316" t="s">
        <v>4493</v>
      </c>
      <c r="E316" t="s">
        <v>4494</v>
      </c>
      <c r="F316" t="s">
        <v>1575</v>
      </c>
    </row>
    <row r="317" spans="1:6" x14ac:dyDescent="0.25">
      <c r="A317" t="s">
        <v>5739</v>
      </c>
      <c r="B317" t="s">
        <v>5740</v>
      </c>
      <c r="C317" t="s">
        <v>4492</v>
      </c>
      <c r="D317" t="s">
        <v>4493</v>
      </c>
      <c r="E317" t="s">
        <v>4494</v>
      </c>
      <c r="F317" t="s">
        <v>1575</v>
      </c>
    </row>
    <row r="318" spans="1:6" x14ac:dyDescent="0.25">
      <c r="A318" t="s">
        <v>4659</v>
      </c>
      <c r="B318" t="s">
        <v>4660</v>
      </c>
      <c r="C318" t="s">
        <v>4492</v>
      </c>
      <c r="D318" t="s">
        <v>4493</v>
      </c>
      <c r="E318" t="s">
        <v>4494</v>
      </c>
      <c r="F318" t="s">
        <v>1575</v>
      </c>
    </row>
    <row r="319" spans="1:6" x14ac:dyDescent="0.25">
      <c r="A319" t="s">
        <v>4674</v>
      </c>
      <c r="B319" t="s">
        <v>4675</v>
      </c>
      <c r="C319" t="s">
        <v>4492</v>
      </c>
      <c r="D319" t="s">
        <v>4493</v>
      </c>
      <c r="E319" t="s">
        <v>4494</v>
      </c>
      <c r="F319" t="s">
        <v>1575</v>
      </c>
    </row>
    <row r="320" spans="1:6" x14ac:dyDescent="0.25">
      <c r="A320" t="s">
        <v>4879</v>
      </c>
      <c r="B320" t="s">
        <v>4880</v>
      </c>
      <c r="C320" t="s">
        <v>4492</v>
      </c>
      <c r="D320" t="s">
        <v>4493</v>
      </c>
      <c r="E320" t="s">
        <v>4494</v>
      </c>
      <c r="F320" t="s">
        <v>1575</v>
      </c>
    </row>
    <row r="321" spans="1:6" x14ac:dyDescent="0.25">
      <c r="A321" t="s">
        <v>5389</v>
      </c>
      <c r="B321" t="s">
        <v>5390</v>
      </c>
      <c r="C321" t="s">
        <v>4492</v>
      </c>
      <c r="D321" t="s">
        <v>4493</v>
      </c>
      <c r="E321" t="s">
        <v>4494</v>
      </c>
      <c r="F321" t="s">
        <v>1575</v>
      </c>
    </row>
    <row r="322" spans="1:6" x14ac:dyDescent="0.25">
      <c r="A322" t="s">
        <v>5479</v>
      </c>
      <c r="B322" t="s">
        <v>5480</v>
      </c>
      <c r="C322" t="s">
        <v>4492</v>
      </c>
      <c r="D322" t="s">
        <v>4493</v>
      </c>
      <c r="E322" t="s">
        <v>4494</v>
      </c>
      <c r="F322" t="s">
        <v>1575</v>
      </c>
    </row>
    <row r="323" spans="1:6" x14ac:dyDescent="0.25">
      <c r="A323" t="s">
        <v>5847</v>
      </c>
      <c r="B323" t="s">
        <v>5848</v>
      </c>
      <c r="C323" t="s">
        <v>4492</v>
      </c>
      <c r="D323" t="s">
        <v>4493</v>
      </c>
      <c r="E323" t="s">
        <v>4494</v>
      </c>
      <c r="F323" t="s">
        <v>1575</v>
      </c>
    </row>
    <row r="324" spans="1:6" x14ac:dyDescent="0.25">
      <c r="A324" t="s">
        <v>4701</v>
      </c>
      <c r="B324" t="s">
        <v>4702</v>
      </c>
      <c r="C324" t="s">
        <v>4492</v>
      </c>
      <c r="D324" t="s">
        <v>4493</v>
      </c>
      <c r="E324" t="s">
        <v>4494</v>
      </c>
      <c r="F324" t="s">
        <v>1575</v>
      </c>
    </row>
    <row r="325" spans="1:6" x14ac:dyDescent="0.25">
      <c r="A325" t="s">
        <v>5639</v>
      </c>
      <c r="B325" t="s">
        <v>5640</v>
      </c>
      <c r="C325" t="s">
        <v>4492</v>
      </c>
      <c r="D325" t="s">
        <v>4493</v>
      </c>
      <c r="E325" t="s">
        <v>4494</v>
      </c>
      <c r="F325" t="s">
        <v>1575</v>
      </c>
    </row>
    <row r="326" spans="1:6" x14ac:dyDescent="0.25">
      <c r="A326" t="s">
        <v>6158</v>
      </c>
      <c r="B326" t="s">
        <v>6159</v>
      </c>
      <c r="C326" t="s">
        <v>4492</v>
      </c>
      <c r="D326" t="s">
        <v>4493</v>
      </c>
      <c r="E326" t="s">
        <v>4494</v>
      </c>
      <c r="F326" t="s">
        <v>1575</v>
      </c>
    </row>
    <row r="327" spans="1:6" x14ac:dyDescent="0.25">
      <c r="A327" t="s">
        <v>6182</v>
      </c>
      <c r="B327" t="s">
        <v>6183</v>
      </c>
      <c r="C327" t="s">
        <v>4492</v>
      </c>
      <c r="D327" t="s">
        <v>4493</v>
      </c>
      <c r="E327" t="s">
        <v>4494</v>
      </c>
      <c r="F327" t="s">
        <v>1575</v>
      </c>
    </row>
    <row r="328" spans="1:6" x14ac:dyDescent="0.25">
      <c r="A328" t="s">
        <v>6248</v>
      </c>
      <c r="B328" t="s">
        <v>6249</v>
      </c>
      <c r="C328" t="s">
        <v>4492</v>
      </c>
      <c r="D328" t="s">
        <v>4493</v>
      </c>
      <c r="E328" t="s">
        <v>4494</v>
      </c>
      <c r="F328" t="s">
        <v>1575</v>
      </c>
    </row>
    <row r="329" spans="1:6" x14ac:dyDescent="0.25">
      <c r="A329" t="s">
        <v>6477</v>
      </c>
      <c r="B329" t="s">
        <v>6478</v>
      </c>
      <c r="C329" t="s">
        <v>4492</v>
      </c>
      <c r="D329" t="s">
        <v>4493</v>
      </c>
      <c r="E329" t="s">
        <v>4494</v>
      </c>
      <c r="F329" t="s">
        <v>1575</v>
      </c>
    </row>
    <row r="330" spans="1:6" x14ac:dyDescent="0.25">
      <c r="A330" t="s">
        <v>6150</v>
      </c>
      <c r="B330" t="s">
        <v>6151</v>
      </c>
      <c r="C330" t="s">
        <v>4492</v>
      </c>
      <c r="D330" t="s">
        <v>4493</v>
      </c>
      <c r="E330" t="s">
        <v>4494</v>
      </c>
      <c r="F330" t="s">
        <v>1575</v>
      </c>
    </row>
    <row r="331" spans="1:6" x14ac:dyDescent="0.25">
      <c r="A331" t="s">
        <v>6176</v>
      </c>
      <c r="B331" t="s">
        <v>6177</v>
      </c>
      <c r="C331" t="s">
        <v>4492</v>
      </c>
      <c r="D331" t="s">
        <v>4493</v>
      </c>
      <c r="E331" t="s">
        <v>4494</v>
      </c>
      <c r="F331" t="s">
        <v>1575</v>
      </c>
    </row>
    <row r="332" spans="1:6" x14ac:dyDescent="0.25">
      <c r="A332" t="s">
        <v>6172</v>
      </c>
      <c r="B332" t="s">
        <v>6173</v>
      </c>
      <c r="C332" t="s">
        <v>4492</v>
      </c>
      <c r="D332" t="s">
        <v>4493</v>
      </c>
      <c r="E332" t="s">
        <v>4494</v>
      </c>
      <c r="F332" t="s">
        <v>1575</v>
      </c>
    </row>
    <row r="333" spans="1:6" x14ac:dyDescent="0.25">
      <c r="A333" t="s">
        <v>6256</v>
      </c>
      <c r="B333" t="s">
        <v>6257</v>
      </c>
      <c r="C333" t="s">
        <v>4492</v>
      </c>
      <c r="D333" t="s">
        <v>4493</v>
      </c>
      <c r="E333" t="s">
        <v>4494</v>
      </c>
      <c r="F333" t="s">
        <v>1575</v>
      </c>
    </row>
    <row r="334" spans="1:6" x14ac:dyDescent="0.25">
      <c r="A334" t="s">
        <v>6424</v>
      </c>
      <c r="B334" t="s">
        <v>6425</v>
      </c>
      <c r="C334" t="s">
        <v>1709</v>
      </c>
      <c r="D334" t="s">
        <v>6426</v>
      </c>
      <c r="E334">
        <v>629326071</v>
      </c>
      <c r="F334" t="s">
        <v>6814</v>
      </c>
    </row>
    <row r="335" spans="1:6" x14ac:dyDescent="0.25">
      <c r="A335" t="s">
        <v>6441</v>
      </c>
      <c r="B335" t="s">
        <v>6442</v>
      </c>
      <c r="C335" t="s">
        <v>4492</v>
      </c>
      <c r="D335" t="s">
        <v>4493</v>
      </c>
      <c r="E335" t="s">
        <v>4494</v>
      </c>
      <c r="F335" t="s">
        <v>1575</v>
      </c>
    </row>
    <row r="336" spans="1:6" x14ac:dyDescent="0.25">
      <c r="A336" t="s">
        <v>6443</v>
      </c>
      <c r="B336" t="s">
        <v>6444</v>
      </c>
      <c r="C336" t="s">
        <v>4492</v>
      </c>
      <c r="D336" t="s">
        <v>4493</v>
      </c>
      <c r="E336" t="s">
        <v>4494</v>
      </c>
      <c r="F336" t="s">
        <v>1575</v>
      </c>
    </row>
    <row r="337" spans="1:6" x14ac:dyDescent="0.25">
      <c r="A337" t="s">
        <v>6427</v>
      </c>
      <c r="B337" t="s">
        <v>6428</v>
      </c>
      <c r="C337" t="s">
        <v>1709</v>
      </c>
      <c r="D337" t="s">
        <v>6426</v>
      </c>
      <c r="E337">
        <v>629326071</v>
      </c>
      <c r="F337" t="s">
        <v>6814</v>
      </c>
    </row>
    <row r="338" spans="1:6" x14ac:dyDescent="0.25">
      <c r="A338" t="s">
        <v>4925</v>
      </c>
      <c r="B338" t="s">
        <v>4926</v>
      </c>
      <c r="C338" t="s">
        <v>4492</v>
      </c>
      <c r="D338" t="s">
        <v>4493</v>
      </c>
      <c r="E338" t="s">
        <v>4494</v>
      </c>
      <c r="F338" t="s">
        <v>1575</v>
      </c>
    </row>
    <row r="339" spans="1:6" x14ac:dyDescent="0.25">
      <c r="A339" t="s">
        <v>4911</v>
      </c>
      <c r="B339" t="s">
        <v>4912</v>
      </c>
      <c r="C339" t="s">
        <v>4492</v>
      </c>
      <c r="D339" t="s">
        <v>4493</v>
      </c>
      <c r="E339" t="s">
        <v>4494</v>
      </c>
      <c r="F339" t="s">
        <v>1575</v>
      </c>
    </row>
    <row r="340" spans="1:6" x14ac:dyDescent="0.25">
      <c r="A340" t="s">
        <v>5809</v>
      </c>
      <c r="B340" t="s">
        <v>5810</v>
      </c>
      <c r="C340" t="s">
        <v>4492</v>
      </c>
      <c r="D340" t="s">
        <v>4493</v>
      </c>
      <c r="E340" t="s">
        <v>4494</v>
      </c>
      <c r="F340" t="s">
        <v>1575</v>
      </c>
    </row>
    <row r="341" spans="1:6" x14ac:dyDescent="0.25">
      <c r="A341" t="s">
        <v>5222</v>
      </c>
      <c r="B341" t="s">
        <v>5223</v>
      </c>
      <c r="C341" t="s">
        <v>4492</v>
      </c>
      <c r="D341" t="s">
        <v>4493</v>
      </c>
      <c r="E341" t="s">
        <v>4494</v>
      </c>
      <c r="F341" t="s">
        <v>1575</v>
      </c>
    </row>
    <row r="342" spans="1:6" x14ac:dyDescent="0.25">
      <c r="A342" t="s">
        <v>5541</v>
      </c>
      <c r="B342" t="s">
        <v>5542</v>
      </c>
      <c r="C342" t="s">
        <v>4492</v>
      </c>
      <c r="D342" t="s">
        <v>4493</v>
      </c>
      <c r="E342" t="s">
        <v>4494</v>
      </c>
      <c r="F342" t="s">
        <v>1575</v>
      </c>
    </row>
    <row r="343" spans="1:6" x14ac:dyDescent="0.25">
      <c r="A343" t="s">
        <v>5082</v>
      </c>
      <c r="B343" t="s">
        <v>5083</v>
      </c>
      <c r="C343" t="s">
        <v>4492</v>
      </c>
      <c r="D343" t="s">
        <v>4493</v>
      </c>
      <c r="E343" t="s">
        <v>4494</v>
      </c>
      <c r="F343" t="s">
        <v>1575</v>
      </c>
    </row>
    <row r="344" spans="1:6" x14ac:dyDescent="0.25">
      <c r="A344" t="s">
        <v>4985</v>
      </c>
      <c r="B344" t="s">
        <v>4986</v>
      </c>
      <c r="C344" t="s">
        <v>4492</v>
      </c>
      <c r="D344" t="s">
        <v>4493</v>
      </c>
      <c r="E344" t="s">
        <v>4494</v>
      </c>
      <c r="F344" t="s">
        <v>1575</v>
      </c>
    </row>
    <row r="345" spans="1:6" x14ac:dyDescent="0.25">
      <c r="A345" t="s">
        <v>4501</v>
      </c>
      <c r="B345" t="s">
        <v>4502</v>
      </c>
      <c r="C345" t="s">
        <v>4492</v>
      </c>
      <c r="D345" t="s">
        <v>4493</v>
      </c>
      <c r="E345" t="s">
        <v>4494</v>
      </c>
      <c r="F345" t="s">
        <v>1575</v>
      </c>
    </row>
    <row r="346" spans="1:6" x14ac:dyDescent="0.25">
      <c r="A346" t="s">
        <v>4881</v>
      </c>
      <c r="B346" t="s">
        <v>4882</v>
      </c>
      <c r="C346" t="s">
        <v>4492</v>
      </c>
      <c r="D346" t="s">
        <v>4493</v>
      </c>
      <c r="E346" t="s">
        <v>4494</v>
      </c>
      <c r="F346" t="s">
        <v>1575</v>
      </c>
    </row>
    <row r="347" spans="1:6" x14ac:dyDescent="0.25">
      <c r="A347" t="s">
        <v>5074</v>
      </c>
      <c r="B347" t="s">
        <v>5075</v>
      </c>
      <c r="C347" t="s">
        <v>4492</v>
      </c>
      <c r="D347" t="s">
        <v>4493</v>
      </c>
      <c r="E347" t="s">
        <v>4494</v>
      </c>
      <c r="F347" t="s">
        <v>1575</v>
      </c>
    </row>
    <row r="348" spans="1:6" x14ac:dyDescent="0.25">
      <c r="A348" t="s">
        <v>5917</v>
      </c>
      <c r="B348" t="s">
        <v>5918</v>
      </c>
      <c r="C348" t="s">
        <v>4492</v>
      </c>
      <c r="D348" t="s">
        <v>4493</v>
      </c>
      <c r="E348" t="s">
        <v>4494</v>
      </c>
      <c r="F348" t="s">
        <v>1575</v>
      </c>
    </row>
    <row r="349" spans="1:6" x14ac:dyDescent="0.25">
      <c r="A349" t="s">
        <v>5286</v>
      </c>
      <c r="B349" t="s">
        <v>5287</v>
      </c>
      <c r="C349" t="s">
        <v>4492</v>
      </c>
      <c r="D349" t="s">
        <v>4493</v>
      </c>
      <c r="E349" t="s">
        <v>4494</v>
      </c>
      <c r="F349" t="s">
        <v>1575</v>
      </c>
    </row>
    <row r="350" spans="1:6" x14ac:dyDescent="0.25">
      <c r="A350" t="s">
        <v>5651</v>
      </c>
      <c r="B350" t="s">
        <v>5652</v>
      </c>
      <c r="C350" t="s">
        <v>4492</v>
      </c>
      <c r="D350" t="s">
        <v>4493</v>
      </c>
      <c r="E350" t="s">
        <v>4494</v>
      </c>
      <c r="F350" t="s">
        <v>1575</v>
      </c>
    </row>
    <row r="351" spans="1:6" x14ac:dyDescent="0.25">
      <c r="A351" t="s">
        <v>4606</v>
      </c>
      <c r="B351" t="s">
        <v>4607</v>
      </c>
      <c r="C351" t="s">
        <v>4492</v>
      </c>
      <c r="D351" t="s">
        <v>4493</v>
      </c>
      <c r="E351" t="s">
        <v>4494</v>
      </c>
      <c r="F351" t="s">
        <v>1575</v>
      </c>
    </row>
    <row r="352" spans="1:6" x14ac:dyDescent="0.25">
      <c r="A352" t="s">
        <v>6110</v>
      </c>
      <c r="B352" t="s">
        <v>6111</v>
      </c>
      <c r="C352" t="s">
        <v>4492</v>
      </c>
      <c r="D352" t="s">
        <v>4493</v>
      </c>
      <c r="E352" t="s">
        <v>4494</v>
      </c>
      <c r="F352" t="s">
        <v>1575</v>
      </c>
    </row>
    <row r="353" spans="1:6" x14ac:dyDescent="0.25">
      <c r="A353" t="s">
        <v>5344</v>
      </c>
      <c r="B353" t="s">
        <v>5345</v>
      </c>
      <c r="C353" t="s">
        <v>4492</v>
      </c>
      <c r="D353" t="s">
        <v>4493</v>
      </c>
      <c r="E353" t="s">
        <v>4494</v>
      </c>
      <c r="F353" t="s">
        <v>1575</v>
      </c>
    </row>
    <row r="354" spans="1:6" x14ac:dyDescent="0.25">
      <c r="A354" t="s">
        <v>4717</v>
      </c>
      <c r="B354" t="s">
        <v>4718</v>
      </c>
      <c r="C354" t="s">
        <v>4492</v>
      </c>
      <c r="D354" t="s">
        <v>4493</v>
      </c>
      <c r="E354" t="s">
        <v>4494</v>
      </c>
      <c r="F354" t="s">
        <v>1575</v>
      </c>
    </row>
    <row r="355" spans="1:6" x14ac:dyDescent="0.25">
      <c r="A355" t="s">
        <v>4676</v>
      </c>
      <c r="B355" t="s">
        <v>4677</v>
      </c>
      <c r="C355" t="s">
        <v>1641</v>
      </c>
      <c r="D355" t="s">
        <v>4678</v>
      </c>
      <c r="E355">
        <v>618141033</v>
      </c>
      <c r="F355" t="s">
        <v>6801</v>
      </c>
    </row>
    <row r="356" spans="1:6" x14ac:dyDescent="0.25">
      <c r="A356" t="s">
        <v>5935</v>
      </c>
      <c r="B356" t="s">
        <v>5936</v>
      </c>
      <c r="C356" t="s">
        <v>4492</v>
      </c>
      <c r="D356" t="s">
        <v>4493</v>
      </c>
      <c r="E356" t="s">
        <v>4494</v>
      </c>
      <c r="F356" t="s">
        <v>1575</v>
      </c>
    </row>
    <row r="357" spans="1:6" x14ac:dyDescent="0.25">
      <c r="A357" t="s">
        <v>4969</v>
      </c>
      <c r="B357" t="s">
        <v>4970</v>
      </c>
      <c r="C357" t="s">
        <v>4492</v>
      </c>
      <c r="D357" t="s">
        <v>4493</v>
      </c>
      <c r="E357" t="s">
        <v>4494</v>
      </c>
      <c r="F357" t="s">
        <v>1575</v>
      </c>
    </row>
    <row r="358" spans="1:6" x14ac:dyDescent="0.25">
      <c r="A358" t="s">
        <v>5664</v>
      </c>
      <c r="B358" t="s">
        <v>5665</v>
      </c>
      <c r="C358" t="s">
        <v>4492</v>
      </c>
      <c r="D358" t="s">
        <v>4493</v>
      </c>
      <c r="E358" t="s">
        <v>4494</v>
      </c>
      <c r="F358" t="s">
        <v>1575</v>
      </c>
    </row>
    <row r="359" spans="1:6" x14ac:dyDescent="0.25">
      <c r="A359" t="s">
        <v>4806</v>
      </c>
      <c r="B359" t="s">
        <v>4807</v>
      </c>
      <c r="C359" t="s">
        <v>4492</v>
      </c>
      <c r="D359" t="s">
        <v>4493</v>
      </c>
      <c r="E359" t="s">
        <v>4494</v>
      </c>
      <c r="F359" t="s">
        <v>1575</v>
      </c>
    </row>
    <row r="360" spans="1:6" x14ac:dyDescent="0.25">
      <c r="A360" t="s">
        <v>4885</v>
      </c>
      <c r="B360" t="s">
        <v>4886</v>
      </c>
      <c r="C360" t="s">
        <v>4492</v>
      </c>
      <c r="D360" t="s">
        <v>4493</v>
      </c>
      <c r="E360" t="s">
        <v>4494</v>
      </c>
      <c r="F360" t="s">
        <v>1575</v>
      </c>
    </row>
    <row r="361" spans="1:6" x14ac:dyDescent="0.25">
      <c r="A361" t="s">
        <v>5105</v>
      </c>
      <c r="B361" t="s">
        <v>5106</v>
      </c>
      <c r="C361" t="s">
        <v>4833</v>
      </c>
      <c r="D361" t="s">
        <v>4834</v>
      </c>
      <c r="E361">
        <v>628093005</v>
      </c>
      <c r="F361" t="s">
        <v>6767</v>
      </c>
    </row>
    <row r="362" spans="1:6" x14ac:dyDescent="0.25">
      <c r="A362" t="s">
        <v>4739</v>
      </c>
      <c r="B362" t="s">
        <v>4740</v>
      </c>
      <c r="C362" t="s">
        <v>4492</v>
      </c>
      <c r="D362" t="s">
        <v>4493</v>
      </c>
      <c r="E362" t="s">
        <v>4494</v>
      </c>
      <c r="F362" t="s">
        <v>1575</v>
      </c>
    </row>
    <row r="363" spans="1:6" x14ac:dyDescent="0.25">
      <c r="A363" t="s">
        <v>4729</v>
      </c>
      <c r="B363" t="s">
        <v>4730</v>
      </c>
      <c r="C363" t="s">
        <v>4492</v>
      </c>
      <c r="D363" t="s">
        <v>4493</v>
      </c>
      <c r="E363" t="s">
        <v>4494</v>
      </c>
      <c r="F363" t="s">
        <v>1575</v>
      </c>
    </row>
    <row r="364" spans="1:6" x14ac:dyDescent="0.25">
      <c r="A364" t="s">
        <v>6352</v>
      </c>
      <c r="B364" t="s">
        <v>6353</v>
      </c>
      <c r="C364" t="s">
        <v>2935</v>
      </c>
      <c r="D364" t="s">
        <v>6354</v>
      </c>
      <c r="E364">
        <v>650007769</v>
      </c>
      <c r="F364" t="s">
        <v>6648</v>
      </c>
    </row>
    <row r="365" spans="1:6" x14ac:dyDescent="0.25">
      <c r="A365" t="s">
        <v>6371</v>
      </c>
      <c r="B365" t="s">
        <v>6372</v>
      </c>
      <c r="C365" t="s">
        <v>2545</v>
      </c>
      <c r="D365" t="s">
        <v>5230</v>
      </c>
      <c r="E365">
        <v>646396628</v>
      </c>
      <c r="F365" t="s">
        <v>6725</v>
      </c>
    </row>
    <row r="366" spans="1:6" x14ac:dyDescent="0.25">
      <c r="A366" t="s">
        <v>4541</v>
      </c>
      <c r="B366" t="s">
        <v>4542</v>
      </c>
      <c r="C366" t="s">
        <v>4492</v>
      </c>
      <c r="D366" t="s">
        <v>4493</v>
      </c>
      <c r="E366" t="s">
        <v>4494</v>
      </c>
      <c r="F366" t="s">
        <v>1575</v>
      </c>
    </row>
    <row r="367" spans="1:6" x14ac:dyDescent="0.25">
      <c r="A367" t="s">
        <v>4777</v>
      </c>
      <c r="B367" t="s">
        <v>4778</v>
      </c>
      <c r="C367" t="s">
        <v>4492</v>
      </c>
      <c r="D367" t="s">
        <v>4493</v>
      </c>
      <c r="E367" t="s">
        <v>4494</v>
      </c>
      <c r="F367" t="s">
        <v>1575</v>
      </c>
    </row>
    <row r="368" spans="1:6" x14ac:dyDescent="0.25">
      <c r="A368" t="s">
        <v>6308</v>
      </c>
      <c r="B368" t="s">
        <v>6309</v>
      </c>
      <c r="C368" t="s">
        <v>4492</v>
      </c>
      <c r="D368" t="s">
        <v>4493</v>
      </c>
      <c r="E368" t="s">
        <v>4494</v>
      </c>
      <c r="F368" t="s">
        <v>1575</v>
      </c>
    </row>
    <row r="369" spans="1:6" x14ac:dyDescent="0.25">
      <c r="A369" t="s">
        <v>5547</v>
      </c>
      <c r="B369" t="s">
        <v>5548</v>
      </c>
      <c r="C369" t="s">
        <v>4492</v>
      </c>
      <c r="D369" t="s">
        <v>4493</v>
      </c>
      <c r="E369" t="s">
        <v>4494</v>
      </c>
      <c r="F369" t="s">
        <v>1575</v>
      </c>
    </row>
    <row r="370" spans="1:6" x14ac:dyDescent="0.25">
      <c r="A370" t="s">
        <v>5358</v>
      </c>
      <c r="B370" t="s">
        <v>5359</v>
      </c>
      <c r="C370" t="s">
        <v>4492</v>
      </c>
      <c r="D370" t="s">
        <v>4493</v>
      </c>
      <c r="E370" t="s">
        <v>4494</v>
      </c>
      <c r="F370" t="s">
        <v>1575</v>
      </c>
    </row>
    <row r="371" spans="1:6" x14ac:dyDescent="0.25">
      <c r="A371" t="s">
        <v>5783</v>
      </c>
      <c r="B371" t="s">
        <v>5784</v>
      </c>
      <c r="C371" t="s">
        <v>1635</v>
      </c>
      <c r="D371" t="s">
        <v>4968</v>
      </c>
      <c r="E371">
        <v>682232727</v>
      </c>
      <c r="F371" t="s">
        <v>6914</v>
      </c>
    </row>
    <row r="372" spans="1:6" x14ac:dyDescent="0.25">
      <c r="A372" t="s">
        <v>5893</v>
      </c>
      <c r="B372" t="s">
        <v>5784</v>
      </c>
      <c r="C372" t="s">
        <v>1635</v>
      </c>
      <c r="D372" t="s">
        <v>4968</v>
      </c>
      <c r="E372">
        <v>682232727</v>
      </c>
      <c r="F372" t="s">
        <v>6914</v>
      </c>
    </row>
    <row r="373" spans="1:6" x14ac:dyDescent="0.25">
      <c r="A373" t="s">
        <v>6312</v>
      </c>
      <c r="B373" t="s">
        <v>6313</v>
      </c>
      <c r="C373" t="s">
        <v>5050</v>
      </c>
      <c r="D373" t="s">
        <v>5051</v>
      </c>
      <c r="E373">
        <v>636957860</v>
      </c>
      <c r="F373" t="s">
        <v>6668</v>
      </c>
    </row>
    <row r="374" spans="1:6" x14ac:dyDescent="0.25">
      <c r="A374" t="s">
        <v>6338</v>
      </c>
      <c r="B374" t="s">
        <v>6339</v>
      </c>
      <c r="C374" t="s">
        <v>4492</v>
      </c>
      <c r="D374" t="s">
        <v>4493</v>
      </c>
      <c r="E374" t="s">
        <v>4494</v>
      </c>
      <c r="F374" t="s">
        <v>1575</v>
      </c>
    </row>
    <row r="375" spans="1:6" x14ac:dyDescent="0.25">
      <c r="A375" t="s">
        <v>5066</v>
      </c>
      <c r="B375" t="s">
        <v>5067</v>
      </c>
      <c r="C375" t="s">
        <v>4492</v>
      </c>
      <c r="D375" t="s">
        <v>4493</v>
      </c>
      <c r="E375" t="s">
        <v>4494</v>
      </c>
      <c r="F375" t="s">
        <v>1575</v>
      </c>
    </row>
    <row r="376" spans="1:6" x14ac:dyDescent="0.25">
      <c r="A376" t="s">
        <v>5005</v>
      </c>
      <c r="B376" t="s">
        <v>5006</v>
      </c>
      <c r="C376" t="s">
        <v>4492</v>
      </c>
      <c r="D376" t="s">
        <v>4493</v>
      </c>
      <c r="E376" t="s">
        <v>4494</v>
      </c>
      <c r="F376" t="s">
        <v>1575</v>
      </c>
    </row>
    <row r="377" spans="1:6" x14ac:dyDescent="0.25">
      <c r="A377" t="s">
        <v>5981</v>
      </c>
      <c r="B377" t="s">
        <v>110</v>
      </c>
      <c r="C377" t="s">
        <v>1584</v>
      </c>
      <c r="D377" t="s">
        <v>4939</v>
      </c>
      <c r="E377">
        <v>629650764</v>
      </c>
      <c r="F377" t="s">
        <v>6782</v>
      </c>
    </row>
    <row r="378" spans="1:6" x14ac:dyDescent="0.25">
      <c r="A378" t="s">
        <v>4831</v>
      </c>
      <c r="B378" t="s">
        <v>4832</v>
      </c>
      <c r="C378" t="s">
        <v>4833</v>
      </c>
      <c r="D378" t="s">
        <v>4834</v>
      </c>
      <c r="E378">
        <v>628093005</v>
      </c>
      <c r="F378" t="s">
        <v>6767</v>
      </c>
    </row>
    <row r="379" spans="1:6" x14ac:dyDescent="0.25">
      <c r="A379" t="s">
        <v>6022</v>
      </c>
      <c r="B379" t="s">
        <v>6023</v>
      </c>
      <c r="C379" t="s">
        <v>4492</v>
      </c>
      <c r="D379" t="s">
        <v>4493</v>
      </c>
      <c r="E379" t="s">
        <v>4494</v>
      </c>
      <c r="F379" t="s">
        <v>1575</v>
      </c>
    </row>
    <row r="380" spans="1:6" x14ac:dyDescent="0.25">
      <c r="A380" t="s">
        <v>6395</v>
      </c>
      <c r="B380" t="s">
        <v>6396</v>
      </c>
      <c r="C380" t="s">
        <v>4492</v>
      </c>
      <c r="D380" t="s">
        <v>4493</v>
      </c>
      <c r="E380" t="s">
        <v>4494</v>
      </c>
      <c r="F380" t="s">
        <v>1575</v>
      </c>
    </row>
    <row r="381" spans="1:6" x14ac:dyDescent="0.25">
      <c r="A381" t="s">
        <v>4997</v>
      </c>
      <c r="B381" t="s">
        <v>4998</v>
      </c>
      <c r="C381" t="s">
        <v>1635</v>
      </c>
      <c r="D381" t="s">
        <v>4968</v>
      </c>
      <c r="E381">
        <v>682232727</v>
      </c>
      <c r="F381" t="s">
        <v>6914</v>
      </c>
    </row>
    <row r="382" spans="1:6" x14ac:dyDescent="0.25">
      <c r="A382" t="s">
        <v>5019</v>
      </c>
      <c r="B382" t="s">
        <v>5020</v>
      </c>
      <c r="C382" t="s">
        <v>4492</v>
      </c>
      <c r="D382" t="s">
        <v>4493</v>
      </c>
      <c r="E382" t="s">
        <v>4494</v>
      </c>
      <c r="F382" t="s">
        <v>1575</v>
      </c>
    </row>
    <row r="383" spans="1:6" x14ac:dyDescent="0.25">
      <c r="A383" t="s">
        <v>4612</v>
      </c>
      <c r="B383" t="s">
        <v>4613</v>
      </c>
      <c r="C383" t="s">
        <v>4492</v>
      </c>
      <c r="D383" t="s">
        <v>4493</v>
      </c>
      <c r="E383" t="s">
        <v>4494</v>
      </c>
      <c r="F383" t="s">
        <v>1575</v>
      </c>
    </row>
    <row r="384" spans="1:6" x14ac:dyDescent="0.25">
      <c r="A384" t="s">
        <v>4788</v>
      </c>
      <c r="B384" t="s">
        <v>4789</v>
      </c>
      <c r="C384" t="s">
        <v>4492</v>
      </c>
      <c r="D384" t="s">
        <v>4493</v>
      </c>
      <c r="E384" t="s">
        <v>4494</v>
      </c>
      <c r="F384" t="s">
        <v>1575</v>
      </c>
    </row>
    <row r="385" spans="1:6" x14ac:dyDescent="0.25">
      <c r="A385" t="s">
        <v>4917</v>
      </c>
      <c r="B385" t="s">
        <v>4918</v>
      </c>
      <c r="C385" t="s">
        <v>4492</v>
      </c>
      <c r="D385" t="s">
        <v>4493</v>
      </c>
      <c r="E385" t="s">
        <v>4494</v>
      </c>
      <c r="F385" t="s">
        <v>1575</v>
      </c>
    </row>
    <row r="386" spans="1:6" x14ac:dyDescent="0.25">
      <c r="A386" t="s">
        <v>5645</v>
      </c>
      <c r="B386" t="s">
        <v>5646</v>
      </c>
      <c r="C386" t="s">
        <v>4492</v>
      </c>
      <c r="D386" t="s">
        <v>4493</v>
      </c>
      <c r="E386" t="s">
        <v>4494</v>
      </c>
      <c r="F386" t="s">
        <v>1575</v>
      </c>
    </row>
    <row r="387" spans="1:6" x14ac:dyDescent="0.25">
      <c r="A387" t="s">
        <v>5443</v>
      </c>
      <c r="B387" t="s">
        <v>5444</v>
      </c>
      <c r="C387" t="s">
        <v>4492</v>
      </c>
      <c r="D387" t="s">
        <v>4493</v>
      </c>
      <c r="E387" t="s">
        <v>4494</v>
      </c>
      <c r="F387" t="s">
        <v>1575</v>
      </c>
    </row>
    <row r="388" spans="1:6" x14ac:dyDescent="0.25">
      <c r="A388" t="s">
        <v>5591</v>
      </c>
      <c r="B388" t="s">
        <v>5592</v>
      </c>
      <c r="C388" t="s">
        <v>4492</v>
      </c>
      <c r="D388" t="s">
        <v>4493</v>
      </c>
      <c r="E388" t="s">
        <v>4494</v>
      </c>
      <c r="F388" t="s">
        <v>1575</v>
      </c>
    </row>
    <row r="389" spans="1:6" x14ac:dyDescent="0.25">
      <c r="A389" t="s">
        <v>5947</v>
      </c>
      <c r="B389" t="s">
        <v>5948</v>
      </c>
      <c r="C389" t="s">
        <v>4492</v>
      </c>
      <c r="D389" t="s">
        <v>4493</v>
      </c>
      <c r="E389" t="s">
        <v>4494</v>
      </c>
      <c r="F389" t="s">
        <v>1575</v>
      </c>
    </row>
    <row r="390" spans="1:6" x14ac:dyDescent="0.25">
      <c r="A390" t="s">
        <v>5023</v>
      </c>
      <c r="B390" t="s">
        <v>5024</v>
      </c>
      <c r="C390" t="s">
        <v>1590</v>
      </c>
      <c r="D390" t="s">
        <v>5025</v>
      </c>
      <c r="E390">
        <v>699045113</v>
      </c>
      <c r="F390" t="s">
        <v>6675</v>
      </c>
    </row>
    <row r="391" spans="1:6" x14ac:dyDescent="0.25">
      <c r="A391" t="s">
        <v>5775</v>
      </c>
      <c r="B391" t="s">
        <v>5776</v>
      </c>
      <c r="C391" t="s">
        <v>4492</v>
      </c>
      <c r="D391" t="s">
        <v>4493</v>
      </c>
      <c r="E391" t="s">
        <v>4494</v>
      </c>
      <c r="F391" t="s">
        <v>1575</v>
      </c>
    </row>
    <row r="392" spans="1:6" x14ac:dyDescent="0.25">
      <c r="A392" t="s">
        <v>4745</v>
      </c>
      <c r="B392" t="s">
        <v>4746</v>
      </c>
      <c r="C392" t="s">
        <v>4492</v>
      </c>
      <c r="D392" t="s">
        <v>4493</v>
      </c>
      <c r="E392" t="s">
        <v>4494</v>
      </c>
      <c r="F392" t="s">
        <v>1575</v>
      </c>
    </row>
    <row r="393" spans="1:6" x14ac:dyDescent="0.25">
      <c r="A393" t="s">
        <v>5415</v>
      </c>
      <c r="B393" t="s">
        <v>5416</v>
      </c>
      <c r="C393" t="s">
        <v>4492</v>
      </c>
      <c r="D393" t="s">
        <v>4493</v>
      </c>
      <c r="E393" t="s">
        <v>4494</v>
      </c>
      <c r="F393" t="s">
        <v>1575</v>
      </c>
    </row>
    <row r="394" spans="1:6" x14ac:dyDescent="0.25">
      <c r="A394" t="s">
        <v>5957</v>
      </c>
      <c r="B394" t="s">
        <v>5958</v>
      </c>
      <c r="C394" t="s">
        <v>4492</v>
      </c>
      <c r="D394" t="s">
        <v>4493</v>
      </c>
      <c r="E394" t="s">
        <v>4494</v>
      </c>
      <c r="F394" t="s">
        <v>1575</v>
      </c>
    </row>
    <row r="395" spans="1:6" x14ac:dyDescent="0.25">
      <c r="A395" t="s">
        <v>5925</v>
      </c>
      <c r="B395" t="s">
        <v>5926</v>
      </c>
      <c r="C395" t="s">
        <v>4492</v>
      </c>
      <c r="D395" t="s">
        <v>4493</v>
      </c>
      <c r="E395" t="s">
        <v>4494</v>
      </c>
      <c r="F395" t="s">
        <v>1575</v>
      </c>
    </row>
    <row r="396" spans="1:6" x14ac:dyDescent="0.25">
      <c r="A396" t="s">
        <v>5795</v>
      </c>
      <c r="B396" t="s">
        <v>5796</v>
      </c>
      <c r="C396" t="s">
        <v>4492</v>
      </c>
      <c r="D396" t="s">
        <v>4493</v>
      </c>
      <c r="E396" t="s">
        <v>4494</v>
      </c>
      <c r="F396" t="s">
        <v>1575</v>
      </c>
    </row>
    <row r="397" spans="1:6" x14ac:dyDescent="0.25">
      <c r="A397" t="s">
        <v>5565</v>
      </c>
      <c r="B397" t="s">
        <v>5566</v>
      </c>
      <c r="C397" t="s">
        <v>2001</v>
      </c>
      <c r="D397" t="s">
        <v>4578</v>
      </c>
      <c r="E397">
        <v>620361774</v>
      </c>
    </row>
    <row r="398" spans="1:6" x14ac:dyDescent="0.25">
      <c r="A398" t="s">
        <v>5393</v>
      </c>
      <c r="B398" t="s">
        <v>5394</v>
      </c>
      <c r="C398" t="s">
        <v>4492</v>
      </c>
      <c r="D398" t="s">
        <v>4493</v>
      </c>
      <c r="E398" t="s">
        <v>4494</v>
      </c>
      <c r="F398" t="s">
        <v>1575</v>
      </c>
    </row>
    <row r="399" spans="1:6" x14ac:dyDescent="0.25">
      <c r="A399" t="s">
        <v>5178</v>
      </c>
      <c r="B399" t="s">
        <v>5179</v>
      </c>
      <c r="C399" t="s">
        <v>4492</v>
      </c>
      <c r="D399" t="s">
        <v>4493</v>
      </c>
      <c r="E399" t="s">
        <v>4494</v>
      </c>
      <c r="F399" t="s">
        <v>1575</v>
      </c>
    </row>
    <row r="400" spans="1:6" x14ac:dyDescent="0.25">
      <c r="A400" t="s">
        <v>4747</v>
      </c>
      <c r="B400" t="s">
        <v>4748</v>
      </c>
      <c r="C400" t="s">
        <v>4492</v>
      </c>
      <c r="D400" t="s">
        <v>4493</v>
      </c>
      <c r="E400" t="s">
        <v>4494</v>
      </c>
      <c r="F400" t="s">
        <v>1575</v>
      </c>
    </row>
    <row r="401" spans="1:6" x14ac:dyDescent="0.25">
      <c r="A401" t="s">
        <v>5483</v>
      </c>
      <c r="B401" t="s">
        <v>5484</v>
      </c>
      <c r="C401" t="s">
        <v>4492</v>
      </c>
      <c r="D401" t="s">
        <v>4493</v>
      </c>
      <c r="E401" t="s">
        <v>4494</v>
      </c>
      <c r="F401" t="s">
        <v>1575</v>
      </c>
    </row>
    <row r="402" spans="1:6" x14ac:dyDescent="0.25">
      <c r="A402" t="s">
        <v>4977</v>
      </c>
      <c r="B402" t="s">
        <v>4978</v>
      </c>
      <c r="C402" t="s">
        <v>4492</v>
      </c>
      <c r="D402" t="s">
        <v>4493</v>
      </c>
      <c r="E402" t="s">
        <v>4494</v>
      </c>
      <c r="F402" t="s">
        <v>1575</v>
      </c>
    </row>
    <row r="403" spans="1:6" x14ac:dyDescent="0.25">
      <c r="A403" t="s">
        <v>6373</v>
      </c>
      <c r="B403" t="s">
        <v>6374</v>
      </c>
      <c r="C403" t="s">
        <v>4492</v>
      </c>
      <c r="D403" t="s">
        <v>4493</v>
      </c>
      <c r="E403" t="s">
        <v>4494</v>
      </c>
      <c r="F403" t="s">
        <v>1575</v>
      </c>
    </row>
    <row r="404" spans="1:6" x14ac:dyDescent="0.25">
      <c r="A404" t="s">
        <v>6114</v>
      </c>
      <c r="B404" t="s">
        <v>6115</v>
      </c>
      <c r="C404" t="s">
        <v>4492</v>
      </c>
      <c r="D404" t="s">
        <v>4493</v>
      </c>
      <c r="E404" t="s">
        <v>4494</v>
      </c>
      <c r="F404" t="s">
        <v>1575</v>
      </c>
    </row>
    <row r="405" spans="1:6" x14ac:dyDescent="0.25">
      <c r="A405" t="s">
        <v>5413</v>
      </c>
      <c r="B405" t="s">
        <v>5414</v>
      </c>
      <c r="C405" t="s">
        <v>4492</v>
      </c>
      <c r="D405" t="s">
        <v>4493</v>
      </c>
      <c r="E405" t="s">
        <v>4494</v>
      </c>
      <c r="F405" t="s">
        <v>1575</v>
      </c>
    </row>
    <row r="406" spans="1:6" x14ac:dyDescent="0.25">
      <c r="A406" t="s">
        <v>5306</v>
      </c>
      <c r="B406" t="s">
        <v>5307</v>
      </c>
      <c r="C406" t="s">
        <v>4492</v>
      </c>
      <c r="D406" t="s">
        <v>4493</v>
      </c>
      <c r="E406" t="s">
        <v>4494</v>
      </c>
      <c r="F406" t="s">
        <v>1575</v>
      </c>
    </row>
    <row r="407" spans="1:6" x14ac:dyDescent="0.25">
      <c r="A407" t="s">
        <v>6365</v>
      </c>
      <c r="B407" t="s">
        <v>6366</v>
      </c>
      <c r="C407" t="s">
        <v>4492</v>
      </c>
      <c r="D407" t="s">
        <v>4493</v>
      </c>
      <c r="E407" t="s">
        <v>4494</v>
      </c>
      <c r="F407" t="s">
        <v>1575</v>
      </c>
    </row>
    <row r="408" spans="1:6" x14ac:dyDescent="0.25">
      <c r="A408" t="s">
        <v>5308</v>
      </c>
      <c r="B408" t="s">
        <v>5309</v>
      </c>
      <c r="C408" t="s">
        <v>1825</v>
      </c>
      <c r="D408" t="s">
        <v>4723</v>
      </c>
      <c r="E408">
        <v>689283111</v>
      </c>
      <c r="F408" t="s">
        <v>6913</v>
      </c>
    </row>
    <row r="409" spans="1:6" x14ac:dyDescent="0.25">
      <c r="A409" t="s">
        <v>5894</v>
      </c>
      <c r="B409" t="s">
        <v>5895</v>
      </c>
      <c r="C409" t="s">
        <v>1825</v>
      </c>
      <c r="D409" t="s">
        <v>4723</v>
      </c>
      <c r="E409">
        <v>689283111</v>
      </c>
      <c r="F409" t="s">
        <v>6913</v>
      </c>
    </row>
    <row r="410" spans="1:6" x14ac:dyDescent="0.25">
      <c r="A410" t="s">
        <v>5235</v>
      </c>
      <c r="B410" t="s">
        <v>5236</v>
      </c>
      <c r="C410" t="s">
        <v>1825</v>
      </c>
      <c r="D410" t="s">
        <v>4723</v>
      </c>
      <c r="E410">
        <v>689283111</v>
      </c>
      <c r="F410" t="s">
        <v>6913</v>
      </c>
    </row>
    <row r="411" spans="1:6" x14ac:dyDescent="0.25">
      <c r="A411" t="s">
        <v>5182</v>
      </c>
      <c r="B411" t="s">
        <v>5183</v>
      </c>
      <c r="C411" t="s">
        <v>1825</v>
      </c>
      <c r="D411" t="s">
        <v>4723</v>
      </c>
      <c r="E411">
        <v>689283111</v>
      </c>
      <c r="F411" t="s">
        <v>6913</v>
      </c>
    </row>
    <row r="412" spans="1:6" x14ac:dyDescent="0.25">
      <c r="A412" t="s">
        <v>4721</v>
      </c>
      <c r="B412" t="s">
        <v>4722</v>
      </c>
      <c r="C412" t="s">
        <v>1825</v>
      </c>
      <c r="D412" t="s">
        <v>4723</v>
      </c>
      <c r="E412">
        <v>689283111</v>
      </c>
      <c r="F412" t="s">
        <v>6913</v>
      </c>
    </row>
    <row r="413" spans="1:6" x14ac:dyDescent="0.25">
      <c r="A413" t="s">
        <v>5237</v>
      </c>
      <c r="B413" t="s">
        <v>5238</v>
      </c>
      <c r="C413" t="s">
        <v>4492</v>
      </c>
      <c r="D413" t="s">
        <v>4493</v>
      </c>
      <c r="E413" t="s">
        <v>4494</v>
      </c>
      <c r="F413" t="s">
        <v>1575</v>
      </c>
    </row>
    <row r="414" spans="1:6" x14ac:dyDescent="0.25">
      <c r="A414" t="s">
        <v>6064</v>
      </c>
      <c r="B414" t="s">
        <v>6065</v>
      </c>
      <c r="C414" t="s">
        <v>4492</v>
      </c>
      <c r="D414" t="s">
        <v>4493</v>
      </c>
      <c r="E414" t="s">
        <v>4494</v>
      </c>
      <c r="F414" t="s">
        <v>1575</v>
      </c>
    </row>
    <row r="415" spans="1:6" x14ac:dyDescent="0.25">
      <c r="A415" t="s">
        <v>4585</v>
      </c>
      <c r="B415" t="s">
        <v>4586</v>
      </c>
      <c r="C415" t="s">
        <v>4492</v>
      </c>
      <c r="D415" t="s">
        <v>4493</v>
      </c>
      <c r="E415" t="s">
        <v>4494</v>
      </c>
      <c r="F415" t="s">
        <v>1575</v>
      </c>
    </row>
    <row r="416" spans="1:6" x14ac:dyDescent="0.25">
      <c r="A416" t="s">
        <v>4637</v>
      </c>
      <c r="B416" t="s">
        <v>4638</v>
      </c>
      <c r="C416" t="s">
        <v>4492</v>
      </c>
      <c r="D416" t="s">
        <v>4493</v>
      </c>
      <c r="E416" t="s">
        <v>4494</v>
      </c>
      <c r="F416" t="s">
        <v>1575</v>
      </c>
    </row>
    <row r="417" spans="1:6" x14ac:dyDescent="0.25">
      <c r="A417" t="s">
        <v>5533</v>
      </c>
      <c r="B417" t="s">
        <v>5534</v>
      </c>
      <c r="C417" t="s">
        <v>4492</v>
      </c>
      <c r="D417" t="s">
        <v>4493</v>
      </c>
      <c r="E417" t="s">
        <v>4494</v>
      </c>
      <c r="F417" t="s">
        <v>1575</v>
      </c>
    </row>
    <row r="418" spans="1:6" x14ac:dyDescent="0.25">
      <c r="A418" t="s">
        <v>5080</v>
      </c>
      <c r="B418" t="s">
        <v>5081</v>
      </c>
      <c r="C418" t="s">
        <v>4492</v>
      </c>
      <c r="D418" t="s">
        <v>4493</v>
      </c>
      <c r="E418" t="s">
        <v>4494</v>
      </c>
      <c r="F418" t="s">
        <v>1575</v>
      </c>
    </row>
    <row r="419" spans="1:6" x14ac:dyDescent="0.25">
      <c r="A419" t="s">
        <v>4735</v>
      </c>
      <c r="B419" t="s">
        <v>4736</v>
      </c>
      <c r="C419" t="s">
        <v>4492</v>
      </c>
      <c r="D419" t="s">
        <v>4493</v>
      </c>
      <c r="E419" t="s">
        <v>4494</v>
      </c>
      <c r="F419" t="s">
        <v>1575</v>
      </c>
    </row>
    <row r="420" spans="1:6" x14ac:dyDescent="0.25">
      <c r="A420" t="s">
        <v>5186</v>
      </c>
      <c r="B420" t="s">
        <v>5187</v>
      </c>
      <c r="C420" t="s">
        <v>4492</v>
      </c>
      <c r="D420" t="s">
        <v>4493</v>
      </c>
      <c r="E420" t="s">
        <v>4494</v>
      </c>
      <c r="F420" t="s">
        <v>1575</v>
      </c>
    </row>
    <row r="421" spans="1:6" x14ac:dyDescent="0.25">
      <c r="A421" t="s">
        <v>6514</v>
      </c>
      <c r="B421" t="s">
        <v>6515</v>
      </c>
      <c r="C421" t="s">
        <v>4492</v>
      </c>
      <c r="D421" t="s">
        <v>4493</v>
      </c>
      <c r="E421" t="s">
        <v>4494</v>
      </c>
      <c r="F421" t="s">
        <v>1575</v>
      </c>
    </row>
    <row r="422" spans="1:6" x14ac:dyDescent="0.25">
      <c r="A422" t="s">
        <v>5749</v>
      </c>
      <c r="B422" t="s">
        <v>5750</v>
      </c>
      <c r="C422" t="s">
        <v>4492</v>
      </c>
      <c r="D422" t="s">
        <v>4493</v>
      </c>
      <c r="E422" t="s">
        <v>4494</v>
      </c>
      <c r="F422" t="s">
        <v>1575</v>
      </c>
    </row>
    <row r="423" spans="1:6" x14ac:dyDescent="0.25">
      <c r="A423" t="s">
        <v>5535</v>
      </c>
      <c r="B423" t="s">
        <v>5536</v>
      </c>
      <c r="C423" t="s">
        <v>4492</v>
      </c>
      <c r="D423" t="s">
        <v>4493</v>
      </c>
      <c r="E423" t="s">
        <v>4494</v>
      </c>
      <c r="F423" t="s">
        <v>1575</v>
      </c>
    </row>
    <row r="424" spans="1:6" x14ac:dyDescent="0.25">
      <c r="A424" t="s">
        <v>5425</v>
      </c>
      <c r="B424" t="s">
        <v>5426</v>
      </c>
      <c r="C424" t="s">
        <v>4492</v>
      </c>
      <c r="D424" t="s">
        <v>4493</v>
      </c>
      <c r="E424" t="s">
        <v>4494</v>
      </c>
      <c r="F424" t="s">
        <v>1575</v>
      </c>
    </row>
    <row r="425" spans="1:6" x14ac:dyDescent="0.25">
      <c r="A425" t="s">
        <v>4919</v>
      </c>
      <c r="B425" t="s">
        <v>4920</v>
      </c>
      <c r="C425" t="s">
        <v>4492</v>
      </c>
      <c r="D425" t="s">
        <v>4493</v>
      </c>
      <c r="E425" t="s">
        <v>4494</v>
      </c>
      <c r="F425" t="s">
        <v>1575</v>
      </c>
    </row>
    <row r="426" spans="1:6" x14ac:dyDescent="0.25">
      <c r="A426" t="s">
        <v>5633</v>
      </c>
      <c r="B426" t="s">
        <v>5634</v>
      </c>
      <c r="C426" t="s">
        <v>4492</v>
      </c>
      <c r="D426" t="s">
        <v>4493</v>
      </c>
      <c r="E426" t="s">
        <v>4494</v>
      </c>
      <c r="F426" t="s">
        <v>1575</v>
      </c>
    </row>
    <row r="427" spans="1:6" x14ac:dyDescent="0.25">
      <c r="A427" t="s">
        <v>4651</v>
      </c>
      <c r="B427" t="s">
        <v>4652</v>
      </c>
      <c r="C427" t="s">
        <v>4492</v>
      </c>
      <c r="D427" t="s">
        <v>4493</v>
      </c>
      <c r="E427" t="s">
        <v>4494</v>
      </c>
      <c r="F427" t="s">
        <v>1575</v>
      </c>
    </row>
    <row r="428" spans="1:6" x14ac:dyDescent="0.25">
      <c r="A428" t="s">
        <v>4915</v>
      </c>
      <c r="B428" t="s">
        <v>4916</v>
      </c>
      <c r="C428" t="s">
        <v>4492</v>
      </c>
      <c r="D428" t="s">
        <v>4493</v>
      </c>
      <c r="E428" t="s">
        <v>4494</v>
      </c>
      <c r="F428" t="s">
        <v>1575</v>
      </c>
    </row>
    <row r="429" spans="1:6" x14ac:dyDescent="0.25">
      <c r="A429" t="s">
        <v>5735</v>
      </c>
      <c r="B429" t="s">
        <v>5736</v>
      </c>
      <c r="C429" t="s">
        <v>4492</v>
      </c>
      <c r="D429" t="s">
        <v>4493</v>
      </c>
      <c r="E429" t="s">
        <v>4494</v>
      </c>
      <c r="F429" t="s">
        <v>1575</v>
      </c>
    </row>
    <row r="430" spans="1:6" x14ac:dyDescent="0.25">
      <c r="A430" t="s">
        <v>5959</v>
      </c>
      <c r="B430" t="s">
        <v>5960</v>
      </c>
      <c r="C430" t="s">
        <v>4492</v>
      </c>
      <c r="D430" t="s">
        <v>4493</v>
      </c>
      <c r="E430" t="s">
        <v>4494</v>
      </c>
      <c r="F430" t="s">
        <v>1575</v>
      </c>
    </row>
    <row r="431" spans="1:6" x14ac:dyDescent="0.25">
      <c r="A431" t="s">
        <v>5953</v>
      </c>
      <c r="B431" t="s">
        <v>5954</v>
      </c>
      <c r="C431" t="s">
        <v>4492</v>
      </c>
      <c r="D431" t="s">
        <v>4493</v>
      </c>
      <c r="E431" t="s">
        <v>4494</v>
      </c>
      <c r="F431" t="s">
        <v>1575</v>
      </c>
    </row>
    <row r="432" spans="1:6" x14ac:dyDescent="0.25">
      <c r="A432" t="s">
        <v>5011</v>
      </c>
      <c r="B432" t="s">
        <v>5012</v>
      </c>
      <c r="C432" t="s">
        <v>4492</v>
      </c>
      <c r="D432" t="s">
        <v>4493</v>
      </c>
      <c r="E432" t="s">
        <v>4494</v>
      </c>
      <c r="F432" t="s">
        <v>1575</v>
      </c>
    </row>
    <row r="433" spans="1:6" x14ac:dyDescent="0.25">
      <c r="A433" t="s">
        <v>6130</v>
      </c>
      <c r="B433" t="s">
        <v>6131</v>
      </c>
      <c r="C433" t="s">
        <v>4492</v>
      </c>
      <c r="D433" t="s">
        <v>4493</v>
      </c>
      <c r="E433" t="s">
        <v>4494</v>
      </c>
      <c r="F433" t="s">
        <v>1575</v>
      </c>
    </row>
    <row r="434" spans="1:6" x14ac:dyDescent="0.25">
      <c r="A434" t="s">
        <v>6058</v>
      </c>
      <c r="B434" t="s">
        <v>6059</v>
      </c>
      <c r="C434" t="s">
        <v>4492</v>
      </c>
      <c r="D434" t="s">
        <v>4493</v>
      </c>
      <c r="E434" t="s">
        <v>4494</v>
      </c>
      <c r="F434" t="s">
        <v>1575</v>
      </c>
    </row>
    <row r="435" spans="1:6" x14ac:dyDescent="0.25">
      <c r="A435" t="s">
        <v>6104</v>
      </c>
      <c r="B435" t="s">
        <v>6105</v>
      </c>
      <c r="C435" t="s">
        <v>4492</v>
      </c>
      <c r="D435" t="s">
        <v>4493</v>
      </c>
      <c r="E435" t="s">
        <v>4494</v>
      </c>
      <c r="F435" t="s">
        <v>1575</v>
      </c>
    </row>
    <row r="436" spans="1:6" x14ac:dyDescent="0.25">
      <c r="A436" t="s">
        <v>6142</v>
      </c>
      <c r="B436" t="s">
        <v>6143</v>
      </c>
      <c r="C436" t="s">
        <v>4492</v>
      </c>
      <c r="D436" t="s">
        <v>4493</v>
      </c>
      <c r="E436" t="s">
        <v>4494</v>
      </c>
      <c r="F436" t="s">
        <v>1575</v>
      </c>
    </row>
    <row r="437" spans="1:6" x14ac:dyDescent="0.25">
      <c r="A437" t="s">
        <v>6108</v>
      </c>
      <c r="B437" t="s">
        <v>6109</v>
      </c>
      <c r="C437" t="s">
        <v>4492</v>
      </c>
      <c r="D437" t="s">
        <v>4493</v>
      </c>
      <c r="E437" t="s">
        <v>4494</v>
      </c>
      <c r="F437" t="s">
        <v>1575</v>
      </c>
    </row>
    <row r="438" spans="1:6" x14ac:dyDescent="0.25">
      <c r="A438" t="s">
        <v>6100</v>
      </c>
      <c r="B438" t="s">
        <v>6101</v>
      </c>
      <c r="C438" t="s">
        <v>4492</v>
      </c>
      <c r="D438" t="s">
        <v>4493</v>
      </c>
      <c r="E438" t="s">
        <v>4494</v>
      </c>
      <c r="F438" t="s">
        <v>1575</v>
      </c>
    </row>
    <row r="439" spans="1:6" x14ac:dyDescent="0.25">
      <c r="A439" t="s">
        <v>6124</v>
      </c>
      <c r="B439" t="s">
        <v>6125</v>
      </c>
      <c r="C439" t="s">
        <v>4492</v>
      </c>
      <c r="D439" t="s">
        <v>4493</v>
      </c>
      <c r="E439" t="s">
        <v>4494</v>
      </c>
      <c r="F439" t="s">
        <v>1575</v>
      </c>
    </row>
    <row r="440" spans="1:6" x14ac:dyDescent="0.25">
      <c r="A440" t="s">
        <v>6132</v>
      </c>
      <c r="B440" t="s">
        <v>6133</v>
      </c>
      <c r="C440" t="s">
        <v>4492</v>
      </c>
      <c r="D440" t="s">
        <v>4493</v>
      </c>
      <c r="E440" t="s">
        <v>4494</v>
      </c>
      <c r="F440" t="s">
        <v>1575</v>
      </c>
    </row>
    <row r="441" spans="1:6" x14ac:dyDescent="0.25">
      <c r="A441" t="s">
        <v>6140</v>
      </c>
      <c r="B441" t="s">
        <v>6141</v>
      </c>
      <c r="C441" t="s">
        <v>4492</v>
      </c>
      <c r="D441" t="s">
        <v>4493</v>
      </c>
      <c r="E441" t="s">
        <v>4494</v>
      </c>
      <c r="F441" t="s">
        <v>1575</v>
      </c>
    </row>
    <row r="442" spans="1:6" x14ac:dyDescent="0.25">
      <c r="A442" t="s">
        <v>6126</v>
      </c>
      <c r="B442" t="s">
        <v>6127</v>
      </c>
      <c r="C442" t="s">
        <v>4492</v>
      </c>
      <c r="D442" t="s">
        <v>4493</v>
      </c>
      <c r="E442" t="s">
        <v>4494</v>
      </c>
      <c r="F442" t="s">
        <v>1575</v>
      </c>
    </row>
    <row r="443" spans="1:6" x14ac:dyDescent="0.25">
      <c r="A443" t="s">
        <v>6098</v>
      </c>
      <c r="B443" t="s">
        <v>6099</v>
      </c>
      <c r="C443" t="s">
        <v>4492</v>
      </c>
      <c r="D443" t="s">
        <v>4493</v>
      </c>
      <c r="E443" t="s">
        <v>4494</v>
      </c>
      <c r="F443" t="s">
        <v>1575</v>
      </c>
    </row>
    <row r="444" spans="1:6" x14ac:dyDescent="0.25">
      <c r="A444" t="s">
        <v>6120</v>
      </c>
      <c r="B444" t="s">
        <v>6121</v>
      </c>
      <c r="C444" t="s">
        <v>4492</v>
      </c>
      <c r="D444" t="s">
        <v>4493</v>
      </c>
      <c r="E444" t="s">
        <v>4494</v>
      </c>
      <c r="F444" t="s">
        <v>1575</v>
      </c>
    </row>
    <row r="445" spans="1:6" x14ac:dyDescent="0.25">
      <c r="A445" t="s">
        <v>6112</v>
      </c>
      <c r="B445" t="s">
        <v>6113</v>
      </c>
      <c r="C445" t="s">
        <v>4492</v>
      </c>
      <c r="D445" t="s">
        <v>4493</v>
      </c>
      <c r="E445" t="s">
        <v>4494</v>
      </c>
      <c r="F445" t="s">
        <v>1575</v>
      </c>
    </row>
    <row r="446" spans="1:6" x14ac:dyDescent="0.25">
      <c r="A446" t="s">
        <v>6128</v>
      </c>
      <c r="B446" t="s">
        <v>6129</v>
      </c>
      <c r="C446" t="s">
        <v>4492</v>
      </c>
      <c r="D446" t="s">
        <v>4493</v>
      </c>
      <c r="E446" t="s">
        <v>4494</v>
      </c>
      <c r="F446" t="s">
        <v>1575</v>
      </c>
    </row>
    <row r="447" spans="1:6" x14ac:dyDescent="0.25">
      <c r="A447" t="s">
        <v>6122</v>
      </c>
      <c r="B447" t="s">
        <v>6123</v>
      </c>
      <c r="C447" t="s">
        <v>4492</v>
      </c>
      <c r="D447" t="s">
        <v>4493</v>
      </c>
      <c r="E447" t="s">
        <v>4494</v>
      </c>
      <c r="F447" t="s">
        <v>1575</v>
      </c>
    </row>
    <row r="448" spans="1:6" x14ac:dyDescent="0.25">
      <c r="A448" t="s">
        <v>6072</v>
      </c>
      <c r="B448" t="s">
        <v>6073</v>
      </c>
      <c r="C448" t="s">
        <v>4492</v>
      </c>
      <c r="D448" t="s">
        <v>4493</v>
      </c>
      <c r="E448" t="s">
        <v>4494</v>
      </c>
      <c r="F448" t="s">
        <v>1575</v>
      </c>
    </row>
    <row r="449" spans="1:6" x14ac:dyDescent="0.25">
      <c r="A449" t="s">
        <v>6068</v>
      </c>
      <c r="B449" t="s">
        <v>6069</v>
      </c>
      <c r="C449" t="s">
        <v>2001</v>
      </c>
      <c r="D449" t="s">
        <v>4578</v>
      </c>
      <c r="E449">
        <v>620361774</v>
      </c>
    </row>
    <row r="450" spans="1:6" x14ac:dyDescent="0.25">
      <c r="A450" t="s">
        <v>4594</v>
      </c>
      <c r="B450" t="s">
        <v>4595</v>
      </c>
      <c r="C450" t="s">
        <v>4492</v>
      </c>
      <c r="D450" t="s">
        <v>4493</v>
      </c>
      <c r="E450" t="s">
        <v>4494</v>
      </c>
      <c r="F450" t="s">
        <v>1575</v>
      </c>
    </row>
    <row r="451" spans="1:6" x14ac:dyDescent="0.25">
      <c r="A451" t="s">
        <v>4490</v>
      </c>
      <c r="B451" t="s">
        <v>4491</v>
      </c>
      <c r="C451" t="s">
        <v>4492</v>
      </c>
      <c r="D451" t="s">
        <v>4493</v>
      </c>
      <c r="E451" t="s">
        <v>4494</v>
      </c>
      <c r="F451" t="s">
        <v>1575</v>
      </c>
    </row>
    <row r="452" spans="1:6" x14ac:dyDescent="0.25">
      <c r="A452" t="s">
        <v>4877</v>
      </c>
      <c r="B452" t="s">
        <v>4878</v>
      </c>
      <c r="C452" t="s">
        <v>4492</v>
      </c>
      <c r="D452" t="s">
        <v>4493</v>
      </c>
      <c r="E452" t="s">
        <v>4494</v>
      </c>
      <c r="F452" t="s">
        <v>1575</v>
      </c>
    </row>
    <row r="453" spans="1:6" x14ac:dyDescent="0.25">
      <c r="A453" t="s">
        <v>5509</v>
      </c>
      <c r="B453" t="s">
        <v>5510</v>
      </c>
      <c r="C453" t="s">
        <v>4492</v>
      </c>
      <c r="D453" t="s">
        <v>4493</v>
      </c>
      <c r="E453" t="s">
        <v>4494</v>
      </c>
      <c r="F453" t="s">
        <v>1575</v>
      </c>
    </row>
    <row r="454" spans="1:6" x14ac:dyDescent="0.25">
      <c r="A454" t="s">
        <v>5765</v>
      </c>
      <c r="B454" t="s">
        <v>5766</v>
      </c>
      <c r="C454" t="s">
        <v>4492</v>
      </c>
      <c r="D454" t="s">
        <v>4493</v>
      </c>
      <c r="E454" t="s">
        <v>4494</v>
      </c>
      <c r="F454" t="s">
        <v>1575</v>
      </c>
    </row>
    <row r="455" spans="1:6" x14ac:dyDescent="0.25">
      <c r="A455" t="s">
        <v>5451</v>
      </c>
      <c r="B455" t="s">
        <v>5452</v>
      </c>
      <c r="C455" t="s">
        <v>4492</v>
      </c>
      <c r="D455" t="s">
        <v>4493</v>
      </c>
      <c r="E455" t="s">
        <v>4494</v>
      </c>
      <c r="F455" t="s">
        <v>1575</v>
      </c>
    </row>
    <row r="456" spans="1:6" x14ac:dyDescent="0.25">
      <c r="A456" t="s">
        <v>4670</v>
      </c>
      <c r="B456" t="s">
        <v>4671</v>
      </c>
      <c r="C456" t="s">
        <v>4492</v>
      </c>
      <c r="D456" t="s">
        <v>4493</v>
      </c>
      <c r="E456" t="s">
        <v>4494</v>
      </c>
      <c r="F456" t="s">
        <v>1575</v>
      </c>
    </row>
    <row r="457" spans="1:6" x14ac:dyDescent="0.25">
      <c r="A457" t="s">
        <v>5352</v>
      </c>
      <c r="B457" t="s">
        <v>5353</v>
      </c>
      <c r="C457" t="s">
        <v>4492</v>
      </c>
      <c r="D457" t="s">
        <v>4493</v>
      </c>
      <c r="E457" t="s">
        <v>4494</v>
      </c>
      <c r="F457" t="s">
        <v>1575</v>
      </c>
    </row>
    <row r="458" spans="1:6" x14ac:dyDescent="0.25">
      <c r="A458" t="s">
        <v>5068</v>
      </c>
      <c r="B458" t="s">
        <v>5069</v>
      </c>
      <c r="C458" t="s">
        <v>4492</v>
      </c>
      <c r="D458" t="s">
        <v>4493</v>
      </c>
      <c r="E458" t="s">
        <v>4494</v>
      </c>
      <c r="F458" t="s">
        <v>1575</v>
      </c>
    </row>
    <row r="459" spans="1:6" x14ac:dyDescent="0.25">
      <c r="A459" t="s">
        <v>6469</v>
      </c>
      <c r="B459" t="s">
        <v>6470</v>
      </c>
      <c r="C459" t="s">
        <v>4492</v>
      </c>
      <c r="D459" t="s">
        <v>4493</v>
      </c>
      <c r="E459" t="s">
        <v>4494</v>
      </c>
      <c r="F459" t="s">
        <v>1575</v>
      </c>
    </row>
    <row r="460" spans="1:6" x14ac:dyDescent="0.25">
      <c r="A460" t="s">
        <v>5939</v>
      </c>
      <c r="B460" t="s">
        <v>5940</v>
      </c>
      <c r="C460" t="s">
        <v>4492</v>
      </c>
      <c r="D460" t="s">
        <v>4493</v>
      </c>
      <c r="E460" t="s">
        <v>4494</v>
      </c>
      <c r="F460" t="s">
        <v>1575</v>
      </c>
    </row>
    <row r="461" spans="1:6" x14ac:dyDescent="0.25">
      <c r="A461" t="s">
        <v>5152</v>
      </c>
      <c r="B461" t="s">
        <v>5153</v>
      </c>
      <c r="C461" t="s">
        <v>4492</v>
      </c>
      <c r="D461" t="s">
        <v>4493</v>
      </c>
      <c r="E461" t="s">
        <v>4494</v>
      </c>
      <c r="F461" t="s">
        <v>1575</v>
      </c>
    </row>
    <row r="462" spans="1:6" x14ac:dyDescent="0.25">
      <c r="A462" t="s">
        <v>6296</v>
      </c>
      <c r="B462" t="s">
        <v>6297</v>
      </c>
      <c r="C462" t="s">
        <v>4492</v>
      </c>
      <c r="D462" t="s">
        <v>4493</v>
      </c>
      <c r="E462" t="s">
        <v>4494</v>
      </c>
      <c r="F462" t="s">
        <v>1575</v>
      </c>
    </row>
    <row r="463" spans="1:6" x14ac:dyDescent="0.25">
      <c r="A463" t="s">
        <v>6367</v>
      </c>
      <c r="B463" t="s">
        <v>6368</v>
      </c>
      <c r="C463" t="s">
        <v>4492</v>
      </c>
      <c r="D463" t="s">
        <v>4493</v>
      </c>
      <c r="E463" t="s">
        <v>4494</v>
      </c>
      <c r="F463" t="s">
        <v>1575</v>
      </c>
    </row>
    <row r="464" spans="1:6" x14ac:dyDescent="0.25">
      <c r="A464" t="s">
        <v>4703</v>
      </c>
      <c r="B464" t="s">
        <v>4704</v>
      </c>
      <c r="C464" t="s">
        <v>4492</v>
      </c>
      <c r="D464" t="s">
        <v>4493</v>
      </c>
      <c r="E464" t="s">
        <v>4494</v>
      </c>
      <c r="F464" t="s">
        <v>1575</v>
      </c>
    </row>
    <row r="465" spans="1:6" x14ac:dyDescent="0.25">
      <c r="A465" t="s">
        <v>5046</v>
      </c>
      <c r="B465" t="s">
        <v>5047</v>
      </c>
      <c r="C465" t="s">
        <v>4492</v>
      </c>
      <c r="D465" t="s">
        <v>4493</v>
      </c>
      <c r="E465" t="s">
        <v>4494</v>
      </c>
      <c r="F465" t="s">
        <v>1575</v>
      </c>
    </row>
    <row r="466" spans="1:6" x14ac:dyDescent="0.25">
      <c r="A466" t="s">
        <v>4942</v>
      </c>
      <c r="B466" t="s">
        <v>4943</v>
      </c>
      <c r="C466" t="s">
        <v>4492</v>
      </c>
      <c r="D466" t="s">
        <v>4493</v>
      </c>
      <c r="E466" t="s">
        <v>4494</v>
      </c>
      <c r="F466" t="s">
        <v>1575</v>
      </c>
    </row>
    <row r="467" spans="1:6" x14ac:dyDescent="0.25">
      <c r="A467" t="s">
        <v>5988</v>
      </c>
      <c r="B467" t="s">
        <v>5989</v>
      </c>
      <c r="C467" t="s">
        <v>4492</v>
      </c>
      <c r="D467" t="s">
        <v>4493</v>
      </c>
      <c r="E467" t="s">
        <v>4494</v>
      </c>
      <c r="F467" t="s">
        <v>1575</v>
      </c>
    </row>
    <row r="468" spans="1:6" x14ac:dyDescent="0.25">
      <c r="A468" t="s">
        <v>4901</v>
      </c>
      <c r="B468" t="s">
        <v>4902</v>
      </c>
      <c r="C468" t="s">
        <v>4492</v>
      </c>
      <c r="D468" t="s">
        <v>4493</v>
      </c>
      <c r="E468" t="s">
        <v>4494</v>
      </c>
      <c r="F468" t="s">
        <v>1575</v>
      </c>
    </row>
    <row r="469" spans="1:6" x14ac:dyDescent="0.25">
      <c r="A469" t="s">
        <v>5789</v>
      </c>
      <c r="B469" t="s">
        <v>5790</v>
      </c>
      <c r="C469" t="s">
        <v>4492</v>
      </c>
      <c r="D469" t="s">
        <v>4493</v>
      </c>
      <c r="E469" t="s">
        <v>4494</v>
      </c>
      <c r="F469" t="s">
        <v>1575</v>
      </c>
    </row>
    <row r="470" spans="1:6" x14ac:dyDescent="0.25">
      <c r="A470" t="s">
        <v>4929</v>
      </c>
      <c r="B470" t="s">
        <v>4930</v>
      </c>
      <c r="C470" t="s">
        <v>4492</v>
      </c>
      <c r="D470" t="s">
        <v>4493</v>
      </c>
      <c r="E470" t="s">
        <v>4494</v>
      </c>
      <c r="F470" t="s">
        <v>1575</v>
      </c>
    </row>
    <row r="471" spans="1:6" x14ac:dyDescent="0.25">
      <c r="A471" t="s">
        <v>5239</v>
      </c>
      <c r="B471" t="s">
        <v>5240</v>
      </c>
      <c r="C471" t="s">
        <v>4492</v>
      </c>
      <c r="D471" t="s">
        <v>4493</v>
      </c>
      <c r="E471" t="s">
        <v>4494</v>
      </c>
      <c r="F471" t="s">
        <v>1575</v>
      </c>
    </row>
    <row r="472" spans="1:6" x14ac:dyDescent="0.25">
      <c r="A472" t="s">
        <v>5176</v>
      </c>
      <c r="B472" t="s">
        <v>5177</v>
      </c>
      <c r="C472" t="s">
        <v>4492</v>
      </c>
      <c r="D472" t="s">
        <v>4493</v>
      </c>
      <c r="E472" t="s">
        <v>4494</v>
      </c>
      <c r="F472" t="s">
        <v>1575</v>
      </c>
    </row>
    <row r="473" spans="1:6" x14ac:dyDescent="0.25">
      <c r="A473" t="s">
        <v>5168</v>
      </c>
      <c r="B473" t="s">
        <v>5169</v>
      </c>
      <c r="C473" t="s">
        <v>4492</v>
      </c>
      <c r="D473" t="s">
        <v>4493</v>
      </c>
      <c r="E473" t="s">
        <v>4494</v>
      </c>
      <c r="F473" t="s">
        <v>1575</v>
      </c>
    </row>
    <row r="474" spans="1:6" x14ac:dyDescent="0.25">
      <c r="A474" t="s">
        <v>4666</v>
      </c>
      <c r="B474" t="s">
        <v>4667</v>
      </c>
      <c r="C474" t="s">
        <v>4492</v>
      </c>
      <c r="D474" t="s">
        <v>4493</v>
      </c>
      <c r="E474" t="s">
        <v>4494</v>
      </c>
      <c r="F474" t="s">
        <v>1575</v>
      </c>
    </row>
    <row r="475" spans="1:6" x14ac:dyDescent="0.25">
      <c r="A475" t="s">
        <v>5835</v>
      </c>
      <c r="B475" t="s">
        <v>5836</v>
      </c>
      <c r="C475" t="s">
        <v>1921</v>
      </c>
      <c r="D475" t="s">
        <v>5151</v>
      </c>
      <c r="E475">
        <v>618624075</v>
      </c>
      <c r="F475" t="s">
        <v>6796</v>
      </c>
    </row>
    <row r="476" spans="1:6" x14ac:dyDescent="0.25">
      <c r="A476" t="s">
        <v>6461</v>
      </c>
      <c r="B476" t="s">
        <v>6462</v>
      </c>
      <c r="C476" t="s">
        <v>4492</v>
      </c>
      <c r="D476" t="s">
        <v>4493</v>
      </c>
      <c r="E476" t="s">
        <v>4494</v>
      </c>
      <c r="F476" t="s">
        <v>1575</v>
      </c>
    </row>
    <row r="477" spans="1:6" x14ac:dyDescent="0.25">
      <c r="A477" t="s">
        <v>6475</v>
      </c>
      <c r="B477" t="s">
        <v>6476</v>
      </c>
      <c r="C477" t="s">
        <v>4492</v>
      </c>
      <c r="D477" t="s">
        <v>4493</v>
      </c>
      <c r="E477" t="s">
        <v>4494</v>
      </c>
      <c r="F477" t="s">
        <v>1575</v>
      </c>
    </row>
    <row r="478" spans="1:6" x14ac:dyDescent="0.25">
      <c r="A478" t="s">
        <v>5257</v>
      </c>
      <c r="B478" t="s">
        <v>5258</v>
      </c>
      <c r="C478" t="s">
        <v>4492</v>
      </c>
      <c r="D478" t="s">
        <v>4493</v>
      </c>
      <c r="E478" t="s">
        <v>4494</v>
      </c>
      <c r="F478" t="s">
        <v>1575</v>
      </c>
    </row>
    <row r="479" spans="1:6" x14ac:dyDescent="0.25">
      <c r="A479" t="s">
        <v>5379</v>
      </c>
      <c r="B479" t="s">
        <v>5380</v>
      </c>
      <c r="C479" t="s">
        <v>4492</v>
      </c>
      <c r="D479" t="s">
        <v>4493</v>
      </c>
      <c r="E479" t="s">
        <v>4494</v>
      </c>
      <c r="F479" t="s">
        <v>1575</v>
      </c>
    </row>
    <row r="480" spans="1:6" x14ac:dyDescent="0.25">
      <c r="A480" t="s">
        <v>4579</v>
      </c>
      <c r="B480" t="s">
        <v>4580</v>
      </c>
      <c r="C480" t="s">
        <v>4492</v>
      </c>
      <c r="D480" t="s">
        <v>4493</v>
      </c>
      <c r="E480" t="s">
        <v>4494</v>
      </c>
      <c r="F480" t="s">
        <v>1575</v>
      </c>
    </row>
    <row r="481" spans="1:6" x14ac:dyDescent="0.25">
      <c r="A481" t="s">
        <v>5759</v>
      </c>
      <c r="B481" t="s">
        <v>5760</v>
      </c>
      <c r="C481" t="s">
        <v>1735</v>
      </c>
      <c r="D481" t="s">
        <v>5364</v>
      </c>
      <c r="E481">
        <v>690606852</v>
      </c>
      <c r="F481" t="s">
        <v>6750</v>
      </c>
    </row>
    <row r="482" spans="1:6" x14ac:dyDescent="0.25">
      <c r="A482" t="s">
        <v>5875</v>
      </c>
      <c r="B482" t="s">
        <v>5876</v>
      </c>
      <c r="C482" t="s">
        <v>4492</v>
      </c>
      <c r="D482" t="s">
        <v>4493</v>
      </c>
      <c r="E482" t="s">
        <v>4494</v>
      </c>
      <c r="F482" t="s">
        <v>1575</v>
      </c>
    </row>
    <row r="483" spans="1:6" x14ac:dyDescent="0.25">
      <c r="A483" t="s">
        <v>5405</v>
      </c>
      <c r="B483" t="s">
        <v>5406</v>
      </c>
      <c r="C483" t="s">
        <v>4492</v>
      </c>
      <c r="D483" t="s">
        <v>4493</v>
      </c>
      <c r="E483" t="s">
        <v>4494</v>
      </c>
      <c r="F483" t="s">
        <v>1575</v>
      </c>
    </row>
    <row r="484" spans="1:6" x14ac:dyDescent="0.25">
      <c r="A484" t="s">
        <v>5407</v>
      </c>
      <c r="B484" t="s">
        <v>5408</v>
      </c>
      <c r="C484" t="s">
        <v>4492</v>
      </c>
      <c r="D484" t="s">
        <v>4493</v>
      </c>
      <c r="E484" t="s">
        <v>4494</v>
      </c>
      <c r="F484" t="s">
        <v>1575</v>
      </c>
    </row>
    <row r="485" spans="1:6" x14ac:dyDescent="0.25">
      <c r="A485" t="s">
        <v>5233</v>
      </c>
      <c r="B485" t="s">
        <v>5234</v>
      </c>
      <c r="C485" t="s">
        <v>4492</v>
      </c>
      <c r="D485" t="s">
        <v>4493</v>
      </c>
      <c r="E485" t="s">
        <v>4494</v>
      </c>
      <c r="F485" t="s">
        <v>1575</v>
      </c>
    </row>
    <row r="486" spans="1:6" x14ac:dyDescent="0.25">
      <c r="A486" t="s">
        <v>4627</v>
      </c>
      <c r="B486" t="s">
        <v>4628</v>
      </c>
      <c r="C486" t="s">
        <v>4492</v>
      </c>
      <c r="D486" t="s">
        <v>4493</v>
      </c>
      <c r="E486" t="s">
        <v>4494</v>
      </c>
      <c r="F486" t="s">
        <v>1575</v>
      </c>
    </row>
    <row r="487" spans="1:6" x14ac:dyDescent="0.25">
      <c r="A487" t="s">
        <v>4763</v>
      </c>
      <c r="B487" t="s">
        <v>4764</v>
      </c>
      <c r="C487" t="s">
        <v>4492</v>
      </c>
      <c r="D487" t="s">
        <v>4493</v>
      </c>
      <c r="E487" t="s">
        <v>4494</v>
      </c>
      <c r="F487" t="s">
        <v>1575</v>
      </c>
    </row>
    <row r="488" spans="1:6" x14ac:dyDescent="0.25">
      <c r="A488" t="s">
        <v>5712</v>
      </c>
      <c r="B488" t="s">
        <v>5713</v>
      </c>
      <c r="C488" t="s">
        <v>4492</v>
      </c>
      <c r="D488" t="s">
        <v>4493</v>
      </c>
      <c r="E488" t="s">
        <v>4494</v>
      </c>
      <c r="F488" t="s">
        <v>1575</v>
      </c>
    </row>
    <row r="489" spans="1:6" x14ac:dyDescent="0.25">
      <c r="A489" t="s">
        <v>5553</v>
      </c>
      <c r="B489" t="s">
        <v>5554</v>
      </c>
      <c r="C489" t="s">
        <v>4492</v>
      </c>
      <c r="D489" t="s">
        <v>4493</v>
      </c>
      <c r="E489" t="s">
        <v>4494</v>
      </c>
      <c r="F489" t="s">
        <v>1575</v>
      </c>
    </row>
    <row r="490" spans="1:6" x14ac:dyDescent="0.25">
      <c r="A490" t="s">
        <v>4620</v>
      </c>
      <c r="B490" t="s">
        <v>4621</v>
      </c>
      <c r="C490" t="s">
        <v>1860</v>
      </c>
      <c r="D490" t="s">
        <v>4622</v>
      </c>
      <c r="E490">
        <v>608095586</v>
      </c>
      <c r="F490" t="s">
        <v>6763</v>
      </c>
    </row>
    <row r="491" spans="1:6" x14ac:dyDescent="0.25">
      <c r="A491" t="s">
        <v>5763</v>
      </c>
      <c r="B491" t="s">
        <v>5764</v>
      </c>
      <c r="C491" t="s">
        <v>4492</v>
      </c>
      <c r="D491" t="s">
        <v>4493</v>
      </c>
      <c r="E491" t="s">
        <v>4494</v>
      </c>
      <c r="F491" t="s">
        <v>1575</v>
      </c>
    </row>
    <row r="492" spans="1:6" x14ac:dyDescent="0.25">
      <c r="A492" t="s">
        <v>5249</v>
      </c>
      <c r="B492" t="s">
        <v>5250</v>
      </c>
      <c r="C492" t="s">
        <v>4492</v>
      </c>
      <c r="D492" t="s">
        <v>4493</v>
      </c>
      <c r="E492" t="s">
        <v>4494</v>
      </c>
      <c r="F492" t="s">
        <v>1575</v>
      </c>
    </row>
    <row r="493" spans="1:6" x14ac:dyDescent="0.25">
      <c r="A493" t="s">
        <v>5409</v>
      </c>
      <c r="B493" t="s">
        <v>5410</v>
      </c>
      <c r="C493" t="s">
        <v>4492</v>
      </c>
      <c r="D493" t="s">
        <v>4493</v>
      </c>
      <c r="E493" t="s">
        <v>4494</v>
      </c>
      <c r="F493" t="s">
        <v>1575</v>
      </c>
    </row>
    <row r="494" spans="1:6" x14ac:dyDescent="0.25">
      <c r="A494" t="s">
        <v>4991</v>
      </c>
      <c r="B494" t="s">
        <v>4992</v>
      </c>
      <c r="C494" t="s">
        <v>4492</v>
      </c>
      <c r="D494" t="s">
        <v>4493</v>
      </c>
      <c r="E494" t="s">
        <v>4494</v>
      </c>
      <c r="F494" t="s">
        <v>1575</v>
      </c>
    </row>
    <row r="495" spans="1:6" x14ac:dyDescent="0.25">
      <c r="A495" t="s">
        <v>5637</v>
      </c>
      <c r="B495" t="s">
        <v>5638</v>
      </c>
      <c r="C495" t="s">
        <v>2240</v>
      </c>
      <c r="D495" t="s">
        <v>4559</v>
      </c>
      <c r="E495">
        <v>689152503</v>
      </c>
      <c r="F495" t="s">
        <v>6715</v>
      </c>
    </row>
    <row r="496" spans="1:6" x14ac:dyDescent="0.25">
      <c r="A496" t="s">
        <v>5383</v>
      </c>
      <c r="B496" t="s">
        <v>5384</v>
      </c>
      <c r="C496" t="s">
        <v>4492</v>
      </c>
      <c r="D496" t="s">
        <v>4493</v>
      </c>
      <c r="E496" t="s">
        <v>4494</v>
      </c>
      <c r="F496" t="s">
        <v>1575</v>
      </c>
    </row>
    <row r="497" spans="1:6" x14ac:dyDescent="0.25">
      <c r="A497" t="s">
        <v>5845</v>
      </c>
      <c r="B497" t="s">
        <v>5846</v>
      </c>
      <c r="C497" t="s">
        <v>2512</v>
      </c>
      <c r="D497" t="s">
        <v>7149</v>
      </c>
      <c r="E497">
        <v>636063751</v>
      </c>
      <c r="F497" t="s">
        <v>7150</v>
      </c>
    </row>
    <row r="498" spans="1:6" x14ac:dyDescent="0.25">
      <c r="A498" t="s">
        <v>5529</v>
      </c>
      <c r="B498" t="s">
        <v>5530</v>
      </c>
      <c r="C498" t="s">
        <v>4492</v>
      </c>
      <c r="D498" t="s">
        <v>4493</v>
      </c>
      <c r="E498" t="s">
        <v>4494</v>
      </c>
      <c r="F498" t="s">
        <v>1575</v>
      </c>
    </row>
    <row r="499" spans="1:6" x14ac:dyDescent="0.25">
      <c r="A499" t="s">
        <v>4821</v>
      </c>
      <c r="B499" t="s">
        <v>4822</v>
      </c>
      <c r="C499" t="s">
        <v>1825</v>
      </c>
      <c r="D499" t="s">
        <v>4723</v>
      </c>
      <c r="E499">
        <v>689283111</v>
      </c>
      <c r="F499" t="s">
        <v>6913</v>
      </c>
    </row>
    <row r="500" spans="1:6" x14ac:dyDescent="0.25">
      <c r="A500" t="s">
        <v>5385</v>
      </c>
      <c r="B500" t="s">
        <v>5386</v>
      </c>
      <c r="C500" t="s">
        <v>4492</v>
      </c>
      <c r="D500" t="s">
        <v>4493</v>
      </c>
      <c r="E500" t="s">
        <v>4494</v>
      </c>
      <c r="F500" t="s">
        <v>1575</v>
      </c>
    </row>
    <row r="501" spans="1:6" x14ac:dyDescent="0.25">
      <c r="A501" t="s">
        <v>5298</v>
      </c>
      <c r="B501" t="s">
        <v>5299</v>
      </c>
      <c r="C501" t="s">
        <v>4492</v>
      </c>
      <c r="D501" t="s">
        <v>4493</v>
      </c>
      <c r="E501" t="s">
        <v>4494</v>
      </c>
      <c r="F501" t="s">
        <v>1575</v>
      </c>
    </row>
    <row r="502" spans="1:6" x14ac:dyDescent="0.25">
      <c r="A502" t="s">
        <v>5497</v>
      </c>
      <c r="B502" t="s">
        <v>5498</v>
      </c>
      <c r="C502" t="s">
        <v>4492</v>
      </c>
      <c r="D502" t="s">
        <v>4493</v>
      </c>
      <c r="E502" t="s">
        <v>4494</v>
      </c>
      <c r="F502" t="s">
        <v>1575</v>
      </c>
    </row>
    <row r="503" spans="1:6" x14ac:dyDescent="0.25">
      <c r="A503" t="s">
        <v>6508</v>
      </c>
      <c r="B503" t="s">
        <v>6509</v>
      </c>
      <c r="C503" t="s">
        <v>1695</v>
      </c>
      <c r="D503" t="s">
        <v>4687</v>
      </c>
      <c r="E503">
        <v>618790056</v>
      </c>
      <c r="F503" t="s">
        <v>6787</v>
      </c>
    </row>
    <row r="504" spans="1:6" x14ac:dyDescent="0.25">
      <c r="A504" t="s">
        <v>4661</v>
      </c>
      <c r="B504" t="s">
        <v>4662</v>
      </c>
      <c r="C504" t="s">
        <v>4160</v>
      </c>
      <c r="D504"/>
      <c r="E504"/>
      <c r="F504" t="s">
        <v>7359</v>
      </c>
    </row>
    <row r="505" spans="1:6" x14ac:dyDescent="0.25">
      <c r="A505" t="s">
        <v>5487</v>
      </c>
      <c r="B505" t="s">
        <v>5488</v>
      </c>
      <c r="C505" t="s">
        <v>4492</v>
      </c>
      <c r="D505" t="s">
        <v>4493</v>
      </c>
      <c r="E505" t="s">
        <v>4494</v>
      </c>
      <c r="F505" t="s">
        <v>1575</v>
      </c>
    </row>
    <row r="506" spans="1:6" x14ac:dyDescent="0.25">
      <c r="A506" t="s">
        <v>5282</v>
      </c>
      <c r="B506" t="s">
        <v>5283</v>
      </c>
      <c r="C506" t="s">
        <v>4492</v>
      </c>
      <c r="D506" t="s">
        <v>4493</v>
      </c>
      <c r="E506" t="s">
        <v>4494</v>
      </c>
      <c r="F506" t="s">
        <v>1575</v>
      </c>
    </row>
    <row r="507" spans="1:6" x14ac:dyDescent="0.25">
      <c r="A507" t="s">
        <v>4907</v>
      </c>
      <c r="B507" t="s">
        <v>4908</v>
      </c>
      <c r="C507" t="s">
        <v>4492</v>
      </c>
      <c r="D507" t="s">
        <v>4493</v>
      </c>
      <c r="E507" t="s">
        <v>4494</v>
      </c>
      <c r="F507" t="s">
        <v>1575</v>
      </c>
    </row>
    <row r="508" spans="1:6" x14ac:dyDescent="0.25">
      <c r="A508" t="s">
        <v>5825</v>
      </c>
      <c r="B508" t="s">
        <v>5826</v>
      </c>
      <c r="C508" t="s">
        <v>4492</v>
      </c>
      <c r="D508" t="s">
        <v>4493</v>
      </c>
      <c r="E508" t="s">
        <v>4494</v>
      </c>
      <c r="F508" t="s">
        <v>1575</v>
      </c>
    </row>
    <row r="509" spans="1:6" x14ac:dyDescent="0.25">
      <c r="A509" t="s">
        <v>5811</v>
      </c>
      <c r="B509" t="s">
        <v>5812</v>
      </c>
      <c r="C509" t="s">
        <v>4492</v>
      </c>
      <c r="D509" t="s">
        <v>4493</v>
      </c>
      <c r="E509" t="s">
        <v>4494</v>
      </c>
      <c r="F509" t="s">
        <v>1575</v>
      </c>
    </row>
    <row r="510" spans="1:6" x14ac:dyDescent="0.25">
      <c r="A510" t="s">
        <v>6060</v>
      </c>
      <c r="B510" t="s">
        <v>6061</v>
      </c>
      <c r="C510" t="s">
        <v>4492</v>
      </c>
      <c r="D510" t="s">
        <v>4493</v>
      </c>
      <c r="E510" t="s">
        <v>4494</v>
      </c>
      <c r="F510" t="s">
        <v>1575</v>
      </c>
    </row>
    <row r="511" spans="1:6" x14ac:dyDescent="0.25">
      <c r="A511" t="s">
        <v>4655</v>
      </c>
      <c r="B511" t="s">
        <v>4656</v>
      </c>
      <c r="C511" t="s">
        <v>4492</v>
      </c>
      <c r="D511" t="s">
        <v>4493</v>
      </c>
      <c r="E511" t="s">
        <v>4494</v>
      </c>
      <c r="F511" t="s">
        <v>1575</v>
      </c>
    </row>
    <row r="512" spans="1:6" x14ac:dyDescent="0.25">
      <c r="A512" t="s">
        <v>5867</v>
      </c>
      <c r="B512" t="s">
        <v>5868</v>
      </c>
      <c r="C512" t="s">
        <v>4492</v>
      </c>
      <c r="D512" t="s">
        <v>4493</v>
      </c>
      <c r="E512" t="s">
        <v>4494</v>
      </c>
      <c r="F512" t="s">
        <v>1575</v>
      </c>
    </row>
    <row r="513" spans="1:6" x14ac:dyDescent="0.25">
      <c r="A513" t="s">
        <v>5998</v>
      </c>
      <c r="B513" t="s">
        <v>5999</v>
      </c>
      <c r="C513" t="s">
        <v>4492</v>
      </c>
      <c r="D513" t="s">
        <v>4493</v>
      </c>
      <c r="E513" t="s">
        <v>4494</v>
      </c>
      <c r="F513" t="s">
        <v>1575</v>
      </c>
    </row>
    <row r="514" spans="1:6" x14ac:dyDescent="0.25">
      <c r="A514" t="s">
        <v>5718</v>
      </c>
      <c r="B514" t="s">
        <v>5719</v>
      </c>
      <c r="C514" t="s">
        <v>4492</v>
      </c>
      <c r="D514" t="s">
        <v>4493</v>
      </c>
      <c r="E514" t="s">
        <v>4494</v>
      </c>
      <c r="F514" t="s">
        <v>1575</v>
      </c>
    </row>
    <row r="515" spans="1:6" x14ac:dyDescent="0.25">
      <c r="A515" t="s">
        <v>4995</v>
      </c>
      <c r="B515" t="s">
        <v>4996</v>
      </c>
      <c r="C515" t="s">
        <v>4492</v>
      </c>
      <c r="D515" t="s">
        <v>4493</v>
      </c>
      <c r="E515" t="s">
        <v>4494</v>
      </c>
      <c r="F515" t="s">
        <v>1575</v>
      </c>
    </row>
    <row r="516" spans="1:6" x14ac:dyDescent="0.25">
      <c r="A516" t="s">
        <v>5731</v>
      </c>
      <c r="B516" t="s">
        <v>5732</v>
      </c>
      <c r="C516" t="s">
        <v>4492</v>
      </c>
      <c r="D516" t="s">
        <v>4493</v>
      </c>
      <c r="E516" t="s">
        <v>4494</v>
      </c>
      <c r="F516" t="s">
        <v>1575</v>
      </c>
    </row>
    <row r="517" spans="1:6" x14ac:dyDescent="0.25">
      <c r="A517" t="s">
        <v>5455</v>
      </c>
      <c r="B517" t="s">
        <v>5456</v>
      </c>
      <c r="C517" t="s">
        <v>4492</v>
      </c>
      <c r="D517" t="s">
        <v>4493</v>
      </c>
      <c r="E517" t="s">
        <v>4494</v>
      </c>
      <c r="F517" t="s">
        <v>1575</v>
      </c>
    </row>
    <row r="518" spans="1:6" x14ac:dyDescent="0.25">
      <c r="A518" t="s">
        <v>5625</v>
      </c>
      <c r="B518" t="s">
        <v>5626</v>
      </c>
      <c r="C518" t="s">
        <v>4492</v>
      </c>
      <c r="D518" t="s">
        <v>4493</v>
      </c>
      <c r="E518" t="s">
        <v>4494</v>
      </c>
      <c r="F518" t="s">
        <v>1575</v>
      </c>
    </row>
    <row r="519" spans="1:6" x14ac:dyDescent="0.25">
      <c r="A519" t="s">
        <v>4786</v>
      </c>
      <c r="B519" t="s">
        <v>4787</v>
      </c>
      <c r="C519" t="s">
        <v>4492</v>
      </c>
      <c r="D519" t="s">
        <v>4493</v>
      </c>
      <c r="E519" t="s">
        <v>4494</v>
      </c>
      <c r="F519" t="s">
        <v>1575</v>
      </c>
    </row>
    <row r="520" spans="1:6" x14ac:dyDescent="0.25">
      <c r="A520" t="s">
        <v>5373</v>
      </c>
      <c r="B520" t="s">
        <v>5374</v>
      </c>
      <c r="C520" t="s">
        <v>4492</v>
      </c>
      <c r="D520" t="s">
        <v>4493</v>
      </c>
      <c r="E520" t="s">
        <v>4494</v>
      </c>
      <c r="F520" t="s">
        <v>1575</v>
      </c>
    </row>
    <row r="521" spans="1:6" x14ac:dyDescent="0.25">
      <c r="A521" t="s">
        <v>5720</v>
      </c>
      <c r="B521" t="s">
        <v>5721</v>
      </c>
      <c r="C521" t="s">
        <v>4492</v>
      </c>
      <c r="D521" t="s">
        <v>4493</v>
      </c>
      <c r="E521" t="s">
        <v>4494</v>
      </c>
      <c r="F521" t="s">
        <v>1575</v>
      </c>
    </row>
    <row r="522" spans="1:6" x14ac:dyDescent="0.25">
      <c r="A522" t="s">
        <v>4952</v>
      </c>
      <c r="B522" t="s">
        <v>4953</v>
      </c>
      <c r="C522" t="s">
        <v>4492</v>
      </c>
      <c r="D522" t="s">
        <v>4493</v>
      </c>
      <c r="E522" t="s">
        <v>4494</v>
      </c>
      <c r="F522" t="s">
        <v>1575</v>
      </c>
    </row>
    <row r="523" spans="1:6" x14ac:dyDescent="0.25">
      <c r="A523" t="s">
        <v>5123</v>
      </c>
      <c r="B523" t="s">
        <v>5124</v>
      </c>
      <c r="C523" t="s">
        <v>4492</v>
      </c>
      <c r="D523" t="s">
        <v>4493</v>
      </c>
      <c r="E523" t="s">
        <v>4494</v>
      </c>
      <c r="F523" t="s">
        <v>1575</v>
      </c>
    </row>
    <row r="524" spans="1:6" x14ac:dyDescent="0.25">
      <c r="A524" t="s">
        <v>5921</v>
      </c>
      <c r="B524" t="s">
        <v>5922</v>
      </c>
      <c r="C524" t="s">
        <v>4492</v>
      </c>
      <c r="D524" t="s">
        <v>4493</v>
      </c>
      <c r="E524" t="s">
        <v>4494</v>
      </c>
      <c r="F524" t="s">
        <v>1575</v>
      </c>
    </row>
    <row r="525" spans="1:6" x14ac:dyDescent="0.25">
      <c r="A525" t="s">
        <v>5330</v>
      </c>
      <c r="B525" t="s">
        <v>5331</v>
      </c>
      <c r="C525" t="s">
        <v>4492</v>
      </c>
      <c r="D525" t="s">
        <v>4493</v>
      </c>
      <c r="E525" t="s">
        <v>4494</v>
      </c>
      <c r="F525" t="s">
        <v>1575</v>
      </c>
    </row>
    <row r="526" spans="1:6" x14ac:dyDescent="0.25">
      <c r="A526" t="s">
        <v>6030</v>
      </c>
      <c r="B526" t="s">
        <v>6031</v>
      </c>
      <c r="C526" t="s">
        <v>4492</v>
      </c>
      <c r="D526" t="s">
        <v>4493</v>
      </c>
      <c r="E526" t="s">
        <v>4494</v>
      </c>
      <c r="F526" t="s">
        <v>1575</v>
      </c>
    </row>
    <row r="527" spans="1:6" x14ac:dyDescent="0.25">
      <c r="A527" t="s">
        <v>5791</v>
      </c>
      <c r="B527" t="s">
        <v>5792</v>
      </c>
      <c r="C527" t="s">
        <v>4492</v>
      </c>
      <c r="D527" t="s">
        <v>4493</v>
      </c>
      <c r="E527" t="s">
        <v>4494</v>
      </c>
      <c r="F527" t="s">
        <v>1575</v>
      </c>
    </row>
    <row r="528" spans="1:6" x14ac:dyDescent="0.25">
      <c r="A528" t="s">
        <v>6393</v>
      </c>
      <c r="B528" t="s">
        <v>6394</v>
      </c>
      <c r="C528" t="s">
        <v>4492</v>
      </c>
      <c r="D528" t="s">
        <v>4493</v>
      </c>
      <c r="E528" t="s">
        <v>4494</v>
      </c>
      <c r="F528" t="s">
        <v>1575</v>
      </c>
    </row>
    <row r="529" spans="1:6" x14ac:dyDescent="0.25">
      <c r="A529" t="s">
        <v>5513</v>
      </c>
      <c r="B529" t="s">
        <v>5514</v>
      </c>
      <c r="C529" t="s">
        <v>4492</v>
      </c>
      <c r="D529" t="s">
        <v>4493</v>
      </c>
      <c r="E529" t="s">
        <v>4494</v>
      </c>
      <c r="F529" t="s">
        <v>1575</v>
      </c>
    </row>
    <row r="530" spans="1:6" x14ac:dyDescent="0.25">
      <c r="A530" t="s">
        <v>6002</v>
      </c>
      <c r="B530" t="s">
        <v>6003</v>
      </c>
      <c r="C530" t="s">
        <v>4492</v>
      </c>
      <c r="D530" t="s">
        <v>4493</v>
      </c>
      <c r="E530" t="s">
        <v>4494</v>
      </c>
      <c r="F530" t="s">
        <v>1575</v>
      </c>
    </row>
    <row r="531" spans="1:6" x14ac:dyDescent="0.25">
      <c r="A531" t="s">
        <v>5682</v>
      </c>
      <c r="B531" t="s">
        <v>5683</v>
      </c>
      <c r="C531" t="s">
        <v>4492</v>
      </c>
      <c r="D531" t="s">
        <v>4493</v>
      </c>
      <c r="E531" t="s">
        <v>4494</v>
      </c>
      <c r="F531" t="s">
        <v>1575</v>
      </c>
    </row>
    <row r="532" spans="1:6" x14ac:dyDescent="0.25">
      <c r="A532" t="s">
        <v>5613</v>
      </c>
      <c r="B532" t="s">
        <v>5614</v>
      </c>
      <c r="C532" t="s">
        <v>4492</v>
      </c>
      <c r="D532" t="s">
        <v>4493</v>
      </c>
      <c r="E532" t="s">
        <v>4494</v>
      </c>
      <c r="F532" t="s">
        <v>1575</v>
      </c>
    </row>
    <row r="533" spans="1:6" x14ac:dyDescent="0.25">
      <c r="A533" t="s">
        <v>6534</v>
      </c>
      <c r="B533" t="s">
        <v>6535</v>
      </c>
      <c r="C533" t="s">
        <v>4492</v>
      </c>
      <c r="D533" t="s">
        <v>4493</v>
      </c>
      <c r="E533" t="s">
        <v>4494</v>
      </c>
      <c r="F533" t="s">
        <v>1575</v>
      </c>
    </row>
    <row r="534" spans="1:6" x14ac:dyDescent="0.25">
      <c r="A534" t="s">
        <v>4529</v>
      </c>
      <c r="B534" t="s">
        <v>4530</v>
      </c>
      <c r="C534" t="s">
        <v>4492</v>
      </c>
      <c r="D534" t="s">
        <v>4493</v>
      </c>
      <c r="E534" t="s">
        <v>4494</v>
      </c>
      <c r="F534" t="s">
        <v>1575</v>
      </c>
    </row>
    <row r="535" spans="1:6" x14ac:dyDescent="0.25">
      <c r="A535" t="s">
        <v>6076</v>
      </c>
      <c r="B535" t="s">
        <v>6077</v>
      </c>
      <c r="C535" t="s">
        <v>4492</v>
      </c>
      <c r="D535" t="s">
        <v>4493</v>
      </c>
      <c r="E535" t="s">
        <v>4494</v>
      </c>
      <c r="F535" t="s">
        <v>1575</v>
      </c>
    </row>
    <row r="536" spans="1:6" x14ac:dyDescent="0.25">
      <c r="A536" t="s">
        <v>5056</v>
      </c>
      <c r="B536" t="s">
        <v>5057</v>
      </c>
      <c r="C536" t="s">
        <v>4492</v>
      </c>
      <c r="D536" t="s">
        <v>4493</v>
      </c>
      <c r="E536" t="s">
        <v>4494</v>
      </c>
      <c r="F536" t="s">
        <v>1575</v>
      </c>
    </row>
    <row r="537" spans="1:6" x14ac:dyDescent="0.25">
      <c r="A537" t="s">
        <v>6074</v>
      </c>
      <c r="B537" t="s">
        <v>6075</v>
      </c>
      <c r="C537" t="s">
        <v>4492</v>
      </c>
      <c r="D537" t="s">
        <v>4493</v>
      </c>
      <c r="E537" t="s">
        <v>4494</v>
      </c>
      <c r="F537" t="s">
        <v>1575</v>
      </c>
    </row>
    <row r="538" spans="1:6" x14ac:dyDescent="0.25">
      <c r="A538" t="s">
        <v>6457</v>
      </c>
      <c r="B538" t="s">
        <v>6458</v>
      </c>
      <c r="C538" t="s">
        <v>6459</v>
      </c>
      <c r="D538" t="s">
        <v>6460</v>
      </c>
      <c r="E538">
        <v>682893377</v>
      </c>
      <c r="F538" t="s">
        <v>7257</v>
      </c>
    </row>
    <row r="539" spans="1:6" x14ac:dyDescent="0.25">
      <c r="A539" t="s">
        <v>6505</v>
      </c>
      <c r="B539" t="s">
        <v>6506</v>
      </c>
      <c r="C539" t="s">
        <v>6507</v>
      </c>
      <c r="D539" t="s">
        <v>4687</v>
      </c>
      <c r="E539">
        <v>618790056</v>
      </c>
    </row>
    <row r="540" spans="1:6" x14ac:dyDescent="0.25">
      <c r="A540" t="s">
        <v>4895</v>
      </c>
      <c r="B540" t="s">
        <v>4896</v>
      </c>
      <c r="C540" t="s">
        <v>4492</v>
      </c>
      <c r="D540" t="s">
        <v>4493</v>
      </c>
      <c r="E540" t="s">
        <v>4494</v>
      </c>
      <c r="F540" t="s">
        <v>1575</v>
      </c>
    </row>
    <row r="541" spans="1:6" x14ac:dyDescent="0.25">
      <c r="A541" t="s">
        <v>5493</v>
      </c>
      <c r="B541" t="s">
        <v>5494</v>
      </c>
      <c r="C541" t="s">
        <v>2136</v>
      </c>
      <c r="D541" t="s">
        <v>4591</v>
      </c>
      <c r="E541">
        <v>683705001</v>
      </c>
      <c r="F541" t="s">
        <v>6688</v>
      </c>
    </row>
    <row r="542" spans="1:6" x14ac:dyDescent="0.25">
      <c r="A542" t="s">
        <v>5527</v>
      </c>
      <c r="B542" t="s">
        <v>5528</v>
      </c>
      <c r="C542" t="s">
        <v>4492</v>
      </c>
      <c r="D542" t="s">
        <v>4493</v>
      </c>
      <c r="E542" t="s">
        <v>4494</v>
      </c>
      <c r="F542" t="s">
        <v>1575</v>
      </c>
    </row>
    <row r="543" spans="1:6" x14ac:dyDescent="0.25">
      <c r="A543" t="s">
        <v>5851</v>
      </c>
      <c r="B543" t="s">
        <v>5852</v>
      </c>
      <c r="C543" t="s">
        <v>4492</v>
      </c>
      <c r="D543" t="s">
        <v>4493</v>
      </c>
      <c r="E543" t="s">
        <v>4494</v>
      </c>
      <c r="F543" t="s">
        <v>1575</v>
      </c>
    </row>
    <row r="544" spans="1:6" x14ac:dyDescent="0.25">
      <c r="A544" t="s">
        <v>5919</v>
      </c>
      <c r="B544" t="s">
        <v>5920</v>
      </c>
      <c r="C544" t="s">
        <v>4492</v>
      </c>
      <c r="D544" t="s">
        <v>4493</v>
      </c>
      <c r="E544" t="s">
        <v>4494</v>
      </c>
      <c r="F544" t="s">
        <v>1575</v>
      </c>
    </row>
    <row r="545" spans="1:6" x14ac:dyDescent="0.25">
      <c r="A545" t="s">
        <v>6536</v>
      </c>
      <c r="B545" t="s">
        <v>6537</v>
      </c>
      <c r="C545" t="s">
        <v>4492</v>
      </c>
      <c r="D545" t="s">
        <v>4493</v>
      </c>
      <c r="E545" t="s">
        <v>4494</v>
      </c>
      <c r="F545" t="s">
        <v>1575</v>
      </c>
    </row>
    <row r="546" spans="1:6" x14ac:dyDescent="0.25">
      <c r="A546" t="s">
        <v>6188</v>
      </c>
      <c r="B546" t="s">
        <v>6189</v>
      </c>
      <c r="C546" t="s">
        <v>4492</v>
      </c>
      <c r="D546" t="s">
        <v>4493</v>
      </c>
      <c r="E546" t="s">
        <v>4494</v>
      </c>
      <c r="F546" t="s">
        <v>1575</v>
      </c>
    </row>
    <row r="547" spans="1:6" x14ac:dyDescent="0.25">
      <c r="A547" t="s">
        <v>6272</v>
      </c>
      <c r="B547" t="s">
        <v>6273</v>
      </c>
      <c r="C547" t="s">
        <v>4492</v>
      </c>
      <c r="D547" t="s">
        <v>4493</v>
      </c>
      <c r="E547" t="s">
        <v>4494</v>
      </c>
      <c r="F547" t="s">
        <v>1575</v>
      </c>
    </row>
    <row r="548" spans="1:6" x14ac:dyDescent="0.25">
      <c r="A548" t="s">
        <v>5471</v>
      </c>
      <c r="B548" t="s">
        <v>5472</v>
      </c>
      <c r="C548" t="s">
        <v>4492</v>
      </c>
      <c r="D548" t="s">
        <v>4493</v>
      </c>
      <c r="E548" t="s">
        <v>4494</v>
      </c>
      <c r="F548" t="s">
        <v>1575</v>
      </c>
    </row>
    <row r="549" spans="1:6" x14ac:dyDescent="0.25">
      <c r="A549" t="s">
        <v>5194</v>
      </c>
      <c r="B549" t="s">
        <v>5195</v>
      </c>
      <c r="C549" t="s">
        <v>4492</v>
      </c>
      <c r="D549" t="s">
        <v>4493</v>
      </c>
      <c r="E549" t="s">
        <v>4494</v>
      </c>
      <c r="F549" t="s">
        <v>1575</v>
      </c>
    </row>
    <row r="550" spans="1:6" x14ac:dyDescent="0.25">
      <c r="A550" t="s">
        <v>6322</v>
      </c>
      <c r="B550" t="s">
        <v>6323</v>
      </c>
      <c r="C550" t="s">
        <v>4492</v>
      </c>
      <c r="D550" t="s">
        <v>4493</v>
      </c>
      <c r="E550" t="s">
        <v>4494</v>
      </c>
      <c r="F550" t="s">
        <v>1575</v>
      </c>
    </row>
    <row r="551" spans="1:6" x14ac:dyDescent="0.25">
      <c r="A551" t="s">
        <v>5849</v>
      </c>
      <c r="B551" t="s">
        <v>5850</v>
      </c>
      <c r="C551" s="131" t="s">
        <v>4160</v>
      </c>
      <c r="D551"/>
      <c r="E551"/>
      <c r="F551" t="s">
        <v>7359</v>
      </c>
    </row>
    <row r="552" spans="1:6" x14ac:dyDescent="0.25">
      <c r="A552" t="s">
        <v>5403</v>
      </c>
      <c r="B552" t="s">
        <v>5404</v>
      </c>
      <c r="C552" t="s">
        <v>1860</v>
      </c>
      <c r="D552" t="s">
        <v>4622</v>
      </c>
      <c r="E552">
        <v>608095586</v>
      </c>
      <c r="F552" t="s">
        <v>6763</v>
      </c>
    </row>
    <row r="553" spans="1:6" x14ac:dyDescent="0.25">
      <c r="A553" t="s">
        <v>5001</v>
      </c>
      <c r="B553" t="s">
        <v>5002</v>
      </c>
      <c r="C553" t="s">
        <v>4492</v>
      </c>
      <c r="D553" t="s">
        <v>4493</v>
      </c>
      <c r="E553" t="s">
        <v>4494</v>
      </c>
      <c r="F553" t="s">
        <v>1575</v>
      </c>
    </row>
    <row r="554" spans="1:6" x14ac:dyDescent="0.25">
      <c r="A554" t="s">
        <v>5346</v>
      </c>
      <c r="B554" t="s">
        <v>5347</v>
      </c>
      <c r="C554" t="s">
        <v>4492</v>
      </c>
      <c r="D554" t="s">
        <v>4493</v>
      </c>
      <c r="E554" t="s">
        <v>4494</v>
      </c>
      <c r="F554" t="s">
        <v>1575</v>
      </c>
    </row>
    <row r="555" spans="1:6" x14ac:dyDescent="0.25">
      <c r="A555" t="s">
        <v>4827</v>
      </c>
      <c r="B555" t="s">
        <v>4828</v>
      </c>
      <c r="C555" t="s">
        <v>4492</v>
      </c>
      <c r="D555" t="s">
        <v>4493</v>
      </c>
      <c r="E555" t="s">
        <v>4494</v>
      </c>
      <c r="F555" t="s">
        <v>1575</v>
      </c>
    </row>
    <row r="556" spans="1:6" x14ac:dyDescent="0.25">
      <c r="A556" t="s">
        <v>5044</v>
      </c>
      <c r="B556" t="s">
        <v>5045</v>
      </c>
      <c r="C556" t="s">
        <v>4492</v>
      </c>
      <c r="D556" t="s">
        <v>4493</v>
      </c>
      <c r="E556" t="s">
        <v>4494</v>
      </c>
      <c r="F556" t="s">
        <v>1575</v>
      </c>
    </row>
    <row r="557" spans="1:6" x14ac:dyDescent="0.25">
      <c r="A557" t="s">
        <v>4875</v>
      </c>
      <c r="B557" t="s">
        <v>4876</v>
      </c>
      <c r="C557" t="s">
        <v>4492</v>
      </c>
      <c r="D557" t="s">
        <v>4493</v>
      </c>
      <c r="E557" t="s">
        <v>4494</v>
      </c>
      <c r="F557" t="s">
        <v>1575</v>
      </c>
    </row>
    <row r="558" spans="1:6" x14ac:dyDescent="0.25">
      <c r="A558" t="s">
        <v>4705</v>
      </c>
      <c r="B558" t="s">
        <v>4706</v>
      </c>
      <c r="C558" t="s">
        <v>4492</v>
      </c>
      <c r="D558" t="s">
        <v>4493</v>
      </c>
      <c r="E558" t="s">
        <v>4494</v>
      </c>
      <c r="F558" t="s">
        <v>1575</v>
      </c>
    </row>
    <row r="559" spans="1:6" x14ac:dyDescent="0.25">
      <c r="A559" t="s">
        <v>5821</v>
      </c>
      <c r="B559" t="s">
        <v>5822</v>
      </c>
      <c r="C559" t="s">
        <v>4492</v>
      </c>
      <c r="D559" t="s">
        <v>4493</v>
      </c>
      <c r="E559" t="s">
        <v>4494</v>
      </c>
      <c r="F559" t="s">
        <v>1575</v>
      </c>
    </row>
    <row r="560" spans="1:6" x14ac:dyDescent="0.25">
      <c r="A560" t="s">
        <v>5611</v>
      </c>
      <c r="B560" t="s">
        <v>5612</v>
      </c>
      <c r="C560" t="s">
        <v>4492</v>
      </c>
      <c r="D560" t="s">
        <v>4493</v>
      </c>
      <c r="E560" t="s">
        <v>4494</v>
      </c>
      <c r="F560" t="s">
        <v>1575</v>
      </c>
    </row>
    <row r="561" spans="1:6" x14ac:dyDescent="0.25">
      <c r="A561" t="s">
        <v>5449</v>
      </c>
      <c r="B561" t="s">
        <v>5450</v>
      </c>
      <c r="C561" t="s">
        <v>4492</v>
      </c>
      <c r="D561" t="s">
        <v>4493</v>
      </c>
      <c r="E561" t="s">
        <v>4494</v>
      </c>
      <c r="F561" t="s">
        <v>1575</v>
      </c>
    </row>
    <row r="562" spans="1:6" x14ac:dyDescent="0.25">
      <c r="A562" t="s">
        <v>4641</v>
      </c>
      <c r="B562" t="s">
        <v>4642</v>
      </c>
      <c r="C562" t="s">
        <v>4492</v>
      </c>
      <c r="D562" t="s">
        <v>4493</v>
      </c>
      <c r="E562" t="s">
        <v>4494</v>
      </c>
      <c r="F562" t="s">
        <v>1575</v>
      </c>
    </row>
    <row r="563" spans="1:6" x14ac:dyDescent="0.25">
      <c r="A563" t="s">
        <v>4819</v>
      </c>
      <c r="B563" t="s">
        <v>4820</v>
      </c>
      <c r="C563" t="s">
        <v>4813</v>
      </c>
      <c r="D563" t="s">
        <v>4814</v>
      </c>
      <c r="E563">
        <v>608677497</v>
      </c>
      <c r="F563" t="s">
        <v>6734</v>
      </c>
    </row>
    <row r="564" spans="1:6" x14ac:dyDescent="0.25">
      <c r="A564" t="s">
        <v>4560</v>
      </c>
      <c r="B564" t="s">
        <v>4561</v>
      </c>
      <c r="C564" t="s">
        <v>4492</v>
      </c>
      <c r="D564" t="s">
        <v>4493</v>
      </c>
      <c r="E564" t="s">
        <v>4494</v>
      </c>
      <c r="F564" t="s">
        <v>1575</v>
      </c>
    </row>
    <row r="565" spans="1:6" x14ac:dyDescent="0.25">
      <c r="A565" t="s">
        <v>4859</v>
      </c>
      <c r="B565" t="s">
        <v>4860</v>
      </c>
      <c r="C565" t="s">
        <v>4492</v>
      </c>
      <c r="D565" t="s">
        <v>4493</v>
      </c>
      <c r="E565" t="s">
        <v>4494</v>
      </c>
      <c r="F565" t="s">
        <v>1575</v>
      </c>
    </row>
    <row r="566" spans="1:6" x14ac:dyDescent="0.25">
      <c r="A566" t="s">
        <v>4645</v>
      </c>
      <c r="B566" t="s">
        <v>4646</v>
      </c>
      <c r="C566" t="s">
        <v>4492</v>
      </c>
      <c r="D566" t="s">
        <v>4493</v>
      </c>
      <c r="E566" t="s">
        <v>4494</v>
      </c>
      <c r="F566" t="s">
        <v>1575</v>
      </c>
    </row>
    <row r="567" spans="1:6" x14ac:dyDescent="0.25">
      <c r="A567" t="s">
        <v>5354</v>
      </c>
      <c r="B567" t="s">
        <v>5355</v>
      </c>
      <c r="C567" t="s">
        <v>4492</v>
      </c>
      <c r="D567" t="s">
        <v>4493</v>
      </c>
      <c r="E567" t="s">
        <v>4494</v>
      </c>
      <c r="F567" t="s">
        <v>1575</v>
      </c>
    </row>
    <row r="568" spans="1:6" x14ac:dyDescent="0.25">
      <c r="A568" t="s">
        <v>5729</v>
      </c>
      <c r="B568" t="s">
        <v>5730</v>
      </c>
      <c r="C568" t="s">
        <v>4492</v>
      </c>
      <c r="D568" t="s">
        <v>4493</v>
      </c>
      <c r="E568" t="s">
        <v>4494</v>
      </c>
      <c r="F568" t="s">
        <v>1575</v>
      </c>
    </row>
    <row r="569" spans="1:6" x14ac:dyDescent="0.25">
      <c r="A569" t="s">
        <v>5722</v>
      </c>
      <c r="B569" t="s">
        <v>5723</v>
      </c>
      <c r="C569" t="s">
        <v>4492</v>
      </c>
      <c r="D569" t="s">
        <v>4493</v>
      </c>
      <c r="E569" t="s">
        <v>4494</v>
      </c>
      <c r="F569" t="s">
        <v>1575</v>
      </c>
    </row>
    <row r="570" spans="1:6" x14ac:dyDescent="0.25">
      <c r="A570" t="s">
        <v>6522</v>
      </c>
      <c r="B570" t="s">
        <v>6523</v>
      </c>
      <c r="C570" t="s">
        <v>4492</v>
      </c>
      <c r="D570" t="s">
        <v>4493</v>
      </c>
      <c r="E570" t="s">
        <v>4494</v>
      </c>
      <c r="F570" t="s">
        <v>1575</v>
      </c>
    </row>
    <row r="571" spans="1:6" x14ac:dyDescent="0.25">
      <c r="A571" t="s">
        <v>5781</v>
      </c>
      <c r="B571" t="s">
        <v>5782</v>
      </c>
      <c r="C571" t="s">
        <v>1695</v>
      </c>
      <c r="D571" t="s">
        <v>4687</v>
      </c>
      <c r="E571">
        <v>618790056</v>
      </c>
      <c r="F571" t="s">
        <v>6787</v>
      </c>
    </row>
    <row r="572" spans="1:6" x14ac:dyDescent="0.25">
      <c r="A572" t="s">
        <v>5111</v>
      </c>
      <c r="B572" t="s">
        <v>5112</v>
      </c>
      <c r="C572" t="s">
        <v>1695</v>
      </c>
      <c r="D572" t="s">
        <v>4687</v>
      </c>
      <c r="E572">
        <v>618790056</v>
      </c>
      <c r="F572" t="s">
        <v>6787</v>
      </c>
    </row>
    <row r="573" spans="1:6" x14ac:dyDescent="0.25">
      <c r="A573" t="s">
        <v>5477</v>
      </c>
      <c r="B573" t="s">
        <v>5478</v>
      </c>
      <c r="C573" t="s">
        <v>4492</v>
      </c>
      <c r="D573" t="s">
        <v>4493</v>
      </c>
      <c r="E573" t="s">
        <v>4494</v>
      </c>
      <c r="F573" t="s">
        <v>1575</v>
      </c>
    </row>
    <row r="574" spans="1:6" x14ac:dyDescent="0.25">
      <c r="A574" t="s">
        <v>5523</v>
      </c>
      <c r="B574" t="s">
        <v>5524</v>
      </c>
      <c r="C574" t="s">
        <v>4492</v>
      </c>
      <c r="D574" t="s">
        <v>4493</v>
      </c>
      <c r="E574" t="s">
        <v>4494</v>
      </c>
      <c r="F574" t="s">
        <v>1575</v>
      </c>
    </row>
    <row r="575" spans="1:6" x14ac:dyDescent="0.25">
      <c r="A575" t="s">
        <v>4971</v>
      </c>
      <c r="B575" t="s">
        <v>4972</v>
      </c>
      <c r="C575" t="s">
        <v>4492</v>
      </c>
      <c r="D575" t="s">
        <v>4493</v>
      </c>
      <c r="E575" t="s">
        <v>4494</v>
      </c>
      <c r="F575" t="s">
        <v>1575</v>
      </c>
    </row>
    <row r="576" spans="1:6" x14ac:dyDescent="0.25">
      <c r="A576" t="s">
        <v>4804</v>
      </c>
      <c r="B576" t="s">
        <v>4805</v>
      </c>
      <c r="C576" t="s">
        <v>4492</v>
      </c>
      <c r="D576" t="s">
        <v>4493</v>
      </c>
      <c r="E576" t="s">
        <v>4494</v>
      </c>
      <c r="F576" t="s">
        <v>1575</v>
      </c>
    </row>
    <row r="577" spans="1:6" x14ac:dyDescent="0.25">
      <c r="A577" t="s">
        <v>4765</v>
      </c>
      <c r="B577" t="s">
        <v>4766</v>
      </c>
      <c r="C577" t="s">
        <v>4492</v>
      </c>
      <c r="D577" t="s">
        <v>4493</v>
      </c>
      <c r="E577" t="s">
        <v>4494</v>
      </c>
      <c r="F577" t="s">
        <v>1575</v>
      </c>
    </row>
    <row r="578" spans="1:6" x14ac:dyDescent="0.25">
      <c r="A578" t="s">
        <v>4973</v>
      </c>
      <c r="B578" t="s">
        <v>4974</v>
      </c>
      <c r="C578" t="s">
        <v>4492</v>
      </c>
      <c r="D578" t="s">
        <v>4493</v>
      </c>
      <c r="E578" t="s">
        <v>4494</v>
      </c>
      <c r="F578" t="s">
        <v>1575</v>
      </c>
    </row>
    <row r="579" spans="1:6" x14ac:dyDescent="0.25">
      <c r="A579" t="s">
        <v>4724</v>
      </c>
      <c r="B579" t="s">
        <v>4725</v>
      </c>
      <c r="C579" t="s">
        <v>4492</v>
      </c>
      <c r="D579" t="s">
        <v>4493</v>
      </c>
      <c r="E579" t="s">
        <v>4494</v>
      </c>
      <c r="F579" t="s">
        <v>1575</v>
      </c>
    </row>
    <row r="580" spans="1:6" x14ac:dyDescent="0.25">
      <c r="A580" t="s">
        <v>4614</v>
      </c>
      <c r="B580" t="s">
        <v>4615</v>
      </c>
      <c r="C580" t="s">
        <v>4492</v>
      </c>
      <c r="D580" t="s">
        <v>4493</v>
      </c>
      <c r="E580" t="s">
        <v>4494</v>
      </c>
      <c r="F580" t="s">
        <v>1575</v>
      </c>
    </row>
    <row r="581" spans="1:6" x14ac:dyDescent="0.25">
      <c r="A581" t="s">
        <v>6383</v>
      </c>
      <c r="B581" t="s">
        <v>6384</v>
      </c>
      <c r="C581" t="s">
        <v>4492</v>
      </c>
      <c r="D581" t="s">
        <v>4493</v>
      </c>
      <c r="E581" t="s">
        <v>4494</v>
      </c>
      <c r="F581" t="s">
        <v>1575</v>
      </c>
    </row>
    <row r="582" spans="1:6" x14ac:dyDescent="0.25">
      <c r="A582" t="s">
        <v>6264</v>
      </c>
      <c r="B582" t="s">
        <v>6265</v>
      </c>
      <c r="C582" t="s">
        <v>4492</v>
      </c>
      <c r="D582" t="s">
        <v>4493</v>
      </c>
      <c r="E582" t="s">
        <v>4494</v>
      </c>
      <c r="F582" t="s">
        <v>1575</v>
      </c>
    </row>
    <row r="583" spans="1:6" x14ac:dyDescent="0.25">
      <c r="A583" t="s">
        <v>6316</v>
      </c>
      <c r="B583" t="s">
        <v>6317</v>
      </c>
      <c r="C583" t="s">
        <v>4492</v>
      </c>
      <c r="D583" t="s">
        <v>4493</v>
      </c>
      <c r="E583" t="s">
        <v>4494</v>
      </c>
      <c r="F583" t="s">
        <v>1575</v>
      </c>
    </row>
    <row r="584" spans="1:6" x14ac:dyDescent="0.25">
      <c r="A584" t="s">
        <v>6318</v>
      </c>
      <c r="B584" t="s">
        <v>6319</v>
      </c>
      <c r="C584" t="s">
        <v>4492</v>
      </c>
      <c r="D584" t="s">
        <v>4493</v>
      </c>
      <c r="E584" t="s">
        <v>4494</v>
      </c>
      <c r="F584" t="s">
        <v>1575</v>
      </c>
    </row>
    <row r="585" spans="1:6" x14ac:dyDescent="0.25">
      <c r="A585" t="s">
        <v>6412</v>
      </c>
      <c r="B585" t="s">
        <v>6413</v>
      </c>
      <c r="C585" t="s">
        <v>4492</v>
      </c>
      <c r="D585" t="s">
        <v>4493</v>
      </c>
      <c r="E585" t="s">
        <v>4494</v>
      </c>
      <c r="F585" t="s">
        <v>1575</v>
      </c>
    </row>
    <row r="586" spans="1:6" x14ac:dyDescent="0.25">
      <c r="A586" t="s">
        <v>6306</v>
      </c>
      <c r="B586" t="s">
        <v>6307</v>
      </c>
      <c r="C586" t="s">
        <v>4492</v>
      </c>
      <c r="D586" t="s">
        <v>4493</v>
      </c>
      <c r="E586" t="s">
        <v>4494</v>
      </c>
      <c r="F586" t="s">
        <v>1575</v>
      </c>
    </row>
    <row r="587" spans="1:6" x14ac:dyDescent="0.25">
      <c r="A587" t="s">
        <v>5986</v>
      </c>
      <c r="B587" t="s">
        <v>5987</v>
      </c>
      <c r="C587" t="s">
        <v>4492</v>
      </c>
      <c r="D587" t="s">
        <v>4493</v>
      </c>
      <c r="E587" t="s">
        <v>4494</v>
      </c>
      <c r="F587" t="s">
        <v>1575</v>
      </c>
    </row>
    <row r="588" spans="1:6" x14ac:dyDescent="0.25">
      <c r="A588" t="s">
        <v>5769</v>
      </c>
      <c r="B588" t="s">
        <v>5770</v>
      </c>
      <c r="C588" t="s">
        <v>4492</v>
      </c>
      <c r="D588" t="s">
        <v>4493</v>
      </c>
      <c r="E588" t="s">
        <v>4494</v>
      </c>
      <c r="F588" t="s">
        <v>1575</v>
      </c>
    </row>
    <row r="589" spans="1:6" x14ac:dyDescent="0.25">
      <c r="A589" t="s">
        <v>5391</v>
      </c>
      <c r="B589" t="s">
        <v>5392</v>
      </c>
      <c r="C589" t="s">
        <v>4492</v>
      </c>
      <c r="D589" t="s">
        <v>4493</v>
      </c>
      <c r="E589" t="s">
        <v>4494</v>
      </c>
      <c r="F589" t="s">
        <v>1575</v>
      </c>
    </row>
    <row r="590" spans="1:6" x14ac:dyDescent="0.25">
      <c r="A590" t="s">
        <v>5399</v>
      </c>
      <c r="B590" t="s">
        <v>5400</v>
      </c>
      <c r="C590" t="s">
        <v>4492</v>
      </c>
      <c r="D590" t="s">
        <v>4493</v>
      </c>
      <c r="E590" t="s">
        <v>4494</v>
      </c>
      <c r="F590" t="s">
        <v>1575</v>
      </c>
    </row>
    <row r="591" spans="1:6" x14ac:dyDescent="0.25">
      <c r="A591" t="s">
        <v>5724</v>
      </c>
      <c r="B591" t="s">
        <v>5725</v>
      </c>
      <c r="C591" t="s">
        <v>4492</v>
      </c>
      <c r="D591" t="s">
        <v>4493</v>
      </c>
      <c r="E591" t="s">
        <v>4494</v>
      </c>
      <c r="F591" t="s">
        <v>1575</v>
      </c>
    </row>
    <row r="592" spans="1:6" x14ac:dyDescent="0.25">
      <c r="A592" t="s">
        <v>6056</v>
      </c>
      <c r="B592" t="s">
        <v>6057</v>
      </c>
      <c r="C592" t="s">
        <v>4492</v>
      </c>
      <c r="D592" t="s">
        <v>4493</v>
      </c>
      <c r="E592" t="s">
        <v>4494</v>
      </c>
      <c r="F592" t="s">
        <v>1575</v>
      </c>
    </row>
    <row r="593" spans="1:6" x14ac:dyDescent="0.25">
      <c r="A593" t="s">
        <v>4751</v>
      </c>
      <c r="B593" t="s">
        <v>4752</v>
      </c>
      <c r="C593" t="s">
        <v>4492</v>
      </c>
      <c r="D593" t="s">
        <v>4493</v>
      </c>
      <c r="E593" t="s">
        <v>4494</v>
      </c>
      <c r="F593" t="s">
        <v>1575</v>
      </c>
    </row>
    <row r="594" spans="1:6" x14ac:dyDescent="0.25">
      <c r="A594" t="s">
        <v>5072</v>
      </c>
      <c r="B594" t="s">
        <v>5073</v>
      </c>
      <c r="C594" t="s">
        <v>4492</v>
      </c>
      <c r="D594" t="s">
        <v>4493</v>
      </c>
      <c r="E594" t="s">
        <v>4494</v>
      </c>
      <c r="F594" t="s">
        <v>1575</v>
      </c>
    </row>
    <row r="595" spans="1:6" x14ac:dyDescent="0.25">
      <c r="A595" t="s">
        <v>5040</v>
      </c>
      <c r="B595" t="s">
        <v>5041</v>
      </c>
      <c r="C595" t="s">
        <v>4492</v>
      </c>
      <c r="D595" t="s">
        <v>4493</v>
      </c>
      <c r="E595" t="s">
        <v>4494</v>
      </c>
      <c r="F595" t="s">
        <v>1575</v>
      </c>
    </row>
    <row r="596" spans="1:6" x14ac:dyDescent="0.25">
      <c r="A596" t="s">
        <v>4853</v>
      </c>
      <c r="B596" t="s">
        <v>4854</v>
      </c>
      <c r="C596" t="s">
        <v>4492</v>
      </c>
      <c r="D596" t="s">
        <v>4493</v>
      </c>
      <c r="E596" t="s">
        <v>4494</v>
      </c>
      <c r="F596" t="s">
        <v>1575</v>
      </c>
    </row>
    <row r="597" spans="1:6" x14ac:dyDescent="0.25">
      <c r="A597" t="s">
        <v>5771</v>
      </c>
      <c r="B597" t="s">
        <v>5772</v>
      </c>
      <c r="C597" t="s">
        <v>1735</v>
      </c>
      <c r="D597" t="s">
        <v>5364</v>
      </c>
      <c r="E597">
        <v>690606852</v>
      </c>
      <c r="F597" t="s">
        <v>6750</v>
      </c>
    </row>
    <row r="598" spans="1:6" x14ac:dyDescent="0.25">
      <c r="A598" t="s">
        <v>4574</v>
      </c>
      <c r="B598" t="s">
        <v>4575</v>
      </c>
      <c r="C598" t="s">
        <v>4492</v>
      </c>
      <c r="D598" t="s">
        <v>4493</v>
      </c>
      <c r="E598" t="s">
        <v>4494</v>
      </c>
      <c r="F598" t="s">
        <v>1575</v>
      </c>
    </row>
    <row r="599" spans="1:6" x14ac:dyDescent="0.25">
      <c r="A599" t="s">
        <v>5365</v>
      </c>
      <c r="B599" t="s">
        <v>5366</v>
      </c>
      <c r="C599" t="s">
        <v>4492</v>
      </c>
      <c r="D599" t="s">
        <v>4493</v>
      </c>
      <c r="E599" t="s">
        <v>4494</v>
      </c>
      <c r="F599" t="s">
        <v>1575</v>
      </c>
    </row>
    <row r="600" spans="1:6" x14ac:dyDescent="0.25">
      <c r="A600" t="s">
        <v>6422</v>
      </c>
      <c r="B600" t="s">
        <v>6423</v>
      </c>
      <c r="C600" t="s">
        <v>4492</v>
      </c>
      <c r="D600" t="s">
        <v>4493</v>
      </c>
      <c r="E600" t="s">
        <v>4494</v>
      </c>
      <c r="F600" t="s">
        <v>1575</v>
      </c>
    </row>
    <row r="601" spans="1:6" x14ac:dyDescent="0.25">
      <c r="A601" t="s">
        <v>4509</v>
      </c>
      <c r="B601" t="s">
        <v>4510</v>
      </c>
      <c r="C601" t="s">
        <v>4492</v>
      </c>
      <c r="D601" t="s">
        <v>4493</v>
      </c>
      <c r="E601" t="s">
        <v>4494</v>
      </c>
      <c r="F601" t="s">
        <v>1575</v>
      </c>
    </row>
    <row r="602" spans="1:6" x14ac:dyDescent="0.25">
      <c r="A602" t="s">
        <v>4741</v>
      </c>
      <c r="B602" t="s">
        <v>4742</v>
      </c>
      <c r="C602" t="s">
        <v>4492</v>
      </c>
      <c r="D602" t="s">
        <v>4493</v>
      </c>
      <c r="E602" t="s">
        <v>4494</v>
      </c>
      <c r="F602" t="s">
        <v>1575</v>
      </c>
    </row>
    <row r="603" spans="1:6" x14ac:dyDescent="0.25">
      <c r="A603" t="s">
        <v>5585</v>
      </c>
      <c r="B603" t="s">
        <v>5586</v>
      </c>
      <c r="C603" t="s">
        <v>4492</v>
      </c>
      <c r="D603" t="s">
        <v>4493</v>
      </c>
      <c r="E603" t="s">
        <v>4494</v>
      </c>
      <c r="F603" t="s">
        <v>1575</v>
      </c>
    </row>
    <row r="604" spans="1:6" x14ac:dyDescent="0.25">
      <c r="A604" t="s">
        <v>5557</v>
      </c>
      <c r="B604" t="s">
        <v>5558</v>
      </c>
      <c r="C604" t="s">
        <v>4492</v>
      </c>
      <c r="D604" t="s">
        <v>4493</v>
      </c>
      <c r="E604" t="s">
        <v>4494</v>
      </c>
      <c r="F604" t="s">
        <v>1575</v>
      </c>
    </row>
    <row r="605" spans="1:6" x14ac:dyDescent="0.25">
      <c r="A605" t="s">
        <v>4683</v>
      </c>
      <c r="B605" t="s">
        <v>4684</v>
      </c>
      <c r="C605" t="s">
        <v>4492</v>
      </c>
      <c r="D605" t="s">
        <v>4493</v>
      </c>
      <c r="E605" t="s">
        <v>4494</v>
      </c>
      <c r="F605" t="s">
        <v>1575</v>
      </c>
    </row>
    <row r="606" spans="1:6" x14ac:dyDescent="0.25">
      <c r="A606" t="s">
        <v>5397</v>
      </c>
      <c r="B606" t="s">
        <v>5398</v>
      </c>
      <c r="C606" t="s">
        <v>4492</v>
      </c>
      <c r="D606" t="s">
        <v>4493</v>
      </c>
      <c r="E606" t="s">
        <v>4494</v>
      </c>
      <c r="F606" t="s">
        <v>1575</v>
      </c>
    </row>
    <row r="607" spans="1:6" x14ac:dyDescent="0.25">
      <c r="A607" t="s">
        <v>6463</v>
      </c>
      <c r="B607" t="s">
        <v>6464</v>
      </c>
      <c r="C607" t="s">
        <v>4492</v>
      </c>
      <c r="D607" t="s">
        <v>4493</v>
      </c>
      <c r="E607" t="s">
        <v>4494</v>
      </c>
      <c r="F607" t="s">
        <v>1575</v>
      </c>
    </row>
    <row r="608" spans="1:6" x14ac:dyDescent="0.25">
      <c r="A608" t="s">
        <v>6471</v>
      </c>
      <c r="B608" t="s">
        <v>6472</v>
      </c>
      <c r="C608" t="s">
        <v>4492</v>
      </c>
      <c r="D608" t="s">
        <v>4493</v>
      </c>
      <c r="E608" t="s">
        <v>4494</v>
      </c>
      <c r="F608" t="s">
        <v>1575</v>
      </c>
    </row>
    <row r="609" spans="1:6" x14ac:dyDescent="0.25">
      <c r="A609" t="s">
        <v>6405</v>
      </c>
      <c r="B609" t="s">
        <v>6406</v>
      </c>
      <c r="C609" t="s">
        <v>4492</v>
      </c>
      <c r="D609" t="s">
        <v>4493</v>
      </c>
      <c r="E609" t="s">
        <v>4494</v>
      </c>
      <c r="F609" t="s">
        <v>1575</v>
      </c>
    </row>
    <row r="610" spans="1:6" x14ac:dyDescent="0.25">
      <c r="A610" t="s">
        <v>6399</v>
      </c>
      <c r="B610" t="s">
        <v>6400</v>
      </c>
      <c r="C610" t="s">
        <v>2545</v>
      </c>
      <c r="D610" t="s">
        <v>5230</v>
      </c>
      <c r="E610">
        <v>646396628</v>
      </c>
      <c r="F610" t="s">
        <v>6725</v>
      </c>
    </row>
    <row r="611" spans="1:6" x14ac:dyDescent="0.25">
      <c r="A611" t="s">
        <v>5923</v>
      </c>
      <c r="B611" t="s">
        <v>5924</v>
      </c>
      <c r="C611" t="s">
        <v>4492</v>
      </c>
      <c r="D611" t="s">
        <v>4493</v>
      </c>
      <c r="E611" t="s">
        <v>4494</v>
      </c>
      <c r="F611" t="s">
        <v>1575</v>
      </c>
    </row>
    <row r="612" spans="1:6" x14ac:dyDescent="0.25">
      <c r="A612" t="s">
        <v>5094</v>
      </c>
      <c r="B612" t="s">
        <v>5095</v>
      </c>
      <c r="C612" t="s">
        <v>4492</v>
      </c>
      <c r="D612" t="s">
        <v>4493</v>
      </c>
      <c r="E612" t="s">
        <v>4494</v>
      </c>
      <c r="F612" t="s">
        <v>1575</v>
      </c>
    </row>
    <row r="613" spans="1:6" x14ac:dyDescent="0.25">
      <c r="A613" t="s">
        <v>5694</v>
      </c>
      <c r="B613" t="s">
        <v>5695</v>
      </c>
      <c r="C613" t="s">
        <v>4583</v>
      </c>
      <c r="D613" t="s">
        <v>4584</v>
      </c>
      <c r="E613">
        <v>638836487</v>
      </c>
    </row>
    <row r="614" spans="1:6" x14ac:dyDescent="0.25">
      <c r="A614" t="s">
        <v>5034</v>
      </c>
      <c r="B614" t="s">
        <v>5035</v>
      </c>
      <c r="C614" t="s">
        <v>5036</v>
      </c>
      <c r="D614" t="s">
        <v>5037</v>
      </c>
      <c r="E614">
        <v>638836487</v>
      </c>
    </row>
    <row r="615" spans="1:6" x14ac:dyDescent="0.25">
      <c r="A615" t="s">
        <v>5801</v>
      </c>
      <c r="B615" t="s">
        <v>5802</v>
      </c>
      <c r="C615" t="s">
        <v>4492</v>
      </c>
      <c r="D615" t="s">
        <v>4493</v>
      </c>
      <c r="E615" t="s">
        <v>4494</v>
      </c>
      <c r="F615" t="s">
        <v>1575</v>
      </c>
    </row>
    <row r="616" spans="1:6" x14ac:dyDescent="0.25">
      <c r="A616" t="s">
        <v>5098</v>
      </c>
      <c r="B616" t="s">
        <v>5099</v>
      </c>
      <c r="C616" t="s">
        <v>4492</v>
      </c>
      <c r="D616" t="s">
        <v>4493</v>
      </c>
      <c r="E616" t="s">
        <v>4494</v>
      </c>
      <c r="F616" t="s">
        <v>1575</v>
      </c>
    </row>
    <row r="617" spans="1:6" x14ac:dyDescent="0.25">
      <c r="A617" t="s">
        <v>5861</v>
      </c>
      <c r="B617" t="s">
        <v>5862</v>
      </c>
      <c r="C617" t="s">
        <v>2826</v>
      </c>
      <c r="D617" t="s">
        <v>4781</v>
      </c>
      <c r="E617">
        <v>608160143</v>
      </c>
      <c r="F617" t="s">
        <v>6746</v>
      </c>
    </row>
    <row r="618" spans="1:6" x14ac:dyDescent="0.25">
      <c r="A618" t="s">
        <v>5943</v>
      </c>
      <c r="B618" t="s">
        <v>5944</v>
      </c>
      <c r="C618" t="s">
        <v>4492</v>
      </c>
      <c r="D618" t="s">
        <v>4493</v>
      </c>
      <c r="E618" t="s">
        <v>4494</v>
      </c>
      <c r="F618" t="s">
        <v>1575</v>
      </c>
    </row>
    <row r="619" spans="1:6" x14ac:dyDescent="0.25">
      <c r="A619" t="s">
        <v>6483</v>
      </c>
      <c r="B619" t="s">
        <v>6484</v>
      </c>
      <c r="C619" t="s">
        <v>4492</v>
      </c>
      <c r="D619" t="s">
        <v>4493</v>
      </c>
      <c r="E619" t="s">
        <v>4494</v>
      </c>
      <c r="F619" t="s">
        <v>1575</v>
      </c>
    </row>
    <row r="620" spans="1:6" x14ac:dyDescent="0.25">
      <c r="A620" t="s">
        <v>5499</v>
      </c>
      <c r="B620" t="s">
        <v>5500</v>
      </c>
      <c r="C620" t="s">
        <v>4492</v>
      </c>
      <c r="D620" t="s">
        <v>4493</v>
      </c>
      <c r="E620" t="s">
        <v>4494</v>
      </c>
      <c r="F620" t="s">
        <v>1575</v>
      </c>
    </row>
    <row r="621" spans="1:6" x14ac:dyDescent="0.25">
      <c r="A621" t="s">
        <v>5674</v>
      </c>
      <c r="B621" t="s">
        <v>5675</v>
      </c>
      <c r="C621" t="s">
        <v>4492</v>
      </c>
      <c r="D621" t="s">
        <v>4493</v>
      </c>
      <c r="E621" t="s">
        <v>4494</v>
      </c>
      <c r="F621" t="s">
        <v>1575</v>
      </c>
    </row>
    <row r="622" spans="1:6" x14ac:dyDescent="0.25">
      <c r="A622" t="s">
        <v>4802</v>
      </c>
      <c r="B622" t="s">
        <v>4803</v>
      </c>
      <c r="C622" t="s">
        <v>4492</v>
      </c>
      <c r="D622" t="s">
        <v>4493</v>
      </c>
      <c r="E622" t="s">
        <v>4494</v>
      </c>
      <c r="F622" t="s">
        <v>1575</v>
      </c>
    </row>
    <row r="623" spans="1:6" x14ac:dyDescent="0.25">
      <c r="A623" t="s">
        <v>4604</v>
      </c>
      <c r="B623" t="s">
        <v>4605</v>
      </c>
      <c r="C623" t="s">
        <v>4492</v>
      </c>
      <c r="D623" t="s">
        <v>4493</v>
      </c>
      <c r="E623" t="s">
        <v>4494</v>
      </c>
      <c r="F623" t="s">
        <v>1575</v>
      </c>
    </row>
    <row r="624" spans="1:6" x14ac:dyDescent="0.25">
      <c r="A624" t="s">
        <v>4753</v>
      </c>
      <c r="B624" t="s">
        <v>4754</v>
      </c>
      <c r="C624" t="s">
        <v>4492</v>
      </c>
      <c r="D624" t="s">
        <v>4493</v>
      </c>
      <c r="E624" t="s">
        <v>4494</v>
      </c>
      <c r="F624" t="s">
        <v>1575</v>
      </c>
    </row>
    <row r="625" spans="1:6" x14ac:dyDescent="0.25">
      <c r="A625" t="s">
        <v>4618</v>
      </c>
      <c r="B625" t="s">
        <v>4619</v>
      </c>
      <c r="C625" t="s">
        <v>4492</v>
      </c>
      <c r="D625" t="s">
        <v>4493</v>
      </c>
      <c r="E625" t="s">
        <v>4494</v>
      </c>
      <c r="F625" t="s">
        <v>1575</v>
      </c>
    </row>
    <row r="626" spans="1:6" x14ac:dyDescent="0.25">
      <c r="A626" t="s">
        <v>5787</v>
      </c>
      <c r="B626" t="s">
        <v>5788</v>
      </c>
      <c r="C626" t="s">
        <v>2240</v>
      </c>
      <c r="D626" t="s">
        <v>4559</v>
      </c>
      <c r="E626">
        <v>-608095586</v>
      </c>
      <c r="F626" t="s">
        <v>6715</v>
      </c>
    </row>
    <row r="627" spans="1:6" x14ac:dyDescent="0.25">
      <c r="A627" t="s">
        <v>5871</v>
      </c>
      <c r="B627" t="s">
        <v>5872</v>
      </c>
      <c r="C627" t="s">
        <v>1641</v>
      </c>
      <c r="D627" t="s">
        <v>4678</v>
      </c>
      <c r="E627">
        <v>618141033</v>
      </c>
      <c r="F627" t="s">
        <v>6801</v>
      </c>
    </row>
    <row r="628" spans="1:6" x14ac:dyDescent="0.25">
      <c r="A628" t="s">
        <v>5292</v>
      </c>
      <c r="B628" t="s">
        <v>5293</v>
      </c>
      <c r="C628" t="s">
        <v>4492</v>
      </c>
      <c r="D628" t="s">
        <v>4493</v>
      </c>
      <c r="E628" t="s">
        <v>4494</v>
      </c>
      <c r="F628" t="s">
        <v>1575</v>
      </c>
    </row>
    <row r="629" spans="1:6" x14ac:dyDescent="0.25">
      <c r="A629" t="s">
        <v>4794</v>
      </c>
      <c r="B629" t="s">
        <v>4795</v>
      </c>
      <c r="C629" t="s">
        <v>4492</v>
      </c>
      <c r="D629" t="s">
        <v>4493</v>
      </c>
      <c r="E629" t="s">
        <v>4494</v>
      </c>
      <c r="F629" t="s">
        <v>1575</v>
      </c>
    </row>
    <row r="630" spans="1:6" x14ac:dyDescent="0.25">
      <c r="A630" t="s">
        <v>5212</v>
      </c>
      <c r="B630" t="s">
        <v>5213</v>
      </c>
      <c r="C630" t="s">
        <v>4492</v>
      </c>
      <c r="D630" t="s">
        <v>4493</v>
      </c>
      <c r="E630" t="s">
        <v>4494</v>
      </c>
      <c r="F630" t="s">
        <v>1575</v>
      </c>
    </row>
    <row r="631" spans="1:6" x14ac:dyDescent="0.25">
      <c r="A631" t="s">
        <v>4782</v>
      </c>
      <c r="B631" t="s">
        <v>4783</v>
      </c>
      <c r="C631" t="s">
        <v>4492</v>
      </c>
      <c r="D631" t="s">
        <v>4493</v>
      </c>
      <c r="E631" t="s">
        <v>4494</v>
      </c>
      <c r="F631" t="s">
        <v>1575</v>
      </c>
    </row>
    <row r="632" spans="1:6" x14ac:dyDescent="0.25">
      <c r="A632" t="s">
        <v>5799</v>
      </c>
      <c r="B632" t="s">
        <v>5800</v>
      </c>
      <c r="C632" t="s">
        <v>4492</v>
      </c>
      <c r="D632" t="s">
        <v>4493</v>
      </c>
      <c r="E632" t="s">
        <v>4494</v>
      </c>
      <c r="F632" t="s">
        <v>1575</v>
      </c>
    </row>
    <row r="633" spans="1:6" x14ac:dyDescent="0.25">
      <c r="A633" t="s">
        <v>4873</v>
      </c>
      <c r="B633" t="s">
        <v>4874</v>
      </c>
      <c r="C633" t="s">
        <v>4492</v>
      </c>
      <c r="D633" t="s">
        <v>4493</v>
      </c>
      <c r="E633" t="s">
        <v>4494</v>
      </c>
      <c r="F633" t="s">
        <v>1575</v>
      </c>
    </row>
    <row r="634" spans="1:6" x14ac:dyDescent="0.25">
      <c r="A634" t="s">
        <v>5030</v>
      </c>
      <c r="B634" t="s">
        <v>5031</v>
      </c>
      <c r="C634" t="s">
        <v>4492</v>
      </c>
      <c r="D634" t="s">
        <v>4493</v>
      </c>
      <c r="E634" t="s">
        <v>4494</v>
      </c>
      <c r="F634" t="s">
        <v>1575</v>
      </c>
    </row>
    <row r="635" spans="1:6" x14ac:dyDescent="0.25">
      <c r="A635" t="s">
        <v>4851</v>
      </c>
      <c r="B635" t="s">
        <v>4852</v>
      </c>
      <c r="C635" t="s">
        <v>4492</v>
      </c>
      <c r="D635" t="s">
        <v>4493</v>
      </c>
      <c r="E635" t="s">
        <v>4494</v>
      </c>
      <c r="F635" t="s">
        <v>1575</v>
      </c>
    </row>
    <row r="636" spans="1:6" x14ac:dyDescent="0.25">
      <c r="A636" t="s">
        <v>5561</v>
      </c>
      <c r="B636" t="s">
        <v>5562</v>
      </c>
      <c r="C636" t="s">
        <v>4492</v>
      </c>
      <c r="D636" t="s">
        <v>4493</v>
      </c>
      <c r="E636" t="s">
        <v>4494</v>
      </c>
      <c r="F636" t="s">
        <v>1575</v>
      </c>
    </row>
    <row r="637" spans="1:6" x14ac:dyDescent="0.25">
      <c r="A637" t="s">
        <v>6532</v>
      </c>
      <c r="B637" t="s">
        <v>6533</v>
      </c>
      <c r="C637" t="s">
        <v>1921</v>
      </c>
      <c r="D637" t="s">
        <v>5151</v>
      </c>
      <c r="E637">
        <v>618624075</v>
      </c>
      <c r="F637" t="s">
        <v>6796</v>
      </c>
    </row>
    <row r="638" spans="1:6" x14ac:dyDescent="0.25">
      <c r="A638" t="s">
        <v>5902</v>
      </c>
      <c r="B638" t="s">
        <v>5903</v>
      </c>
      <c r="C638" t="s">
        <v>1921</v>
      </c>
      <c r="D638" t="s">
        <v>5151</v>
      </c>
      <c r="E638">
        <v>618624075</v>
      </c>
      <c r="F638" t="s">
        <v>6796</v>
      </c>
    </row>
    <row r="639" spans="1:6" x14ac:dyDescent="0.25">
      <c r="A639" t="s">
        <v>5166</v>
      </c>
      <c r="B639" t="s">
        <v>5167</v>
      </c>
      <c r="C639" t="s">
        <v>4492</v>
      </c>
      <c r="D639" t="s">
        <v>4493</v>
      </c>
      <c r="E639" t="s">
        <v>4494</v>
      </c>
      <c r="F639" t="s">
        <v>1575</v>
      </c>
    </row>
    <row r="640" spans="1:6" x14ac:dyDescent="0.25">
      <c r="A640" t="s">
        <v>6501</v>
      </c>
      <c r="B640" t="s">
        <v>6502</v>
      </c>
      <c r="C640" t="s">
        <v>4492</v>
      </c>
      <c r="D640" t="s">
        <v>4493</v>
      </c>
      <c r="E640" t="s">
        <v>4494</v>
      </c>
      <c r="F640" t="s">
        <v>1575</v>
      </c>
    </row>
    <row r="641" spans="1:6" x14ac:dyDescent="0.25">
      <c r="A641" t="s">
        <v>5435</v>
      </c>
      <c r="B641" t="s">
        <v>5436</v>
      </c>
      <c r="C641" t="s">
        <v>4492</v>
      </c>
      <c r="D641" t="s">
        <v>4493</v>
      </c>
      <c r="E641" t="s">
        <v>4494</v>
      </c>
      <c r="F641" t="s">
        <v>1575</v>
      </c>
    </row>
    <row r="642" spans="1:6" x14ac:dyDescent="0.25">
      <c r="A642" t="s">
        <v>5088</v>
      </c>
      <c r="B642" t="s">
        <v>5089</v>
      </c>
      <c r="C642" t="s">
        <v>4492</v>
      </c>
      <c r="D642" t="s">
        <v>4493</v>
      </c>
      <c r="E642" t="s">
        <v>4494</v>
      </c>
      <c r="F642" t="s">
        <v>1575</v>
      </c>
    </row>
    <row r="643" spans="1:6" x14ac:dyDescent="0.25">
      <c r="A643" t="s">
        <v>4639</v>
      </c>
      <c r="B643" t="s">
        <v>4640</v>
      </c>
      <c r="C643" t="s">
        <v>4492</v>
      </c>
      <c r="D643" t="s">
        <v>4493</v>
      </c>
      <c r="E643" t="s">
        <v>4494</v>
      </c>
      <c r="F643" t="s">
        <v>1575</v>
      </c>
    </row>
    <row r="644" spans="1:6" x14ac:dyDescent="0.25">
      <c r="A644" t="s">
        <v>5773</v>
      </c>
      <c r="B644" t="s">
        <v>5774</v>
      </c>
      <c r="C644" t="s">
        <v>4492</v>
      </c>
      <c r="D644" t="s">
        <v>4493</v>
      </c>
      <c r="E644" t="s">
        <v>4494</v>
      </c>
      <c r="F644" t="s">
        <v>1575</v>
      </c>
    </row>
    <row r="645" spans="1:6" x14ac:dyDescent="0.25">
      <c r="A645" t="s">
        <v>5505</v>
      </c>
      <c r="B645" t="s">
        <v>5506</v>
      </c>
      <c r="C645" t="s">
        <v>4492</v>
      </c>
      <c r="D645" t="s">
        <v>4493</v>
      </c>
      <c r="E645" t="s">
        <v>4494</v>
      </c>
      <c r="F645" t="s">
        <v>1575</v>
      </c>
    </row>
    <row r="646" spans="1:6" x14ac:dyDescent="0.25">
      <c r="A646" t="s">
        <v>4950</v>
      </c>
      <c r="B646" t="s">
        <v>4951</v>
      </c>
      <c r="C646" t="s">
        <v>4492</v>
      </c>
      <c r="D646" t="s">
        <v>4493</v>
      </c>
      <c r="E646" t="s">
        <v>4494</v>
      </c>
      <c r="F646" t="s">
        <v>1575</v>
      </c>
    </row>
    <row r="647" spans="1:6" x14ac:dyDescent="0.25">
      <c r="A647" t="s">
        <v>5278</v>
      </c>
      <c r="B647" t="s">
        <v>5279</v>
      </c>
      <c r="C647" t="s">
        <v>4492</v>
      </c>
      <c r="D647" t="s">
        <v>4493</v>
      </c>
      <c r="E647" t="s">
        <v>4494</v>
      </c>
      <c r="F647" t="s">
        <v>1575</v>
      </c>
    </row>
    <row r="648" spans="1:6" x14ac:dyDescent="0.25">
      <c r="A648" t="s">
        <v>4743</v>
      </c>
      <c r="B648" t="s">
        <v>4744</v>
      </c>
      <c r="C648" t="s">
        <v>4492</v>
      </c>
      <c r="D648" t="s">
        <v>4493</v>
      </c>
      <c r="E648" t="s">
        <v>4494</v>
      </c>
      <c r="F648" t="s">
        <v>1575</v>
      </c>
    </row>
    <row r="649" spans="1:6" x14ac:dyDescent="0.25">
      <c r="A649" t="s">
        <v>5649</v>
      </c>
      <c r="B649" t="s">
        <v>5650</v>
      </c>
      <c r="C649" t="s">
        <v>4492</v>
      </c>
      <c r="D649" t="s">
        <v>4493</v>
      </c>
      <c r="E649" t="s">
        <v>4494</v>
      </c>
      <c r="F649" t="s">
        <v>1575</v>
      </c>
    </row>
    <row r="650" spans="1:6" x14ac:dyDescent="0.25">
      <c r="A650" t="s">
        <v>4861</v>
      </c>
      <c r="B650" t="s">
        <v>4862</v>
      </c>
      <c r="C650" t="s">
        <v>4492</v>
      </c>
      <c r="D650" t="s">
        <v>4493</v>
      </c>
      <c r="E650" t="s">
        <v>4494</v>
      </c>
      <c r="F650" t="s">
        <v>1575</v>
      </c>
    </row>
    <row r="651" spans="1:6" x14ac:dyDescent="0.25">
      <c r="A651" t="s">
        <v>5609</v>
      </c>
      <c r="B651" t="s">
        <v>5610</v>
      </c>
      <c r="C651" t="s">
        <v>4492</v>
      </c>
      <c r="D651" t="s">
        <v>4493</v>
      </c>
      <c r="E651" t="s">
        <v>4494</v>
      </c>
      <c r="F651" t="s">
        <v>1575</v>
      </c>
    </row>
    <row r="652" spans="1:6" x14ac:dyDescent="0.25">
      <c r="A652" t="s">
        <v>5247</v>
      </c>
      <c r="B652" t="s">
        <v>5248</v>
      </c>
      <c r="C652" t="s">
        <v>4492</v>
      </c>
      <c r="D652" t="s">
        <v>4493</v>
      </c>
      <c r="E652" t="s">
        <v>4494</v>
      </c>
      <c r="F652" t="s">
        <v>1575</v>
      </c>
    </row>
    <row r="653" spans="1:6" x14ac:dyDescent="0.25">
      <c r="A653" t="s">
        <v>5716</v>
      </c>
      <c r="B653" t="s">
        <v>5717</v>
      </c>
      <c r="C653" t="s">
        <v>4492</v>
      </c>
      <c r="D653" t="s">
        <v>4493</v>
      </c>
      <c r="E653" t="s">
        <v>4494</v>
      </c>
      <c r="F653" t="s">
        <v>1575</v>
      </c>
    </row>
    <row r="654" spans="1:6" x14ac:dyDescent="0.25">
      <c r="A654" t="s">
        <v>5728</v>
      </c>
      <c r="B654" t="s">
        <v>5717</v>
      </c>
      <c r="C654" t="s">
        <v>4492</v>
      </c>
      <c r="D654" t="s">
        <v>4493</v>
      </c>
      <c r="E654" t="s">
        <v>4494</v>
      </c>
      <c r="F654" t="s">
        <v>1575</v>
      </c>
    </row>
    <row r="655" spans="1:6" x14ac:dyDescent="0.25">
      <c r="A655" t="s">
        <v>5517</v>
      </c>
      <c r="B655" t="s">
        <v>5518</v>
      </c>
      <c r="C655" t="s">
        <v>4492</v>
      </c>
      <c r="D655" t="s">
        <v>4493</v>
      </c>
      <c r="E655" t="s">
        <v>4494</v>
      </c>
      <c r="F655" t="s">
        <v>1575</v>
      </c>
    </row>
    <row r="656" spans="1:6" x14ac:dyDescent="0.25">
      <c r="A656" t="s">
        <v>4841</v>
      </c>
      <c r="B656" t="s">
        <v>4842</v>
      </c>
      <c r="C656" t="s">
        <v>4492</v>
      </c>
      <c r="D656" t="s">
        <v>4493</v>
      </c>
      <c r="E656" t="s">
        <v>4494</v>
      </c>
      <c r="F656" t="s">
        <v>1575</v>
      </c>
    </row>
    <row r="657" spans="1:6" x14ac:dyDescent="0.25">
      <c r="A657" t="s">
        <v>5573</v>
      </c>
      <c r="B657" t="s">
        <v>5574</v>
      </c>
      <c r="C657" t="s">
        <v>4492</v>
      </c>
      <c r="D657" t="s">
        <v>4493</v>
      </c>
      <c r="E657" t="s">
        <v>4494</v>
      </c>
      <c r="F657" t="s">
        <v>1575</v>
      </c>
    </row>
    <row r="658" spans="1:6" x14ac:dyDescent="0.25">
      <c r="A658" t="s">
        <v>4562</v>
      </c>
      <c r="B658" t="s">
        <v>4563</v>
      </c>
      <c r="C658" t="s">
        <v>4492</v>
      </c>
      <c r="D658" t="s">
        <v>4493</v>
      </c>
      <c r="E658" t="s">
        <v>4494</v>
      </c>
      <c r="F658" t="s">
        <v>1575</v>
      </c>
    </row>
    <row r="659" spans="1:6" x14ac:dyDescent="0.25">
      <c r="A659" t="s">
        <v>5984</v>
      </c>
      <c r="B659" t="s">
        <v>5985</v>
      </c>
      <c r="C659" t="s">
        <v>4492</v>
      </c>
      <c r="D659" t="s">
        <v>4493</v>
      </c>
      <c r="E659" t="s">
        <v>4494</v>
      </c>
      <c r="F659" t="s">
        <v>1575</v>
      </c>
    </row>
    <row r="660" spans="1:6" x14ac:dyDescent="0.25">
      <c r="A660" t="s">
        <v>5013</v>
      </c>
      <c r="B660" t="s">
        <v>5014</v>
      </c>
      <c r="C660" t="s">
        <v>4492</v>
      </c>
      <c r="D660" t="s">
        <v>4493</v>
      </c>
      <c r="E660" t="s">
        <v>4494</v>
      </c>
      <c r="F660" t="s">
        <v>1575</v>
      </c>
    </row>
    <row r="661" spans="1:6" x14ac:dyDescent="0.25">
      <c r="A661" t="s">
        <v>5859</v>
      </c>
      <c r="B661" t="s">
        <v>5860</v>
      </c>
      <c r="C661" t="s">
        <v>4492</v>
      </c>
      <c r="D661" t="s">
        <v>4493</v>
      </c>
      <c r="E661" t="s">
        <v>4494</v>
      </c>
      <c r="F661" t="s">
        <v>1575</v>
      </c>
    </row>
    <row r="662" spans="1:6" x14ac:dyDescent="0.25">
      <c r="A662" t="s">
        <v>6144</v>
      </c>
      <c r="B662" t="s">
        <v>6145</v>
      </c>
      <c r="C662" t="s">
        <v>4492</v>
      </c>
      <c r="D662" t="s">
        <v>4493</v>
      </c>
      <c r="E662" t="s">
        <v>4494</v>
      </c>
      <c r="F662" t="s">
        <v>1575</v>
      </c>
    </row>
    <row r="663" spans="1:6" x14ac:dyDescent="0.25">
      <c r="A663" t="s">
        <v>5439</v>
      </c>
      <c r="B663" t="s">
        <v>5440</v>
      </c>
      <c r="C663" t="s">
        <v>4492</v>
      </c>
      <c r="D663" t="s">
        <v>4493</v>
      </c>
      <c r="E663" t="s">
        <v>4494</v>
      </c>
      <c r="F663" t="s">
        <v>1575</v>
      </c>
    </row>
    <row r="664" spans="1:6" x14ac:dyDescent="0.25">
      <c r="A664" t="s">
        <v>5265</v>
      </c>
      <c r="B664" t="s">
        <v>5266</v>
      </c>
      <c r="C664" t="s">
        <v>4492</v>
      </c>
      <c r="D664" t="s">
        <v>4493</v>
      </c>
      <c r="E664" t="s">
        <v>4494</v>
      </c>
      <c r="F664" t="s">
        <v>1575</v>
      </c>
    </row>
    <row r="665" spans="1:6" x14ac:dyDescent="0.25">
      <c r="A665" t="s">
        <v>5692</v>
      </c>
      <c r="B665" t="s">
        <v>5693</v>
      </c>
      <c r="C665" t="s">
        <v>4492</v>
      </c>
      <c r="D665" t="s">
        <v>4493</v>
      </c>
      <c r="E665" t="s">
        <v>4494</v>
      </c>
      <c r="F665" t="s">
        <v>1575</v>
      </c>
    </row>
    <row r="666" spans="1:6" x14ac:dyDescent="0.25">
      <c r="A666" t="s">
        <v>5629</v>
      </c>
      <c r="B666" t="s">
        <v>5630</v>
      </c>
      <c r="C666" t="s">
        <v>4492</v>
      </c>
      <c r="D666" t="s">
        <v>4493</v>
      </c>
      <c r="E666" t="s">
        <v>4494</v>
      </c>
      <c r="F666" t="s">
        <v>1575</v>
      </c>
    </row>
    <row r="667" spans="1:6" x14ac:dyDescent="0.25">
      <c r="A667" t="s">
        <v>5137</v>
      </c>
      <c r="B667" t="s">
        <v>5138</v>
      </c>
      <c r="C667" t="s">
        <v>4492</v>
      </c>
      <c r="D667" t="s">
        <v>4493</v>
      </c>
      <c r="E667" t="s">
        <v>4494</v>
      </c>
      <c r="F667" t="s">
        <v>1575</v>
      </c>
    </row>
    <row r="668" spans="1:6" x14ac:dyDescent="0.25">
      <c r="A668" t="s">
        <v>6102</v>
      </c>
      <c r="B668" t="s">
        <v>6103</v>
      </c>
      <c r="C668" t="s">
        <v>4583</v>
      </c>
      <c r="D668" t="s">
        <v>4584</v>
      </c>
      <c r="E668">
        <v>638836487</v>
      </c>
    </row>
    <row r="669" spans="1:6" x14ac:dyDescent="0.25">
      <c r="A669" t="s">
        <v>4940</v>
      </c>
      <c r="B669" t="s">
        <v>4941</v>
      </c>
      <c r="C669" t="s">
        <v>4492</v>
      </c>
      <c r="D669" t="s">
        <v>4493</v>
      </c>
      <c r="E669" t="s">
        <v>4494</v>
      </c>
      <c r="F669" t="s">
        <v>1575</v>
      </c>
    </row>
    <row r="670" spans="1:6" x14ac:dyDescent="0.25">
      <c r="A670" t="s">
        <v>5863</v>
      </c>
      <c r="B670" t="s">
        <v>5864</v>
      </c>
      <c r="C670" t="s">
        <v>4492</v>
      </c>
      <c r="D670" t="s">
        <v>4493</v>
      </c>
      <c r="E670" t="s">
        <v>4494</v>
      </c>
      <c r="F670" t="s">
        <v>1575</v>
      </c>
    </row>
    <row r="671" spans="1:6" x14ac:dyDescent="0.25">
      <c r="A671" t="s">
        <v>5102</v>
      </c>
      <c r="B671" t="s">
        <v>5103</v>
      </c>
      <c r="C671" t="s">
        <v>1561</v>
      </c>
      <c r="D671" t="s">
        <v>5104</v>
      </c>
      <c r="E671">
        <v>682771821</v>
      </c>
      <c r="F671" t="s">
        <v>6916</v>
      </c>
    </row>
    <row r="672" spans="1:6" x14ac:dyDescent="0.25">
      <c r="A672" t="s">
        <v>5879</v>
      </c>
      <c r="B672" t="s">
        <v>5880</v>
      </c>
      <c r="C672" t="s">
        <v>1584</v>
      </c>
      <c r="D672" t="s">
        <v>4939</v>
      </c>
      <c r="E672">
        <v>629650764</v>
      </c>
      <c r="F672" t="s">
        <v>6782</v>
      </c>
    </row>
    <row r="673" spans="1:6" x14ac:dyDescent="0.25">
      <c r="A673" t="s">
        <v>4966</v>
      </c>
      <c r="B673" t="s">
        <v>4967</v>
      </c>
      <c r="C673" t="s">
        <v>1635</v>
      </c>
      <c r="D673" t="s">
        <v>4968</v>
      </c>
      <c r="E673">
        <v>682232727</v>
      </c>
      <c r="F673" t="s">
        <v>6914</v>
      </c>
    </row>
    <row r="674" spans="1:6" x14ac:dyDescent="0.25">
      <c r="A674" t="s">
        <v>4948</v>
      </c>
      <c r="B674" t="s">
        <v>4949</v>
      </c>
      <c r="C674" t="s">
        <v>4492</v>
      </c>
      <c r="D674" t="s">
        <v>4493</v>
      </c>
      <c r="E674" t="s">
        <v>4494</v>
      </c>
      <c r="F674" t="s">
        <v>1575</v>
      </c>
    </row>
    <row r="675" spans="1:6" x14ac:dyDescent="0.25">
      <c r="A675" t="s">
        <v>5162</v>
      </c>
      <c r="B675" t="s">
        <v>5163</v>
      </c>
      <c r="C675" t="s">
        <v>4492</v>
      </c>
      <c r="D675" t="s">
        <v>4493</v>
      </c>
      <c r="E675" t="s">
        <v>4494</v>
      </c>
      <c r="F675" t="s">
        <v>1575</v>
      </c>
    </row>
    <row r="676" spans="1:6" x14ac:dyDescent="0.25">
      <c r="A676" t="s">
        <v>5334</v>
      </c>
      <c r="B676" t="s">
        <v>5335</v>
      </c>
      <c r="C676" t="s">
        <v>4492</v>
      </c>
      <c r="D676" t="s">
        <v>4493</v>
      </c>
      <c r="E676" t="s">
        <v>4494</v>
      </c>
      <c r="F676" t="s">
        <v>1575</v>
      </c>
    </row>
    <row r="677" spans="1:6" x14ac:dyDescent="0.25">
      <c r="A677" t="s">
        <v>5951</v>
      </c>
      <c r="B677" t="s">
        <v>5952</v>
      </c>
      <c r="C677" t="s">
        <v>4492</v>
      </c>
      <c r="D677" t="s">
        <v>4493</v>
      </c>
      <c r="E677" t="s">
        <v>4494</v>
      </c>
      <c r="F677" t="s">
        <v>1575</v>
      </c>
    </row>
    <row r="678" spans="1:6" x14ac:dyDescent="0.25">
      <c r="A678" t="s">
        <v>5635</v>
      </c>
      <c r="B678" t="s">
        <v>5636</v>
      </c>
      <c r="C678" t="s">
        <v>4492</v>
      </c>
      <c r="D678" t="s">
        <v>4493</v>
      </c>
      <c r="E678" t="s">
        <v>4494</v>
      </c>
      <c r="F678" t="s">
        <v>1575</v>
      </c>
    </row>
    <row r="679" spans="1:6" x14ac:dyDescent="0.25">
      <c r="A679" t="s">
        <v>4987</v>
      </c>
      <c r="B679" t="s">
        <v>4988</v>
      </c>
      <c r="C679" t="s">
        <v>4492</v>
      </c>
      <c r="D679" t="s">
        <v>4493</v>
      </c>
      <c r="E679" t="s">
        <v>4494</v>
      </c>
      <c r="F679" t="s">
        <v>1575</v>
      </c>
    </row>
    <row r="680" spans="1:6" x14ac:dyDescent="0.25">
      <c r="A680" t="s">
        <v>6416</v>
      </c>
      <c r="B680" t="s">
        <v>6417</v>
      </c>
      <c r="C680" t="s">
        <v>4492</v>
      </c>
      <c r="D680" t="s">
        <v>4493</v>
      </c>
      <c r="E680" t="s">
        <v>4494</v>
      </c>
      <c r="F680" t="s">
        <v>1575</v>
      </c>
    </row>
    <row r="681" spans="1:6" x14ac:dyDescent="0.25">
      <c r="A681" t="s">
        <v>6445</v>
      </c>
      <c r="B681" t="s">
        <v>6446</v>
      </c>
      <c r="C681" t="s">
        <v>4492</v>
      </c>
      <c r="D681" t="s">
        <v>4493</v>
      </c>
      <c r="E681" t="s">
        <v>4494</v>
      </c>
      <c r="F681" t="s">
        <v>1575</v>
      </c>
    </row>
    <row r="682" spans="1:6" x14ac:dyDescent="0.25">
      <c r="A682" t="s">
        <v>6414</v>
      </c>
      <c r="B682" t="s">
        <v>6415</v>
      </c>
      <c r="C682" t="s">
        <v>4492</v>
      </c>
      <c r="D682" t="s">
        <v>4493</v>
      </c>
      <c r="E682" t="s">
        <v>4494</v>
      </c>
      <c r="F682" t="s">
        <v>1575</v>
      </c>
    </row>
    <row r="683" spans="1:6" x14ac:dyDescent="0.25">
      <c r="A683" t="s">
        <v>6439</v>
      </c>
      <c r="B683" t="s">
        <v>6440</v>
      </c>
      <c r="C683" t="s">
        <v>4492</v>
      </c>
      <c r="D683" t="s">
        <v>4493</v>
      </c>
      <c r="E683" t="s">
        <v>4494</v>
      </c>
      <c r="F683" t="s">
        <v>1575</v>
      </c>
    </row>
    <row r="684" spans="1:6" x14ac:dyDescent="0.25">
      <c r="A684" t="s">
        <v>6437</v>
      </c>
      <c r="B684" t="s">
        <v>6438</v>
      </c>
      <c r="C684" t="s">
        <v>4492</v>
      </c>
      <c r="D684" t="s">
        <v>4493</v>
      </c>
      <c r="E684" t="s">
        <v>4494</v>
      </c>
      <c r="F684" t="s">
        <v>1575</v>
      </c>
    </row>
    <row r="685" spans="1:6" x14ac:dyDescent="0.25">
      <c r="A685" t="s">
        <v>6451</v>
      </c>
      <c r="B685" t="s">
        <v>6452</v>
      </c>
      <c r="C685" t="s">
        <v>4492</v>
      </c>
      <c r="D685" t="s">
        <v>4493</v>
      </c>
      <c r="E685" t="s">
        <v>4494</v>
      </c>
      <c r="F685" t="s">
        <v>1575</v>
      </c>
    </row>
    <row r="686" spans="1:6" x14ac:dyDescent="0.25">
      <c r="A686" t="s">
        <v>4757</v>
      </c>
      <c r="B686" t="s">
        <v>4758</v>
      </c>
      <c r="C686" t="s">
        <v>4492</v>
      </c>
      <c r="D686" t="s">
        <v>4493</v>
      </c>
      <c r="E686" t="s">
        <v>4494</v>
      </c>
      <c r="F686" t="s">
        <v>1575</v>
      </c>
    </row>
    <row r="687" spans="1:6" x14ac:dyDescent="0.25">
      <c r="A687" t="s">
        <v>4547</v>
      </c>
      <c r="B687" t="s">
        <v>4548</v>
      </c>
      <c r="C687" t="s">
        <v>4492</v>
      </c>
      <c r="D687" t="s">
        <v>4493</v>
      </c>
      <c r="E687" t="s">
        <v>4494</v>
      </c>
      <c r="F687" t="s">
        <v>1575</v>
      </c>
    </row>
    <row r="688" spans="1:6" x14ac:dyDescent="0.25">
      <c r="A688" t="s">
        <v>6518</v>
      </c>
      <c r="B688" t="s">
        <v>6519</v>
      </c>
      <c r="C688" t="s">
        <v>4492</v>
      </c>
      <c r="D688" t="s">
        <v>4493</v>
      </c>
      <c r="E688" t="s">
        <v>4494</v>
      </c>
      <c r="F688" t="s">
        <v>1575</v>
      </c>
    </row>
    <row r="689" spans="1:6" x14ac:dyDescent="0.25">
      <c r="A689" t="s">
        <v>5431</v>
      </c>
      <c r="B689" t="s">
        <v>5432</v>
      </c>
      <c r="C689" t="s">
        <v>4492</v>
      </c>
      <c r="D689" t="s">
        <v>4493</v>
      </c>
      <c r="E689" t="s">
        <v>4494</v>
      </c>
      <c r="F689" t="s">
        <v>1575</v>
      </c>
    </row>
    <row r="690" spans="1:6" x14ac:dyDescent="0.25">
      <c r="A690" t="s">
        <v>5064</v>
      </c>
      <c r="B690" t="s">
        <v>5065</v>
      </c>
      <c r="C690" t="s">
        <v>4492</v>
      </c>
      <c r="D690" t="s">
        <v>4493</v>
      </c>
      <c r="E690" t="s">
        <v>4494</v>
      </c>
      <c r="F690" t="s">
        <v>1575</v>
      </c>
    </row>
    <row r="691" spans="1:6" x14ac:dyDescent="0.25">
      <c r="A691" t="s">
        <v>4889</v>
      </c>
      <c r="B691" t="s">
        <v>4890</v>
      </c>
      <c r="C691" t="s">
        <v>4492</v>
      </c>
      <c r="D691" t="s">
        <v>4493</v>
      </c>
      <c r="E691" t="s">
        <v>4494</v>
      </c>
      <c r="F691" t="s">
        <v>1575</v>
      </c>
    </row>
    <row r="692" spans="1:6" x14ac:dyDescent="0.25">
      <c r="A692" t="s">
        <v>5819</v>
      </c>
      <c r="B692" t="s">
        <v>5820</v>
      </c>
      <c r="C692" t="s">
        <v>4492</v>
      </c>
      <c r="D692" t="s">
        <v>4493</v>
      </c>
      <c r="E692" t="s">
        <v>4494</v>
      </c>
      <c r="F692" t="s">
        <v>1575</v>
      </c>
    </row>
    <row r="693" spans="1:6" x14ac:dyDescent="0.25">
      <c r="A693" t="s">
        <v>5042</v>
      </c>
      <c r="B693" t="s">
        <v>5043</v>
      </c>
      <c r="C693" t="s">
        <v>4492</v>
      </c>
      <c r="D693" t="s">
        <v>4493</v>
      </c>
      <c r="E693" t="s">
        <v>4494</v>
      </c>
      <c r="F693" t="s">
        <v>1575</v>
      </c>
    </row>
    <row r="694" spans="1:6" x14ac:dyDescent="0.25">
      <c r="A694" t="s">
        <v>6320</v>
      </c>
      <c r="B694" t="s">
        <v>6321</v>
      </c>
      <c r="C694" t="s">
        <v>4492</v>
      </c>
      <c r="D694" t="s">
        <v>4493</v>
      </c>
      <c r="E694" t="s">
        <v>4494</v>
      </c>
      <c r="F694" t="s">
        <v>1575</v>
      </c>
    </row>
    <row r="695" spans="1:6" x14ac:dyDescent="0.25">
      <c r="A695" t="s">
        <v>6092</v>
      </c>
      <c r="B695" t="s">
        <v>6093</v>
      </c>
      <c r="C695" t="s">
        <v>4492</v>
      </c>
      <c r="D695" t="s">
        <v>4493</v>
      </c>
      <c r="E695" t="s">
        <v>4494</v>
      </c>
      <c r="F695" t="s">
        <v>1575</v>
      </c>
    </row>
    <row r="696" spans="1:6" x14ac:dyDescent="0.25">
      <c r="A696" t="s">
        <v>6106</v>
      </c>
      <c r="B696" t="s">
        <v>6107</v>
      </c>
      <c r="C696" t="s">
        <v>4492</v>
      </c>
      <c r="D696" t="s">
        <v>4493</v>
      </c>
      <c r="E696" t="s">
        <v>4494</v>
      </c>
      <c r="F696" t="s">
        <v>1575</v>
      </c>
    </row>
    <row r="697" spans="1:6" x14ac:dyDescent="0.25">
      <c r="A697" t="s">
        <v>6499</v>
      </c>
      <c r="B697" t="s">
        <v>6500</v>
      </c>
      <c r="C697" t="s">
        <v>2307</v>
      </c>
      <c r="D697" t="s">
        <v>4810</v>
      </c>
      <c r="E697">
        <v>608696633</v>
      </c>
      <c r="F697" t="s">
        <v>6912</v>
      </c>
    </row>
    <row r="698" spans="1:6" x14ac:dyDescent="0.25">
      <c r="A698" t="s">
        <v>6094</v>
      </c>
      <c r="B698" t="s">
        <v>6095</v>
      </c>
      <c r="C698" t="s">
        <v>4492</v>
      </c>
      <c r="D698" t="s">
        <v>4493</v>
      </c>
      <c r="E698" t="s">
        <v>4494</v>
      </c>
      <c r="F698" t="s">
        <v>1575</v>
      </c>
    </row>
    <row r="699" spans="1:6" x14ac:dyDescent="0.25">
      <c r="A699" t="s">
        <v>6090</v>
      </c>
      <c r="B699" t="s">
        <v>6091</v>
      </c>
      <c r="C699" t="s">
        <v>4492</v>
      </c>
      <c r="D699" t="s">
        <v>4493</v>
      </c>
      <c r="E699" t="s">
        <v>4494</v>
      </c>
      <c r="F699" t="s">
        <v>1575</v>
      </c>
    </row>
    <row r="700" spans="1:6" x14ac:dyDescent="0.25">
      <c r="A700" t="s">
        <v>6066</v>
      </c>
      <c r="B700" t="s">
        <v>6067</v>
      </c>
      <c r="C700" t="s">
        <v>2307</v>
      </c>
      <c r="D700" t="s">
        <v>4810</v>
      </c>
      <c r="E700">
        <v>608696633</v>
      </c>
      <c r="F700" t="s">
        <v>6912</v>
      </c>
    </row>
    <row r="701" spans="1:6" x14ac:dyDescent="0.25">
      <c r="A701" t="s">
        <v>4726</v>
      </c>
      <c r="B701" t="s">
        <v>4727</v>
      </c>
      <c r="C701" t="s">
        <v>2055</v>
      </c>
      <c r="D701" t="s">
        <v>4728</v>
      </c>
      <c r="E701">
        <v>616300345</v>
      </c>
      <c r="F701" t="s">
        <v>6744</v>
      </c>
    </row>
    <row r="702" spans="1:6" x14ac:dyDescent="0.25">
      <c r="A702" t="s">
        <v>5280</v>
      </c>
      <c r="B702" t="s">
        <v>5281</v>
      </c>
      <c r="C702" t="s">
        <v>4492</v>
      </c>
      <c r="D702" t="s">
        <v>4493</v>
      </c>
      <c r="E702" t="s">
        <v>4494</v>
      </c>
      <c r="F702" t="s">
        <v>1575</v>
      </c>
    </row>
    <row r="703" spans="1:6" x14ac:dyDescent="0.25">
      <c r="A703" t="s">
        <v>5865</v>
      </c>
      <c r="B703" t="s">
        <v>5866</v>
      </c>
      <c r="C703" t="s">
        <v>4492</v>
      </c>
      <c r="D703" t="s">
        <v>4493</v>
      </c>
      <c r="E703" t="s">
        <v>4494</v>
      </c>
      <c r="F703" t="s">
        <v>1575</v>
      </c>
    </row>
    <row r="704" spans="1:6" x14ac:dyDescent="0.25">
      <c r="A704" t="s">
        <v>4539</v>
      </c>
      <c r="B704" t="s">
        <v>4540</v>
      </c>
      <c r="C704" t="s">
        <v>4492</v>
      </c>
      <c r="D704" t="s">
        <v>4493</v>
      </c>
      <c r="E704" t="s">
        <v>4494</v>
      </c>
      <c r="F704" t="s">
        <v>1575</v>
      </c>
    </row>
    <row r="705" spans="1:6" x14ac:dyDescent="0.25">
      <c r="A705" t="s">
        <v>5793</v>
      </c>
      <c r="B705" t="s">
        <v>5794</v>
      </c>
      <c r="C705" t="s">
        <v>4492</v>
      </c>
      <c r="D705" t="s">
        <v>4493</v>
      </c>
      <c r="E705" t="s">
        <v>4494</v>
      </c>
      <c r="F705" t="s">
        <v>1575</v>
      </c>
    </row>
    <row r="706" spans="1:6" x14ac:dyDescent="0.25">
      <c r="A706" t="s">
        <v>5898</v>
      </c>
      <c r="B706" t="s">
        <v>5899</v>
      </c>
      <c r="C706" t="s">
        <v>4492</v>
      </c>
      <c r="D706" t="s">
        <v>4493</v>
      </c>
      <c r="E706" t="s">
        <v>4494</v>
      </c>
      <c r="F706" t="s">
        <v>1575</v>
      </c>
    </row>
    <row r="707" spans="1:6" x14ac:dyDescent="0.25">
      <c r="A707" t="s">
        <v>5288</v>
      </c>
      <c r="B707" t="s">
        <v>5289</v>
      </c>
      <c r="C707" t="s">
        <v>4492</v>
      </c>
      <c r="D707" t="s">
        <v>4493</v>
      </c>
      <c r="E707" t="s">
        <v>4494</v>
      </c>
      <c r="F707" t="s">
        <v>1575</v>
      </c>
    </row>
    <row r="708" spans="1:6" x14ac:dyDescent="0.25">
      <c r="A708" t="s">
        <v>5700</v>
      </c>
      <c r="B708" t="s">
        <v>5701</v>
      </c>
      <c r="C708" t="s">
        <v>4492</v>
      </c>
      <c r="D708" t="s">
        <v>4493</v>
      </c>
      <c r="E708" t="s">
        <v>4494</v>
      </c>
      <c r="F708" t="s">
        <v>1575</v>
      </c>
    </row>
    <row r="709" spans="1:6" x14ac:dyDescent="0.25">
      <c r="A709" t="s">
        <v>6908</v>
      </c>
      <c r="B709" t="s">
        <v>6909</v>
      </c>
      <c r="C709" t="s">
        <v>2055</v>
      </c>
      <c r="D709" t="s">
        <v>4728</v>
      </c>
      <c r="E709" t="s">
        <v>6910</v>
      </c>
      <c r="F709" t="s">
        <v>6744</v>
      </c>
    </row>
    <row r="710" spans="1:6" x14ac:dyDescent="0.25">
      <c r="A710" t="s">
        <v>4962</v>
      </c>
      <c r="B710" t="s">
        <v>4963</v>
      </c>
      <c r="C710" t="s">
        <v>4492</v>
      </c>
      <c r="D710" t="s">
        <v>4493</v>
      </c>
      <c r="E710" t="s">
        <v>4494</v>
      </c>
      <c r="F710" t="s">
        <v>1575</v>
      </c>
    </row>
    <row r="711" spans="1:6" x14ac:dyDescent="0.25">
      <c r="A711" t="s">
        <v>5896</v>
      </c>
      <c r="B711" t="s">
        <v>5897</v>
      </c>
      <c r="C711" t="s">
        <v>4492</v>
      </c>
      <c r="D711" t="s">
        <v>4493</v>
      </c>
      <c r="E711" t="s">
        <v>4494</v>
      </c>
      <c r="F711" t="s">
        <v>1575</v>
      </c>
    </row>
    <row r="712" spans="1:6" x14ac:dyDescent="0.25">
      <c r="A712" t="s">
        <v>5593</v>
      </c>
      <c r="B712" t="s">
        <v>5594</v>
      </c>
      <c r="C712" t="s">
        <v>4492</v>
      </c>
      <c r="D712" t="s">
        <v>4493</v>
      </c>
      <c r="E712" t="s">
        <v>4494</v>
      </c>
      <c r="F712" t="s">
        <v>1575</v>
      </c>
    </row>
    <row r="713" spans="1:6" x14ac:dyDescent="0.25">
      <c r="A713" t="s">
        <v>5617</v>
      </c>
      <c r="B713" t="s">
        <v>5618</v>
      </c>
      <c r="C713" t="s">
        <v>4492</v>
      </c>
      <c r="D713" t="s">
        <v>4493</v>
      </c>
      <c r="E713" t="s">
        <v>4494</v>
      </c>
      <c r="F713" t="s">
        <v>1575</v>
      </c>
    </row>
    <row r="714" spans="1:6" x14ac:dyDescent="0.25">
      <c r="A714" t="s">
        <v>5853</v>
      </c>
      <c r="B714" t="s">
        <v>5854</v>
      </c>
      <c r="C714" t="s">
        <v>4492</v>
      </c>
      <c r="D714" t="s">
        <v>4493</v>
      </c>
      <c r="E714" t="s">
        <v>4494</v>
      </c>
      <c r="F714" t="s">
        <v>1575</v>
      </c>
    </row>
    <row r="715" spans="1:6" x14ac:dyDescent="0.25">
      <c r="A715" t="s">
        <v>4499</v>
      </c>
      <c r="B715" t="s">
        <v>4500</v>
      </c>
      <c r="C715" t="s">
        <v>4492</v>
      </c>
      <c r="D715" t="s">
        <v>4493</v>
      </c>
      <c r="E715" t="s">
        <v>4494</v>
      </c>
      <c r="F715" t="s">
        <v>1575</v>
      </c>
    </row>
    <row r="716" spans="1:6" x14ac:dyDescent="0.25">
      <c r="A716" t="s">
        <v>4989</v>
      </c>
      <c r="B716" t="s">
        <v>4990</v>
      </c>
      <c r="C716" t="s">
        <v>4492</v>
      </c>
      <c r="D716" t="s">
        <v>4493</v>
      </c>
      <c r="E716" t="s">
        <v>4494</v>
      </c>
      <c r="F716" t="s">
        <v>1575</v>
      </c>
    </row>
    <row r="717" spans="1:6" x14ac:dyDescent="0.25">
      <c r="A717" t="s">
        <v>4715</v>
      </c>
      <c r="B717" t="s">
        <v>4716</v>
      </c>
      <c r="C717" t="s">
        <v>4492</v>
      </c>
      <c r="D717" t="s">
        <v>4493</v>
      </c>
      <c r="E717" t="s">
        <v>4494</v>
      </c>
      <c r="F717" t="s">
        <v>1575</v>
      </c>
    </row>
    <row r="718" spans="1:6" x14ac:dyDescent="0.25">
      <c r="A718" t="s">
        <v>5198</v>
      </c>
      <c r="B718" t="s">
        <v>5199</v>
      </c>
      <c r="C718" t="s">
        <v>4492</v>
      </c>
      <c r="D718" t="s">
        <v>4493</v>
      </c>
      <c r="E718" t="s">
        <v>4494</v>
      </c>
      <c r="F718" t="s">
        <v>1575</v>
      </c>
    </row>
    <row r="719" spans="1:6" x14ac:dyDescent="0.25">
      <c r="A719" t="s">
        <v>5977</v>
      </c>
      <c r="B719" t="s">
        <v>5978</v>
      </c>
      <c r="C719" t="s">
        <v>4492</v>
      </c>
      <c r="D719" t="s">
        <v>4493</v>
      </c>
      <c r="E719" t="s">
        <v>4494</v>
      </c>
      <c r="F719" t="s">
        <v>1575</v>
      </c>
    </row>
    <row r="720" spans="1:6" x14ac:dyDescent="0.25">
      <c r="A720" t="s">
        <v>5615</v>
      </c>
      <c r="B720" t="s">
        <v>5616</v>
      </c>
      <c r="C720" t="s">
        <v>4492</v>
      </c>
      <c r="D720" t="s">
        <v>4493</v>
      </c>
      <c r="E720" t="s">
        <v>4494</v>
      </c>
      <c r="F720" t="s">
        <v>1575</v>
      </c>
    </row>
    <row r="721" spans="1:6" x14ac:dyDescent="0.25">
      <c r="A721" t="s">
        <v>5401</v>
      </c>
      <c r="B721" t="s">
        <v>5402</v>
      </c>
      <c r="C721" t="s">
        <v>4492</v>
      </c>
      <c r="D721" t="s">
        <v>4493</v>
      </c>
      <c r="E721" t="s">
        <v>4494</v>
      </c>
      <c r="F721" t="s">
        <v>1575</v>
      </c>
    </row>
    <row r="722" spans="1:6" x14ac:dyDescent="0.25">
      <c r="A722" t="s">
        <v>6262</v>
      </c>
      <c r="B722" t="s">
        <v>6263</v>
      </c>
      <c r="C722" t="s">
        <v>4492</v>
      </c>
      <c r="D722" t="s">
        <v>4493</v>
      </c>
      <c r="E722" t="s">
        <v>4494</v>
      </c>
      <c r="F722" t="s">
        <v>1575</v>
      </c>
    </row>
    <row r="723" spans="1:6" x14ac:dyDescent="0.25">
      <c r="A723" t="s">
        <v>6290</v>
      </c>
      <c r="B723" t="s">
        <v>6291</v>
      </c>
      <c r="C723" t="s">
        <v>4492</v>
      </c>
      <c r="D723" t="s">
        <v>4493</v>
      </c>
      <c r="E723" t="s">
        <v>4494</v>
      </c>
      <c r="F723" t="s">
        <v>1575</v>
      </c>
    </row>
    <row r="724" spans="1:6" x14ac:dyDescent="0.25">
      <c r="A724" t="s">
        <v>6330</v>
      </c>
      <c r="B724" t="s">
        <v>6331</v>
      </c>
      <c r="C724" t="s">
        <v>4492</v>
      </c>
      <c r="D724" t="s">
        <v>4493</v>
      </c>
      <c r="E724" t="s">
        <v>4494</v>
      </c>
      <c r="F724" t="s">
        <v>1575</v>
      </c>
    </row>
    <row r="725" spans="1:6" x14ac:dyDescent="0.25">
      <c r="A725" t="s">
        <v>4790</v>
      </c>
      <c r="B725" t="s">
        <v>4791</v>
      </c>
      <c r="C725" t="s">
        <v>4492</v>
      </c>
      <c r="D725" t="s">
        <v>4493</v>
      </c>
      <c r="E725" t="s">
        <v>4494</v>
      </c>
      <c r="F725" t="s">
        <v>1575</v>
      </c>
    </row>
    <row r="726" spans="1:6" x14ac:dyDescent="0.25">
      <c r="A726" t="s">
        <v>5294</v>
      </c>
      <c r="B726" t="s">
        <v>5295</v>
      </c>
      <c r="C726" t="s">
        <v>4492</v>
      </c>
      <c r="D726" t="s">
        <v>4493</v>
      </c>
      <c r="E726" t="s">
        <v>4494</v>
      </c>
      <c r="F726" t="s">
        <v>1575</v>
      </c>
    </row>
    <row r="727" spans="1:6" x14ac:dyDescent="0.25">
      <c r="A727" t="s">
        <v>5421</v>
      </c>
      <c r="B727" t="s">
        <v>5422</v>
      </c>
      <c r="C727" t="s">
        <v>4492</v>
      </c>
      <c r="D727" t="s">
        <v>4493</v>
      </c>
      <c r="E727" t="s">
        <v>4494</v>
      </c>
      <c r="F727" t="s">
        <v>1575</v>
      </c>
    </row>
    <row r="728" spans="1:6" x14ac:dyDescent="0.25">
      <c r="A728" t="s">
        <v>5579</v>
      </c>
      <c r="B728" t="s">
        <v>5580</v>
      </c>
      <c r="C728" t="s">
        <v>2545</v>
      </c>
      <c r="D728" t="s">
        <v>5230</v>
      </c>
      <c r="E728">
        <v>646396628</v>
      </c>
      <c r="F728" t="s">
        <v>6725</v>
      </c>
    </row>
    <row r="729" spans="1:6" x14ac:dyDescent="0.25">
      <c r="A729" t="s">
        <v>6465</v>
      </c>
      <c r="B729" t="s">
        <v>6466</v>
      </c>
      <c r="C729" t="s">
        <v>4492</v>
      </c>
      <c r="D729" t="s">
        <v>4493</v>
      </c>
      <c r="E729" t="s">
        <v>4494</v>
      </c>
      <c r="F729" t="s">
        <v>1575</v>
      </c>
    </row>
    <row r="730" spans="1:6" x14ac:dyDescent="0.25">
      <c r="A730" t="s">
        <v>6403</v>
      </c>
      <c r="B730" t="s">
        <v>6404</v>
      </c>
      <c r="C730" t="s">
        <v>4492</v>
      </c>
      <c r="D730" t="s">
        <v>4493</v>
      </c>
      <c r="E730" t="s">
        <v>4494</v>
      </c>
      <c r="F730" t="s">
        <v>1575</v>
      </c>
    </row>
    <row r="731" spans="1:6" x14ac:dyDescent="0.25">
      <c r="A731" t="s">
        <v>6086</v>
      </c>
      <c r="B731" t="s">
        <v>6087</v>
      </c>
      <c r="C731" t="s">
        <v>4492</v>
      </c>
      <c r="D731" t="s">
        <v>4493</v>
      </c>
      <c r="E731" t="s">
        <v>4494</v>
      </c>
      <c r="F731" t="s">
        <v>1575</v>
      </c>
    </row>
    <row r="732" spans="1:6" x14ac:dyDescent="0.25">
      <c r="A732" t="s">
        <v>6070</v>
      </c>
      <c r="B732" t="s">
        <v>6071</v>
      </c>
      <c r="C732" t="s">
        <v>4492</v>
      </c>
      <c r="D732" t="s">
        <v>4493</v>
      </c>
      <c r="E732" t="s">
        <v>4494</v>
      </c>
      <c r="F732" t="s">
        <v>1575</v>
      </c>
    </row>
    <row r="733" spans="1:6" x14ac:dyDescent="0.25">
      <c r="A733" t="s">
        <v>4993</v>
      </c>
      <c r="B733" t="s">
        <v>4994</v>
      </c>
      <c r="C733" t="s">
        <v>4492</v>
      </c>
      <c r="D733" t="s">
        <v>4493</v>
      </c>
      <c r="E733" t="s">
        <v>4494</v>
      </c>
      <c r="F733" t="s">
        <v>1575</v>
      </c>
    </row>
    <row r="734" spans="1:6" x14ac:dyDescent="0.25">
      <c r="A734" t="s">
        <v>4869</v>
      </c>
      <c r="B734" t="s">
        <v>4870</v>
      </c>
      <c r="C734" t="s">
        <v>4492</v>
      </c>
      <c r="D734" t="s">
        <v>4493</v>
      </c>
      <c r="E734" t="s">
        <v>4494</v>
      </c>
      <c r="F734" t="s">
        <v>1575</v>
      </c>
    </row>
    <row r="735" spans="1:6" x14ac:dyDescent="0.25">
      <c r="A735" t="s">
        <v>5857</v>
      </c>
      <c r="B735" t="s">
        <v>5858</v>
      </c>
      <c r="C735" t="s">
        <v>1584</v>
      </c>
      <c r="D735" t="s">
        <v>4939</v>
      </c>
      <c r="E735">
        <v>629650764</v>
      </c>
      <c r="F735" t="s">
        <v>6782</v>
      </c>
    </row>
    <row r="736" spans="1:6" x14ac:dyDescent="0.25">
      <c r="A736" t="s">
        <v>4699</v>
      </c>
      <c r="B736" t="s">
        <v>4700</v>
      </c>
      <c r="C736" t="s">
        <v>4492</v>
      </c>
      <c r="D736" t="s">
        <v>4493</v>
      </c>
      <c r="E736" t="s">
        <v>4494</v>
      </c>
      <c r="F736" t="s">
        <v>1575</v>
      </c>
    </row>
    <row r="737" spans="1:6" x14ac:dyDescent="0.25">
      <c r="A737" t="s">
        <v>5963</v>
      </c>
      <c r="B737" t="s">
        <v>5964</v>
      </c>
      <c r="C737" t="s">
        <v>4492</v>
      </c>
      <c r="D737" t="s">
        <v>4493</v>
      </c>
      <c r="E737" t="s">
        <v>4494</v>
      </c>
      <c r="F737" t="s">
        <v>1575</v>
      </c>
    </row>
    <row r="738" spans="1:6" x14ac:dyDescent="0.25">
      <c r="A738" t="s">
        <v>4960</v>
      </c>
      <c r="B738" t="s">
        <v>4961</v>
      </c>
      <c r="C738" t="s">
        <v>4492</v>
      </c>
      <c r="D738" t="s">
        <v>4493</v>
      </c>
      <c r="E738" t="s">
        <v>4494</v>
      </c>
      <c r="F738" t="s">
        <v>1575</v>
      </c>
    </row>
    <row r="739" spans="1:6" x14ac:dyDescent="0.25">
      <c r="A739" t="s">
        <v>6080</v>
      </c>
      <c r="B739" t="s">
        <v>6081</v>
      </c>
      <c r="C739" t="s">
        <v>2307</v>
      </c>
      <c r="D739" t="s">
        <v>4810</v>
      </c>
      <c r="E739">
        <v>608696633</v>
      </c>
      <c r="F739" t="s">
        <v>6912</v>
      </c>
    </row>
    <row r="740" spans="1:6" x14ac:dyDescent="0.25">
      <c r="A740" t="s">
        <v>4557</v>
      </c>
      <c r="B740" t="s">
        <v>4558</v>
      </c>
      <c r="C740" t="s">
        <v>2240</v>
      </c>
      <c r="D740" t="s">
        <v>4559</v>
      </c>
      <c r="E740">
        <v>689152503</v>
      </c>
      <c r="F740" t="s">
        <v>6715</v>
      </c>
    </row>
    <row r="741" spans="1:6" x14ac:dyDescent="0.25">
      <c r="A741" t="s">
        <v>6010</v>
      </c>
      <c r="B741" t="s">
        <v>6011</v>
      </c>
      <c r="C741" t="s">
        <v>1735</v>
      </c>
      <c r="D741" t="s">
        <v>5364</v>
      </c>
      <c r="E741">
        <v>690606852</v>
      </c>
      <c r="F741" t="s">
        <v>6750</v>
      </c>
    </row>
    <row r="742" spans="1:6" x14ac:dyDescent="0.25">
      <c r="A742" t="s">
        <v>5973</v>
      </c>
      <c r="B742" t="s">
        <v>5974</v>
      </c>
      <c r="C742" t="s">
        <v>4492</v>
      </c>
      <c r="D742" t="s">
        <v>4493</v>
      </c>
      <c r="E742" t="s">
        <v>4494</v>
      </c>
      <c r="F742" t="s">
        <v>1575</v>
      </c>
    </row>
    <row r="743" spans="1:6" x14ac:dyDescent="0.25">
      <c r="A743" t="s">
        <v>4913</v>
      </c>
      <c r="B743" t="s">
        <v>4914</v>
      </c>
      <c r="C743" t="s">
        <v>4492</v>
      </c>
      <c r="D743" t="s">
        <v>4493</v>
      </c>
      <c r="E743" t="s">
        <v>4494</v>
      </c>
      <c r="F743" t="s">
        <v>1575</v>
      </c>
    </row>
    <row r="744" spans="1:6" x14ac:dyDescent="0.25">
      <c r="A744" t="s">
        <v>5026</v>
      </c>
      <c r="B744" t="s">
        <v>5027</v>
      </c>
      <c r="C744" t="s">
        <v>2001</v>
      </c>
      <c r="D744" t="s">
        <v>4578</v>
      </c>
      <c r="E744">
        <v>620361774</v>
      </c>
    </row>
    <row r="745" spans="1:6" x14ac:dyDescent="0.25">
      <c r="A745" t="s">
        <v>5583</v>
      </c>
      <c r="B745" t="s">
        <v>5584</v>
      </c>
      <c r="C745" t="s">
        <v>4492</v>
      </c>
      <c r="D745" t="s">
        <v>4493</v>
      </c>
      <c r="E745" t="s">
        <v>4494</v>
      </c>
      <c r="F745" t="s">
        <v>1575</v>
      </c>
    </row>
    <row r="746" spans="1:6" x14ac:dyDescent="0.25">
      <c r="A746" t="s">
        <v>5208</v>
      </c>
      <c r="B746" t="s">
        <v>5209</v>
      </c>
      <c r="C746" t="s">
        <v>4492</v>
      </c>
      <c r="D746" t="s">
        <v>4493</v>
      </c>
      <c r="E746" t="s">
        <v>4494</v>
      </c>
      <c r="F746" t="s">
        <v>1575</v>
      </c>
    </row>
    <row r="747" spans="1:6" x14ac:dyDescent="0.25">
      <c r="A747" t="s">
        <v>5274</v>
      </c>
      <c r="B747" t="s">
        <v>5275</v>
      </c>
      <c r="C747" t="s">
        <v>4492</v>
      </c>
      <c r="D747" t="s">
        <v>4493</v>
      </c>
      <c r="E747" t="s">
        <v>4494</v>
      </c>
      <c r="F747" t="s">
        <v>1575</v>
      </c>
    </row>
    <row r="748" spans="1:6" x14ac:dyDescent="0.25">
      <c r="A748" t="s">
        <v>5906</v>
      </c>
      <c r="B748" t="s">
        <v>5907</v>
      </c>
      <c r="C748" t="s">
        <v>4492</v>
      </c>
      <c r="D748" t="s">
        <v>4493</v>
      </c>
      <c r="E748" t="s">
        <v>4494</v>
      </c>
      <c r="F748" t="s">
        <v>1575</v>
      </c>
    </row>
    <row r="749" spans="1:6" x14ac:dyDescent="0.25">
      <c r="A749" t="s">
        <v>5690</v>
      </c>
      <c r="B749" t="s">
        <v>5691</v>
      </c>
      <c r="C749" t="s">
        <v>4492</v>
      </c>
      <c r="D749" t="s">
        <v>4493</v>
      </c>
      <c r="E749" t="s">
        <v>4494</v>
      </c>
      <c r="F749" t="s">
        <v>1575</v>
      </c>
    </row>
    <row r="750" spans="1:6" x14ac:dyDescent="0.25">
      <c r="A750" t="s">
        <v>6516</v>
      </c>
      <c r="B750" t="s">
        <v>6517</v>
      </c>
      <c r="C750" t="s">
        <v>4492</v>
      </c>
      <c r="D750" t="s">
        <v>4493</v>
      </c>
      <c r="E750" t="s">
        <v>4494</v>
      </c>
      <c r="F750" t="s">
        <v>1575</v>
      </c>
    </row>
    <row r="751" spans="1:6" x14ac:dyDescent="0.25">
      <c r="A751" t="s">
        <v>5433</v>
      </c>
      <c r="B751" t="s">
        <v>5434</v>
      </c>
      <c r="C751" t="s">
        <v>4492</v>
      </c>
      <c r="D751" t="s">
        <v>4493</v>
      </c>
      <c r="E751" t="s">
        <v>4494</v>
      </c>
      <c r="F751" t="s">
        <v>1575</v>
      </c>
    </row>
    <row r="752" spans="1:6" x14ac:dyDescent="0.25">
      <c r="A752" t="s">
        <v>6497</v>
      </c>
      <c r="B752" t="s">
        <v>6498</v>
      </c>
      <c r="C752" t="s">
        <v>1590</v>
      </c>
      <c r="D752" t="s">
        <v>5025</v>
      </c>
      <c r="E752">
        <v>699045113</v>
      </c>
      <c r="F752" t="s">
        <v>6675</v>
      </c>
    </row>
    <row r="753" spans="1:6" x14ac:dyDescent="0.25">
      <c r="A753" t="s">
        <v>5078</v>
      </c>
      <c r="B753" t="s">
        <v>5079</v>
      </c>
      <c r="C753" t="s">
        <v>4492</v>
      </c>
      <c r="D753" t="s">
        <v>4493</v>
      </c>
      <c r="E753" t="s">
        <v>4494</v>
      </c>
      <c r="F753" t="s">
        <v>1575</v>
      </c>
    </row>
    <row r="754" spans="1:6" x14ac:dyDescent="0.25">
      <c r="A754" t="s">
        <v>4773</v>
      </c>
      <c r="B754" t="s">
        <v>4774</v>
      </c>
      <c r="C754" t="s">
        <v>4492</v>
      </c>
      <c r="D754" t="s">
        <v>4493</v>
      </c>
      <c r="E754" t="s">
        <v>4494</v>
      </c>
      <c r="F754" t="s">
        <v>1575</v>
      </c>
    </row>
    <row r="755" spans="1:6" x14ac:dyDescent="0.25">
      <c r="A755" t="s">
        <v>5581</v>
      </c>
      <c r="B755" t="s">
        <v>5582</v>
      </c>
      <c r="C755" t="s">
        <v>4492</v>
      </c>
      <c r="D755" t="s">
        <v>4493</v>
      </c>
      <c r="E755" t="s">
        <v>4494</v>
      </c>
      <c r="F755" t="s">
        <v>1575</v>
      </c>
    </row>
    <row r="756" spans="1:6" x14ac:dyDescent="0.25">
      <c r="A756" t="s">
        <v>5737</v>
      </c>
      <c r="B756" t="s">
        <v>5738</v>
      </c>
      <c r="C756" t="s">
        <v>4492</v>
      </c>
      <c r="D756" t="s">
        <v>4493</v>
      </c>
      <c r="E756" t="s">
        <v>4494</v>
      </c>
      <c r="F756" t="s">
        <v>1575</v>
      </c>
    </row>
    <row r="757" spans="1:6" x14ac:dyDescent="0.25">
      <c r="A757" t="s">
        <v>5597</v>
      </c>
      <c r="B757" t="s">
        <v>5598</v>
      </c>
      <c r="C757" t="s">
        <v>4492</v>
      </c>
      <c r="D757" t="s">
        <v>4493</v>
      </c>
      <c r="E757" t="s">
        <v>4494</v>
      </c>
      <c r="F757" t="s">
        <v>1575</v>
      </c>
    </row>
    <row r="758" spans="1:6" x14ac:dyDescent="0.25">
      <c r="A758" t="s">
        <v>6495</v>
      </c>
      <c r="B758" t="s">
        <v>6496</v>
      </c>
      <c r="C758" t="s">
        <v>4492</v>
      </c>
      <c r="D758" t="s">
        <v>4493</v>
      </c>
      <c r="E758" t="s">
        <v>4494</v>
      </c>
      <c r="F758" t="s">
        <v>1575</v>
      </c>
    </row>
    <row r="759" spans="1:6" x14ac:dyDescent="0.25">
      <c r="A759" t="s">
        <v>5708</v>
      </c>
      <c r="B759" t="s">
        <v>5709</v>
      </c>
      <c r="C759" t="s">
        <v>4492</v>
      </c>
      <c r="D759" t="s">
        <v>4493</v>
      </c>
      <c r="E759" t="s">
        <v>4494</v>
      </c>
      <c r="F759" t="s">
        <v>1575</v>
      </c>
    </row>
    <row r="760" spans="1:6" x14ac:dyDescent="0.25">
      <c r="A760" t="s">
        <v>6455</v>
      </c>
      <c r="B760" t="s">
        <v>6456</v>
      </c>
      <c r="C760" t="s">
        <v>4492</v>
      </c>
      <c r="D760" t="s">
        <v>4493</v>
      </c>
      <c r="E760" t="s">
        <v>4494</v>
      </c>
      <c r="F760" t="s">
        <v>1575</v>
      </c>
    </row>
    <row r="761" spans="1:6" x14ac:dyDescent="0.25">
      <c r="A761" t="s">
        <v>5807</v>
      </c>
      <c r="B761" t="s">
        <v>5808</v>
      </c>
      <c r="C761" t="s">
        <v>2826</v>
      </c>
      <c r="D761" t="s">
        <v>4781</v>
      </c>
      <c r="E761">
        <v>608160143</v>
      </c>
      <c r="F761" t="s">
        <v>6746</v>
      </c>
    </row>
    <row r="762" spans="1:6" x14ac:dyDescent="0.25">
      <c r="A762" t="s">
        <v>4533</v>
      </c>
      <c r="B762" t="s">
        <v>4534</v>
      </c>
      <c r="C762" t="s">
        <v>4535</v>
      </c>
      <c r="D762" t="s">
        <v>4536</v>
      </c>
      <c r="E762">
        <v>639756598</v>
      </c>
      <c r="F762" t="s">
        <v>6810</v>
      </c>
    </row>
    <row r="763" spans="1:6" x14ac:dyDescent="0.25">
      <c r="A763" t="s">
        <v>5779</v>
      </c>
      <c r="B763" t="s">
        <v>5780</v>
      </c>
      <c r="C763" t="s">
        <v>4492</v>
      </c>
      <c r="D763" t="s">
        <v>4493</v>
      </c>
      <c r="E763" t="s">
        <v>4494</v>
      </c>
      <c r="F763" t="s">
        <v>1575</v>
      </c>
    </row>
    <row r="764" spans="1:6" x14ac:dyDescent="0.25">
      <c r="A764" t="s">
        <v>5156</v>
      </c>
      <c r="B764" t="s">
        <v>5157</v>
      </c>
      <c r="C764" t="s">
        <v>4492</v>
      </c>
      <c r="D764" t="s">
        <v>4493</v>
      </c>
      <c r="E764" t="s">
        <v>4494</v>
      </c>
      <c r="F764" t="s">
        <v>1575</v>
      </c>
    </row>
    <row r="765" spans="1:6" x14ac:dyDescent="0.25">
      <c r="A765" t="s">
        <v>5119</v>
      </c>
      <c r="B765" t="s">
        <v>5120</v>
      </c>
      <c r="C765" t="s">
        <v>4492</v>
      </c>
      <c r="D765" t="s">
        <v>4493</v>
      </c>
      <c r="E765" t="s">
        <v>4494</v>
      </c>
      <c r="F765" t="s">
        <v>1575</v>
      </c>
    </row>
    <row r="766" spans="1:6" x14ac:dyDescent="0.25">
      <c r="A766" t="s">
        <v>4779</v>
      </c>
      <c r="B766" t="s">
        <v>4780</v>
      </c>
      <c r="C766" t="s">
        <v>2826</v>
      </c>
      <c r="D766" t="s">
        <v>4781</v>
      </c>
      <c r="E766">
        <v>608160143</v>
      </c>
      <c r="F766" t="s">
        <v>6746</v>
      </c>
    </row>
    <row r="767" spans="1:6" x14ac:dyDescent="0.25">
      <c r="A767" t="s">
        <v>4581</v>
      </c>
      <c r="B767" t="s">
        <v>4582</v>
      </c>
      <c r="C767" t="s">
        <v>4583</v>
      </c>
      <c r="D767" t="s">
        <v>4584</v>
      </c>
      <c r="E767">
        <v>638836487</v>
      </c>
    </row>
    <row r="768" spans="1:6" x14ac:dyDescent="0.25">
      <c r="A768" t="s">
        <v>4800</v>
      </c>
      <c r="B768" t="s">
        <v>4801</v>
      </c>
      <c r="C768" t="s">
        <v>4492</v>
      </c>
      <c r="D768" t="s">
        <v>4493</v>
      </c>
      <c r="E768" t="s">
        <v>4494</v>
      </c>
      <c r="F768" t="s">
        <v>1575</v>
      </c>
    </row>
    <row r="769" spans="1:6" x14ac:dyDescent="0.25">
      <c r="A769" t="s">
        <v>4823</v>
      </c>
      <c r="B769" t="s">
        <v>4824</v>
      </c>
      <c r="C769" t="s">
        <v>4492</v>
      </c>
      <c r="D769" t="s">
        <v>4493</v>
      </c>
      <c r="E769" t="s">
        <v>4494</v>
      </c>
      <c r="F769" t="s">
        <v>1575</v>
      </c>
    </row>
    <row r="770" spans="1:6" x14ac:dyDescent="0.25">
      <c r="A770" t="s">
        <v>5595</v>
      </c>
      <c r="B770" t="s">
        <v>5596</v>
      </c>
      <c r="C770" t="s">
        <v>4492</v>
      </c>
      <c r="D770" t="s">
        <v>4493</v>
      </c>
      <c r="E770" t="s">
        <v>4494</v>
      </c>
      <c r="F770" t="s">
        <v>1575</v>
      </c>
    </row>
    <row r="771" spans="1:6" x14ac:dyDescent="0.25">
      <c r="A771" t="s">
        <v>5147</v>
      </c>
      <c r="B771" t="s">
        <v>5148</v>
      </c>
      <c r="C771" t="s">
        <v>4492</v>
      </c>
      <c r="D771" t="s">
        <v>4493</v>
      </c>
      <c r="E771" t="s">
        <v>4494</v>
      </c>
      <c r="F771" t="s">
        <v>1575</v>
      </c>
    </row>
    <row r="772" spans="1:6" x14ac:dyDescent="0.25">
      <c r="A772" t="s">
        <v>5817</v>
      </c>
      <c r="B772" t="s">
        <v>5818</v>
      </c>
      <c r="C772" t="s">
        <v>4492</v>
      </c>
      <c r="D772" t="s">
        <v>4493</v>
      </c>
      <c r="E772" t="s">
        <v>4494</v>
      </c>
      <c r="F772" t="s">
        <v>1575</v>
      </c>
    </row>
    <row r="773" spans="1:6" x14ac:dyDescent="0.25">
      <c r="A773" t="s">
        <v>5623</v>
      </c>
      <c r="B773" t="s">
        <v>5624</v>
      </c>
      <c r="C773" t="s">
        <v>4492</v>
      </c>
      <c r="D773" t="s">
        <v>4493</v>
      </c>
      <c r="E773" t="s">
        <v>4494</v>
      </c>
      <c r="F773" t="s">
        <v>1575</v>
      </c>
    </row>
    <row r="774" spans="1:6" x14ac:dyDescent="0.25">
      <c r="A774" t="s">
        <v>5224</v>
      </c>
      <c r="B774" t="s">
        <v>5225</v>
      </c>
      <c r="C774" t="s">
        <v>4492</v>
      </c>
      <c r="D774" t="s">
        <v>4493</v>
      </c>
      <c r="E774" t="s">
        <v>4494</v>
      </c>
      <c r="F774" t="s">
        <v>1575</v>
      </c>
    </row>
    <row r="775" spans="1:6" x14ac:dyDescent="0.25">
      <c r="A775" t="s">
        <v>4775</v>
      </c>
      <c r="B775" t="s">
        <v>4776</v>
      </c>
      <c r="C775" t="s">
        <v>4492</v>
      </c>
      <c r="D775" t="s">
        <v>4493</v>
      </c>
      <c r="E775" t="s">
        <v>4494</v>
      </c>
      <c r="F775" t="s">
        <v>1575</v>
      </c>
    </row>
    <row r="776" spans="1:6" x14ac:dyDescent="0.25">
      <c r="A776" t="s">
        <v>4931</v>
      </c>
      <c r="B776" t="s">
        <v>4932</v>
      </c>
      <c r="C776" t="s">
        <v>4492</v>
      </c>
      <c r="D776" t="s">
        <v>4493</v>
      </c>
      <c r="E776" t="s">
        <v>4494</v>
      </c>
      <c r="F776" t="s">
        <v>1575</v>
      </c>
    </row>
    <row r="777" spans="1:6" x14ac:dyDescent="0.25">
      <c r="A777" t="s">
        <v>6467</v>
      </c>
      <c r="B777" t="s">
        <v>6468</v>
      </c>
      <c r="C777" t="s">
        <v>4492</v>
      </c>
      <c r="D777" t="s">
        <v>4493</v>
      </c>
      <c r="E777" t="s">
        <v>4494</v>
      </c>
      <c r="F777" t="s">
        <v>1575</v>
      </c>
    </row>
    <row r="778" spans="1:6" x14ac:dyDescent="0.25">
      <c r="A778" t="s">
        <v>4964</v>
      </c>
      <c r="B778" t="s">
        <v>4965</v>
      </c>
      <c r="C778" t="s">
        <v>4492</v>
      </c>
      <c r="D778" t="s">
        <v>4493</v>
      </c>
      <c r="E778" t="s">
        <v>4494</v>
      </c>
      <c r="F778" t="s">
        <v>1575</v>
      </c>
    </row>
    <row r="779" spans="1:6" x14ac:dyDescent="0.25">
      <c r="A779" t="s">
        <v>5975</v>
      </c>
      <c r="B779" t="s">
        <v>5976</v>
      </c>
      <c r="C779" t="s">
        <v>4492</v>
      </c>
      <c r="D779" t="s">
        <v>4493</v>
      </c>
      <c r="E779" t="s">
        <v>4494</v>
      </c>
      <c r="F779" t="s">
        <v>1575</v>
      </c>
    </row>
    <row r="780" spans="1:6" x14ac:dyDescent="0.25">
      <c r="A780" t="s">
        <v>6336</v>
      </c>
      <c r="B780" t="s">
        <v>6337</v>
      </c>
      <c r="C780" t="s">
        <v>4492</v>
      </c>
      <c r="D780" t="s">
        <v>4493</v>
      </c>
      <c r="E780" t="s">
        <v>4494</v>
      </c>
      <c r="F780" t="s">
        <v>1575</v>
      </c>
    </row>
    <row r="781" spans="1:6" x14ac:dyDescent="0.25">
      <c r="A781" t="s">
        <v>6082</v>
      </c>
      <c r="B781" t="s">
        <v>6083</v>
      </c>
      <c r="C781" t="s">
        <v>4492</v>
      </c>
      <c r="D781" t="s">
        <v>4493</v>
      </c>
      <c r="E781" t="s">
        <v>4494</v>
      </c>
      <c r="F781" t="s">
        <v>1575</v>
      </c>
    </row>
    <row r="782" spans="1:6" x14ac:dyDescent="0.25">
      <c r="A782" t="s">
        <v>5115</v>
      </c>
      <c r="B782" t="s">
        <v>5116</v>
      </c>
      <c r="C782" t="s">
        <v>4492</v>
      </c>
      <c r="D782" t="s">
        <v>4493</v>
      </c>
      <c r="E782" t="s">
        <v>4494</v>
      </c>
      <c r="F782" t="s">
        <v>1575</v>
      </c>
    </row>
    <row r="783" spans="1:6" x14ac:dyDescent="0.25">
      <c r="A783" t="s">
        <v>5537</v>
      </c>
      <c r="B783" t="s">
        <v>5538</v>
      </c>
      <c r="C783" t="s">
        <v>4492</v>
      </c>
      <c r="D783" t="s">
        <v>4493</v>
      </c>
      <c r="E783" t="s">
        <v>4494</v>
      </c>
      <c r="F783" t="s">
        <v>1575</v>
      </c>
    </row>
    <row r="784" spans="1:6" x14ac:dyDescent="0.25">
      <c r="A784" t="s">
        <v>4796</v>
      </c>
      <c r="B784" t="s">
        <v>4797</v>
      </c>
      <c r="C784" t="s">
        <v>4492</v>
      </c>
      <c r="D784" t="s">
        <v>4493</v>
      </c>
      <c r="E784" t="s">
        <v>4494</v>
      </c>
      <c r="F784" t="s">
        <v>1575</v>
      </c>
    </row>
    <row r="785" spans="1:6" x14ac:dyDescent="0.25">
      <c r="A785" t="s">
        <v>6284</v>
      </c>
      <c r="B785" t="s">
        <v>6285</v>
      </c>
      <c r="C785" t="s">
        <v>4492</v>
      </c>
      <c r="D785" t="s">
        <v>4493</v>
      </c>
      <c r="E785" t="s">
        <v>4494</v>
      </c>
      <c r="F785" t="s">
        <v>1575</v>
      </c>
    </row>
    <row r="786" spans="1:6" x14ac:dyDescent="0.25">
      <c r="A786" t="s">
        <v>5143</v>
      </c>
      <c r="B786" t="s">
        <v>5144</v>
      </c>
      <c r="C786" t="s">
        <v>1641</v>
      </c>
      <c r="D786" t="s">
        <v>4678</v>
      </c>
      <c r="E786">
        <v>618141033</v>
      </c>
      <c r="F786" t="s">
        <v>6801</v>
      </c>
    </row>
    <row r="787" spans="1:6" x14ac:dyDescent="0.25">
      <c r="A787" t="s">
        <v>4749</v>
      </c>
      <c r="B787" t="s">
        <v>4750</v>
      </c>
      <c r="C787" t="s">
        <v>4492</v>
      </c>
      <c r="D787" t="s">
        <v>4493</v>
      </c>
      <c r="E787" t="s">
        <v>4494</v>
      </c>
      <c r="F787" t="s">
        <v>1575</v>
      </c>
    </row>
    <row r="788" spans="1:6" x14ac:dyDescent="0.25">
      <c r="A788" t="s">
        <v>6292</v>
      </c>
      <c r="B788" t="s">
        <v>6293</v>
      </c>
      <c r="C788" t="s">
        <v>4492</v>
      </c>
      <c r="D788" t="s">
        <v>4493</v>
      </c>
      <c r="E788" t="s">
        <v>4494</v>
      </c>
      <c r="F788" t="s">
        <v>1575</v>
      </c>
    </row>
    <row r="789" spans="1:6" x14ac:dyDescent="0.25">
      <c r="A789" t="s">
        <v>5332</v>
      </c>
      <c r="B789" t="s">
        <v>5333</v>
      </c>
      <c r="C789" t="s">
        <v>5050</v>
      </c>
      <c r="D789" t="s">
        <v>5051</v>
      </c>
      <c r="E789">
        <v>636957860</v>
      </c>
      <c r="F789" t="s">
        <v>6668</v>
      </c>
    </row>
    <row r="790" spans="1:6" x14ac:dyDescent="0.25">
      <c r="A790" t="s">
        <v>5107</v>
      </c>
      <c r="B790" t="s">
        <v>5108</v>
      </c>
      <c r="C790" t="s">
        <v>4833</v>
      </c>
      <c r="D790" t="s">
        <v>4834</v>
      </c>
      <c r="E790">
        <v>628093005</v>
      </c>
      <c r="F790" t="s">
        <v>6767</v>
      </c>
    </row>
    <row r="791" spans="1:6" x14ac:dyDescent="0.25">
      <c r="A791" t="s">
        <v>6008</v>
      </c>
      <c r="B791" t="s">
        <v>6009</v>
      </c>
      <c r="C791" t="s">
        <v>4492</v>
      </c>
      <c r="D791" t="s">
        <v>4493</v>
      </c>
      <c r="E791" t="s">
        <v>4494</v>
      </c>
      <c r="F791" t="s">
        <v>1575</v>
      </c>
    </row>
    <row r="792" spans="1:6" x14ac:dyDescent="0.25">
      <c r="A792" t="s">
        <v>4817</v>
      </c>
      <c r="B792" t="s">
        <v>4818</v>
      </c>
      <c r="C792" t="s">
        <v>4492</v>
      </c>
      <c r="D792" t="s">
        <v>4493</v>
      </c>
      <c r="E792" t="s">
        <v>4494</v>
      </c>
      <c r="F792" t="s">
        <v>1575</v>
      </c>
    </row>
    <row r="793" spans="1:6" x14ac:dyDescent="0.25">
      <c r="A793" t="s">
        <v>5961</v>
      </c>
      <c r="B793" t="s">
        <v>5962</v>
      </c>
      <c r="C793" t="s">
        <v>4492</v>
      </c>
      <c r="D793" t="s">
        <v>4493</v>
      </c>
      <c r="E793" t="s">
        <v>4494</v>
      </c>
      <c r="F793" t="s">
        <v>1575</v>
      </c>
    </row>
    <row r="794" spans="1:6" x14ac:dyDescent="0.25">
      <c r="A794" t="s">
        <v>4531</v>
      </c>
      <c r="B794" t="s">
        <v>4532</v>
      </c>
      <c r="C794" t="s">
        <v>4492</v>
      </c>
      <c r="D794" t="s">
        <v>4493</v>
      </c>
      <c r="E794" t="s">
        <v>4494</v>
      </c>
      <c r="F794" t="s">
        <v>1575</v>
      </c>
    </row>
    <row r="795" spans="1:6" x14ac:dyDescent="0.25">
      <c r="A795" t="s">
        <v>5017</v>
      </c>
      <c r="B795" t="s">
        <v>5018</v>
      </c>
      <c r="C795" t="s">
        <v>4492</v>
      </c>
      <c r="D795" t="s">
        <v>4493</v>
      </c>
      <c r="E795" t="s">
        <v>4494</v>
      </c>
      <c r="F795" t="s">
        <v>1575</v>
      </c>
    </row>
    <row r="796" spans="1:6" x14ac:dyDescent="0.25">
      <c r="A796" t="s">
        <v>6520</v>
      </c>
      <c r="B796" t="s">
        <v>6521</v>
      </c>
      <c r="C796" t="s">
        <v>4492</v>
      </c>
      <c r="D796" t="s">
        <v>4493</v>
      </c>
      <c r="E796" t="s">
        <v>4494</v>
      </c>
      <c r="F796" t="s">
        <v>1575</v>
      </c>
    </row>
    <row r="797" spans="1:6" x14ac:dyDescent="0.25">
      <c r="A797" t="s">
        <v>5631</v>
      </c>
      <c r="B797" t="s">
        <v>5632</v>
      </c>
      <c r="C797" t="s">
        <v>4492</v>
      </c>
      <c r="D797" t="s">
        <v>4493</v>
      </c>
      <c r="E797" t="s">
        <v>4494</v>
      </c>
      <c r="F797" t="s">
        <v>1575</v>
      </c>
    </row>
    <row r="798" spans="1:6" x14ac:dyDescent="0.25">
      <c r="A798" t="s">
        <v>4549</v>
      </c>
      <c r="B798" t="s">
        <v>4550</v>
      </c>
      <c r="C798" t="s">
        <v>4492</v>
      </c>
      <c r="D798" t="s">
        <v>4493</v>
      </c>
      <c r="E798" t="s">
        <v>4494</v>
      </c>
      <c r="F798" t="s">
        <v>1575</v>
      </c>
    </row>
    <row r="799" spans="1:6" x14ac:dyDescent="0.25">
      <c r="A799" t="s">
        <v>5587</v>
      </c>
      <c r="B799" t="s">
        <v>5588</v>
      </c>
      <c r="C799" t="s">
        <v>4492</v>
      </c>
      <c r="D799" t="s">
        <v>4493</v>
      </c>
      <c r="E799" t="s">
        <v>4494</v>
      </c>
      <c r="F799" t="s">
        <v>1575</v>
      </c>
    </row>
    <row r="800" spans="1:6" x14ac:dyDescent="0.25">
      <c r="A800" t="s">
        <v>5605</v>
      </c>
      <c r="B800" t="s">
        <v>5606</v>
      </c>
      <c r="C800" t="s">
        <v>4492</v>
      </c>
      <c r="D800" t="s">
        <v>4493</v>
      </c>
      <c r="E800" t="s">
        <v>4494</v>
      </c>
      <c r="F800" t="s">
        <v>1575</v>
      </c>
    </row>
    <row r="801" spans="1:6" x14ac:dyDescent="0.25">
      <c r="A801" t="s">
        <v>4865</v>
      </c>
      <c r="B801" t="s">
        <v>4866</v>
      </c>
      <c r="C801" t="s">
        <v>4492</v>
      </c>
      <c r="D801" t="s">
        <v>4493</v>
      </c>
      <c r="E801" t="s">
        <v>4494</v>
      </c>
      <c r="F801" t="s">
        <v>1575</v>
      </c>
    </row>
    <row r="802" spans="1:6" x14ac:dyDescent="0.25">
      <c r="A802" t="s">
        <v>6503</v>
      </c>
      <c r="B802" t="s">
        <v>6504</v>
      </c>
      <c r="C802" t="s">
        <v>4492</v>
      </c>
      <c r="D802" t="s">
        <v>4493</v>
      </c>
      <c r="E802" t="s">
        <v>4494</v>
      </c>
      <c r="F802" t="s">
        <v>1575</v>
      </c>
    </row>
    <row r="803" spans="1:6" x14ac:dyDescent="0.25">
      <c r="A803" t="s">
        <v>5231</v>
      </c>
      <c r="B803" t="s">
        <v>5232</v>
      </c>
      <c r="C803" t="s">
        <v>4492</v>
      </c>
      <c r="D803" t="s">
        <v>4493</v>
      </c>
      <c r="E803" t="s">
        <v>4494</v>
      </c>
      <c r="F803" t="s">
        <v>1575</v>
      </c>
    </row>
    <row r="804" spans="1:6" x14ac:dyDescent="0.25">
      <c r="A804" t="s">
        <v>5929</v>
      </c>
      <c r="B804" t="s">
        <v>5930</v>
      </c>
      <c r="C804" t="s">
        <v>4492</v>
      </c>
      <c r="D804" t="s">
        <v>4493</v>
      </c>
      <c r="E804" t="s">
        <v>4494</v>
      </c>
      <c r="F804" t="s">
        <v>1575</v>
      </c>
    </row>
    <row r="805" spans="1:6" x14ac:dyDescent="0.25">
      <c r="A805" t="s">
        <v>4570</v>
      </c>
      <c r="B805" t="s">
        <v>4571</v>
      </c>
      <c r="C805" t="s">
        <v>4572</v>
      </c>
      <c r="D805" t="s">
        <v>4573</v>
      </c>
      <c r="E805">
        <v>626560920</v>
      </c>
    </row>
    <row r="806" spans="1:6" x14ac:dyDescent="0.25">
      <c r="A806" t="s">
        <v>5084</v>
      </c>
      <c r="B806" t="s">
        <v>5085</v>
      </c>
      <c r="C806" t="s">
        <v>4572</v>
      </c>
      <c r="D806" t="s">
        <v>4573</v>
      </c>
      <c r="E806">
        <v>626560920</v>
      </c>
    </row>
    <row r="807" spans="1:6" x14ac:dyDescent="0.25">
      <c r="A807" t="s">
        <v>5686</v>
      </c>
      <c r="B807" t="s">
        <v>5687</v>
      </c>
      <c r="C807" t="s">
        <v>4572</v>
      </c>
      <c r="D807" t="s">
        <v>4573</v>
      </c>
      <c r="E807">
        <v>626560920</v>
      </c>
    </row>
    <row r="808" spans="1:6" x14ac:dyDescent="0.25">
      <c r="A808" t="s">
        <v>4711</v>
      </c>
      <c r="B808" t="s">
        <v>4712</v>
      </c>
      <c r="C808" t="s">
        <v>4492</v>
      </c>
      <c r="D808" t="s">
        <v>4493</v>
      </c>
      <c r="E808" t="s">
        <v>4494</v>
      </c>
      <c r="F808" t="s">
        <v>1575</v>
      </c>
    </row>
    <row r="809" spans="1:6" x14ac:dyDescent="0.25">
      <c r="A809" t="s">
        <v>5827</v>
      </c>
      <c r="B809" t="s">
        <v>5828</v>
      </c>
      <c r="C809" t="s">
        <v>4492</v>
      </c>
      <c r="D809" t="s">
        <v>4493</v>
      </c>
      <c r="E809" t="s">
        <v>4494</v>
      </c>
      <c r="F809" t="s">
        <v>1575</v>
      </c>
    </row>
    <row r="810" spans="1:6" x14ac:dyDescent="0.25">
      <c r="A810" t="s">
        <v>6524</v>
      </c>
      <c r="B810" t="s">
        <v>6525</v>
      </c>
      <c r="C810" t="s">
        <v>1635</v>
      </c>
      <c r="D810" t="s">
        <v>4968</v>
      </c>
      <c r="E810">
        <v>682232727</v>
      </c>
      <c r="F810" t="s">
        <v>6914</v>
      </c>
    </row>
    <row r="811" spans="1:6" x14ac:dyDescent="0.25">
      <c r="A811" t="s">
        <v>5621</v>
      </c>
      <c r="B811" t="s">
        <v>5622</v>
      </c>
      <c r="C811" t="s">
        <v>1635</v>
      </c>
      <c r="D811" t="s">
        <v>4968</v>
      </c>
      <c r="E811">
        <v>682232727</v>
      </c>
      <c r="F811" t="s">
        <v>6914</v>
      </c>
    </row>
    <row r="812" spans="1:6" x14ac:dyDescent="0.25">
      <c r="A812" t="s">
        <v>5362</v>
      </c>
      <c r="B812" t="s">
        <v>5363</v>
      </c>
      <c r="C812" t="s">
        <v>1735</v>
      </c>
      <c r="D812" t="s">
        <v>5364</v>
      </c>
      <c r="E812">
        <v>690606852</v>
      </c>
      <c r="F812" t="s">
        <v>6750</v>
      </c>
    </row>
    <row r="813" spans="1:6" x14ac:dyDescent="0.25">
      <c r="A813" t="s">
        <v>4525</v>
      </c>
      <c r="B813" t="s">
        <v>4526</v>
      </c>
      <c r="C813" t="s">
        <v>4492</v>
      </c>
      <c r="D813" t="s">
        <v>4493</v>
      </c>
      <c r="E813" t="s">
        <v>4494</v>
      </c>
      <c r="F813" t="s">
        <v>1575</v>
      </c>
    </row>
    <row r="814" spans="1:6" x14ac:dyDescent="0.25">
      <c r="A814" t="s">
        <v>5491</v>
      </c>
      <c r="B814" t="s">
        <v>5492</v>
      </c>
      <c r="C814" t="s">
        <v>4492</v>
      </c>
      <c r="D814" t="s">
        <v>4493</v>
      </c>
      <c r="E814" t="s">
        <v>4494</v>
      </c>
      <c r="F814" t="s">
        <v>1575</v>
      </c>
    </row>
    <row r="815" spans="1:6" x14ac:dyDescent="0.25">
      <c r="A815" t="s">
        <v>4733</v>
      </c>
      <c r="B815" t="s">
        <v>4734</v>
      </c>
      <c r="C815" t="s">
        <v>4492</v>
      </c>
      <c r="D815" t="s">
        <v>4493</v>
      </c>
      <c r="E815" t="s">
        <v>4494</v>
      </c>
      <c r="F815" t="s">
        <v>1575</v>
      </c>
    </row>
    <row r="816" spans="1:6" x14ac:dyDescent="0.25">
      <c r="A816" t="s">
        <v>5670</v>
      </c>
      <c r="B816" t="s">
        <v>5671</v>
      </c>
      <c r="C816" t="s">
        <v>4492</v>
      </c>
      <c r="D816" t="s">
        <v>4493</v>
      </c>
      <c r="E816" t="s">
        <v>4494</v>
      </c>
      <c r="F816" t="s">
        <v>1575</v>
      </c>
    </row>
    <row r="817" spans="1:6" x14ac:dyDescent="0.25">
      <c r="A817" t="s">
        <v>4737</v>
      </c>
      <c r="B817" t="s">
        <v>4738</v>
      </c>
      <c r="C817" t="s">
        <v>4492</v>
      </c>
      <c r="D817" t="s">
        <v>4493</v>
      </c>
      <c r="E817" t="s">
        <v>4494</v>
      </c>
      <c r="F817" t="s">
        <v>1575</v>
      </c>
    </row>
    <row r="818" spans="1:6" x14ac:dyDescent="0.25">
      <c r="A818" t="s">
        <v>6512</v>
      </c>
      <c r="B818" t="s">
        <v>6513</v>
      </c>
      <c r="C818" t="s">
        <v>4492</v>
      </c>
      <c r="D818" t="s">
        <v>4493</v>
      </c>
      <c r="E818" t="s">
        <v>4494</v>
      </c>
      <c r="F818" t="s">
        <v>1575</v>
      </c>
    </row>
    <row r="819" spans="1:6" x14ac:dyDescent="0.25">
      <c r="A819" t="s">
        <v>5135</v>
      </c>
      <c r="B819" t="s">
        <v>5136</v>
      </c>
      <c r="C819" t="s">
        <v>4492</v>
      </c>
      <c r="D819" t="s">
        <v>4493</v>
      </c>
      <c r="E819" t="s">
        <v>4494</v>
      </c>
      <c r="F819" t="s">
        <v>1575</v>
      </c>
    </row>
    <row r="820" spans="1:6" x14ac:dyDescent="0.25">
      <c r="A820" t="s">
        <v>5324</v>
      </c>
      <c r="B820" t="s">
        <v>5325</v>
      </c>
      <c r="C820" t="s">
        <v>4492</v>
      </c>
      <c r="D820" t="s">
        <v>4493</v>
      </c>
      <c r="E820" t="s">
        <v>4494</v>
      </c>
      <c r="F820" t="s">
        <v>1575</v>
      </c>
    </row>
    <row r="821" spans="1:6" x14ac:dyDescent="0.25">
      <c r="A821" t="s">
        <v>5127</v>
      </c>
      <c r="B821" t="s">
        <v>5128</v>
      </c>
      <c r="C821" t="s">
        <v>4492</v>
      </c>
      <c r="D821" t="s">
        <v>4493</v>
      </c>
      <c r="E821" t="s">
        <v>4494</v>
      </c>
      <c r="F821" t="s">
        <v>1575</v>
      </c>
    </row>
    <row r="822" spans="1:6" x14ac:dyDescent="0.25">
      <c r="A822" t="s">
        <v>5058</v>
      </c>
      <c r="B822" t="s">
        <v>5059</v>
      </c>
      <c r="C822" t="s">
        <v>4492</v>
      </c>
      <c r="D822" t="s">
        <v>4493</v>
      </c>
      <c r="E822" t="s">
        <v>4494</v>
      </c>
      <c r="F822" t="s">
        <v>1575</v>
      </c>
    </row>
    <row r="823" spans="1:6" x14ac:dyDescent="0.25">
      <c r="A823" t="s">
        <v>5015</v>
      </c>
      <c r="B823" t="s">
        <v>5016</v>
      </c>
      <c r="C823" t="s">
        <v>4492</v>
      </c>
      <c r="D823" t="s">
        <v>4493</v>
      </c>
      <c r="E823" t="s">
        <v>4494</v>
      </c>
      <c r="F823" t="s">
        <v>1575</v>
      </c>
    </row>
    <row r="824" spans="1:6" x14ac:dyDescent="0.25">
      <c r="A824" t="s">
        <v>4576</v>
      </c>
      <c r="B824" t="s">
        <v>4577</v>
      </c>
      <c r="C824" t="s">
        <v>2001</v>
      </c>
      <c r="D824" t="s">
        <v>4578</v>
      </c>
      <c r="E824">
        <v>620361774</v>
      </c>
    </row>
    <row r="825" spans="1:6" x14ac:dyDescent="0.25">
      <c r="A825" t="s">
        <v>5833</v>
      </c>
      <c r="B825" t="s">
        <v>5834</v>
      </c>
      <c r="C825" t="s">
        <v>4492</v>
      </c>
      <c r="D825" t="s">
        <v>4493</v>
      </c>
      <c r="E825" t="s">
        <v>4494</v>
      </c>
      <c r="F825" t="s">
        <v>1575</v>
      </c>
    </row>
    <row r="826" spans="1:6" x14ac:dyDescent="0.25">
      <c r="A826" t="s">
        <v>5021</v>
      </c>
      <c r="B826" t="s">
        <v>5022</v>
      </c>
      <c r="C826" t="s">
        <v>4492</v>
      </c>
      <c r="D826" t="s">
        <v>4493</v>
      </c>
      <c r="E826" t="s">
        <v>4494</v>
      </c>
      <c r="F826" t="s">
        <v>1575</v>
      </c>
    </row>
    <row r="827" spans="1:6" x14ac:dyDescent="0.25">
      <c r="A827" t="s">
        <v>5519</v>
      </c>
      <c r="B827" t="s">
        <v>5520</v>
      </c>
      <c r="C827" t="s">
        <v>4492</v>
      </c>
      <c r="D827" t="s">
        <v>4493</v>
      </c>
      <c r="E827" t="s">
        <v>4494</v>
      </c>
      <c r="F827" t="s">
        <v>1575</v>
      </c>
    </row>
    <row r="828" spans="1:6" x14ac:dyDescent="0.25">
      <c r="A828" t="s">
        <v>6418</v>
      </c>
      <c r="B828" t="s">
        <v>6419</v>
      </c>
      <c r="C828" t="s">
        <v>4492</v>
      </c>
      <c r="D828" t="s">
        <v>4493</v>
      </c>
      <c r="E828" t="s">
        <v>4494</v>
      </c>
      <c r="F828" t="s">
        <v>1575</v>
      </c>
    </row>
    <row r="829" spans="1:6" x14ac:dyDescent="0.25">
      <c r="A829" t="s">
        <v>6410</v>
      </c>
      <c r="B829" t="s">
        <v>6411</v>
      </c>
      <c r="C829" t="s">
        <v>1695</v>
      </c>
      <c r="D829" t="s">
        <v>4687</v>
      </c>
      <c r="E829">
        <v>618790056</v>
      </c>
      <c r="F829" t="s">
        <v>6787</v>
      </c>
    </row>
    <row r="830" spans="1:6" x14ac:dyDescent="0.25">
      <c r="A830" t="s">
        <v>6447</v>
      </c>
      <c r="B830" t="s">
        <v>6448</v>
      </c>
      <c r="C830" t="s">
        <v>4492</v>
      </c>
      <c r="D830" t="s">
        <v>4493</v>
      </c>
      <c r="E830" t="s">
        <v>4494</v>
      </c>
      <c r="F830" t="s">
        <v>1575</v>
      </c>
    </row>
    <row r="831" spans="1:6" x14ac:dyDescent="0.25">
      <c r="A831" t="s">
        <v>4685</v>
      </c>
      <c r="B831" t="s">
        <v>4686</v>
      </c>
      <c r="C831" t="s">
        <v>1695</v>
      </c>
      <c r="D831" t="s">
        <v>4687</v>
      </c>
      <c r="E831">
        <v>618790056</v>
      </c>
      <c r="F831" t="s">
        <v>6787</v>
      </c>
    </row>
    <row r="832" spans="1:6" x14ac:dyDescent="0.25">
      <c r="A832" t="s">
        <v>5154</v>
      </c>
      <c r="B832" t="s">
        <v>5155</v>
      </c>
      <c r="C832" t="s">
        <v>1695</v>
      </c>
      <c r="D832" t="s">
        <v>4687</v>
      </c>
      <c r="E832">
        <v>618790056</v>
      </c>
      <c r="F832" t="s">
        <v>6787</v>
      </c>
    </row>
    <row r="833" spans="1:6" x14ac:dyDescent="0.25">
      <c r="A833" t="s">
        <v>5751</v>
      </c>
      <c r="B833" t="s">
        <v>5752</v>
      </c>
      <c r="C833" t="s">
        <v>4492</v>
      </c>
      <c r="D833" t="s">
        <v>4493</v>
      </c>
      <c r="E833" t="s">
        <v>4494</v>
      </c>
      <c r="F833" t="s">
        <v>1575</v>
      </c>
    </row>
    <row r="834" spans="1:6" x14ac:dyDescent="0.25">
      <c r="A834" t="s">
        <v>4903</v>
      </c>
      <c r="B834" t="s">
        <v>4904</v>
      </c>
      <c r="C834" t="s">
        <v>4492</v>
      </c>
      <c r="D834" t="s">
        <v>4493</v>
      </c>
      <c r="E834" t="s">
        <v>4494</v>
      </c>
      <c r="F834" t="s">
        <v>1575</v>
      </c>
    </row>
    <row r="835" spans="1:6" x14ac:dyDescent="0.25">
      <c r="A835" t="s">
        <v>5117</v>
      </c>
      <c r="B835" t="s">
        <v>5118</v>
      </c>
      <c r="C835" t="s">
        <v>4492</v>
      </c>
      <c r="D835" t="s">
        <v>4493</v>
      </c>
      <c r="E835" t="s">
        <v>4494</v>
      </c>
      <c r="F835" t="s">
        <v>1575</v>
      </c>
    </row>
    <row r="836" spans="1:6" x14ac:dyDescent="0.25">
      <c r="A836" t="s">
        <v>5965</v>
      </c>
      <c r="B836" t="s">
        <v>5966</v>
      </c>
      <c r="C836" t="s">
        <v>4492</v>
      </c>
      <c r="D836" t="s">
        <v>4493</v>
      </c>
      <c r="E836" t="s">
        <v>4494</v>
      </c>
      <c r="F836" t="s">
        <v>1575</v>
      </c>
    </row>
    <row r="837" spans="1:6" x14ac:dyDescent="0.25">
      <c r="A837" t="s">
        <v>4937</v>
      </c>
      <c r="B837" t="s">
        <v>4938</v>
      </c>
      <c r="C837" t="s">
        <v>1584</v>
      </c>
      <c r="D837" t="s">
        <v>4939</v>
      </c>
      <c r="E837">
        <v>629650764</v>
      </c>
      <c r="F837" t="s">
        <v>6782</v>
      </c>
    </row>
    <row r="838" spans="1:6" x14ac:dyDescent="0.25">
      <c r="A838" t="s">
        <v>6431</v>
      </c>
      <c r="B838" t="s">
        <v>6432</v>
      </c>
      <c r="C838" t="s">
        <v>4492</v>
      </c>
      <c r="D838" t="s">
        <v>4493</v>
      </c>
      <c r="E838" t="s">
        <v>4494</v>
      </c>
      <c r="F838" t="s">
        <v>1575</v>
      </c>
    </row>
    <row r="839" spans="1:6" x14ac:dyDescent="0.25">
      <c r="A839" t="s">
        <v>5900</v>
      </c>
      <c r="B839" t="s">
        <v>5901</v>
      </c>
      <c r="C839" t="s">
        <v>4492</v>
      </c>
      <c r="D839" t="s">
        <v>4493</v>
      </c>
      <c r="E839" t="s">
        <v>4494</v>
      </c>
      <c r="F839" t="s">
        <v>1575</v>
      </c>
    </row>
    <row r="840" spans="1:6" x14ac:dyDescent="0.25">
      <c r="A840" t="s">
        <v>4835</v>
      </c>
      <c r="B840" t="s">
        <v>4836</v>
      </c>
      <c r="C840" t="s">
        <v>4492</v>
      </c>
      <c r="D840" t="s">
        <v>4493</v>
      </c>
      <c r="E840" t="s">
        <v>4494</v>
      </c>
      <c r="F840" t="s">
        <v>1575</v>
      </c>
    </row>
    <row r="841" spans="1:6" x14ac:dyDescent="0.25">
      <c r="A841" t="s">
        <v>5841</v>
      </c>
      <c r="B841" t="s">
        <v>5842</v>
      </c>
      <c r="C841" t="s">
        <v>4492</v>
      </c>
      <c r="D841" t="s">
        <v>4493</v>
      </c>
      <c r="E841" t="s">
        <v>4494</v>
      </c>
      <c r="F841" t="s">
        <v>1575</v>
      </c>
    </row>
    <row r="842" spans="1:6" x14ac:dyDescent="0.25">
      <c r="A842" t="s">
        <v>5672</v>
      </c>
      <c r="B842" t="s">
        <v>5673</v>
      </c>
      <c r="C842" t="s">
        <v>4492</v>
      </c>
      <c r="D842" t="s">
        <v>4493</v>
      </c>
      <c r="E842" t="s">
        <v>4494</v>
      </c>
      <c r="F842" t="s">
        <v>1575</v>
      </c>
    </row>
    <row r="843" spans="1:6" x14ac:dyDescent="0.25">
      <c r="A843" t="s">
        <v>6359</v>
      </c>
      <c r="B843" t="s">
        <v>6360</v>
      </c>
      <c r="C843" t="s">
        <v>4492</v>
      </c>
      <c r="D843" t="s">
        <v>4493</v>
      </c>
      <c r="E843" t="s">
        <v>4494</v>
      </c>
      <c r="F843" t="s">
        <v>1575</v>
      </c>
    </row>
    <row r="844" spans="1:6" x14ac:dyDescent="0.25">
      <c r="A844" t="s">
        <v>6268</v>
      </c>
      <c r="B844" t="s">
        <v>6269</v>
      </c>
      <c r="C844" t="s">
        <v>2545</v>
      </c>
      <c r="D844" t="s">
        <v>5230</v>
      </c>
      <c r="E844">
        <v>646396628</v>
      </c>
      <c r="F844" t="s">
        <v>6725</v>
      </c>
    </row>
    <row r="845" spans="1:6" x14ac:dyDescent="0.25">
      <c r="A845" t="s">
        <v>6381</v>
      </c>
      <c r="B845" t="s">
        <v>6382</v>
      </c>
      <c r="C845" t="s">
        <v>4492</v>
      </c>
      <c r="D845" t="s">
        <v>4493</v>
      </c>
      <c r="E845" t="s">
        <v>4494</v>
      </c>
      <c r="F845" t="s">
        <v>1575</v>
      </c>
    </row>
    <row r="846" spans="1:6" x14ac:dyDescent="0.25">
      <c r="A846" t="s">
        <v>6288</v>
      </c>
      <c r="B846" t="s">
        <v>6289</v>
      </c>
      <c r="C846" t="s">
        <v>4492</v>
      </c>
      <c r="D846" t="s">
        <v>4493</v>
      </c>
      <c r="E846" t="s">
        <v>4494</v>
      </c>
      <c r="F846" t="s">
        <v>1575</v>
      </c>
    </row>
    <row r="847" spans="1:6" x14ac:dyDescent="0.25">
      <c r="A847" t="s">
        <v>6387</v>
      </c>
      <c r="B847" t="s">
        <v>6388</v>
      </c>
      <c r="C847" t="s">
        <v>4492</v>
      </c>
      <c r="D847" t="s">
        <v>4493</v>
      </c>
      <c r="E847" t="s">
        <v>4494</v>
      </c>
      <c r="F847" t="s">
        <v>1575</v>
      </c>
    </row>
    <row r="848" spans="1:6" x14ac:dyDescent="0.25">
      <c r="A848" t="s">
        <v>6004</v>
      </c>
      <c r="B848" t="s">
        <v>6005</v>
      </c>
      <c r="C848" t="s">
        <v>4492</v>
      </c>
      <c r="D848" t="s">
        <v>4493</v>
      </c>
      <c r="E848" t="s">
        <v>4494</v>
      </c>
      <c r="F848" t="s">
        <v>1575</v>
      </c>
    </row>
    <row r="849" spans="1:6" x14ac:dyDescent="0.25">
      <c r="A849" t="s">
        <v>5188</v>
      </c>
      <c r="B849" t="s">
        <v>5189</v>
      </c>
      <c r="C849" t="s">
        <v>4492</v>
      </c>
      <c r="D849" t="s">
        <v>4493</v>
      </c>
      <c r="E849" t="s">
        <v>4494</v>
      </c>
      <c r="F849" t="s">
        <v>1575</v>
      </c>
    </row>
    <row r="850" spans="1:6" x14ac:dyDescent="0.25">
      <c r="A850" t="s">
        <v>5164</v>
      </c>
      <c r="B850" t="s">
        <v>5165</v>
      </c>
      <c r="C850" t="s">
        <v>4492</v>
      </c>
      <c r="D850" t="s">
        <v>4493</v>
      </c>
      <c r="E850" t="s">
        <v>4494</v>
      </c>
      <c r="F850" t="s">
        <v>1575</v>
      </c>
    </row>
    <row r="851" spans="1:6" x14ac:dyDescent="0.25">
      <c r="A851" t="s">
        <v>5607</v>
      </c>
      <c r="B851" t="s">
        <v>5608</v>
      </c>
      <c r="C851" t="s">
        <v>4492</v>
      </c>
      <c r="D851" t="s">
        <v>4493</v>
      </c>
      <c r="E851" t="s">
        <v>4494</v>
      </c>
      <c r="F851" t="s">
        <v>1575</v>
      </c>
    </row>
    <row r="852" spans="1:6" x14ac:dyDescent="0.25">
      <c r="A852" t="s">
        <v>5048</v>
      </c>
      <c r="B852" t="s">
        <v>5049</v>
      </c>
      <c r="C852" t="s">
        <v>5050</v>
      </c>
      <c r="D852" t="s">
        <v>5051</v>
      </c>
      <c r="E852">
        <v>636957860</v>
      </c>
      <c r="F852" t="s">
        <v>6668</v>
      </c>
    </row>
    <row r="853" spans="1:6" x14ac:dyDescent="0.25">
      <c r="A853" t="s">
        <v>5753</v>
      </c>
      <c r="B853" t="s">
        <v>5754</v>
      </c>
      <c r="C853" t="s">
        <v>4492</v>
      </c>
      <c r="D853" t="s">
        <v>4493</v>
      </c>
      <c r="E853" t="s">
        <v>4494</v>
      </c>
      <c r="F853" t="s">
        <v>1575</v>
      </c>
    </row>
    <row r="854" spans="1:6" x14ac:dyDescent="0.25">
      <c r="A854" t="s">
        <v>5375</v>
      </c>
      <c r="B854" t="s">
        <v>5376</v>
      </c>
      <c r="C854" t="s">
        <v>4492</v>
      </c>
      <c r="D854" t="s">
        <v>4493</v>
      </c>
      <c r="E854" t="s">
        <v>4494</v>
      </c>
      <c r="F854" t="s">
        <v>1575</v>
      </c>
    </row>
    <row r="855" spans="1:6" x14ac:dyDescent="0.25">
      <c r="A855" t="s">
        <v>4690</v>
      </c>
      <c r="B855" t="s">
        <v>4691</v>
      </c>
      <c r="C855" t="s">
        <v>4492</v>
      </c>
      <c r="D855" t="s">
        <v>4493</v>
      </c>
      <c r="E855" t="s">
        <v>4494</v>
      </c>
      <c r="F855" t="s">
        <v>1575</v>
      </c>
    </row>
    <row r="856" spans="1:6" x14ac:dyDescent="0.25">
      <c r="A856" t="s">
        <v>5684</v>
      </c>
      <c r="B856" t="s">
        <v>5685</v>
      </c>
      <c r="C856" t="s">
        <v>4492</v>
      </c>
      <c r="D856" t="s">
        <v>4493</v>
      </c>
      <c r="E856" t="s">
        <v>4494</v>
      </c>
      <c r="F856" t="s">
        <v>1575</v>
      </c>
    </row>
    <row r="857" spans="1:6" x14ac:dyDescent="0.25">
      <c r="A857" t="s">
        <v>5371</v>
      </c>
      <c r="B857" t="s">
        <v>5372</v>
      </c>
      <c r="C857" t="s">
        <v>2545</v>
      </c>
      <c r="D857" t="s">
        <v>5230</v>
      </c>
      <c r="E857">
        <v>646396628</v>
      </c>
      <c r="F857" t="s">
        <v>6725</v>
      </c>
    </row>
    <row r="858" spans="1:6" x14ac:dyDescent="0.25">
      <c r="A858" t="s">
        <v>4887</v>
      </c>
      <c r="B858" t="s">
        <v>4888</v>
      </c>
      <c r="C858" t="s">
        <v>4492</v>
      </c>
      <c r="D858" t="s">
        <v>4493</v>
      </c>
      <c r="E858" t="s">
        <v>4494</v>
      </c>
      <c r="F858" t="s">
        <v>1575</v>
      </c>
    </row>
    <row r="859" spans="1:6" x14ac:dyDescent="0.25">
      <c r="A859" t="s">
        <v>4784</v>
      </c>
      <c r="B859" t="s">
        <v>4785</v>
      </c>
      <c r="C859" t="s">
        <v>4492</v>
      </c>
      <c r="D859" t="s">
        <v>4493</v>
      </c>
      <c r="E859" t="s">
        <v>4494</v>
      </c>
      <c r="F859" t="s">
        <v>1575</v>
      </c>
    </row>
    <row r="860" spans="1:6" x14ac:dyDescent="0.25">
      <c r="A860" t="s">
        <v>4623</v>
      </c>
      <c r="B860" t="s">
        <v>4624</v>
      </c>
      <c r="C860" t="s">
        <v>4492</v>
      </c>
      <c r="D860" t="s">
        <v>4493</v>
      </c>
      <c r="E860" t="s">
        <v>4494</v>
      </c>
      <c r="F860" t="s">
        <v>1575</v>
      </c>
    </row>
    <row r="861" spans="1:6" x14ac:dyDescent="0.25">
      <c r="A861" t="s">
        <v>5873</v>
      </c>
      <c r="B861" t="s">
        <v>5874</v>
      </c>
      <c r="C861" t="s">
        <v>4492</v>
      </c>
      <c r="D861" t="s">
        <v>4493</v>
      </c>
      <c r="E861" t="s">
        <v>4494</v>
      </c>
      <c r="F861" t="s">
        <v>1575</v>
      </c>
    </row>
    <row r="862" spans="1:6" x14ac:dyDescent="0.25">
      <c r="A862" t="s">
        <v>5338</v>
      </c>
      <c r="B862" t="s">
        <v>5339</v>
      </c>
      <c r="C862" t="s">
        <v>4492</v>
      </c>
      <c r="D862" t="s">
        <v>4493</v>
      </c>
      <c r="E862" t="s">
        <v>4494</v>
      </c>
      <c r="F862" t="s">
        <v>1575</v>
      </c>
    </row>
    <row r="863" spans="1:6" x14ac:dyDescent="0.25">
      <c r="A863" t="s">
        <v>5969</v>
      </c>
      <c r="B863" t="s">
        <v>5970</v>
      </c>
      <c r="C863" t="s">
        <v>4492</v>
      </c>
      <c r="D863" t="s">
        <v>4493</v>
      </c>
      <c r="E863" t="s">
        <v>4494</v>
      </c>
      <c r="F863" t="s">
        <v>1575</v>
      </c>
    </row>
    <row r="864" spans="1:6" x14ac:dyDescent="0.25">
      <c r="A864" t="s">
        <v>5843</v>
      </c>
      <c r="B864" t="s">
        <v>5844</v>
      </c>
      <c r="C864" t="s">
        <v>4492</v>
      </c>
      <c r="D864" t="s">
        <v>4493</v>
      </c>
      <c r="E864" t="s">
        <v>4494</v>
      </c>
      <c r="F864" t="s">
        <v>1575</v>
      </c>
    </row>
    <row r="865" spans="1:6" x14ac:dyDescent="0.25">
      <c r="A865" t="s">
        <v>4837</v>
      </c>
      <c r="B865" t="s">
        <v>4838</v>
      </c>
      <c r="C865" t="s">
        <v>4492</v>
      </c>
      <c r="D865" t="s">
        <v>4493</v>
      </c>
      <c r="E865" t="s">
        <v>4494</v>
      </c>
      <c r="F865" t="s">
        <v>1575</v>
      </c>
    </row>
    <row r="866" spans="1:6" x14ac:dyDescent="0.25">
      <c r="A866" t="s">
        <v>5445</v>
      </c>
      <c r="B866" t="s">
        <v>5446</v>
      </c>
      <c r="C866" t="s">
        <v>4492</v>
      </c>
      <c r="D866" t="s">
        <v>4493</v>
      </c>
      <c r="E866" t="s">
        <v>4494</v>
      </c>
      <c r="F866" t="s">
        <v>1575</v>
      </c>
    </row>
    <row r="867" spans="1:6" x14ac:dyDescent="0.25">
      <c r="A867" t="s">
        <v>4602</v>
      </c>
      <c r="B867" t="s">
        <v>4603</v>
      </c>
      <c r="C867" t="s">
        <v>4492</v>
      </c>
      <c r="D867" t="s">
        <v>4493</v>
      </c>
      <c r="E867" t="s">
        <v>4494</v>
      </c>
      <c r="F867" t="s">
        <v>1575</v>
      </c>
    </row>
    <row r="868" spans="1:6" x14ac:dyDescent="0.25">
      <c r="A868" t="s">
        <v>5255</v>
      </c>
      <c r="B868" t="s">
        <v>5256</v>
      </c>
      <c r="C868" t="s">
        <v>4492</v>
      </c>
      <c r="D868" t="s">
        <v>4493</v>
      </c>
      <c r="E868" t="s">
        <v>4494</v>
      </c>
      <c r="F868" t="s">
        <v>1575</v>
      </c>
    </row>
    <row r="869" spans="1:6" x14ac:dyDescent="0.25">
      <c r="A869" t="s">
        <v>5218</v>
      </c>
      <c r="B869" t="s">
        <v>5219</v>
      </c>
      <c r="C869" t="s">
        <v>4492</v>
      </c>
      <c r="D869" t="s">
        <v>4493</v>
      </c>
      <c r="E869" t="s">
        <v>4494</v>
      </c>
      <c r="F869" t="s">
        <v>1575</v>
      </c>
    </row>
    <row r="870" spans="1:6" x14ac:dyDescent="0.25">
      <c r="A870" t="s">
        <v>4551</v>
      </c>
      <c r="B870" t="s">
        <v>4552</v>
      </c>
      <c r="C870" t="s">
        <v>4492</v>
      </c>
      <c r="D870" t="s">
        <v>4493</v>
      </c>
      <c r="E870" t="s">
        <v>4494</v>
      </c>
      <c r="F870" t="s">
        <v>1575</v>
      </c>
    </row>
    <row r="871" spans="1:6" x14ac:dyDescent="0.25">
      <c r="A871" t="s">
        <v>5007</v>
      </c>
      <c r="B871" t="s">
        <v>5008</v>
      </c>
      <c r="C871" t="s">
        <v>1860</v>
      </c>
      <c r="D871" t="s">
        <v>4622</v>
      </c>
      <c r="E871">
        <v>608095586</v>
      </c>
      <c r="F871" t="s">
        <v>6763</v>
      </c>
    </row>
    <row r="872" spans="1:6" x14ac:dyDescent="0.25">
      <c r="A872" t="s">
        <v>6006</v>
      </c>
      <c r="B872" t="s">
        <v>6007</v>
      </c>
      <c r="C872" t="s">
        <v>4492</v>
      </c>
      <c r="D872" t="s">
        <v>4493</v>
      </c>
      <c r="E872" t="s">
        <v>4494</v>
      </c>
      <c r="F872" t="s">
        <v>1575</v>
      </c>
    </row>
    <row r="873" spans="1:6" x14ac:dyDescent="0.25">
      <c r="A873" t="s">
        <v>4863</v>
      </c>
      <c r="B873" t="s">
        <v>4864</v>
      </c>
      <c r="C873" t="s">
        <v>4492</v>
      </c>
      <c r="D873" t="s">
        <v>4493</v>
      </c>
      <c r="E873" t="s">
        <v>4494</v>
      </c>
      <c r="F873" t="s">
        <v>1575</v>
      </c>
    </row>
    <row r="874" spans="1:6" x14ac:dyDescent="0.25">
      <c r="A874" t="s">
        <v>6046</v>
      </c>
      <c r="B874" t="s">
        <v>6047</v>
      </c>
      <c r="C874" t="s">
        <v>4492</v>
      </c>
      <c r="D874" t="s">
        <v>4493</v>
      </c>
      <c r="E874" t="s">
        <v>4494</v>
      </c>
      <c r="F874" t="s">
        <v>1575</v>
      </c>
    </row>
    <row r="875" spans="1:6" x14ac:dyDescent="0.25">
      <c r="A875" t="s">
        <v>4629</v>
      </c>
      <c r="B875" t="s">
        <v>4630</v>
      </c>
      <c r="C875" t="s">
        <v>4492</v>
      </c>
      <c r="D875" t="s">
        <v>4493</v>
      </c>
      <c r="E875" t="s">
        <v>4494</v>
      </c>
      <c r="F875" t="s">
        <v>1575</v>
      </c>
    </row>
    <row r="876" spans="1:6" x14ac:dyDescent="0.25">
      <c r="A876" t="s">
        <v>5267</v>
      </c>
      <c r="B876" t="s">
        <v>5268</v>
      </c>
      <c r="C876" t="s">
        <v>5269</v>
      </c>
      <c r="D876" t="s">
        <v>5051</v>
      </c>
      <c r="E876">
        <v>636957860</v>
      </c>
    </row>
    <row r="877" spans="1:6" x14ac:dyDescent="0.25">
      <c r="A877" t="s">
        <v>5316</v>
      </c>
      <c r="B877" t="s">
        <v>5317</v>
      </c>
      <c r="C877" t="s">
        <v>4492</v>
      </c>
      <c r="D877" t="s">
        <v>4493</v>
      </c>
      <c r="E877" t="s">
        <v>4494</v>
      </c>
      <c r="F877" t="s">
        <v>1575</v>
      </c>
    </row>
    <row r="878" spans="1:6" x14ac:dyDescent="0.25">
      <c r="A878" t="s">
        <v>6078</v>
      </c>
      <c r="B878" t="s">
        <v>6079</v>
      </c>
      <c r="C878" t="s">
        <v>2826</v>
      </c>
      <c r="D878" t="s">
        <v>4781</v>
      </c>
      <c r="E878">
        <v>608160143</v>
      </c>
      <c r="F878" t="s">
        <v>6746</v>
      </c>
    </row>
    <row r="879" spans="1:6" x14ac:dyDescent="0.25">
      <c r="A879" t="s">
        <v>4495</v>
      </c>
      <c r="B879" t="s">
        <v>4496</v>
      </c>
      <c r="C879" t="s">
        <v>4492</v>
      </c>
      <c r="D879" t="s">
        <v>4493</v>
      </c>
      <c r="E879" t="s">
        <v>4494</v>
      </c>
      <c r="F879" t="s">
        <v>1575</v>
      </c>
    </row>
    <row r="880" spans="1:6" x14ac:dyDescent="0.25">
      <c r="A880" t="s">
        <v>4519</v>
      </c>
      <c r="B880" t="s">
        <v>4520</v>
      </c>
      <c r="C880" t="s">
        <v>4492</v>
      </c>
      <c r="D880" t="s">
        <v>4493</v>
      </c>
      <c r="E880" t="s">
        <v>4494</v>
      </c>
      <c r="F880" t="s">
        <v>1575</v>
      </c>
    </row>
    <row r="881" spans="1:6" x14ac:dyDescent="0.25">
      <c r="A881" t="s">
        <v>5982</v>
      </c>
      <c r="B881" t="s">
        <v>5983</v>
      </c>
      <c r="C881" t="s">
        <v>4492</v>
      </c>
      <c r="D881" t="s">
        <v>4493</v>
      </c>
      <c r="E881" t="s">
        <v>4494</v>
      </c>
      <c r="F881" t="s">
        <v>1575</v>
      </c>
    </row>
    <row r="882" spans="1:6" x14ac:dyDescent="0.25">
      <c r="A882" t="s">
        <v>4625</v>
      </c>
      <c r="B882" t="s">
        <v>4626</v>
      </c>
      <c r="C882" t="s">
        <v>4492</v>
      </c>
      <c r="D882" t="s">
        <v>4493</v>
      </c>
      <c r="E882" t="s">
        <v>4494</v>
      </c>
      <c r="F882" t="s">
        <v>1575</v>
      </c>
    </row>
    <row r="883" spans="1:6" x14ac:dyDescent="0.25">
      <c r="A883" t="s">
        <v>5437</v>
      </c>
      <c r="B883" t="s">
        <v>5438</v>
      </c>
      <c r="C883" t="s">
        <v>4492</v>
      </c>
      <c r="D883" t="s">
        <v>4493</v>
      </c>
      <c r="E883" t="s">
        <v>4494</v>
      </c>
      <c r="F883" t="s">
        <v>1575</v>
      </c>
    </row>
    <row r="884" spans="1:6" x14ac:dyDescent="0.25">
      <c r="A884" t="s">
        <v>5270</v>
      </c>
      <c r="B884" t="s">
        <v>5271</v>
      </c>
      <c r="C884" t="s">
        <v>4813</v>
      </c>
      <c r="D884" t="s">
        <v>4814</v>
      </c>
      <c r="E884">
        <v>608677497</v>
      </c>
      <c r="F884" t="s">
        <v>6734</v>
      </c>
    </row>
    <row r="885" spans="1:6" x14ac:dyDescent="0.25">
      <c r="A885" t="s">
        <v>5507</v>
      </c>
      <c r="B885" t="s">
        <v>5508</v>
      </c>
      <c r="C885" t="s">
        <v>4492</v>
      </c>
      <c r="D885" t="s">
        <v>4493</v>
      </c>
      <c r="E885" t="s">
        <v>4494</v>
      </c>
      <c r="F885" t="s">
        <v>1575</v>
      </c>
    </row>
    <row r="886" spans="1:6" x14ac:dyDescent="0.25">
      <c r="A886" t="s">
        <v>5473</v>
      </c>
      <c r="B886" t="s">
        <v>5474</v>
      </c>
      <c r="C886" t="s">
        <v>4492</v>
      </c>
      <c r="D886" t="s">
        <v>4493</v>
      </c>
      <c r="E886" t="s">
        <v>4494</v>
      </c>
      <c r="F886" t="s">
        <v>1575</v>
      </c>
    </row>
    <row r="887" spans="1:6" x14ac:dyDescent="0.25">
      <c r="A887" t="s">
        <v>5276</v>
      </c>
      <c r="B887" t="s">
        <v>5277</v>
      </c>
      <c r="C887" t="s">
        <v>4492</v>
      </c>
      <c r="D887" t="s">
        <v>4493</v>
      </c>
      <c r="E887" t="s">
        <v>4494</v>
      </c>
      <c r="F887" t="s">
        <v>1575</v>
      </c>
    </row>
    <row r="888" spans="1:6" x14ac:dyDescent="0.25">
      <c r="A888" t="s">
        <v>5543</v>
      </c>
      <c r="B888" t="s">
        <v>5544</v>
      </c>
      <c r="C888" t="s">
        <v>4492</v>
      </c>
      <c r="D888" t="s">
        <v>4493</v>
      </c>
      <c r="E888" t="s">
        <v>4494</v>
      </c>
      <c r="F888" t="s">
        <v>1575</v>
      </c>
    </row>
    <row r="889" spans="1:6" x14ac:dyDescent="0.25">
      <c r="A889" t="s">
        <v>5086</v>
      </c>
      <c r="B889" t="s">
        <v>5087</v>
      </c>
      <c r="C889" t="s">
        <v>2136</v>
      </c>
      <c r="D889" t="s">
        <v>4591</v>
      </c>
      <c r="E889">
        <v>683705001</v>
      </c>
      <c r="F889" t="s">
        <v>6688</v>
      </c>
    </row>
    <row r="890" spans="1:6" x14ac:dyDescent="0.25">
      <c r="A890" t="s">
        <v>5300</v>
      </c>
      <c r="B890" t="s">
        <v>5301</v>
      </c>
      <c r="C890" t="s">
        <v>2136</v>
      </c>
      <c r="D890" t="s">
        <v>4591</v>
      </c>
      <c r="E890">
        <v>683705001</v>
      </c>
      <c r="F890" t="s">
        <v>6688</v>
      </c>
    </row>
    <row r="891" spans="1:6" x14ac:dyDescent="0.25">
      <c r="A891" t="s">
        <v>5599</v>
      </c>
      <c r="B891" t="s">
        <v>5600</v>
      </c>
      <c r="C891" t="s">
        <v>4492</v>
      </c>
      <c r="D891" t="s">
        <v>4493</v>
      </c>
      <c r="E891" t="s">
        <v>4494</v>
      </c>
      <c r="F891" t="s">
        <v>1575</v>
      </c>
    </row>
    <row r="892" spans="1:6" x14ac:dyDescent="0.25">
      <c r="A892" t="s">
        <v>4688</v>
      </c>
      <c r="B892" t="s">
        <v>4689</v>
      </c>
      <c r="C892" t="s">
        <v>4492</v>
      </c>
      <c r="D892" t="s">
        <v>4493</v>
      </c>
      <c r="E892" t="s">
        <v>4494</v>
      </c>
      <c r="F892" t="s">
        <v>1575</v>
      </c>
    </row>
    <row r="893" spans="1:6" x14ac:dyDescent="0.25">
      <c r="A893" t="s">
        <v>5869</v>
      </c>
      <c r="B893" t="s">
        <v>5870</v>
      </c>
      <c r="C893" t="s">
        <v>4492</v>
      </c>
      <c r="D893" t="s">
        <v>4493</v>
      </c>
      <c r="E893" t="s">
        <v>4494</v>
      </c>
      <c r="F893" t="s">
        <v>1575</v>
      </c>
    </row>
    <row r="894" spans="1:6" x14ac:dyDescent="0.25">
      <c r="A894" t="s">
        <v>6453</v>
      </c>
      <c r="B894" t="s">
        <v>6454</v>
      </c>
      <c r="C894" t="s">
        <v>1709</v>
      </c>
      <c r="D894" t="s">
        <v>6426</v>
      </c>
      <c r="E894">
        <v>629326071</v>
      </c>
      <c r="F894" t="s">
        <v>6814</v>
      </c>
    </row>
    <row r="895" spans="1:6" x14ac:dyDescent="0.25">
      <c r="A895" t="s">
        <v>5601</v>
      </c>
      <c r="B895" t="s">
        <v>5602</v>
      </c>
      <c r="C895" t="s">
        <v>4492</v>
      </c>
      <c r="D895" t="s">
        <v>4493</v>
      </c>
      <c r="E895" t="s">
        <v>4494</v>
      </c>
      <c r="F895" t="s">
        <v>1575</v>
      </c>
    </row>
    <row r="896" spans="1:6" x14ac:dyDescent="0.25">
      <c r="A896" t="s">
        <v>5092</v>
      </c>
      <c r="B896" t="s">
        <v>5093</v>
      </c>
      <c r="C896" t="s">
        <v>4492</v>
      </c>
      <c r="D896" t="s">
        <v>4493</v>
      </c>
      <c r="E896" t="s">
        <v>4494</v>
      </c>
      <c r="F896" t="s">
        <v>1575</v>
      </c>
    </row>
    <row r="897" spans="1:6" x14ac:dyDescent="0.25">
      <c r="A897" t="s">
        <v>5113</v>
      </c>
      <c r="B897" t="s">
        <v>5114</v>
      </c>
      <c r="C897" t="s">
        <v>4492</v>
      </c>
      <c r="D897" t="s">
        <v>4493</v>
      </c>
      <c r="E897" t="s">
        <v>4494</v>
      </c>
      <c r="F897" t="s">
        <v>1575</v>
      </c>
    </row>
    <row r="898" spans="1:6" x14ac:dyDescent="0.25">
      <c r="A898" t="s">
        <v>4975</v>
      </c>
      <c r="B898" t="s">
        <v>4976</v>
      </c>
      <c r="C898" t="s">
        <v>4492</v>
      </c>
      <c r="D898" t="s">
        <v>4493</v>
      </c>
      <c r="E898" t="s">
        <v>4494</v>
      </c>
      <c r="F898" t="s">
        <v>1575</v>
      </c>
    </row>
    <row r="899" spans="1:6" x14ac:dyDescent="0.25">
      <c r="A899" t="s">
        <v>5070</v>
      </c>
      <c r="B899" t="s">
        <v>5071</v>
      </c>
      <c r="C899" t="s">
        <v>4492</v>
      </c>
      <c r="D899" t="s">
        <v>4493</v>
      </c>
      <c r="E899" t="s">
        <v>4494</v>
      </c>
      <c r="F899" t="s">
        <v>1575</v>
      </c>
    </row>
    <row r="900" spans="1:6" x14ac:dyDescent="0.25">
      <c r="A900" t="s">
        <v>5680</v>
      </c>
      <c r="B900" t="s">
        <v>5681</v>
      </c>
      <c r="C900" t="s">
        <v>4492</v>
      </c>
      <c r="D900" t="s">
        <v>4493</v>
      </c>
      <c r="E900" t="s">
        <v>4494</v>
      </c>
      <c r="F900" t="s">
        <v>1575</v>
      </c>
    </row>
    <row r="901" spans="1:6" x14ac:dyDescent="0.25">
      <c r="A901" t="s">
        <v>5805</v>
      </c>
      <c r="B901" t="s">
        <v>5806</v>
      </c>
      <c r="C901" t="s">
        <v>4492</v>
      </c>
      <c r="D901" t="s">
        <v>4493</v>
      </c>
      <c r="E901" t="s">
        <v>4494</v>
      </c>
      <c r="F901" t="s">
        <v>1575</v>
      </c>
    </row>
    <row r="902" spans="1:6" x14ac:dyDescent="0.25">
      <c r="A902" t="s">
        <v>5459</v>
      </c>
      <c r="B902" t="s">
        <v>5460</v>
      </c>
      <c r="C902" t="s">
        <v>4492</v>
      </c>
      <c r="D902" t="s">
        <v>4493</v>
      </c>
      <c r="E902" t="s">
        <v>4494</v>
      </c>
      <c r="F902" t="s">
        <v>1575</v>
      </c>
    </row>
    <row r="903" spans="1:6" x14ac:dyDescent="0.25">
      <c r="A903" t="s">
        <v>5908</v>
      </c>
      <c r="B903" t="s">
        <v>5909</v>
      </c>
      <c r="C903" t="s">
        <v>4492</v>
      </c>
      <c r="D903" t="s">
        <v>4493</v>
      </c>
      <c r="E903" t="s">
        <v>4494</v>
      </c>
      <c r="F903" t="s">
        <v>1575</v>
      </c>
    </row>
    <row r="904" spans="1:6" x14ac:dyDescent="0.25">
      <c r="A904" t="s">
        <v>4954</v>
      </c>
      <c r="B904" t="s">
        <v>4955</v>
      </c>
      <c r="C904" t="s">
        <v>4492</v>
      </c>
      <c r="D904" t="s">
        <v>4493</v>
      </c>
      <c r="E904" t="s">
        <v>4494</v>
      </c>
      <c r="F904" t="s">
        <v>1575</v>
      </c>
    </row>
    <row r="905" spans="1:6" x14ac:dyDescent="0.25">
      <c r="A905" t="s">
        <v>5419</v>
      </c>
      <c r="B905" t="s">
        <v>5420</v>
      </c>
      <c r="C905" t="s">
        <v>4492</v>
      </c>
      <c r="D905" t="s">
        <v>4493</v>
      </c>
      <c r="E905" t="s">
        <v>4494</v>
      </c>
      <c r="F905" t="s">
        <v>1575</v>
      </c>
    </row>
    <row r="906" spans="1:6" x14ac:dyDescent="0.25">
      <c r="A906" t="s">
        <v>6485</v>
      </c>
      <c r="B906" t="s">
        <v>6486</v>
      </c>
      <c r="C906" t="s">
        <v>4492</v>
      </c>
      <c r="D906" t="s">
        <v>4493</v>
      </c>
      <c r="E906" t="s">
        <v>4494</v>
      </c>
      <c r="F906" t="s">
        <v>1575</v>
      </c>
    </row>
    <row r="907" spans="1:6" x14ac:dyDescent="0.25">
      <c r="A907" t="s">
        <v>4829</v>
      </c>
      <c r="B907" t="s">
        <v>4830</v>
      </c>
      <c r="C907" t="s">
        <v>4492</v>
      </c>
      <c r="D907" t="s">
        <v>4493</v>
      </c>
      <c r="E907" t="s">
        <v>4494</v>
      </c>
      <c r="F907" t="s">
        <v>1575</v>
      </c>
    </row>
    <row r="908" spans="1:6" x14ac:dyDescent="0.25">
      <c r="A908" t="s">
        <v>5815</v>
      </c>
      <c r="B908" t="s">
        <v>5816</v>
      </c>
      <c r="C908" t="s">
        <v>4492</v>
      </c>
      <c r="D908" t="s">
        <v>4493</v>
      </c>
      <c r="E908" t="s">
        <v>4494</v>
      </c>
      <c r="F908" t="s">
        <v>1575</v>
      </c>
    </row>
    <row r="909" spans="1:6" x14ac:dyDescent="0.25">
      <c r="A909" t="s">
        <v>5785</v>
      </c>
      <c r="B909" t="s">
        <v>5786</v>
      </c>
      <c r="C909" t="s">
        <v>4492</v>
      </c>
      <c r="D909" t="s">
        <v>4493</v>
      </c>
      <c r="E909" t="s">
        <v>4494</v>
      </c>
      <c r="F909" t="s">
        <v>1575</v>
      </c>
    </row>
    <row r="910" spans="1:6" x14ac:dyDescent="0.25">
      <c r="A910" t="s">
        <v>4761</v>
      </c>
      <c r="B910" t="s">
        <v>4762</v>
      </c>
      <c r="C910" t="s">
        <v>4492</v>
      </c>
      <c r="D910" t="s">
        <v>4493</v>
      </c>
      <c r="E910" t="s">
        <v>4494</v>
      </c>
      <c r="F910" t="s">
        <v>1575</v>
      </c>
    </row>
    <row r="911" spans="1:6" x14ac:dyDescent="0.25">
      <c r="A911" t="s">
        <v>5411</v>
      </c>
      <c r="B911" t="s">
        <v>5412</v>
      </c>
      <c r="C911" t="s">
        <v>4492</v>
      </c>
      <c r="D911" t="s">
        <v>4493</v>
      </c>
      <c r="E911" t="s">
        <v>4494</v>
      </c>
      <c r="F911" t="s">
        <v>1575</v>
      </c>
    </row>
    <row r="912" spans="1:6" x14ac:dyDescent="0.25">
      <c r="A912" t="s">
        <v>5228</v>
      </c>
      <c r="B912" t="s">
        <v>5229</v>
      </c>
      <c r="C912" t="s">
        <v>2545</v>
      </c>
      <c r="D912" t="s">
        <v>5230</v>
      </c>
      <c r="E912">
        <v>646396628</v>
      </c>
      <c r="F912" t="s">
        <v>6725</v>
      </c>
    </row>
    <row r="913" spans="1:6" x14ac:dyDescent="0.25">
      <c r="A913" t="s">
        <v>5377</v>
      </c>
      <c r="B913" t="s">
        <v>5378</v>
      </c>
      <c r="C913" t="s">
        <v>4492</v>
      </c>
      <c r="D913" t="s">
        <v>4493</v>
      </c>
      <c r="E913" t="s">
        <v>4494</v>
      </c>
      <c r="F913" t="s">
        <v>1575</v>
      </c>
    </row>
    <row r="914" spans="1:6" x14ac:dyDescent="0.25">
      <c r="A914" t="s">
        <v>5881</v>
      </c>
      <c r="B914" t="s">
        <v>5882</v>
      </c>
      <c r="C914" t="s">
        <v>2136</v>
      </c>
      <c r="D914" t="s">
        <v>4591</v>
      </c>
      <c r="E914">
        <v>683705001</v>
      </c>
      <c r="F914" t="s">
        <v>6688</v>
      </c>
    </row>
    <row r="915" spans="1:6" x14ac:dyDescent="0.25">
      <c r="A915" t="s">
        <v>5241</v>
      </c>
      <c r="B915" t="s">
        <v>5242</v>
      </c>
      <c r="C915" t="s">
        <v>2136</v>
      </c>
      <c r="D915" t="s">
        <v>4591</v>
      </c>
      <c r="E915">
        <v>683705001</v>
      </c>
      <c r="F915" t="s">
        <v>6688</v>
      </c>
    </row>
    <row r="916" spans="1:6" x14ac:dyDescent="0.25">
      <c r="A916" t="s">
        <v>5823</v>
      </c>
      <c r="B916" t="s">
        <v>5824</v>
      </c>
      <c r="C916" t="s">
        <v>2136</v>
      </c>
      <c r="D916" t="s">
        <v>4591</v>
      </c>
      <c r="E916">
        <v>683705001</v>
      </c>
      <c r="F916" t="s">
        <v>6688</v>
      </c>
    </row>
    <row r="917" spans="1:6" x14ac:dyDescent="0.25">
      <c r="A917" t="s">
        <v>5813</v>
      </c>
      <c r="B917" t="s">
        <v>5814</v>
      </c>
      <c r="C917" t="s">
        <v>4492</v>
      </c>
      <c r="D917" t="s">
        <v>4493</v>
      </c>
      <c r="E917" t="s">
        <v>4494</v>
      </c>
      <c r="F917" t="s">
        <v>1575</v>
      </c>
    </row>
    <row r="918" spans="1:6" x14ac:dyDescent="0.25">
      <c r="A918" t="s">
        <v>5912</v>
      </c>
      <c r="B918" t="s">
        <v>5913</v>
      </c>
      <c r="C918" t="s">
        <v>4492</v>
      </c>
      <c r="D918" t="s">
        <v>4493</v>
      </c>
      <c r="E918" t="s">
        <v>4494</v>
      </c>
      <c r="F918" t="s">
        <v>1575</v>
      </c>
    </row>
    <row r="919" spans="1:6" x14ac:dyDescent="0.25">
      <c r="A919" t="s">
        <v>5251</v>
      </c>
      <c r="B919" t="s">
        <v>5252</v>
      </c>
      <c r="C919" t="s">
        <v>4492</v>
      </c>
      <c r="D919" t="s">
        <v>4493</v>
      </c>
      <c r="E919" t="s">
        <v>4494</v>
      </c>
      <c r="F919" t="s">
        <v>1575</v>
      </c>
    </row>
    <row r="920" spans="1:6" x14ac:dyDescent="0.25">
      <c r="A920" t="s">
        <v>5891</v>
      </c>
      <c r="B920" t="s">
        <v>5892</v>
      </c>
      <c r="C920" t="s">
        <v>1584</v>
      </c>
      <c r="D920" t="s">
        <v>4939</v>
      </c>
      <c r="E920">
        <v>629650764</v>
      </c>
      <c r="F920" t="s">
        <v>6782</v>
      </c>
    </row>
    <row r="921" spans="1:6" x14ac:dyDescent="0.25">
      <c r="A921" t="s">
        <v>5837</v>
      </c>
      <c r="B921" t="s">
        <v>5838</v>
      </c>
      <c r="C921" t="s">
        <v>1584</v>
      </c>
      <c r="D921" t="s">
        <v>4939</v>
      </c>
      <c r="E921">
        <v>629650764</v>
      </c>
      <c r="F921" t="s">
        <v>6782</v>
      </c>
    </row>
    <row r="922" spans="1:6" x14ac:dyDescent="0.25">
      <c r="A922" t="s">
        <v>5109</v>
      </c>
      <c r="B922" t="s">
        <v>5110</v>
      </c>
      <c r="C922" t="s">
        <v>2136</v>
      </c>
      <c r="D922" t="s">
        <v>4591</v>
      </c>
      <c r="E922">
        <v>683705001</v>
      </c>
      <c r="F922" t="s">
        <v>6688</v>
      </c>
    </row>
    <row r="923" spans="1:6" x14ac:dyDescent="0.25">
      <c r="A923" t="s">
        <v>5129</v>
      </c>
      <c r="B923" t="s">
        <v>5130</v>
      </c>
      <c r="C923" t="s">
        <v>2136</v>
      </c>
      <c r="D923" t="s">
        <v>4591</v>
      </c>
      <c r="E923">
        <v>683705001</v>
      </c>
      <c r="F923" t="s">
        <v>6688</v>
      </c>
    </row>
    <row r="924" spans="1:6" x14ac:dyDescent="0.25">
      <c r="A924" t="s">
        <v>5133</v>
      </c>
      <c r="B924" t="s">
        <v>5134</v>
      </c>
      <c r="C924" t="s">
        <v>4492</v>
      </c>
      <c r="D924" t="s">
        <v>4493</v>
      </c>
      <c r="E924" t="s">
        <v>4494</v>
      </c>
      <c r="F924" t="s">
        <v>1575</v>
      </c>
    </row>
    <row r="925" spans="1:6" x14ac:dyDescent="0.25">
      <c r="A925" t="s">
        <v>4713</v>
      </c>
      <c r="B925" t="s">
        <v>4714</v>
      </c>
      <c r="C925" t="s">
        <v>4492</v>
      </c>
      <c r="D925" t="s">
        <v>4493</v>
      </c>
      <c r="E925" t="s">
        <v>4494</v>
      </c>
      <c r="F925" t="s">
        <v>1575</v>
      </c>
    </row>
    <row r="926" spans="1:6" x14ac:dyDescent="0.25">
      <c r="A926" t="s">
        <v>6530</v>
      </c>
      <c r="B926" t="s">
        <v>6531</v>
      </c>
      <c r="C926" t="s">
        <v>4492</v>
      </c>
      <c r="D926" t="s">
        <v>4493</v>
      </c>
      <c r="E926" t="s">
        <v>4494</v>
      </c>
      <c r="F926" t="s">
        <v>1575</v>
      </c>
    </row>
    <row r="927" spans="1:6" x14ac:dyDescent="0.25">
      <c r="A927" t="s">
        <v>5192</v>
      </c>
      <c r="B927" t="s">
        <v>5193</v>
      </c>
      <c r="C927" t="s">
        <v>4492</v>
      </c>
      <c r="D927" t="s">
        <v>4493</v>
      </c>
      <c r="E927" t="s">
        <v>4494</v>
      </c>
      <c r="F927" t="s">
        <v>1575</v>
      </c>
    </row>
    <row r="928" spans="1:6" x14ac:dyDescent="0.25">
      <c r="A928" t="s">
        <v>5253</v>
      </c>
      <c r="B928" t="s">
        <v>5254</v>
      </c>
      <c r="C928" t="s">
        <v>4492</v>
      </c>
      <c r="D928" t="s">
        <v>4493</v>
      </c>
      <c r="E928" t="s">
        <v>4494</v>
      </c>
      <c r="F928" t="s">
        <v>1575</v>
      </c>
    </row>
    <row r="929" spans="1:6" x14ac:dyDescent="0.25">
      <c r="A929" t="s">
        <v>5463</v>
      </c>
      <c r="B929" t="s">
        <v>5464</v>
      </c>
      <c r="C929" t="s">
        <v>4492</v>
      </c>
      <c r="D929" t="s">
        <v>4493</v>
      </c>
      <c r="E929" t="s">
        <v>4494</v>
      </c>
      <c r="F929" t="s">
        <v>1575</v>
      </c>
    </row>
    <row r="930" spans="1:6" x14ac:dyDescent="0.25">
      <c r="A930" t="s">
        <v>5757</v>
      </c>
      <c r="B930" t="s">
        <v>5758</v>
      </c>
      <c r="C930" t="s">
        <v>4492</v>
      </c>
      <c r="D930" t="s">
        <v>4493</v>
      </c>
      <c r="E930" t="s">
        <v>4494</v>
      </c>
      <c r="F930" t="s">
        <v>1575</v>
      </c>
    </row>
    <row r="931" spans="1:6" x14ac:dyDescent="0.25">
      <c r="A931" t="s">
        <v>4927</v>
      </c>
      <c r="B931" t="s">
        <v>4928</v>
      </c>
      <c r="C931" t="s">
        <v>4492</v>
      </c>
      <c r="D931" t="s">
        <v>4493</v>
      </c>
      <c r="E931" t="s">
        <v>4494</v>
      </c>
      <c r="F931" t="s">
        <v>1575</v>
      </c>
    </row>
    <row r="932" spans="1:6" x14ac:dyDescent="0.25">
      <c r="A932" t="s">
        <v>5009</v>
      </c>
      <c r="B932" t="s">
        <v>5010</v>
      </c>
      <c r="C932" t="s">
        <v>4492</v>
      </c>
      <c r="D932" t="s">
        <v>4493</v>
      </c>
      <c r="E932" t="s">
        <v>4494</v>
      </c>
      <c r="F932" t="s">
        <v>1575</v>
      </c>
    </row>
    <row r="933" spans="1:6" x14ac:dyDescent="0.25">
      <c r="A933" t="s">
        <v>5937</v>
      </c>
      <c r="B933" t="s">
        <v>5938</v>
      </c>
      <c r="C933" t="s">
        <v>2136</v>
      </c>
      <c r="D933" t="s">
        <v>4591</v>
      </c>
      <c r="E933">
        <v>683705001</v>
      </c>
      <c r="F933" t="s">
        <v>6688</v>
      </c>
    </row>
    <row r="934" spans="1:6" x14ac:dyDescent="0.25">
      <c r="A934" t="s">
        <v>5322</v>
      </c>
      <c r="B934" t="s">
        <v>5323</v>
      </c>
      <c r="C934" t="s">
        <v>2136</v>
      </c>
      <c r="D934" t="s">
        <v>4591</v>
      </c>
      <c r="E934">
        <v>683705001</v>
      </c>
      <c r="F934" t="s">
        <v>6688</v>
      </c>
    </row>
    <row r="935" spans="1:6" x14ac:dyDescent="0.25">
      <c r="A935" t="s">
        <v>5096</v>
      </c>
      <c r="B935" t="s">
        <v>5097</v>
      </c>
      <c r="C935" t="s">
        <v>4492</v>
      </c>
      <c r="D935" t="s">
        <v>4493</v>
      </c>
      <c r="E935" t="s">
        <v>4494</v>
      </c>
      <c r="F935" t="s">
        <v>1575</v>
      </c>
    </row>
    <row r="936" spans="1:6" x14ac:dyDescent="0.25">
      <c r="A936" t="s">
        <v>6314</v>
      </c>
      <c r="B936" t="s">
        <v>6315</v>
      </c>
      <c r="C936" t="s">
        <v>4492</v>
      </c>
      <c r="D936" t="s">
        <v>4493</v>
      </c>
      <c r="E936" t="s">
        <v>4494</v>
      </c>
      <c r="F936" t="s">
        <v>1575</v>
      </c>
    </row>
    <row r="937" spans="1:6" x14ac:dyDescent="0.25">
      <c r="A937" t="s">
        <v>5777</v>
      </c>
      <c r="B937" t="s">
        <v>5778</v>
      </c>
      <c r="C937" t="s">
        <v>4492</v>
      </c>
      <c r="D937" t="s">
        <v>4493</v>
      </c>
      <c r="E937" t="s">
        <v>4494</v>
      </c>
      <c r="F937" t="s">
        <v>1575</v>
      </c>
    </row>
    <row r="938" spans="1:6" x14ac:dyDescent="0.25">
      <c r="A938" t="s">
        <v>5945</v>
      </c>
      <c r="B938" t="s">
        <v>5946</v>
      </c>
      <c r="C938" t="s">
        <v>4492</v>
      </c>
      <c r="D938" t="s">
        <v>4493</v>
      </c>
      <c r="E938" t="s">
        <v>4494</v>
      </c>
      <c r="F938" t="s">
        <v>1575</v>
      </c>
    </row>
    <row r="939" spans="1:6" x14ac:dyDescent="0.25">
      <c r="A939" t="s">
        <v>5348</v>
      </c>
      <c r="B939" t="s">
        <v>5349</v>
      </c>
      <c r="C939" t="s">
        <v>4492</v>
      </c>
      <c r="D939" t="s">
        <v>4493</v>
      </c>
      <c r="E939" t="s">
        <v>4494</v>
      </c>
      <c r="F939" t="s">
        <v>1575</v>
      </c>
    </row>
    <row r="940" spans="1:6" x14ac:dyDescent="0.25">
      <c r="A940" t="s">
        <v>5170</v>
      </c>
      <c r="B940" t="s">
        <v>5171</v>
      </c>
      <c r="C940" t="s">
        <v>4492</v>
      </c>
      <c r="D940" t="s">
        <v>4493</v>
      </c>
      <c r="E940" t="s">
        <v>4494</v>
      </c>
      <c r="F940" t="s">
        <v>1575</v>
      </c>
    </row>
    <row r="941" spans="1:6" x14ac:dyDescent="0.25">
      <c r="A941" t="s">
        <v>5028</v>
      </c>
      <c r="B941" t="s">
        <v>5029</v>
      </c>
      <c r="C941" t="s">
        <v>4492</v>
      </c>
      <c r="D941" t="s">
        <v>4493</v>
      </c>
      <c r="E941" t="s">
        <v>4494</v>
      </c>
      <c r="F941" t="s">
        <v>1575</v>
      </c>
    </row>
    <row r="942" spans="1:6" x14ac:dyDescent="0.25">
      <c r="A942" t="s">
        <v>5447</v>
      </c>
      <c r="B942" t="s">
        <v>5448</v>
      </c>
      <c r="C942" t="s">
        <v>4492</v>
      </c>
      <c r="D942" t="s">
        <v>4493</v>
      </c>
      <c r="E942" t="s">
        <v>4494</v>
      </c>
      <c r="F942" t="s">
        <v>1575</v>
      </c>
    </row>
    <row r="943" spans="1:6" x14ac:dyDescent="0.25">
      <c r="A943" t="s">
        <v>5489</v>
      </c>
      <c r="B943" t="s">
        <v>5490</v>
      </c>
      <c r="C943" t="s">
        <v>4492</v>
      </c>
      <c r="D943" t="s">
        <v>4493</v>
      </c>
      <c r="E943" t="s">
        <v>4494</v>
      </c>
      <c r="F943" t="s">
        <v>1575</v>
      </c>
    </row>
    <row r="944" spans="1:6" x14ac:dyDescent="0.25">
      <c r="A944" t="s">
        <v>4855</v>
      </c>
      <c r="B944" t="s">
        <v>4856</v>
      </c>
      <c r="C944" t="s">
        <v>4492</v>
      </c>
      <c r="D944" t="s">
        <v>4493</v>
      </c>
      <c r="E944" t="s">
        <v>4494</v>
      </c>
      <c r="F944" t="s">
        <v>1575</v>
      </c>
    </row>
    <row r="945" spans="1:6" x14ac:dyDescent="0.25">
      <c r="A945" t="s">
        <v>4505</v>
      </c>
      <c r="B945" t="s">
        <v>4506</v>
      </c>
      <c r="C945" t="s">
        <v>4492</v>
      </c>
      <c r="D945" t="s">
        <v>4493</v>
      </c>
      <c r="E945" t="s">
        <v>4494</v>
      </c>
      <c r="F945" t="s">
        <v>1575</v>
      </c>
    </row>
    <row r="946" spans="1:6" x14ac:dyDescent="0.25">
      <c r="A946" t="s">
        <v>5589</v>
      </c>
      <c r="B946" t="s">
        <v>5590</v>
      </c>
      <c r="C946" t="s">
        <v>4492</v>
      </c>
      <c r="D946" t="s">
        <v>4493</v>
      </c>
      <c r="E946" t="s">
        <v>4494</v>
      </c>
      <c r="F946" t="s">
        <v>1575</v>
      </c>
    </row>
    <row r="947" spans="1:6" x14ac:dyDescent="0.25">
      <c r="A947" t="s">
        <v>6449</v>
      </c>
      <c r="B947" t="s">
        <v>6450</v>
      </c>
      <c r="C947" t="s">
        <v>4492</v>
      </c>
      <c r="D947" t="s">
        <v>4493</v>
      </c>
      <c r="E947" t="s">
        <v>4494</v>
      </c>
      <c r="F947" t="s">
        <v>1575</v>
      </c>
    </row>
    <row r="948" spans="1:6" x14ac:dyDescent="0.25">
      <c r="A948" t="s">
        <v>5501</v>
      </c>
      <c r="B948" t="s">
        <v>5502</v>
      </c>
      <c r="C948" t="s">
        <v>4492</v>
      </c>
      <c r="D948" t="s">
        <v>4493</v>
      </c>
      <c r="E948" t="s">
        <v>4494</v>
      </c>
      <c r="F948" t="s">
        <v>1575</v>
      </c>
    </row>
    <row r="949" spans="1:6" x14ac:dyDescent="0.25">
      <c r="A949" t="s">
        <v>5659</v>
      </c>
      <c r="B949" t="s">
        <v>5660</v>
      </c>
      <c r="C949" t="s">
        <v>5661</v>
      </c>
      <c r="D949" t="s">
        <v>5662</v>
      </c>
      <c r="E949" t="s">
        <v>5663</v>
      </c>
    </row>
    <row r="950" spans="1:6" x14ac:dyDescent="0.25">
      <c r="A950" t="s">
        <v>5563</v>
      </c>
      <c r="B950" t="s">
        <v>5564</v>
      </c>
      <c r="C950" t="s">
        <v>4492</v>
      </c>
      <c r="D950" t="s">
        <v>4493</v>
      </c>
      <c r="E950" t="s">
        <v>4494</v>
      </c>
      <c r="F950" t="s">
        <v>1575</v>
      </c>
    </row>
    <row r="951" spans="1:6" x14ac:dyDescent="0.25">
      <c r="A951" t="s">
        <v>4857</v>
      </c>
      <c r="B951" t="s">
        <v>4858</v>
      </c>
      <c r="C951" t="s">
        <v>4492</v>
      </c>
      <c r="D951" t="s">
        <v>4493</v>
      </c>
      <c r="E951" t="s">
        <v>4494</v>
      </c>
      <c r="F951" t="s">
        <v>1575</v>
      </c>
    </row>
    <row r="952" spans="1:6" x14ac:dyDescent="0.25">
      <c r="A952" t="s">
        <v>5139</v>
      </c>
      <c r="B952" t="s">
        <v>5140</v>
      </c>
      <c r="C952" t="s">
        <v>4492</v>
      </c>
      <c r="D952" t="s">
        <v>4493</v>
      </c>
      <c r="E952" t="s">
        <v>4494</v>
      </c>
      <c r="F952" t="s">
        <v>1575</v>
      </c>
    </row>
    <row r="953" spans="1:6" x14ac:dyDescent="0.25">
      <c r="A953" t="s">
        <v>4935</v>
      </c>
      <c r="B953" t="s">
        <v>4936</v>
      </c>
      <c r="C953" t="s">
        <v>4492</v>
      </c>
      <c r="D953" t="s">
        <v>4493</v>
      </c>
      <c r="E953" t="s">
        <v>4494</v>
      </c>
      <c r="F953" t="s">
        <v>1575</v>
      </c>
    </row>
    <row r="954" spans="1:6" x14ac:dyDescent="0.25">
      <c r="A954" t="s">
        <v>6084</v>
      </c>
      <c r="B954" t="s">
        <v>6085</v>
      </c>
      <c r="C954" t="s">
        <v>4492</v>
      </c>
      <c r="D954" t="s">
        <v>4493</v>
      </c>
      <c r="E954" t="s">
        <v>4494</v>
      </c>
      <c r="F954" t="s">
        <v>1575</v>
      </c>
    </row>
    <row r="955" spans="1:6" x14ac:dyDescent="0.25">
      <c r="A955" t="s">
        <v>5214</v>
      </c>
      <c r="B955" t="s">
        <v>5215</v>
      </c>
      <c r="C955" t="s">
        <v>4492</v>
      </c>
      <c r="D955" t="s">
        <v>4493</v>
      </c>
      <c r="E955" t="s">
        <v>4494</v>
      </c>
      <c r="F955" t="s">
        <v>1575</v>
      </c>
    </row>
    <row r="956" spans="1:6" x14ac:dyDescent="0.25">
      <c r="A956" t="s">
        <v>5100</v>
      </c>
      <c r="B956" t="s">
        <v>5101</v>
      </c>
      <c r="C956" t="s">
        <v>5050</v>
      </c>
      <c r="D956" t="s">
        <v>5051</v>
      </c>
      <c r="E956">
        <v>636957860</v>
      </c>
      <c r="F956" t="s">
        <v>6668</v>
      </c>
    </row>
    <row r="957" spans="1:6" x14ac:dyDescent="0.25">
      <c r="A957" t="s">
        <v>6304</v>
      </c>
      <c r="B957" t="s">
        <v>6305</v>
      </c>
      <c r="C957" t="s">
        <v>4492</v>
      </c>
      <c r="D957" t="s">
        <v>4493</v>
      </c>
      <c r="E957" t="s">
        <v>4494</v>
      </c>
      <c r="F957" t="s">
        <v>1575</v>
      </c>
    </row>
    <row r="958" spans="1:6" x14ac:dyDescent="0.25">
      <c r="A958" t="s">
        <v>6280</v>
      </c>
      <c r="B958" t="s">
        <v>6281</v>
      </c>
      <c r="C958" t="s">
        <v>4492</v>
      </c>
      <c r="D958" t="s">
        <v>4493</v>
      </c>
      <c r="E958" t="s">
        <v>4494</v>
      </c>
      <c r="F958" t="s">
        <v>1575</v>
      </c>
    </row>
    <row r="959" spans="1:6" x14ac:dyDescent="0.25">
      <c r="A959" t="s">
        <v>6397</v>
      </c>
      <c r="B959" t="s">
        <v>6398</v>
      </c>
      <c r="C959" t="s">
        <v>4492</v>
      </c>
      <c r="D959" t="s">
        <v>4493</v>
      </c>
      <c r="E959" t="s">
        <v>4494</v>
      </c>
      <c r="F959" t="s">
        <v>1575</v>
      </c>
    </row>
    <row r="960" spans="1:6" x14ac:dyDescent="0.25">
      <c r="A960" t="s">
        <v>6346</v>
      </c>
      <c r="B960" t="s">
        <v>6347</v>
      </c>
      <c r="C960" t="s">
        <v>4492</v>
      </c>
      <c r="D960" t="s">
        <v>4493</v>
      </c>
      <c r="E960" t="s">
        <v>4494</v>
      </c>
      <c r="F960" t="s">
        <v>1575</v>
      </c>
    </row>
    <row r="961" spans="1:6" x14ac:dyDescent="0.25">
      <c r="A961" t="s">
        <v>6344</v>
      </c>
      <c r="B961" t="s">
        <v>6345</v>
      </c>
      <c r="C961" t="s">
        <v>4492</v>
      </c>
      <c r="D961" t="s">
        <v>4493</v>
      </c>
      <c r="E961" t="s">
        <v>4494</v>
      </c>
      <c r="F961" t="s">
        <v>1575</v>
      </c>
    </row>
    <row r="962" spans="1:6" x14ac:dyDescent="0.25">
      <c r="A962" t="s">
        <v>6355</v>
      </c>
      <c r="B962" t="s">
        <v>6356</v>
      </c>
      <c r="C962" t="s">
        <v>4492</v>
      </c>
      <c r="D962" t="s">
        <v>4493</v>
      </c>
      <c r="E962" t="s">
        <v>4494</v>
      </c>
      <c r="F962" t="s">
        <v>1575</v>
      </c>
    </row>
    <row r="963" spans="1:6" x14ac:dyDescent="0.25">
      <c r="A963" t="s">
        <v>5741</v>
      </c>
      <c r="B963" t="s">
        <v>5742</v>
      </c>
      <c r="C963" t="s">
        <v>4492</v>
      </c>
      <c r="D963" t="s">
        <v>4493</v>
      </c>
      <c r="E963" t="s">
        <v>4494</v>
      </c>
      <c r="F963" t="s">
        <v>1575</v>
      </c>
    </row>
    <row r="964" spans="1:6" x14ac:dyDescent="0.25">
      <c r="A964" t="s">
        <v>6302</v>
      </c>
      <c r="B964" t="s">
        <v>6303</v>
      </c>
      <c r="C964" t="s">
        <v>4492</v>
      </c>
      <c r="D964" t="s">
        <v>4493</v>
      </c>
      <c r="E964" t="s">
        <v>4494</v>
      </c>
      <c r="F964" t="s">
        <v>1575</v>
      </c>
    </row>
    <row r="965" spans="1:6" x14ac:dyDescent="0.25">
      <c r="A965" t="s">
        <v>6340</v>
      </c>
      <c r="B965" t="s">
        <v>6341</v>
      </c>
      <c r="C965" t="s">
        <v>4492</v>
      </c>
      <c r="D965" t="s">
        <v>4493</v>
      </c>
      <c r="E965" t="s">
        <v>4494</v>
      </c>
      <c r="F965" t="s">
        <v>1575</v>
      </c>
    </row>
    <row r="966" spans="1:6" x14ac:dyDescent="0.25">
      <c r="A966" t="s">
        <v>6298</v>
      </c>
      <c r="B966" t="s">
        <v>6299</v>
      </c>
      <c r="C966" t="s">
        <v>4492</v>
      </c>
      <c r="D966" t="s">
        <v>4493</v>
      </c>
      <c r="E966" t="s">
        <v>4494</v>
      </c>
      <c r="F966" t="s">
        <v>1575</v>
      </c>
    </row>
    <row r="967" spans="1:6" x14ac:dyDescent="0.25">
      <c r="A967" t="s">
        <v>5172</v>
      </c>
      <c r="B967" t="s">
        <v>5173</v>
      </c>
      <c r="C967" t="s">
        <v>4492</v>
      </c>
      <c r="D967" t="s">
        <v>4493</v>
      </c>
      <c r="E967" t="s">
        <v>4494</v>
      </c>
      <c r="F967" t="s">
        <v>1575</v>
      </c>
    </row>
    <row r="968" spans="1:6" x14ac:dyDescent="0.25">
      <c r="A968" t="s">
        <v>6481</v>
      </c>
      <c r="B968" t="s">
        <v>6482</v>
      </c>
      <c r="C968" t="s">
        <v>4492</v>
      </c>
      <c r="D968" t="s">
        <v>4493</v>
      </c>
      <c r="E968" t="s">
        <v>4494</v>
      </c>
      <c r="F968" t="s">
        <v>1575</v>
      </c>
    </row>
    <row r="969" spans="1:6" x14ac:dyDescent="0.25">
      <c r="A969" t="s">
        <v>6487</v>
      </c>
      <c r="B969" t="s">
        <v>6488</v>
      </c>
      <c r="C969" t="s">
        <v>4492</v>
      </c>
      <c r="D969" t="s">
        <v>4493</v>
      </c>
      <c r="E969" t="s">
        <v>4494</v>
      </c>
      <c r="F969" t="s">
        <v>1575</v>
      </c>
    </row>
    <row r="970" spans="1:6" x14ac:dyDescent="0.25">
      <c r="A970" t="s">
        <v>6493</v>
      </c>
      <c r="B970" t="s">
        <v>6494</v>
      </c>
      <c r="C970" t="s">
        <v>4492</v>
      </c>
      <c r="D970" t="s">
        <v>4493</v>
      </c>
      <c r="E970" t="s">
        <v>4494</v>
      </c>
      <c r="F970" t="s">
        <v>1575</v>
      </c>
    </row>
    <row r="971" spans="1:6" x14ac:dyDescent="0.25">
      <c r="A971" t="s">
        <v>6489</v>
      </c>
      <c r="B971" t="s">
        <v>6490</v>
      </c>
      <c r="C971" t="s">
        <v>4492</v>
      </c>
      <c r="D971" t="s">
        <v>4493</v>
      </c>
      <c r="E971" t="s">
        <v>4494</v>
      </c>
      <c r="F971" t="s">
        <v>1575</v>
      </c>
    </row>
    <row r="972" spans="1:6" x14ac:dyDescent="0.25">
      <c r="A972" t="s">
        <v>6491</v>
      </c>
      <c r="B972" t="s">
        <v>6492</v>
      </c>
      <c r="C972" t="s">
        <v>4492</v>
      </c>
      <c r="D972" t="s">
        <v>4493</v>
      </c>
      <c r="E972" t="s">
        <v>4494</v>
      </c>
      <c r="F972" t="s">
        <v>1575</v>
      </c>
    </row>
    <row r="973" spans="1:6" x14ac:dyDescent="0.25">
      <c r="A973" t="s">
        <v>5797</v>
      </c>
      <c r="B973" t="s">
        <v>5798</v>
      </c>
      <c r="C973" t="s">
        <v>4492</v>
      </c>
      <c r="D973" t="s">
        <v>4493</v>
      </c>
      <c r="E973" t="s">
        <v>4494</v>
      </c>
      <c r="F973" t="s">
        <v>1575</v>
      </c>
    </row>
    <row r="974" spans="1:6" x14ac:dyDescent="0.25">
      <c r="A974" t="s">
        <v>4517</v>
      </c>
      <c r="B974" t="s">
        <v>4518</v>
      </c>
      <c r="C974" t="s">
        <v>4492</v>
      </c>
      <c r="D974" t="s">
        <v>4493</v>
      </c>
      <c r="E974" t="s">
        <v>4494</v>
      </c>
      <c r="F974" t="s">
        <v>1575</v>
      </c>
    </row>
    <row r="975" spans="1:6" x14ac:dyDescent="0.25">
      <c r="A975" t="s">
        <v>5967</v>
      </c>
      <c r="B975" t="s">
        <v>5968</v>
      </c>
      <c r="C975" t="s">
        <v>4492</v>
      </c>
      <c r="D975" t="s">
        <v>4493</v>
      </c>
      <c r="E975" t="s">
        <v>4494</v>
      </c>
      <c r="F975" t="s">
        <v>1575</v>
      </c>
    </row>
    <row r="976" spans="1:6" x14ac:dyDescent="0.25">
      <c r="A976" t="s">
        <v>5889</v>
      </c>
      <c r="B976" t="s">
        <v>5890</v>
      </c>
      <c r="C976" t="s">
        <v>4492</v>
      </c>
      <c r="D976" t="s">
        <v>4493</v>
      </c>
      <c r="E976" t="s">
        <v>4494</v>
      </c>
      <c r="F976" t="s">
        <v>1575</v>
      </c>
    </row>
    <row r="977" spans="1:6" x14ac:dyDescent="0.25">
      <c r="A977" t="s">
        <v>5423</v>
      </c>
      <c r="B977" t="s">
        <v>5424</v>
      </c>
      <c r="C977" t="s">
        <v>2935</v>
      </c>
      <c r="D977" t="s">
        <v>6354</v>
      </c>
      <c r="E977">
        <v>650007769</v>
      </c>
      <c r="F977" t="s">
        <v>6648</v>
      </c>
    </row>
    <row r="978" spans="1:6" x14ac:dyDescent="0.25">
      <c r="A978" t="s">
        <v>6016</v>
      </c>
      <c r="B978" t="s">
        <v>6017</v>
      </c>
      <c r="C978" t="s">
        <v>4492</v>
      </c>
      <c r="D978" t="s">
        <v>4493</v>
      </c>
      <c r="E978" t="s">
        <v>4494</v>
      </c>
      <c r="F978" t="s">
        <v>1575</v>
      </c>
    </row>
    <row r="979" spans="1:6" x14ac:dyDescent="0.25">
      <c r="A979" t="s">
        <v>5387</v>
      </c>
      <c r="B979" t="s">
        <v>5388</v>
      </c>
      <c r="C979" t="s">
        <v>4492</v>
      </c>
      <c r="D979" t="s">
        <v>4493</v>
      </c>
      <c r="E979" t="s">
        <v>4494</v>
      </c>
      <c r="F979" t="s">
        <v>1575</v>
      </c>
    </row>
    <row r="980" spans="1:6" x14ac:dyDescent="0.25">
      <c r="A980" t="s">
        <v>4792</v>
      </c>
      <c r="B980" t="s">
        <v>4793</v>
      </c>
      <c r="C980" t="s">
        <v>4492</v>
      </c>
      <c r="D980" t="s">
        <v>4493</v>
      </c>
      <c r="E980" t="s">
        <v>4494</v>
      </c>
      <c r="F980" t="s">
        <v>1575</v>
      </c>
    </row>
    <row r="981" spans="1:6" x14ac:dyDescent="0.25">
      <c r="A981" t="s">
        <v>5927</v>
      </c>
      <c r="B981" t="s">
        <v>5928</v>
      </c>
      <c r="C981" t="s">
        <v>4492</v>
      </c>
      <c r="D981" t="s">
        <v>4493</v>
      </c>
      <c r="E981" t="s">
        <v>4494</v>
      </c>
      <c r="F981" t="s">
        <v>1575</v>
      </c>
    </row>
    <row r="982" spans="1:6" x14ac:dyDescent="0.25">
      <c r="A982" t="s">
        <v>4523</v>
      </c>
      <c r="B982" t="s">
        <v>4524</v>
      </c>
      <c r="C982" t="s">
        <v>4492</v>
      </c>
      <c r="D982" t="s">
        <v>4493</v>
      </c>
      <c r="E982" t="s">
        <v>4494</v>
      </c>
      <c r="F982" t="s">
        <v>1575</v>
      </c>
    </row>
    <row r="983" spans="1:6" x14ac:dyDescent="0.25">
      <c r="A983" t="s">
        <v>5569</v>
      </c>
      <c r="B983" t="s">
        <v>5570</v>
      </c>
      <c r="C983" t="s">
        <v>4492</v>
      </c>
      <c r="D983" t="s">
        <v>4493</v>
      </c>
      <c r="E983" t="s">
        <v>4494</v>
      </c>
      <c r="F983" t="s">
        <v>1575</v>
      </c>
    </row>
    <row r="984" spans="1:6" x14ac:dyDescent="0.25">
      <c r="A984" t="s">
        <v>5883</v>
      </c>
      <c r="B984" t="s">
        <v>5884</v>
      </c>
      <c r="C984" t="s">
        <v>7134</v>
      </c>
      <c r="D984" t="s">
        <v>7135</v>
      </c>
      <c r="E984"/>
      <c r="F984" t="s">
        <v>7136</v>
      </c>
    </row>
    <row r="985" spans="1:6" x14ac:dyDescent="0.25">
      <c r="A985" t="s">
        <v>4635</v>
      </c>
      <c r="B985" t="s">
        <v>4636</v>
      </c>
      <c r="C985" t="s">
        <v>4492</v>
      </c>
      <c r="D985" t="s">
        <v>4493</v>
      </c>
      <c r="E985" t="s">
        <v>4494</v>
      </c>
      <c r="F985" t="s">
        <v>1575</v>
      </c>
    </row>
    <row r="986" spans="1:6" x14ac:dyDescent="0.25">
      <c r="A986" t="s">
        <v>5461</v>
      </c>
      <c r="B986" t="s">
        <v>5462</v>
      </c>
      <c r="C986" t="s">
        <v>4492</v>
      </c>
      <c r="D986" t="s">
        <v>4493</v>
      </c>
      <c r="E986" t="s">
        <v>4494</v>
      </c>
      <c r="F986" t="s">
        <v>1575</v>
      </c>
    </row>
    <row r="987" spans="1:6" x14ac:dyDescent="0.25">
      <c r="A987" t="s">
        <v>5655</v>
      </c>
      <c r="B987" t="s">
        <v>5656</v>
      </c>
      <c r="C987" t="s">
        <v>4492</v>
      </c>
      <c r="D987" t="s">
        <v>4493</v>
      </c>
      <c r="E987" t="s">
        <v>4494</v>
      </c>
      <c r="F987" t="s">
        <v>1575</v>
      </c>
    </row>
    <row r="988" spans="1:6" x14ac:dyDescent="0.25">
      <c r="A988" t="s">
        <v>5342</v>
      </c>
      <c r="B988" t="s">
        <v>5343</v>
      </c>
      <c r="C988" t="s">
        <v>4492</v>
      </c>
      <c r="D988" t="s">
        <v>4493</v>
      </c>
      <c r="E988" t="s">
        <v>4494</v>
      </c>
      <c r="F988" t="s">
        <v>1575</v>
      </c>
    </row>
    <row r="989" spans="1:6" x14ac:dyDescent="0.25">
      <c r="A989" t="s">
        <v>4981</v>
      </c>
      <c r="B989" t="s">
        <v>4982</v>
      </c>
      <c r="C989" t="s">
        <v>4983</v>
      </c>
      <c r="D989" t="s">
        <v>4984</v>
      </c>
      <c r="E989">
        <v>608031608</v>
      </c>
    </row>
    <row r="990" spans="1:6" x14ac:dyDescent="0.25">
      <c r="A990" t="s">
        <v>5062</v>
      </c>
      <c r="B990" t="s">
        <v>5063</v>
      </c>
      <c r="C990" t="s">
        <v>4492</v>
      </c>
      <c r="D990" t="s">
        <v>4493</v>
      </c>
      <c r="E990" t="s">
        <v>4494</v>
      </c>
      <c r="F990" t="s">
        <v>1575</v>
      </c>
    </row>
    <row r="991" spans="1:6" x14ac:dyDescent="0.25">
      <c r="A991" t="s">
        <v>5603</v>
      </c>
      <c r="B991" t="s">
        <v>5604</v>
      </c>
      <c r="C991" t="s">
        <v>4492</v>
      </c>
      <c r="D991" t="s">
        <v>4493</v>
      </c>
      <c r="E991" t="s">
        <v>4494</v>
      </c>
      <c r="F991" t="s">
        <v>1575</v>
      </c>
    </row>
    <row r="992" spans="1:6" x14ac:dyDescent="0.25">
      <c r="A992" t="s">
        <v>5904</v>
      </c>
      <c r="B992" t="s">
        <v>5905</v>
      </c>
      <c r="C992" t="s">
        <v>4492</v>
      </c>
      <c r="D992" t="s">
        <v>4493</v>
      </c>
      <c r="E992" t="s">
        <v>4494</v>
      </c>
      <c r="F992" t="s">
        <v>1575</v>
      </c>
    </row>
    <row r="993" spans="1:6" x14ac:dyDescent="0.25">
      <c r="A993" t="s">
        <v>5032</v>
      </c>
      <c r="B993" t="s">
        <v>5033</v>
      </c>
      <c r="C993" t="s">
        <v>4492</v>
      </c>
      <c r="D993" t="s">
        <v>4493</v>
      </c>
      <c r="E993" t="s">
        <v>4494</v>
      </c>
      <c r="F993" t="s">
        <v>1575</v>
      </c>
    </row>
    <row r="994" spans="1:6" x14ac:dyDescent="0.25">
      <c r="A994" t="s">
        <v>5226</v>
      </c>
      <c r="B994" t="s">
        <v>5227</v>
      </c>
      <c r="C994" t="s">
        <v>4492</v>
      </c>
      <c r="D994" t="s">
        <v>4493</v>
      </c>
      <c r="E994" t="s">
        <v>4494</v>
      </c>
      <c r="F994" t="s">
        <v>1575</v>
      </c>
    </row>
    <row r="995" spans="1:6" x14ac:dyDescent="0.25">
      <c r="A995" t="s">
        <v>5038</v>
      </c>
      <c r="B995" t="s">
        <v>5039</v>
      </c>
      <c r="C995" t="s">
        <v>4492</v>
      </c>
      <c r="D995" t="s">
        <v>4493</v>
      </c>
      <c r="E995" t="s">
        <v>4494</v>
      </c>
      <c r="F995" t="s">
        <v>1575</v>
      </c>
    </row>
    <row r="996" spans="1:6" x14ac:dyDescent="0.25">
      <c r="A996" t="s">
        <v>5284</v>
      </c>
      <c r="B996" t="s">
        <v>5285</v>
      </c>
      <c r="C996" t="s">
        <v>4492</v>
      </c>
      <c r="D996" t="s">
        <v>4493</v>
      </c>
      <c r="E996" t="s">
        <v>4494</v>
      </c>
      <c r="F996" t="s">
        <v>1575</v>
      </c>
    </row>
    <row r="997" spans="1:6" x14ac:dyDescent="0.25">
      <c r="A997" t="s">
        <v>5076</v>
      </c>
      <c r="B997" t="s">
        <v>5077</v>
      </c>
      <c r="C997" t="s">
        <v>4492</v>
      </c>
      <c r="D997" t="s">
        <v>4493</v>
      </c>
      <c r="E997" t="s">
        <v>4494</v>
      </c>
      <c r="F997" t="s">
        <v>1575</v>
      </c>
    </row>
    <row r="998" spans="1:6" x14ac:dyDescent="0.25">
      <c r="A998" t="s">
        <v>5733</v>
      </c>
      <c r="B998" t="s">
        <v>5734</v>
      </c>
      <c r="C998" t="s">
        <v>4492</v>
      </c>
      <c r="D998" t="s">
        <v>4493</v>
      </c>
      <c r="E998" t="s">
        <v>4494</v>
      </c>
      <c r="F998" t="s">
        <v>1575</v>
      </c>
    </row>
    <row r="999" spans="1:6" x14ac:dyDescent="0.25">
      <c r="A999" t="s">
        <v>5710</v>
      </c>
      <c r="B999" t="s">
        <v>5711</v>
      </c>
      <c r="C999" t="s">
        <v>4492</v>
      </c>
      <c r="D999" t="s">
        <v>4493</v>
      </c>
      <c r="E999" t="s">
        <v>4494</v>
      </c>
      <c r="F999" t="s">
        <v>1575</v>
      </c>
    </row>
    <row r="1000" spans="1:6" x14ac:dyDescent="0.25">
      <c r="A1000" t="s">
        <v>6401</v>
      </c>
      <c r="B1000" t="s">
        <v>6402</v>
      </c>
      <c r="C1000" t="s">
        <v>4492</v>
      </c>
      <c r="D1000" t="s">
        <v>4493</v>
      </c>
      <c r="E1000" t="s">
        <v>4494</v>
      </c>
      <c r="F1000" t="s">
        <v>1575</v>
      </c>
    </row>
    <row r="1001" spans="1:6" x14ac:dyDescent="0.25">
      <c r="A1001" t="s">
        <v>5360</v>
      </c>
      <c r="B1001" t="s">
        <v>5361</v>
      </c>
      <c r="C1001" t="s">
        <v>4492</v>
      </c>
      <c r="D1001" t="s">
        <v>4493</v>
      </c>
      <c r="E1001" t="s">
        <v>4494</v>
      </c>
      <c r="F1001" t="s">
        <v>1575</v>
      </c>
    </row>
    <row r="1002" spans="1:6" x14ac:dyDescent="0.25">
      <c r="A1002" t="s">
        <v>4707</v>
      </c>
      <c r="B1002" t="s">
        <v>4708</v>
      </c>
      <c r="C1002" t="s">
        <v>4492</v>
      </c>
      <c r="D1002" t="s">
        <v>4493</v>
      </c>
      <c r="E1002" t="s">
        <v>4494</v>
      </c>
      <c r="F1002" t="s">
        <v>1575</v>
      </c>
    </row>
    <row r="1003" spans="1:6" x14ac:dyDescent="0.25">
      <c r="A1003" t="s">
        <v>5641</v>
      </c>
      <c r="B1003" t="s">
        <v>5642</v>
      </c>
      <c r="C1003" t="s">
        <v>2826</v>
      </c>
      <c r="D1003" t="s">
        <v>4781</v>
      </c>
      <c r="E1003">
        <v>608160143</v>
      </c>
      <c r="F1003" t="s">
        <v>6746</v>
      </c>
    </row>
    <row r="1004" spans="1:6" x14ac:dyDescent="0.25">
      <c r="A1004" t="s">
        <v>5485</v>
      </c>
      <c r="B1004" t="s">
        <v>5486</v>
      </c>
      <c r="C1004" t="s">
        <v>4492</v>
      </c>
      <c r="D1004" t="s">
        <v>4493</v>
      </c>
      <c r="E1004" t="s">
        <v>4494</v>
      </c>
      <c r="F1004" t="s">
        <v>1575</v>
      </c>
    </row>
    <row r="1005" spans="1:6" x14ac:dyDescent="0.25">
      <c r="A1005" t="s">
        <v>6479</v>
      </c>
      <c r="B1005" t="s">
        <v>6480</v>
      </c>
      <c r="C1005" t="s">
        <v>4492</v>
      </c>
      <c r="D1005" t="s">
        <v>4493</v>
      </c>
      <c r="E1005" t="s">
        <v>4494</v>
      </c>
      <c r="F1005" t="s">
        <v>1575</v>
      </c>
    </row>
    <row r="1006" spans="1:6" x14ac:dyDescent="0.25">
      <c r="A1006" t="s">
        <v>6526</v>
      </c>
      <c r="B1006" t="s">
        <v>6527</v>
      </c>
      <c r="C1006" t="s">
        <v>4492</v>
      </c>
      <c r="D1006" t="s">
        <v>4493</v>
      </c>
      <c r="E1006" t="s">
        <v>4494</v>
      </c>
      <c r="F1006" t="s">
        <v>1575</v>
      </c>
    </row>
  </sheetData>
  <autoFilter ref="A1:F1006" xr:uid="{003E1782-FCA4-492D-8480-BD155C2E6A01}">
    <sortState xmlns:xlrd2="http://schemas.microsoft.com/office/spreadsheetml/2017/richdata2" ref="A497:F497">
      <sortCondition ref="B1:B1006"/>
    </sortState>
  </autoFilter>
  <hyperlinks>
    <hyperlink ref="D614" r:id="rId1" xr:uid="{00000000-0004-0000-0C00-000001000000}"/>
    <hyperlink ref="D740" r:id="rId2" xr:uid="{00000000-0004-0000-0C00-000002000000}"/>
    <hyperlink ref="D626" r:id="rId3" xr:uid="{00000000-0004-0000-0C00-000003000000}"/>
    <hyperlink ref="D671" r:id="rId4" xr:uid="{25D6C810-30E5-4A8F-BD7D-F0521968FBF7}"/>
    <hyperlink ref="D308" r:id="rId5" xr:uid="{3714D233-8F55-47AD-B738-E38061A4A1B7}"/>
    <hyperlink ref="D984" r:id="rId6" display="mailto:ignacio.barcenavenero@telefonica.com" xr:uid="{D5857B8B-C7A5-44CF-A8B5-EC1C77F840AF}"/>
  </hyperlinks>
  <pageMargins left="0.7" right="0.7" top="0.75" bottom="0.75" header="0.3" footer="0.3"/>
  <pageSetup paperSize="9" orientation="portrait" r:id="rId7"/>
  <legacyDrawing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E122"/>
  <sheetViews>
    <sheetView workbookViewId="0">
      <pane ySplit="1" topLeftCell="A41" activePane="bottomLeft" state="frozen"/>
      <selection pane="bottomLeft" activeCell="D101" sqref="D101:D105"/>
    </sheetView>
  </sheetViews>
  <sheetFormatPr defaultColWidth="9.140625" defaultRowHeight="15" x14ac:dyDescent="0.25"/>
  <cols>
    <col min="1" max="1" width="51.7109375" style="15" customWidth="1"/>
    <col min="2" max="2" width="33.5703125" style="15" bestFit="1" customWidth="1"/>
    <col min="3" max="3" width="19.5703125" style="15" customWidth="1"/>
    <col min="4" max="4" width="46.28515625" style="15" bestFit="1" customWidth="1"/>
    <col min="5" max="5" width="17.140625" style="15" customWidth="1"/>
  </cols>
  <sheetData>
    <row r="1" spans="1:5" ht="18.75" x14ac:dyDescent="0.25">
      <c r="A1" t="s">
        <v>4486</v>
      </c>
      <c r="B1" t="s">
        <v>6538</v>
      </c>
      <c r="C1" t="s">
        <v>6539</v>
      </c>
      <c r="D1" t="s">
        <v>352</v>
      </c>
      <c r="E1" t="s">
        <v>6540</v>
      </c>
    </row>
    <row r="2" spans="1:5" x14ac:dyDescent="0.25">
      <c r="A2" t="s">
        <v>4809</v>
      </c>
      <c r="B2" t="s">
        <v>2307</v>
      </c>
      <c r="C2" s="148" t="s">
        <v>6541</v>
      </c>
      <c r="D2" s="148" t="s">
        <v>4810</v>
      </c>
      <c r="E2" s="148" t="s">
        <v>6542</v>
      </c>
    </row>
    <row r="3" spans="1:5" x14ac:dyDescent="0.25">
      <c r="A3" t="s">
        <v>6067</v>
      </c>
      <c r="B3" t="s">
        <v>2307</v>
      </c>
      <c r="C3" s="148"/>
      <c r="D3" s="148"/>
      <c r="E3" s="148"/>
    </row>
    <row r="4" spans="1:5" x14ac:dyDescent="0.25">
      <c r="A4" t="s">
        <v>6081</v>
      </c>
      <c r="B4" t="s">
        <v>2307</v>
      </c>
      <c r="C4" s="148"/>
      <c r="D4" s="148"/>
      <c r="E4" s="148"/>
    </row>
    <row r="5" spans="1:5" x14ac:dyDescent="0.25">
      <c r="A5" t="s">
        <v>6543</v>
      </c>
      <c r="B5" t="s">
        <v>2307</v>
      </c>
      <c r="C5" s="148"/>
      <c r="D5" s="148"/>
      <c r="E5" s="148"/>
    </row>
    <row r="6" spans="1:5" x14ac:dyDescent="0.25">
      <c r="A6" t="s">
        <v>5110</v>
      </c>
      <c r="B6" t="s">
        <v>6544</v>
      </c>
      <c r="C6" s="148" t="s">
        <v>6545</v>
      </c>
      <c r="D6" s="148" t="s">
        <v>6546</v>
      </c>
      <c r="E6" s="148" t="s">
        <v>6547</v>
      </c>
    </row>
    <row r="7" spans="1:5" x14ac:dyDescent="0.25">
      <c r="A7" t="s">
        <v>6548</v>
      </c>
      <c r="B7" t="s">
        <v>6544</v>
      </c>
      <c r="C7" s="148"/>
      <c r="D7" s="148"/>
      <c r="E7" s="148"/>
    </row>
    <row r="8" spans="1:5" x14ac:dyDescent="0.25">
      <c r="A8" t="s">
        <v>5130</v>
      </c>
      <c r="B8" t="s">
        <v>6544</v>
      </c>
      <c r="C8" s="148"/>
      <c r="D8" s="148"/>
      <c r="E8" s="148"/>
    </row>
    <row r="9" spans="1:5" x14ac:dyDescent="0.25">
      <c r="A9" t="s">
        <v>5882</v>
      </c>
      <c r="B9" t="s">
        <v>6544</v>
      </c>
      <c r="C9" s="148"/>
      <c r="D9" s="148"/>
      <c r="E9" s="148"/>
    </row>
    <row r="10" spans="1:5" x14ac:dyDescent="0.25">
      <c r="A10" t="s">
        <v>6549</v>
      </c>
      <c r="B10" t="s">
        <v>6544</v>
      </c>
      <c r="C10" s="148"/>
      <c r="D10" s="148"/>
      <c r="E10" s="148"/>
    </row>
    <row r="11" spans="1:5" x14ac:dyDescent="0.25">
      <c r="A11" t="s">
        <v>6550</v>
      </c>
      <c r="B11" t="s">
        <v>6544</v>
      </c>
      <c r="C11" s="148"/>
      <c r="D11" s="148"/>
      <c r="E11" s="148"/>
    </row>
    <row r="12" spans="1:5" x14ac:dyDescent="0.25">
      <c r="A12" t="s">
        <v>6551</v>
      </c>
      <c r="B12" t="s">
        <v>6544</v>
      </c>
      <c r="C12" s="148"/>
      <c r="D12" s="148"/>
      <c r="E12" s="148"/>
    </row>
    <row r="13" spans="1:5" x14ac:dyDescent="0.25">
      <c r="A13" t="s">
        <v>4662</v>
      </c>
      <c r="B13" t="s">
        <v>2158</v>
      </c>
      <c r="C13" s="148" t="s">
        <v>6552</v>
      </c>
      <c r="D13" s="148" t="s">
        <v>4663</v>
      </c>
      <c r="E13" s="148" t="s">
        <v>6553</v>
      </c>
    </row>
    <row r="14" spans="1:5" x14ac:dyDescent="0.25">
      <c r="A14" t="s">
        <v>5850</v>
      </c>
      <c r="B14" t="s">
        <v>2158</v>
      </c>
      <c r="C14" s="148"/>
      <c r="D14" s="148"/>
      <c r="E14" s="148"/>
    </row>
    <row r="15" spans="1:5" x14ac:dyDescent="0.25">
      <c r="A15" t="s">
        <v>5888</v>
      </c>
      <c r="B15" t="s">
        <v>2158</v>
      </c>
      <c r="C15" s="148"/>
      <c r="D15" s="148"/>
      <c r="E15" s="148"/>
    </row>
    <row r="16" spans="1:5" x14ac:dyDescent="0.25">
      <c r="A16" t="s">
        <v>4577</v>
      </c>
      <c r="B16" t="s">
        <v>6554</v>
      </c>
      <c r="C16"/>
      <c r="D16" s="148" t="s">
        <v>4578</v>
      </c>
      <c r="E16" s="148"/>
    </row>
    <row r="17" spans="1:5" x14ac:dyDescent="0.25">
      <c r="A17" t="s">
        <v>6103</v>
      </c>
      <c r="B17" t="s">
        <v>6554</v>
      </c>
      <c r="C17"/>
      <c r="D17" s="148"/>
      <c r="E17" s="148"/>
    </row>
    <row r="18" spans="1:5" x14ac:dyDescent="0.25">
      <c r="A18" t="s">
        <v>5993</v>
      </c>
      <c r="B18" t="s">
        <v>6554</v>
      </c>
      <c r="C18"/>
      <c r="D18" s="148"/>
      <c r="E18" s="148"/>
    </row>
    <row r="19" spans="1:5" x14ac:dyDescent="0.25">
      <c r="A19" t="s">
        <v>6069</v>
      </c>
      <c r="B19" t="s">
        <v>6554</v>
      </c>
      <c r="C19"/>
      <c r="D19" s="148"/>
      <c r="E19" s="148"/>
    </row>
    <row r="20" spans="1:5" x14ac:dyDescent="0.25">
      <c r="A20" t="s">
        <v>6161</v>
      </c>
      <c r="B20" t="s">
        <v>6554</v>
      </c>
      <c r="C20"/>
      <c r="D20" s="148"/>
      <c r="E20" s="148"/>
    </row>
    <row r="21" spans="1:5" x14ac:dyDescent="0.25">
      <c r="A21" t="s">
        <v>6265</v>
      </c>
      <c r="B21" t="s">
        <v>6554</v>
      </c>
      <c r="C21"/>
      <c r="D21" s="148"/>
      <c r="E21" s="148"/>
    </row>
    <row r="22" spans="1:5" x14ac:dyDescent="0.25">
      <c r="A22" t="s">
        <v>5049</v>
      </c>
      <c r="B22" t="s">
        <v>5050</v>
      </c>
      <c r="C22" s="148" t="s">
        <v>6555</v>
      </c>
      <c r="D22" s="148" t="s">
        <v>6556</v>
      </c>
      <c r="E22" s="148" t="s">
        <v>6557</v>
      </c>
    </row>
    <row r="23" spans="1:5" x14ac:dyDescent="0.25">
      <c r="A23" t="s">
        <v>6558</v>
      </c>
      <c r="B23" t="s">
        <v>5050</v>
      </c>
      <c r="C23" s="148"/>
      <c r="D23" s="148"/>
      <c r="E23" s="148"/>
    </row>
    <row r="24" spans="1:5" x14ac:dyDescent="0.25">
      <c r="A24" t="s">
        <v>5268</v>
      </c>
      <c r="B24" t="s">
        <v>6559</v>
      </c>
      <c r="C24" s="148"/>
      <c r="D24" s="148"/>
      <c r="E24" s="148"/>
    </row>
    <row r="25" spans="1:5" x14ac:dyDescent="0.25">
      <c r="A25" t="s">
        <v>6560</v>
      </c>
      <c r="B25" t="s">
        <v>5050</v>
      </c>
      <c r="C25" s="148"/>
      <c r="D25" s="148"/>
      <c r="E25" s="148"/>
    </row>
    <row r="26" spans="1:5" x14ac:dyDescent="0.25">
      <c r="A26" t="s">
        <v>6313</v>
      </c>
      <c r="B26" t="s">
        <v>5050</v>
      </c>
      <c r="C26" s="148"/>
      <c r="D26" s="148"/>
      <c r="E26" s="148"/>
    </row>
    <row r="27" spans="1:5" x14ac:dyDescent="0.25">
      <c r="A27" t="s">
        <v>5024</v>
      </c>
      <c r="B27" t="s">
        <v>1590</v>
      </c>
      <c r="C27" s="148" t="s">
        <v>6561</v>
      </c>
      <c r="D27" s="148" t="s">
        <v>5025</v>
      </c>
      <c r="E27" s="148" t="s">
        <v>6562</v>
      </c>
    </row>
    <row r="28" spans="1:5" x14ac:dyDescent="0.25">
      <c r="A28" t="s">
        <v>5424</v>
      </c>
      <c r="B28" t="s">
        <v>4055</v>
      </c>
      <c r="C28" s="148"/>
      <c r="D28" s="148"/>
      <c r="E28" s="148"/>
    </row>
    <row r="29" spans="1:5" x14ac:dyDescent="0.25">
      <c r="A29" t="s">
        <v>6498</v>
      </c>
      <c r="B29" t="s">
        <v>1590</v>
      </c>
      <c r="C29" s="148"/>
      <c r="D29" s="148"/>
      <c r="E29" s="148"/>
    </row>
    <row r="30" spans="1:5" x14ac:dyDescent="0.25">
      <c r="A30" t="s">
        <v>4892</v>
      </c>
      <c r="B30" t="s">
        <v>2136</v>
      </c>
      <c r="C30" s="148" t="s">
        <v>6563</v>
      </c>
      <c r="D30" s="148" t="s">
        <v>4591</v>
      </c>
      <c r="E30" s="148" t="s">
        <v>6564</v>
      </c>
    </row>
    <row r="31" spans="1:5" x14ac:dyDescent="0.25">
      <c r="A31" t="s">
        <v>5087</v>
      </c>
      <c r="B31" t="s">
        <v>2136</v>
      </c>
      <c r="C31" s="148"/>
      <c r="D31" s="148"/>
      <c r="E31" s="148"/>
    </row>
    <row r="32" spans="1:5" x14ac:dyDescent="0.25">
      <c r="A32" t="s">
        <v>5470</v>
      </c>
      <c r="B32" t="s">
        <v>2136</v>
      </c>
      <c r="C32" s="148"/>
      <c r="D32" s="148"/>
      <c r="E32" s="148"/>
    </row>
    <row r="33" spans="1:5" x14ac:dyDescent="0.25">
      <c r="A33" t="s">
        <v>5424</v>
      </c>
      <c r="B33" t="s">
        <v>2136</v>
      </c>
      <c r="C33" s="148"/>
      <c r="D33" s="148"/>
      <c r="E33" s="148"/>
    </row>
    <row r="34" spans="1:5" x14ac:dyDescent="0.25">
      <c r="A34" t="s">
        <v>4590</v>
      </c>
      <c r="B34" t="s">
        <v>2136</v>
      </c>
      <c r="C34" s="148"/>
      <c r="D34" s="148"/>
      <c r="E34" s="148"/>
    </row>
    <row r="35" spans="1:5" x14ac:dyDescent="0.25">
      <c r="A35" t="s">
        <v>5301</v>
      </c>
      <c r="B35" t="s">
        <v>2136</v>
      </c>
      <c r="C35" s="148"/>
      <c r="D35" s="148"/>
      <c r="E35" s="148"/>
    </row>
    <row r="36" spans="1:5" x14ac:dyDescent="0.25">
      <c r="A36" t="s">
        <v>5494</v>
      </c>
      <c r="B36" t="s">
        <v>2136</v>
      </c>
      <c r="C36" s="148"/>
      <c r="D36" s="148"/>
      <c r="E36" s="148"/>
    </row>
    <row r="37" spans="1:5" x14ac:dyDescent="0.25">
      <c r="A37" t="s">
        <v>6191</v>
      </c>
      <c r="B37" t="s">
        <v>2136</v>
      </c>
      <c r="C37" s="148"/>
      <c r="D37" s="148"/>
      <c r="E37" s="148"/>
    </row>
    <row r="38" spans="1:5" x14ac:dyDescent="0.25">
      <c r="A38" t="s">
        <v>6458</v>
      </c>
      <c r="B38" t="s">
        <v>6459</v>
      </c>
      <c r="C38" t="s">
        <v>6565</v>
      </c>
      <c r="D38" t="s">
        <v>6460</v>
      </c>
      <c r="E38" t="s">
        <v>6566</v>
      </c>
    </row>
    <row r="39" spans="1:5" x14ac:dyDescent="0.25">
      <c r="A39" t="s">
        <v>6909</v>
      </c>
      <c r="B39" s="148" t="s">
        <v>2055</v>
      </c>
      <c r="C39" s="148" t="s">
        <v>6567</v>
      </c>
      <c r="D39" s="148" t="s">
        <v>4728</v>
      </c>
      <c r="E39" s="148" t="s">
        <v>6568</v>
      </c>
    </row>
    <row r="40" spans="1:5" x14ac:dyDescent="0.25">
      <c r="A40" t="s">
        <v>4727</v>
      </c>
      <c r="B40" s="148"/>
      <c r="C40" s="148"/>
      <c r="D40" s="148"/>
      <c r="E40" s="148"/>
    </row>
    <row r="41" spans="1:5" x14ac:dyDescent="0.25">
      <c r="A41" t="s">
        <v>5915</v>
      </c>
      <c r="B41" t="s">
        <v>2522</v>
      </c>
      <c r="C41" t="s">
        <v>6569</v>
      </c>
      <c r="D41" t="s">
        <v>6570</v>
      </c>
      <c r="E41" t="s">
        <v>6571</v>
      </c>
    </row>
    <row r="42" spans="1:5" x14ac:dyDescent="0.25">
      <c r="A42" t="s">
        <v>4982</v>
      </c>
      <c r="B42" t="s">
        <v>6572</v>
      </c>
      <c r="C42" t="s">
        <v>6573</v>
      </c>
      <c r="D42" t="s">
        <v>6574</v>
      </c>
      <c r="E42" t="s">
        <v>6575</v>
      </c>
    </row>
    <row r="43" spans="1:5" x14ac:dyDescent="0.25">
      <c r="A43" t="s">
        <v>6576</v>
      </c>
      <c r="B43" t="s">
        <v>1670</v>
      </c>
      <c r="C43" t="s">
        <v>6577</v>
      </c>
      <c r="D43" t="s">
        <v>4696</v>
      </c>
      <c r="E43" t="s">
        <v>6578</v>
      </c>
    </row>
    <row r="44" spans="1:5" x14ac:dyDescent="0.25">
      <c r="A44" t="s">
        <v>4722</v>
      </c>
      <c r="B44" t="s">
        <v>1825</v>
      </c>
      <c r="C44" s="148" t="s">
        <v>6579</v>
      </c>
      <c r="D44" s="148" t="s">
        <v>4723</v>
      </c>
      <c r="E44" s="148" t="s">
        <v>6580</v>
      </c>
    </row>
    <row r="45" spans="1:5" x14ac:dyDescent="0.25">
      <c r="A45" t="s">
        <v>4822</v>
      </c>
      <c r="B45" t="s">
        <v>1825</v>
      </c>
      <c r="C45" s="148"/>
      <c r="D45" s="148"/>
      <c r="E45" s="148"/>
    </row>
    <row r="46" spans="1:5" x14ac:dyDescent="0.25">
      <c r="A46" t="s">
        <v>5183</v>
      </c>
      <c r="B46" t="s">
        <v>1825</v>
      </c>
      <c r="C46" s="148"/>
      <c r="D46" s="148"/>
      <c r="E46" s="148"/>
    </row>
    <row r="47" spans="1:5" x14ac:dyDescent="0.25">
      <c r="A47" t="s">
        <v>5236</v>
      </c>
      <c r="B47" t="s">
        <v>1825</v>
      </c>
      <c r="C47" s="148"/>
      <c r="D47" s="148"/>
      <c r="E47" s="148"/>
    </row>
    <row r="48" spans="1:5" x14ac:dyDescent="0.25">
      <c r="A48" t="s">
        <v>5309</v>
      </c>
      <c r="B48" t="s">
        <v>1825</v>
      </c>
      <c r="C48" s="148"/>
      <c r="D48" s="148"/>
      <c r="E48" s="148"/>
    </row>
    <row r="49" spans="1:5" x14ac:dyDescent="0.25">
      <c r="A49" t="s">
        <v>5895</v>
      </c>
      <c r="B49" t="s">
        <v>1825</v>
      </c>
      <c r="C49" s="148"/>
      <c r="D49" s="148"/>
      <c r="E49" s="148"/>
    </row>
    <row r="50" spans="1:5" x14ac:dyDescent="0.25">
      <c r="A50" t="s">
        <v>5372</v>
      </c>
      <c r="B50" t="s">
        <v>2545</v>
      </c>
      <c r="C50" s="148" t="s">
        <v>6581</v>
      </c>
      <c r="D50" s="148" t="s">
        <v>5230</v>
      </c>
      <c r="E50" s="148" t="s">
        <v>6582</v>
      </c>
    </row>
    <row r="51" spans="1:5" x14ac:dyDescent="0.25">
      <c r="A51" t="s">
        <v>6583</v>
      </c>
      <c r="B51" t="s">
        <v>2545</v>
      </c>
      <c r="C51" s="148"/>
      <c r="D51" s="148"/>
      <c r="E51" s="148"/>
    </row>
    <row r="52" spans="1:5" x14ac:dyDescent="0.25">
      <c r="A52" t="s">
        <v>5580</v>
      </c>
      <c r="B52" t="s">
        <v>2545</v>
      </c>
      <c r="C52" s="148"/>
      <c r="D52" s="148"/>
      <c r="E52" s="148"/>
    </row>
    <row r="53" spans="1:5" x14ac:dyDescent="0.25">
      <c r="A53" t="s">
        <v>6584</v>
      </c>
      <c r="B53" t="s">
        <v>2545</v>
      </c>
      <c r="C53" s="148"/>
      <c r="D53" s="148"/>
      <c r="E53" s="148"/>
    </row>
    <row r="54" spans="1:5" x14ac:dyDescent="0.25">
      <c r="A54" t="s">
        <v>6585</v>
      </c>
      <c r="B54" t="s">
        <v>4055</v>
      </c>
      <c r="C54" s="148"/>
      <c r="D54" s="148"/>
      <c r="E54" s="148"/>
    </row>
    <row r="55" spans="1:5" x14ac:dyDescent="0.25">
      <c r="A55" t="s">
        <v>6372</v>
      </c>
      <c r="B55" t="s">
        <v>2545</v>
      </c>
      <c r="C55" s="148"/>
      <c r="D55" s="148"/>
      <c r="E55" s="148"/>
    </row>
    <row r="56" spans="1:5" x14ac:dyDescent="0.25">
      <c r="A56" t="s">
        <v>6400</v>
      </c>
      <c r="B56" t="s">
        <v>2545</v>
      </c>
      <c r="C56" s="148"/>
      <c r="D56" s="148"/>
      <c r="E56" s="148"/>
    </row>
    <row r="57" spans="1:5" x14ac:dyDescent="0.25">
      <c r="A57" t="s">
        <v>6586</v>
      </c>
      <c r="B57" t="s">
        <v>2545</v>
      </c>
      <c r="C57" s="148"/>
      <c r="D57" s="148"/>
      <c r="E57" s="148"/>
    </row>
    <row r="58" spans="1:5" x14ac:dyDescent="0.25">
      <c r="A58" t="s">
        <v>4780</v>
      </c>
      <c r="B58" t="s">
        <v>2826</v>
      </c>
      <c r="C58" s="148" t="s">
        <v>6587</v>
      </c>
      <c r="D58" s="148" t="s">
        <v>4781</v>
      </c>
      <c r="E58" s="148" t="s">
        <v>6588</v>
      </c>
    </row>
    <row r="59" spans="1:5" x14ac:dyDescent="0.25">
      <c r="A59" t="s">
        <v>5642</v>
      </c>
      <c r="B59" t="s">
        <v>2826</v>
      </c>
      <c r="C59" s="148"/>
      <c r="D59" s="148"/>
      <c r="E59" s="148"/>
    </row>
    <row r="60" spans="1:5" x14ac:dyDescent="0.25">
      <c r="A60" t="s">
        <v>5808</v>
      </c>
      <c r="B60" t="s">
        <v>2826</v>
      </c>
      <c r="C60" s="148"/>
      <c r="D60" s="148"/>
      <c r="E60" s="148"/>
    </row>
    <row r="61" spans="1:5" x14ac:dyDescent="0.25">
      <c r="A61" t="s">
        <v>5862</v>
      </c>
      <c r="B61" t="s">
        <v>2826</v>
      </c>
      <c r="C61" s="148"/>
      <c r="D61" s="148"/>
      <c r="E61" s="148"/>
    </row>
    <row r="62" spans="1:5" x14ac:dyDescent="0.25">
      <c r="A62" t="s">
        <v>6079</v>
      </c>
      <c r="B62" t="s">
        <v>2826</v>
      </c>
      <c r="C62" s="148"/>
      <c r="D62" s="148"/>
      <c r="E62" s="148"/>
    </row>
    <row r="63" spans="1:5" x14ac:dyDescent="0.25">
      <c r="A63" t="s">
        <v>6335</v>
      </c>
      <c r="B63" t="s">
        <v>4813</v>
      </c>
      <c r="C63" s="148" t="s">
        <v>6589</v>
      </c>
      <c r="D63" s="148" t="s">
        <v>4814</v>
      </c>
      <c r="E63" s="148" t="s">
        <v>6590</v>
      </c>
    </row>
    <row r="64" spans="1:5" x14ac:dyDescent="0.25">
      <c r="A64" t="s">
        <v>4812</v>
      </c>
      <c r="B64" t="s">
        <v>4813</v>
      </c>
      <c r="C64" s="148"/>
      <c r="D64" s="148"/>
      <c r="E64" s="148"/>
    </row>
    <row r="65" spans="1:5" x14ac:dyDescent="0.25">
      <c r="A65" t="s">
        <v>4820</v>
      </c>
      <c r="B65" t="s">
        <v>4813</v>
      </c>
      <c r="C65" s="148"/>
      <c r="D65" s="148"/>
      <c r="E65" s="148"/>
    </row>
    <row r="66" spans="1:5" x14ac:dyDescent="0.25">
      <c r="A66" t="s">
        <v>5271</v>
      </c>
      <c r="B66" t="s">
        <v>4813</v>
      </c>
      <c r="C66" s="148"/>
      <c r="D66" s="148"/>
      <c r="E66" s="148"/>
    </row>
    <row r="67" spans="1:5" x14ac:dyDescent="0.25">
      <c r="A67" t="s">
        <v>6591</v>
      </c>
      <c r="B67" t="s">
        <v>1635</v>
      </c>
      <c r="C67" s="148" t="s">
        <v>6592</v>
      </c>
      <c r="D67" s="148" t="s">
        <v>4968</v>
      </c>
      <c r="E67" s="148" t="s">
        <v>6593</v>
      </c>
    </row>
    <row r="68" spans="1:5" x14ac:dyDescent="0.25">
      <c r="A68" t="s">
        <v>4967</v>
      </c>
      <c r="B68" t="s">
        <v>1635</v>
      </c>
      <c r="C68" s="148"/>
      <c r="D68" s="148"/>
      <c r="E68" s="148"/>
    </row>
    <row r="69" spans="1:5" x14ac:dyDescent="0.25">
      <c r="A69" t="s">
        <v>4998</v>
      </c>
      <c r="B69" t="s">
        <v>1635</v>
      </c>
      <c r="C69" s="148"/>
      <c r="D69" s="148"/>
      <c r="E69" s="148"/>
    </row>
    <row r="70" spans="1:5" x14ac:dyDescent="0.25">
      <c r="A70" t="s">
        <v>5622</v>
      </c>
      <c r="B70" t="s">
        <v>1635</v>
      </c>
      <c r="C70" s="148"/>
      <c r="D70" s="148"/>
      <c r="E70" s="148"/>
    </row>
    <row r="71" spans="1:5" x14ac:dyDescent="0.25">
      <c r="A71" t="s">
        <v>5363</v>
      </c>
      <c r="B71" t="s">
        <v>1735</v>
      </c>
      <c r="C71" s="148" t="s">
        <v>6594</v>
      </c>
      <c r="D71" s="148" t="s">
        <v>5364</v>
      </c>
      <c r="E71" s="148" t="s">
        <v>6595</v>
      </c>
    </row>
    <row r="72" spans="1:5" x14ac:dyDescent="0.25">
      <c r="A72" t="s">
        <v>5760</v>
      </c>
      <c r="B72" t="s">
        <v>1735</v>
      </c>
      <c r="C72" s="148"/>
      <c r="D72" s="148"/>
      <c r="E72" s="148"/>
    </row>
    <row r="73" spans="1:5" x14ac:dyDescent="0.25">
      <c r="A73" t="s">
        <v>6011</v>
      </c>
      <c r="B73" t="s">
        <v>1735</v>
      </c>
      <c r="C73" s="148"/>
      <c r="D73" s="148"/>
      <c r="E73" s="148"/>
    </row>
    <row r="74" spans="1:5" x14ac:dyDescent="0.25">
      <c r="A74" t="s">
        <v>5772</v>
      </c>
      <c r="B74" t="s">
        <v>1735</v>
      </c>
      <c r="C74" s="148"/>
      <c r="D74" s="148"/>
      <c r="E74" s="148"/>
    </row>
    <row r="75" spans="1:5" x14ac:dyDescent="0.25">
      <c r="A75" t="s">
        <v>6596</v>
      </c>
      <c r="B75" t="s">
        <v>1596</v>
      </c>
      <c r="C75"/>
      <c r="D75" s="148" t="s">
        <v>6597</v>
      </c>
      <c r="E75" s="148" t="s">
        <v>6598</v>
      </c>
    </row>
    <row r="76" spans="1:5" x14ac:dyDescent="0.25">
      <c r="A76" t="s">
        <v>6599</v>
      </c>
      <c r="B76" t="s">
        <v>1596</v>
      </c>
      <c r="C76"/>
      <c r="D76" s="148"/>
      <c r="E76" s="148"/>
    </row>
    <row r="77" spans="1:5" x14ac:dyDescent="0.25">
      <c r="A77" t="s">
        <v>5008</v>
      </c>
      <c r="B77" t="s">
        <v>1860</v>
      </c>
      <c r="C77" s="148" t="s">
        <v>6600</v>
      </c>
      <c r="D77" s="148" t="s">
        <v>4622</v>
      </c>
      <c r="E77" s="148" t="s">
        <v>6601</v>
      </c>
    </row>
    <row r="78" spans="1:5" x14ac:dyDescent="0.25">
      <c r="A78" t="s">
        <v>5404</v>
      </c>
      <c r="B78" t="s">
        <v>1860</v>
      </c>
      <c r="C78" s="148"/>
      <c r="D78" s="148"/>
      <c r="E78" s="148"/>
    </row>
    <row r="79" spans="1:5" x14ac:dyDescent="0.25">
      <c r="A79" t="s">
        <v>5550</v>
      </c>
      <c r="B79" t="s">
        <v>1860</v>
      </c>
      <c r="C79" s="148"/>
      <c r="D79" s="148"/>
      <c r="E79" s="148"/>
    </row>
    <row r="80" spans="1:5" x14ac:dyDescent="0.25">
      <c r="A80" t="s">
        <v>4621</v>
      </c>
      <c r="B80" t="s">
        <v>1860</v>
      </c>
      <c r="C80" s="148"/>
      <c r="D80" s="148"/>
      <c r="E80" s="148"/>
    </row>
    <row r="81" spans="1:5" x14ac:dyDescent="0.25">
      <c r="A81" t="s">
        <v>4832</v>
      </c>
      <c r="B81" t="s">
        <v>4833</v>
      </c>
      <c r="C81" s="148" t="s">
        <v>6602</v>
      </c>
      <c r="D81" s="148" t="s">
        <v>4834</v>
      </c>
      <c r="E81" s="148" t="s">
        <v>6603</v>
      </c>
    </row>
    <row r="82" spans="1:5" x14ac:dyDescent="0.25">
      <c r="A82" t="s">
        <v>5846</v>
      </c>
      <c r="B82" t="s">
        <v>4833</v>
      </c>
      <c r="C82" s="148"/>
      <c r="D82" s="148"/>
      <c r="E82" s="148"/>
    </row>
    <row r="83" spans="1:5" x14ac:dyDescent="0.25">
      <c r="A83" t="s">
        <v>5106</v>
      </c>
      <c r="B83" t="s">
        <v>4833</v>
      </c>
      <c r="C83" s="148"/>
      <c r="D83" s="148"/>
      <c r="E83" s="148"/>
    </row>
    <row r="84" spans="1:5" x14ac:dyDescent="0.25">
      <c r="A84" t="s">
        <v>5108</v>
      </c>
      <c r="B84" t="s">
        <v>4833</v>
      </c>
      <c r="C84" s="148"/>
      <c r="D84" s="148"/>
      <c r="E84" s="148"/>
    </row>
    <row r="85" spans="1:5" x14ac:dyDescent="0.25">
      <c r="A85" t="s">
        <v>6604</v>
      </c>
      <c r="B85" t="s">
        <v>4160</v>
      </c>
      <c r="C85" s="148" t="s">
        <v>6605</v>
      </c>
      <c r="D85" s="148" t="s">
        <v>6606</v>
      </c>
      <c r="E85" s="148" t="s">
        <v>6607</v>
      </c>
    </row>
    <row r="86" spans="1:5" x14ac:dyDescent="0.25">
      <c r="A86" t="s">
        <v>5892</v>
      </c>
      <c r="B86" t="s">
        <v>4160</v>
      </c>
      <c r="C86" s="148"/>
      <c r="D86" s="148"/>
      <c r="E86" s="148"/>
    </row>
    <row r="87" spans="1:5" x14ac:dyDescent="0.25">
      <c r="A87" t="s">
        <v>4938</v>
      </c>
      <c r="B87" t="s">
        <v>1584</v>
      </c>
      <c r="C87" s="148" t="s">
        <v>6608</v>
      </c>
      <c r="D87" s="148" t="s">
        <v>4939</v>
      </c>
      <c r="E87" s="148" t="s">
        <v>6609</v>
      </c>
    </row>
    <row r="88" spans="1:5" x14ac:dyDescent="0.25">
      <c r="A88" t="s">
        <v>5880</v>
      </c>
      <c r="B88" t="s">
        <v>1584</v>
      </c>
      <c r="C88" s="148"/>
      <c r="D88" s="148"/>
      <c r="E88" s="148"/>
    </row>
    <row r="89" spans="1:5" x14ac:dyDescent="0.25">
      <c r="A89" t="s">
        <v>5122</v>
      </c>
      <c r="B89" t="s">
        <v>1584</v>
      </c>
      <c r="C89" s="148"/>
      <c r="D89" s="148"/>
      <c r="E89" s="148"/>
    </row>
    <row r="90" spans="1:5" x14ac:dyDescent="0.25">
      <c r="A90" t="s">
        <v>5911</v>
      </c>
      <c r="B90" t="s">
        <v>1584</v>
      </c>
      <c r="C90" s="148"/>
      <c r="D90" s="148"/>
      <c r="E90" s="148"/>
    </row>
    <row r="91" spans="1:5" x14ac:dyDescent="0.25">
      <c r="A91" t="s">
        <v>5667</v>
      </c>
      <c r="B91" t="s">
        <v>1584</v>
      </c>
      <c r="C91" s="148"/>
      <c r="D91" s="148"/>
      <c r="E91" s="148"/>
    </row>
    <row r="92" spans="1:5" x14ac:dyDescent="0.25">
      <c r="A92" t="s">
        <v>5273</v>
      </c>
      <c r="B92" t="s">
        <v>1695</v>
      </c>
      <c r="C92" s="148" t="s">
        <v>6610</v>
      </c>
      <c r="D92" s="148" t="s">
        <v>4687</v>
      </c>
      <c r="E92" s="148" t="s">
        <v>6611</v>
      </c>
    </row>
    <row r="93" spans="1:5" x14ac:dyDescent="0.25">
      <c r="A93" t="s">
        <v>5112</v>
      </c>
      <c r="B93" t="s">
        <v>1695</v>
      </c>
      <c r="C93" s="148"/>
      <c r="D93" s="148"/>
      <c r="E93" s="148"/>
    </row>
    <row r="94" spans="1:5" x14ac:dyDescent="0.25">
      <c r="A94" t="s">
        <v>5782</v>
      </c>
      <c r="B94" t="s">
        <v>1695</v>
      </c>
      <c r="C94" s="148"/>
      <c r="D94" s="148"/>
      <c r="E94" s="148"/>
    </row>
    <row r="95" spans="1:5" x14ac:dyDescent="0.25">
      <c r="A95" t="s">
        <v>4567</v>
      </c>
      <c r="B95" t="s">
        <v>1695</v>
      </c>
      <c r="C95" s="148"/>
      <c r="D95" s="148"/>
      <c r="E95" s="148"/>
    </row>
    <row r="96" spans="1:5" x14ac:dyDescent="0.25">
      <c r="A96" t="s">
        <v>4686</v>
      </c>
      <c r="B96" t="s">
        <v>1695</v>
      </c>
      <c r="C96" s="148"/>
      <c r="D96" s="148"/>
      <c r="E96" s="148"/>
    </row>
    <row r="97" spans="1:5" x14ac:dyDescent="0.25">
      <c r="A97" t="s">
        <v>5155</v>
      </c>
      <c r="B97" t="s">
        <v>1695</v>
      </c>
      <c r="C97" s="148"/>
      <c r="D97" s="148"/>
      <c r="E97" s="148"/>
    </row>
    <row r="98" spans="1:5" x14ac:dyDescent="0.25">
      <c r="A98" t="s">
        <v>6386</v>
      </c>
      <c r="B98" t="s">
        <v>1695</v>
      </c>
      <c r="C98" s="148"/>
      <c r="D98" s="148"/>
      <c r="E98" s="148"/>
    </row>
    <row r="99" spans="1:5" x14ac:dyDescent="0.25">
      <c r="A99" t="s">
        <v>6506</v>
      </c>
      <c r="B99" t="s">
        <v>1575</v>
      </c>
      <c r="C99" s="148"/>
      <c r="D99" s="148"/>
      <c r="E99" s="148"/>
    </row>
    <row r="100" spans="1:5" x14ac:dyDescent="0.25">
      <c r="A100" t="s">
        <v>6509</v>
      </c>
      <c r="B100" t="s">
        <v>1695</v>
      </c>
      <c r="C100" s="148"/>
      <c r="D100" s="148"/>
      <c r="E100" s="148"/>
    </row>
    <row r="101" spans="1:5" x14ac:dyDescent="0.25">
      <c r="A101" t="s">
        <v>6612</v>
      </c>
      <c r="B101" t="s">
        <v>1921</v>
      </c>
      <c r="C101" s="148" t="s">
        <v>6613</v>
      </c>
      <c r="D101" s="148" t="s">
        <v>5151</v>
      </c>
      <c r="E101" s="148" t="s">
        <v>6614</v>
      </c>
    </row>
    <row r="102" spans="1:5" x14ac:dyDescent="0.25">
      <c r="A102" t="s">
        <v>5482</v>
      </c>
      <c r="B102" t="s">
        <v>1921</v>
      </c>
      <c r="C102" s="148"/>
      <c r="D102" s="148"/>
      <c r="E102" s="148"/>
    </row>
    <row r="103" spans="1:5" x14ac:dyDescent="0.25">
      <c r="A103" t="s">
        <v>5836</v>
      </c>
      <c r="B103" t="s">
        <v>1921</v>
      </c>
      <c r="C103" s="148"/>
      <c r="D103" s="148"/>
      <c r="E103" s="148"/>
    </row>
    <row r="104" spans="1:5" x14ac:dyDescent="0.25">
      <c r="A104" t="s">
        <v>5903</v>
      </c>
      <c r="B104" t="s">
        <v>1921</v>
      </c>
      <c r="C104" s="148"/>
      <c r="D104" s="148"/>
      <c r="E104" s="148"/>
    </row>
    <row r="105" spans="1:5" x14ac:dyDescent="0.25">
      <c r="A105" t="s">
        <v>6615</v>
      </c>
      <c r="B105" t="s">
        <v>1921</v>
      </c>
      <c r="C105" s="148"/>
      <c r="D105" s="148"/>
      <c r="E105" s="148"/>
    </row>
    <row r="106" spans="1:5" x14ac:dyDescent="0.25">
      <c r="A106" t="s">
        <v>4677</v>
      </c>
      <c r="B106" t="s">
        <v>1641</v>
      </c>
      <c r="C106" s="148" t="s">
        <v>6616</v>
      </c>
      <c r="D106" s="148" t="s">
        <v>4678</v>
      </c>
      <c r="E106" s="148" t="s">
        <v>6617</v>
      </c>
    </row>
    <row r="107" spans="1:5" x14ac:dyDescent="0.25">
      <c r="A107" t="s">
        <v>6618</v>
      </c>
      <c r="B107" t="s">
        <v>1641</v>
      </c>
      <c r="C107" s="148"/>
      <c r="D107" s="148"/>
      <c r="E107" s="148"/>
    </row>
    <row r="108" spans="1:5" x14ac:dyDescent="0.25">
      <c r="A108" t="s">
        <v>5144</v>
      </c>
      <c r="B108" t="s">
        <v>1641</v>
      </c>
      <c r="C108" s="148"/>
      <c r="D108" s="148"/>
      <c r="E108" s="148"/>
    </row>
    <row r="109" spans="1:5" x14ac:dyDescent="0.25">
      <c r="A109" t="s">
        <v>5872</v>
      </c>
      <c r="B109" t="s">
        <v>1641</v>
      </c>
      <c r="C109" s="148"/>
      <c r="D109" s="148"/>
      <c r="E109" s="148"/>
    </row>
    <row r="110" spans="1:5" x14ac:dyDescent="0.25">
      <c r="A110" t="s">
        <v>5858</v>
      </c>
      <c r="B110" t="s">
        <v>6619</v>
      </c>
      <c r="C110" t="s">
        <v>6620</v>
      </c>
      <c r="D110" t="s">
        <v>6621</v>
      </c>
      <c r="E110" t="s">
        <v>6622</v>
      </c>
    </row>
    <row r="111" spans="1:5" x14ac:dyDescent="0.25">
      <c r="A111" t="s">
        <v>4534</v>
      </c>
      <c r="B111" t="s">
        <v>4535</v>
      </c>
      <c r="C111" s="148" t="s">
        <v>6623</v>
      </c>
      <c r="D111" s="148" t="s">
        <v>4536</v>
      </c>
      <c r="E111" s="148" t="s">
        <v>6624</v>
      </c>
    </row>
    <row r="112" spans="1:5" x14ac:dyDescent="0.25">
      <c r="A112" t="s">
        <v>5103</v>
      </c>
      <c r="B112" t="s">
        <v>4535</v>
      </c>
      <c r="C112" s="148"/>
      <c r="D112" s="148"/>
      <c r="E112" s="148" t="s">
        <v>6624</v>
      </c>
    </row>
    <row r="113" spans="1:5" x14ac:dyDescent="0.25">
      <c r="A113" t="s">
        <v>6454</v>
      </c>
      <c r="B113" t="s">
        <v>1709</v>
      </c>
      <c r="C113" s="148" t="s">
        <v>6602</v>
      </c>
      <c r="D113" s="148" t="s">
        <v>6426</v>
      </c>
      <c r="E113" s="148" t="s">
        <v>6625</v>
      </c>
    </row>
    <row r="114" spans="1:5" x14ac:dyDescent="0.25">
      <c r="A114" t="s">
        <v>6626</v>
      </c>
      <c r="B114" t="s">
        <v>1709</v>
      </c>
      <c r="C114" s="148"/>
      <c r="D114" s="148"/>
      <c r="E114" s="148" t="s">
        <v>6625</v>
      </c>
    </row>
    <row r="115" spans="1:5" x14ac:dyDescent="0.25">
      <c r="A115" t="s">
        <v>6428</v>
      </c>
      <c r="B115" t="s">
        <v>1709</v>
      </c>
      <c r="C115" s="148"/>
      <c r="D115" s="148"/>
      <c r="E115" s="148" t="s">
        <v>6625</v>
      </c>
    </row>
    <row r="116" spans="1:5" x14ac:dyDescent="0.25">
      <c r="A116" t="s">
        <v>5660</v>
      </c>
      <c r="B116" t="s">
        <v>6627</v>
      </c>
      <c r="C116" t="s">
        <v>6589</v>
      </c>
      <c r="D116" t="s">
        <v>6628</v>
      </c>
      <c r="E116" t="s">
        <v>6629</v>
      </c>
    </row>
    <row r="117" spans="1:5" x14ac:dyDescent="0.25">
      <c r="A117" t="s">
        <v>4654</v>
      </c>
      <c r="B117" t="s">
        <v>2240</v>
      </c>
      <c r="C117" s="148" t="s">
        <v>6630</v>
      </c>
      <c r="D117" s="148" t="s">
        <v>4559</v>
      </c>
      <c r="E117" s="148" t="s">
        <v>6631</v>
      </c>
    </row>
    <row r="118" spans="1:5" x14ac:dyDescent="0.25">
      <c r="A118" t="s">
        <v>4558</v>
      </c>
      <c r="B118" t="s">
        <v>2240</v>
      </c>
      <c r="C118" s="148"/>
      <c r="D118" s="148"/>
      <c r="E118" s="148"/>
    </row>
    <row r="119" spans="1:5" x14ac:dyDescent="0.25">
      <c r="A119" t="s">
        <v>5638</v>
      </c>
      <c r="B119" t="s">
        <v>2240</v>
      </c>
      <c r="C119" s="148"/>
      <c r="D119" s="148"/>
      <c r="E119" s="148"/>
    </row>
    <row r="120" spans="1:5" x14ac:dyDescent="0.25">
      <c r="A120" t="s">
        <v>6408</v>
      </c>
      <c r="B120" t="s">
        <v>1791</v>
      </c>
      <c r="C120" t="s">
        <v>6632</v>
      </c>
      <c r="D120" t="s">
        <v>6409</v>
      </c>
      <c r="E120" t="s">
        <v>6633</v>
      </c>
    </row>
    <row r="121" spans="1:5" x14ac:dyDescent="0.25">
      <c r="A121" t="s">
        <v>5085</v>
      </c>
      <c r="B121" t="s">
        <v>6634</v>
      </c>
      <c r="C121"/>
      <c r="D121" s="148" t="s">
        <v>6635</v>
      </c>
      <c r="E121" s="148" t="s">
        <v>6636</v>
      </c>
    </row>
    <row r="122" spans="1:5" x14ac:dyDescent="0.25">
      <c r="A122" t="s">
        <v>5687</v>
      </c>
      <c r="B122" t="s">
        <v>6634</v>
      </c>
      <c r="C122"/>
      <c r="D122" s="148" t="s">
        <v>6635</v>
      </c>
      <c r="E122" s="148" t="s">
        <v>6636</v>
      </c>
    </row>
  </sheetData>
  <autoFilter ref="A1:E122" xr:uid="{00000000-0009-0000-0000-00000D000000}"/>
  <mergeCells count="76">
    <mergeCell ref="D121:D122"/>
    <mergeCell ref="E121:E122"/>
    <mergeCell ref="C113:C115"/>
    <mergeCell ref="D113:D115"/>
    <mergeCell ref="E113:E115"/>
    <mergeCell ref="C117:C119"/>
    <mergeCell ref="D117:D119"/>
    <mergeCell ref="E117:E119"/>
    <mergeCell ref="C106:C109"/>
    <mergeCell ref="D106:D109"/>
    <mergeCell ref="E106:E109"/>
    <mergeCell ref="C111:C112"/>
    <mergeCell ref="D111:D112"/>
    <mergeCell ref="E111:E112"/>
    <mergeCell ref="C92:C100"/>
    <mergeCell ref="D92:D100"/>
    <mergeCell ref="E92:E100"/>
    <mergeCell ref="C101:C105"/>
    <mergeCell ref="D101:D105"/>
    <mergeCell ref="E101:E105"/>
    <mergeCell ref="C85:C86"/>
    <mergeCell ref="D85:D86"/>
    <mergeCell ref="E85:E86"/>
    <mergeCell ref="C87:C91"/>
    <mergeCell ref="D87:D91"/>
    <mergeCell ref="E87:E91"/>
    <mergeCell ref="C81:C84"/>
    <mergeCell ref="D81:D84"/>
    <mergeCell ref="E81:E84"/>
    <mergeCell ref="C67:C70"/>
    <mergeCell ref="D67:D70"/>
    <mergeCell ref="E67:E70"/>
    <mergeCell ref="C71:C74"/>
    <mergeCell ref="D71:D74"/>
    <mergeCell ref="E71:E74"/>
    <mergeCell ref="D75:D76"/>
    <mergeCell ref="E75:E76"/>
    <mergeCell ref="C77:C80"/>
    <mergeCell ref="D77:D80"/>
    <mergeCell ref="E77:E80"/>
    <mergeCell ref="C58:C62"/>
    <mergeCell ref="D58:D62"/>
    <mergeCell ref="E58:E62"/>
    <mergeCell ref="C63:C66"/>
    <mergeCell ref="D63:D66"/>
    <mergeCell ref="E63:E66"/>
    <mergeCell ref="C44:C49"/>
    <mergeCell ref="D44:D49"/>
    <mergeCell ref="E44:E49"/>
    <mergeCell ref="C50:C57"/>
    <mergeCell ref="D50:D57"/>
    <mergeCell ref="E50:E57"/>
    <mergeCell ref="C13:C15"/>
    <mergeCell ref="D13:D15"/>
    <mergeCell ref="E13:E15"/>
    <mergeCell ref="D16:D21"/>
    <mergeCell ref="E16:E21"/>
    <mergeCell ref="C2:C5"/>
    <mergeCell ref="D2:D5"/>
    <mergeCell ref="E2:E5"/>
    <mergeCell ref="C6:C12"/>
    <mergeCell ref="D6:D12"/>
    <mergeCell ref="E6:E12"/>
    <mergeCell ref="B39:B40"/>
    <mergeCell ref="C39:C40"/>
    <mergeCell ref="D39:D40"/>
    <mergeCell ref="E39:E40"/>
    <mergeCell ref="C22:C26"/>
    <mergeCell ref="D22:D26"/>
    <mergeCell ref="E22:E26"/>
    <mergeCell ref="C27:C29"/>
    <mergeCell ref="D27:D29"/>
    <mergeCell ref="E27:E29"/>
    <mergeCell ref="C30:C37"/>
    <mergeCell ref="D30:D37"/>
    <mergeCell ref="E30:E37"/>
  </mergeCells>
  <hyperlinks>
    <hyperlink ref="D2" r:id="rId1" xr:uid="{00000000-0004-0000-0D00-000000000000}"/>
    <hyperlink ref="D75:D76" r:id="rId2" display="carlos.rodriguezaguado.ext@telefonica.com" xr:uid="{00000000-0004-0000-0D00-000001000000}"/>
    <hyperlink ref="D120" r:id="rId3" xr:uid="{00000000-0004-0000-0D00-000002000000}"/>
    <hyperlink ref="D30:D37" r:id="rId4" display="DAVID.JIMENOSALGADO.ext@telefonica.com" xr:uid="{00000000-0004-0000-0D00-000003000000}"/>
    <hyperlink ref="D113:D115" r:id="rId5" display="ricardojose.lordencanton.ext@telefonica.com" xr:uid="{00000000-0004-0000-0D00-000004000000}"/>
    <hyperlink ref="D27" r:id="rId6" xr:uid="{00000000-0004-0000-0D00-000005000000}"/>
    <hyperlink ref="D101" r:id="rId7" xr:uid="{29245215-28A4-4042-88AB-32FD19608D5A}"/>
    <hyperlink ref="D110" r:id="rId8" xr:uid="{061E325B-D09C-4EB0-A31A-36B88CC7945E}"/>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F140"/>
  <sheetViews>
    <sheetView topLeftCell="A2" workbookViewId="0">
      <selection activeCell="B11" sqref="B11"/>
    </sheetView>
  </sheetViews>
  <sheetFormatPr defaultColWidth="9.140625" defaultRowHeight="15" x14ac:dyDescent="0.25"/>
  <cols>
    <col min="1" max="1" width="6.140625" style="15" bestFit="1" customWidth="1"/>
    <col min="2" max="2" width="27.140625" style="15" bestFit="1" customWidth="1"/>
    <col min="3" max="3" width="14.85546875" style="15" bestFit="1" customWidth="1"/>
    <col min="4" max="4" width="12.85546875" style="15" bestFit="1" customWidth="1"/>
    <col min="5" max="5" width="35.28515625" style="15" bestFit="1" customWidth="1"/>
    <col min="6" max="6" width="6.140625" style="15" bestFit="1" customWidth="1"/>
  </cols>
  <sheetData>
    <row r="1" spans="1:6" ht="15.75" thickBot="1" x14ac:dyDescent="0.3">
      <c r="A1" t="s">
        <v>6637</v>
      </c>
      <c r="B1" t="s">
        <v>6638</v>
      </c>
      <c r="C1" t="s">
        <v>6639</v>
      </c>
      <c r="D1" t="s">
        <v>6640</v>
      </c>
      <c r="E1" t="s">
        <v>6641</v>
      </c>
      <c r="F1" t="s">
        <v>6637</v>
      </c>
    </row>
    <row r="2" spans="1:6" ht="15.75" customHeight="1" thickBot="1" x14ac:dyDescent="0.3">
      <c r="A2" s="148" t="s">
        <v>6642</v>
      </c>
      <c r="B2" s="148" t="s">
        <v>6643</v>
      </c>
      <c r="C2" s="148" t="s">
        <v>6644</v>
      </c>
      <c r="D2" s="148" t="s">
        <v>6645</v>
      </c>
      <c r="E2" t="s">
        <v>6646</v>
      </c>
      <c r="F2" s="148" t="s">
        <v>6642</v>
      </c>
    </row>
    <row r="3" spans="1:6" ht="15.75" thickBot="1" x14ac:dyDescent="0.3">
      <c r="A3" s="148"/>
      <c r="B3" s="148"/>
      <c r="C3" s="148"/>
      <c r="D3" s="148"/>
      <c r="E3" t="s">
        <v>6647</v>
      </c>
      <c r="F3" s="148"/>
    </row>
    <row r="4" spans="1:6" ht="15.75" thickBot="1" x14ac:dyDescent="0.3">
      <c r="A4" t="s">
        <v>6648</v>
      </c>
      <c r="B4" t="s">
        <v>6649</v>
      </c>
      <c r="C4" t="s">
        <v>6644</v>
      </c>
      <c r="D4" t="s">
        <v>6645</v>
      </c>
      <c r="E4" t="s">
        <v>6650</v>
      </c>
      <c r="F4" t="s">
        <v>6648</v>
      </c>
    </row>
    <row r="5" spans="1:6" ht="15.75" thickBot="1" x14ac:dyDescent="0.3">
      <c r="A5" s="148" t="s">
        <v>6651</v>
      </c>
      <c r="B5" s="148" t="s">
        <v>6652</v>
      </c>
      <c r="C5" s="148" t="s">
        <v>6644</v>
      </c>
      <c r="D5" s="148" t="s">
        <v>6645</v>
      </c>
      <c r="E5" t="s">
        <v>6653</v>
      </c>
      <c r="F5" s="148" t="s">
        <v>6651</v>
      </c>
    </row>
    <row r="6" spans="1:6" ht="15.75" thickBot="1" x14ac:dyDescent="0.3">
      <c r="A6" s="148"/>
      <c r="B6" s="148"/>
      <c r="C6" s="148"/>
      <c r="D6" s="148"/>
      <c r="E6" t="s">
        <v>6654</v>
      </c>
      <c r="F6" s="148"/>
    </row>
    <row r="7" spans="1:6" x14ac:dyDescent="0.25">
      <c r="A7" s="148"/>
      <c r="B7" s="148"/>
      <c r="C7" s="148"/>
      <c r="D7" s="148"/>
      <c r="E7" t="s">
        <v>5911</v>
      </c>
      <c r="F7" s="148"/>
    </row>
    <row r="8" spans="1:6" x14ac:dyDescent="0.25">
      <c r="A8" s="148"/>
      <c r="B8" s="148"/>
      <c r="C8" s="148"/>
      <c r="D8" s="148"/>
      <c r="E8" t="s">
        <v>6655</v>
      </c>
      <c r="F8" s="148"/>
    </row>
    <row r="9" spans="1:6" x14ac:dyDescent="0.25">
      <c r="A9" s="148"/>
      <c r="B9" s="148"/>
      <c r="C9" s="148"/>
      <c r="D9" s="148"/>
      <c r="E9" t="s">
        <v>6656</v>
      </c>
      <c r="F9" s="148"/>
    </row>
    <row r="10" spans="1:6" ht="15.75" thickBot="1" x14ac:dyDescent="0.3">
      <c r="A10" s="148"/>
      <c r="B10" s="148"/>
      <c r="C10" s="148"/>
      <c r="D10" s="148"/>
      <c r="E10" t="s">
        <v>6657</v>
      </c>
      <c r="F10" s="148"/>
    </row>
    <row r="11" spans="1:6" ht="15.75" thickBot="1" x14ac:dyDescent="0.3">
      <c r="A11" t="s">
        <v>6658</v>
      </c>
      <c r="B11" t="s">
        <v>6659</v>
      </c>
      <c r="C11" t="s">
        <v>6644</v>
      </c>
      <c r="D11" t="s">
        <v>6645</v>
      </c>
      <c r="E11" t="s">
        <v>6660</v>
      </c>
      <c r="F11" t="s">
        <v>6658</v>
      </c>
    </row>
    <row r="12" spans="1:6" ht="15.75" thickBot="1" x14ac:dyDescent="0.3">
      <c r="A12" s="148" t="s">
        <v>6661</v>
      </c>
      <c r="B12" s="148" t="s">
        <v>6662</v>
      </c>
      <c r="C12" s="148" t="s">
        <v>6644</v>
      </c>
      <c r="D12" s="148" t="s">
        <v>6645</v>
      </c>
      <c r="E12" t="s">
        <v>6663</v>
      </c>
      <c r="F12" s="148" t="s">
        <v>6661</v>
      </c>
    </row>
    <row r="13" spans="1:6" ht="15.75" thickBot="1" x14ac:dyDescent="0.3">
      <c r="A13" s="148"/>
      <c r="B13" s="148"/>
      <c r="C13" s="148"/>
      <c r="D13" s="148"/>
      <c r="E13" t="s">
        <v>6664</v>
      </c>
      <c r="F13" s="148"/>
    </row>
    <row r="14" spans="1:6" ht="15.75" thickBot="1" x14ac:dyDescent="0.3">
      <c r="A14" t="s">
        <v>6665</v>
      </c>
      <c r="B14" t="s">
        <v>6666</v>
      </c>
      <c r="C14" t="s">
        <v>6644</v>
      </c>
      <c r="D14" t="s">
        <v>6645</v>
      </c>
      <c r="E14" t="s">
        <v>6667</v>
      </c>
      <c r="F14" t="s">
        <v>6665</v>
      </c>
    </row>
    <row r="15" spans="1:6" ht="15.75" thickBot="1" x14ac:dyDescent="0.3">
      <c r="A15" s="148" t="s">
        <v>6668</v>
      </c>
      <c r="B15" s="148" t="s">
        <v>6669</v>
      </c>
      <c r="C15" s="148" t="s">
        <v>6644</v>
      </c>
      <c r="D15" s="148" t="s">
        <v>6645</v>
      </c>
      <c r="E15" t="s">
        <v>6670</v>
      </c>
      <c r="F15" s="148" t="s">
        <v>6668</v>
      </c>
    </row>
    <row r="16" spans="1:6" ht="15.75" thickBot="1" x14ac:dyDescent="0.3">
      <c r="A16" s="148"/>
      <c r="B16" s="148"/>
      <c r="C16" s="148"/>
      <c r="D16" s="148"/>
      <c r="E16" t="s">
        <v>6671</v>
      </c>
      <c r="F16" s="148"/>
    </row>
    <row r="17" spans="1:6" ht="15.75" thickBot="1" x14ac:dyDescent="0.3">
      <c r="A17" s="148"/>
      <c r="B17" s="148"/>
      <c r="C17" s="148"/>
      <c r="D17" s="148"/>
      <c r="E17" t="s">
        <v>6672</v>
      </c>
      <c r="F17" s="148"/>
    </row>
    <row r="18" spans="1:6" ht="15.75" customHeight="1" thickBot="1" x14ac:dyDescent="0.3">
      <c r="A18" s="148"/>
      <c r="B18" s="148"/>
      <c r="C18" s="148"/>
      <c r="D18" s="148"/>
      <c r="E18" t="s">
        <v>6673</v>
      </c>
      <c r="F18" s="148"/>
    </row>
    <row r="19" spans="1:6" ht="15.75" thickBot="1" x14ac:dyDescent="0.3">
      <c r="A19" s="148"/>
      <c r="B19" s="148"/>
      <c r="C19" s="148"/>
      <c r="D19" s="148"/>
      <c r="E19" t="s">
        <v>6674</v>
      </c>
      <c r="F19" s="148"/>
    </row>
    <row r="20" spans="1:6" ht="15.75" customHeight="1" thickBot="1" x14ac:dyDescent="0.3">
      <c r="A20" s="148" t="s">
        <v>6675</v>
      </c>
      <c r="B20" s="148" t="s">
        <v>6676</v>
      </c>
      <c r="C20" s="148" t="s">
        <v>6644</v>
      </c>
      <c r="D20" s="148" t="s">
        <v>6645</v>
      </c>
      <c r="E20" t="s">
        <v>6677</v>
      </c>
      <c r="F20" s="148" t="s">
        <v>6675</v>
      </c>
    </row>
    <row r="21" spans="1:6" ht="15.75" thickBot="1" x14ac:dyDescent="0.3">
      <c r="A21" s="148"/>
      <c r="B21" s="148"/>
      <c r="C21" s="148"/>
      <c r="D21" s="148"/>
      <c r="E21" t="s">
        <v>6678</v>
      </c>
      <c r="F21" s="148"/>
    </row>
    <row r="22" spans="1:6" ht="15.75" thickBot="1" x14ac:dyDescent="0.3">
      <c r="A22" s="148"/>
      <c r="B22" s="148"/>
      <c r="C22" s="148"/>
      <c r="D22" s="148"/>
      <c r="E22" t="s">
        <v>6679</v>
      </c>
      <c r="F22" s="148"/>
    </row>
    <row r="23" spans="1:6" ht="15.75" customHeight="1" thickBot="1" x14ac:dyDescent="0.3">
      <c r="A23" s="148"/>
      <c r="B23" s="148"/>
      <c r="C23" s="148"/>
      <c r="D23" s="148"/>
      <c r="E23" t="s">
        <v>6680</v>
      </c>
      <c r="F23" s="148"/>
    </row>
    <row r="24" spans="1:6" ht="15.75" thickBot="1" x14ac:dyDescent="0.3">
      <c r="A24" s="148"/>
      <c r="B24" s="148"/>
      <c r="C24" s="148"/>
      <c r="D24" s="148"/>
      <c r="E24" t="s">
        <v>6681</v>
      </c>
      <c r="F24" s="148"/>
    </row>
    <row r="25" spans="1:6" ht="15.75" customHeight="1" thickBot="1" x14ac:dyDescent="0.3">
      <c r="A25" s="148"/>
      <c r="B25" s="148"/>
      <c r="C25" s="148"/>
      <c r="D25" s="148"/>
      <c r="E25" t="s">
        <v>6682</v>
      </c>
      <c r="F25" s="148"/>
    </row>
    <row r="26" spans="1:6" ht="15.75" thickBot="1" x14ac:dyDescent="0.3">
      <c r="A26" s="148"/>
      <c r="B26" s="148"/>
      <c r="C26" s="148"/>
      <c r="D26" s="148"/>
      <c r="E26" t="s">
        <v>6683</v>
      </c>
      <c r="F26" s="148"/>
    </row>
    <row r="27" spans="1:6" ht="15.75" customHeight="1" thickBot="1" x14ac:dyDescent="0.3">
      <c r="A27" s="148"/>
      <c r="B27" s="148"/>
      <c r="C27" s="148"/>
      <c r="D27" s="148"/>
      <c r="E27" t="s">
        <v>6069</v>
      </c>
      <c r="F27" s="148"/>
    </row>
    <row r="28" spans="1:6" ht="15.75" customHeight="1" thickBot="1" x14ac:dyDescent="0.3">
      <c r="A28" s="148"/>
      <c r="B28" s="148"/>
      <c r="C28" s="148"/>
      <c r="D28" s="148"/>
      <c r="E28" t="s">
        <v>6684</v>
      </c>
      <c r="F28" s="148"/>
    </row>
    <row r="29" spans="1:6" ht="15.75" customHeight="1" thickBot="1" x14ac:dyDescent="0.3">
      <c r="A29" s="148"/>
      <c r="B29" s="148"/>
      <c r="C29" s="148"/>
      <c r="D29" s="148"/>
      <c r="E29" t="s">
        <v>6685</v>
      </c>
      <c r="F29" s="148"/>
    </row>
    <row r="30" spans="1:6" ht="15.75" customHeight="1" thickBot="1" x14ac:dyDescent="0.3">
      <c r="A30" s="148"/>
      <c r="B30" s="148"/>
      <c r="C30" s="148"/>
      <c r="D30" s="148"/>
      <c r="E30" t="s">
        <v>6686</v>
      </c>
      <c r="F30" s="148"/>
    </row>
    <row r="31" spans="1:6" ht="15.75" customHeight="1" thickBot="1" x14ac:dyDescent="0.3">
      <c r="A31" s="148"/>
      <c r="B31" s="148"/>
      <c r="C31" s="148"/>
      <c r="D31" s="148"/>
      <c r="E31" t="s">
        <v>6687</v>
      </c>
      <c r="F31" s="148"/>
    </row>
    <row r="32" spans="1:6" ht="15.75" thickBot="1" x14ac:dyDescent="0.3">
      <c r="A32" s="148"/>
      <c r="B32" s="148"/>
      <c r="C32" s="148"/>
      <c r="D32" s="148"/>
      <c r="E32" t="s">
        <v>5301</v>
      </c>
      <c r="F32" s="148"/>
    </row>
    <row r="33" spans="1:6" ht="15.75" thickBot="1" x14ac:dyDescent="0.3">
      <c r="A33" s="148" t="s">
        <v>6688</v>
      </c>
      <c r="B33" s="148" t="s">
        <v>6689</v>
      </c>
      <c r="C33" s="148" t="s">
        <v>6644</v>
      </c>
      <c r="D33" s="148" t="s">
        <v>6645</v>
      </c>
      <c r="E33" t="s">
        <v>6690</v>
      </c>
      <c r="F33" s="148" t="s">
        <v>6688</v>
      </c>
    </row>
    <row r="34" spans="1:6" ht="15.75" customHeight="1" thickBot="1" x14ac:dyDescent="0.3">
      <c r="A34" s="148"/>
      <c r="B34" s="148"/>
      <c r="C34" s="148"/>
      <c r="D34" s="148"/>
      <c r="E34" t="s">
        <v>6691</v>
      </c>
      <c r="F34" s="148"/>
    </row>
    <row r="35" spans="1:6" ht="15.75" thickBot="1" x14ac:dyDescent="0.3">
      <c r="A35" s="148" t="s">
        <v>6692</v>
      </c>
      <c r="B35" s="148" t="s">
        <v>6693</v>
      </c>
      <c r="C35" s="148" t="s">
        <v>6644</v>
      </c>
      <c r="D35" s="148" t="s">
        <v>6645</v>
      </c>
      <c r="E35" t="s">
        <v>6694</v>
      </c>
      <c r="F35" s="148" t="s">
        <v>6692</v>
      </c>
    </row>
    <row r="36" spans="1:6" ht="15.75" customHeight="1" thickBot="1" x14ac:dyDescent="0.3">
      <c r="A36" s="148"/>
      <c r="B36" s="148"/>
      <c r="C36" s="148"/>
      <c r="D36" s="148"/>
      <c r="E36" t="s">
        <v>6695</v>
      </c>
      <c r="F36" s="148"/>
    </row>
    <row r="37" spans="1:6" ht="15.75" customHeight="1" thickBot="1" x14ac:dyDescent="0.3">
      <c r="A37" s="148"/>
      <c r="B37" s="148"/>
      <c r="C37" s="148"/>
      <c r="D37" s="148"/>
      <c r="E37" t="s">
        <v>6696</v>
      </c>
      <c r="F37" s="148"/>
    </row>
    <row r="38" spans="1:6" ht="15.75" customHeight="1" thickBot="1" x14ac:dyDescent="0.3">
      <c r="A38" s="148"/>
      <c r="B38" s="148"/>
      <c r="C38" s="148"/>
      <c r="D38" s="148"/>
      <c r="E38" t="s">
        <v>6697</v>
      </c>
      <c r="F38" s="148"/>
    </row>
    <row r="39" spans="1:6" ht="15.75" thickBot="1" x14ac:dyDescent="0.3">
      <c r="A39" s="148"/>
      <c r="B39" s="148"/>
      <c r="C39" s="148"/>
      <c r="D39" s="148"/>
      <c r="E39" t="s">
        <v>5055</v>
      </c>
      <c r="F39" s="148"/>
    </row>
    <row r="40" spans="1:6" ht="15.75" customHeight="1" thickBot="1" x14ac:dyDescent="0.3">
      <c r="A40" s="148"/>
      <c r="B40" s="148"/>
      <c r="C40" s="148"/>
      <c r="D40" s="148"/>
      <c r="E40" t="s">
        <v>6698</v>
      </c>
      <c r="F40" s="148"/>
    </row>
    <row r="41" spans="1:6" ht="15.75" thickBot="1" x14ac:dyDescent="0.3">
      <c r="A41" s="148"/>
      <c r="B41" s="148"/>
      <c r="C41" s="148"/>
      <c r="D41" s="148"/>
      <c r="E41" t="s">
        <v>6699</v>
      </c>
      <c r="F41" s="148"/>
    </row>
    <row r="42" spans="1:6" ht="15.75" customHeight="1" thickBot="1" x14ac:dyDescent="0.3">
      <c r="A42" s="148"/>
      <c r="B42" s="148"/>
      <c r="C42" s="148"/>
      <c r="D42" s="148"/>
      <c r="E42" t="s">
        <v>6700</v>
      </c>
      <c r="F42" s="148"/>
    </row>
    <row r="43" spans="1:6" ht="15.75" thickBot="1" x14ac:dyDescent="0.3">
      <c r="A43" s="148"/>
      <c r="B43" s="148"/>
      <c r="C43" s="148"/>
      <c r="D43" s="148"/>
      <c r="E43" t="s">
        <v>6701</v>
      </c>
      <c r="F43" s="148"/>
    </row>
    <row r="44" spans="1:6" x14ac:dyDescent="0.25">
      <c r="A44" s="148" t="s">
        <v>6702</v>
      </c>
      <c r="B44" s="148" t="s">
        <v>6703</v>
      </c>
      <c r="C44" s="148" t="s">
        <v>6644</v>
      </c>
      <c r="D44" s="148" t="s">
        <v>6645</v>
      </c>
      <c r="E44" t="s">
        <v>6704</v>
      </c>
      <c r="F44" s="148" t="s">
        <v>6702</v>
      </c>
    </row>
    <row r="45" spans="1:6" ht="15.75" customHeight="1" thickBot="1" x14ac:dyDescent="0.3">
      <c r="A45" s="148"/>
      <c r="B45" s="148"/>
      <c r="C45" s="148"/>
      <c r="D45" s="148"/>
      <c r="E45" t="s">
        <v>6705</v>
      </c>
      <c r="F45" s="148"/>
    </row>
    <row r="46" spans="1:6" ht="15" customHeight="1" x14ac:dyDescent="0.25">
      <c r="A46" s="148"/>
      <c r="B46" s="148"/>
      <c r="C46" s="148"/>
      <c r="D46" s="148"/>
      <c r="E46" t="s">
        <v>6498</v>
      </c>
      <c r="F46" s="148"/>
    </row>
    <row r="47" spans="1:6" ht="15.75" thickBot="1" x14ac:dyDescent="0.3">
      <c r="A47" s="148"/>
      <c r="B47" s="148"/>
      <c r="C47" s="148"/>
      <c r="D47" s="148"/>
      <c r="E47" t="s">
        <v>6706</v>
      </c>
      <c r="F47" s="148"/>
    </row>
    <row r="48" spans="1:6" ht="15.75" thickBot="1" x14ac:dyDescent="0.3">
      <c r="A48" s="148" t="s">
        <v>6707</v>
      </c>
      <c r="B48" s="148" t="s">
        <v>6708</v>
      </c>
      <c r="C48" s="148" t="s">
        <v>6644</v>
      </c>
      <c r="D48" s="148" t="s">
        <v>6645</v>
      </c>
      <c r="E48"/>
      <c r="F48" s="148" t="s">
        <v>6707</v>
      </c>
    </row>
    <row r="49" spans="1:6" ht="15.75" customHeight="1" thickBot="1" x14ac:dyDescent="0.3">
      <c r="A49" s="148"/>
      <c r="B49" s="148"/>
      <c r="C49" s="148"/>
      <c r="D49" s="148"/>
      <c r="E49" t="s">
        <v>6709</v>
      </c>
      <c r="F49" s="148"/>
    </row>
    <row r="50" spans="1:6" ht="15.75" thickBot="1" x14ac:dyDescent="0.3">
      <c r="A50" s="148"/>
      <c r="B50" s="148"/>
      <c r="C50" s="148"/>
      <c r="D50" s="148"/>
      <c r="E50" t="s">
        <v>6710</v>
      </c>
      <c r="F50" s="148"/>
    </row>
    <row r="51" spans="1:6" ht="15.75" thickBot="1" x14ac:dyDescent="0.3">
      <c r="A51" s="148"/>
      <c r="B51" s="148"/>
      <c r="C51" s="148"/>
      <c r="D51" s="148"/>
      <c r="E51" t="s">
        <v>6711</v>
      </c>
      <c r="F51" s="148"/>
    </row>
    <row r="52" spans="1:6" ht="15.75" thickBot="1" x14ac:dyDescent="0.3">
      <c r="A52" t="s">
        <v>6712</v>
      </c>
      <c r="B52" t="s">
        <v>6713</v>
      </c>
      <c r="C52" t="s">
        <v>6644</v>
      </c>
      <c r="D52" t="s">
        <v>6645</v>
      </c>
      <c r="E52" t="s">
        <v>6714</v>
      </c>
      <c r="F52" t="s">
        <v>6712</v>
      </c>
    </row>
    <row r="53" spans="1:6" ht="15.75" thickBot="1" x14ac:dyDescent="0.3">
      <c r="A53" t="s">
        <v>6715</v>
      </c>
      <c r="B53" t="s">
        <v>6716</v>
      </c>
      <c r="C53" t="s">
        <v>6644</v>
      </c>
      <c r="D53" t="s">
        <v>6645</v>
      </c>
      <c r="E53" t="s">
        <v>6714</v>
      </c>
      <c r="F53" t="s">
        <v>6715</v>
      </c>
    </row>
    <row r="54" spans="1:6" ht="15.75" thickBot="1" x14ac:dyDescent="0.3">
      <c r="A54" t="s">
        <v>6717</v>
      </c>
      <c r="B54" t="s">
        <v>6718</v>
      </c>
      <c r="C54" t="s">
        <v>6644</v>
      </c>
      <c r="D54" t="s">
        <v>6645</v>
      </c>
      <c r="E54" t="s">
        <v>6719</v>
      </c>
      <c r="F54" t="s">
        <v>6717</v>
      </c>
    </row>
    <row r="55" spans="1:6" ht="15.75" customHeight="1" thickBot="1" x14ac:dyDescent="0.3">
      <c r="A55" s="148" t="s">
        <v>6720</v>
      </c>
      <c r="B55" s="148" t="s">
        <v>6721</v>
      </c>
      <c r="C55" s="148" t="s">
        <v>6644</v>
      </c>
      <c r="D55" s="148" t="s">
        <v>6645</v>
      </c>
      <c r="E55" t="s">
        <v>4621</v>
      </c>
      <c r="F55" s="148" t="s">
        <v>6720</v>
      </c>
    </row>
    <row r="56" spans="1:6" ht="15.75" customHeight="1" thickBot="1" x14ac:dyDescent="0.3">
      <c r="A56" s="148"/>
      <c r="B56" s="148"/>
      <c r="C56" s="148"/>
      <c r="D56" s="148"/>
      <c r="E56" t="s">
        <v>6722</v>
      </c>
      <c r="F56" s="148"/>
    </row>
    <row r="57" spans="1:6" ht="15.75" customHeight="1" thickBot="1" x14ac:dyDescent="0.3">
      <c r="A57" s="148"/>
      <c r="B57" s="148"/>
      <c r="C57" s="148"/>
      <c r="D57" s="148"/>
      <c r="E57" t="s">
        <v>5112</v>
      </c>
      <c r="F57" s="148"/>
    </row>
    <row r="58" spans="1:6" ht="15.75" thickBot="1" x14ac:dyDescent="0.3">
      <c r="A58" s="148"/>
      <c r="B58" s="148"/>
      <c r="C58" s="148"/>
      <c r="D58" s="148"/>
      <c r="E58" t="s">
        <v>6723</v>
      </c>
      <c r="F58" s="148"/>
    </row>
    <row r="59" spans="1:6" ht="15.75" customHeight="1" thickBot="1" x14ac:dyDescent="0.3">
      <c r="A59" s="148"/>
      <c r="B59" s="148"/>
      <c r="C59" s="148"/>
      <c r="D59" s="148"/>
      <c r="E59" t="s">
        <v>6724</v>
      </c>
      <c r="F59" s="148"/>
    </row>
    <row r="60" spans="1:6" ht="15.75" thickBot="1" x14ac:dyDescent="0.3">
      <c r="A60" s="148" t="s">
        <v>6725</v>
      </c>
      <c r="B60" s="148" t="s">
        <v>6726</v>
      </c>
      <c r="C60" s="148" t="s">
        <v>6644</v>
      </c>
      <c r="D60" s="148" t="s">
        <v>6645</v>
      </c>
      <c r="E60" t="s">
        <v>6727</v>
      </c>
      <c r="F60" s="148" t="s">
        <v>6725</v>
      </c>
    </row>
    <row r="61" spans="1:6" ht="15.75" thickBot="1" x14ac:dyDescent="0.3">
      <c r="A61" s="148"/>
      <c r="B61" s="148"/>
      <c r="C61" s="148"/>
      <c r="D61" s="148"/>
      <c r="E61" t="s">
        <v>6353</v>
      </c>
      <c r="F61" s="148"/>
    </row>
    <row r="62" spans="1:6" ht="15.75" thickBot="1" x14ac:dyDescent="0.3">
      <c r="A62" s="148"/>
      <c r="B62" s="148"/>
      <c r="C62" s="148"/>
      <c r="D62" s="148"/>
      <c r="E62" t="s">
        <v>6728</v>
      </c>
      <c r="F62" s="148"/>
    </row>
    <row r="63" spans="1:6" ht="15.75" thickBot="1" x14ac:dyDescent="0.3">
      <c r="A63" s="148"/>
      <c r="B63" s="148"/>
      <c r="C63" s="148"/>
      <c r="D63" s="148"/>
      <c r="E63" t="s">
        <v>6729</v>
      </c>
      <c r="F63" s="148"/>
    </row>
    <row r="64" spans="1:6" ht="15.75" thickBot="1" x14ac:dyDescent="0.3">
      <c r="A64" s="148"/>
      <c r="B64" s="148"/>
      <c r="C64" s="148"/>
      <c r="D64" s="148"/>
      <c r="E64" t="s">
        <v>6730</v>
      </c>
      <c r="F64" s="148"/>
    </row>
    <row r="65" spans="1:6" ht="15.75" customHeight="1" thickBot="1" x14ac:dyDescent="0.3">
      <c r="A65" s="148"/>
      <c r="B65" s="148"/>
      <c r="C65" s="148"/>
      <c r="D65" s="148"/>
      <c r="E65" t="s">
        <v>6731</v>
      </c>
      <c r="F65" s="148"/>
    </row>
    <row r="66" spans="1:6" ht="15.75" thickBot="1" x14ac:dyDescent="0.3">
      <c r="A66" s="148"/>
      <c r="B66" s="148"/>
      <c r="C66" s="148"/>
      <c r="D66" s="148"/>
      <c r="E66"/>
      <c r="F66" s="148"/>
    </row>
    <row r="67" spans="1:6" ht="15.75" thickBot="1" x14ac:dyDescent="0.3">
      <c r="A67" s="148"/>
      <c r="B67" s="148"/>
      <c r="C67" s="148"/>
      <c r="D67" s="148"/>
      <c r="E67" t="s">
        <v>6732</v>
      </c>
      <c r="F67" s="148"/>
    </row>
    <row r="68" spans="1:6" ht="15.75" customHeight="1" thickBot="1" x14ac:dyDescent="0.3">
      <c r="A68" s="148"/>
      <c r="B68" s="148"/>
      <c r="C68" s="148"/>
      <c r="D68" s="148"/>
      <c r="E68" t="s">
        <v>6733</v>
      </c>
      <c r="F68" s="148"/>
    </row>
    <row r="69" spans="1:6" ht="15.75" thickBot="1" x14ac:dyDescent="0.3">
      <c r="A69" s="148" t="s">
        <v>6734</v>
      </c>
      <c r="B69" s="148" t="s">
        <v>6735</v>
      </c>
      <c r="C69" s="148" t="s">
        <v>6644</v>
      </c>
      <c r="D69" s="148" t="s">
        <v>6645</v>
      </c>
      <c r="E69"/>
      <c r="F69" s="148" t="s">
        <v>6734</v>
      </c>
    </row>
    <row r="70" spans="1:6" ht="15.75" customHeight="1" thickBot="1" x14ac:dyDescent="0.3">
      <c r="A70" s="148"/>
      <c r="B70" s="148"/>
      <c r="C70" s="148"/>
      <c r="D70" s="148"/>
      <c r="E70" t="s">
        <v>6736</v>
      </c>
      <c r="F70" s="148"/>
    </row>
    <row r="71" spans="1:6" ht="15.75" customHeight="1" thickBot="1" x14ac:dyDescent="0.3">
      <c r="A71" s="148"/>
      <c r="B71" s="148"/>
      <c r="C71" s="148"/>
      <c r="D71" s="148"/>
      <c r="E71" t="s">
        <v>6737</v>
      </c>
      <c r="F71" s="148"/>
    </row>
    <row r="72" spans="1:6" ht="15.75" thickBot="1" x14ac:dyDescent="0.3">
      <c r="A72" s="148"/>
      <c r="B72" s="148"/>
      <c r="C72" s="148"/>
      <c r="D72" s="148"/>
      <c r="E72" t="s">
        <v>6738</v>
      </c>
      <c r="F72" s="148"/>
    </row>
    <row r="73" spans="1:6" ht="15.75" thickBot="1" x14ac:dyDescent="0.3">
      <c r="A73" s="148"/>
      <c r="B73" s="148"/>
      <c r="C73" s="148"/>
      <c r="D73" s="148"/>
      <c r="E73" t="s">
        <v>6739</v>
      </c>
      <c r="F73" s="148"/>
    </row>
    <row r="74" spans="1:6" ht="15.75" customHeight="1" thickBot="1" x14ac:dyDescent="0.3">
      <c r="A74" s="148"/>
      <c r="B74" s="148"/>
      <c r="C74" s="148"/>
      <c r="D74" s="148"/>
      <c r="E74" t="s">
        <v>6740</v>
      </c>
      <c r="F74" s="148"/>
    </row>
    <row r="75" spans="1:6" ht="15.75" thickBot="1" x14ac:dyDescent="0.3">
      <c r="A75" s="148"/>
      <c r="B75" s="148"/>
      <c r="C75" s="148"/>
      <c r="D75" s="148"/>
      <c r="E75" t="s">
        <v>5271</v>
      </c>
      <c r="F75" s="148"/>
    </row>
    <row r="76" spans="1:6" x14ac:dyDescent="0.25">
      <c r="A76" t="s">
        <v>6741</v>
      </c>
      <c r="B76" t="s">
        <v>6742</v>
      </c>
      <c r="C76" s="148" t="s">
        <v>6644</v>
      </c>
      <c r="D76" s="148" t="s">
        <v>6645</v>
      </c>
      <c r="E76" s="148" t="s">
        <v>6743</v>
      </c>
      <c r="F76" t="s">
        <v>6741</v>
      </c>
    </row>
    <row r="77" spans="1:6" ht="15.75" thickBot="1" x14ac:dyDescent="0.3">
      <c r="A77" t="s">
        <v>6744</v>
      </c>
      <c r="B77" t="s">
        <v>6745</v>
      </c>
      <c r="C77" s="148"/>
      <c r="D77" s="148"/>
      <c r="E77" s="148"/>
      <c r="F77" t="s">
        <v>6744</v>
      </c>
    </row>
    <row r="78" spans="1:6" ht="15" customHeight="1" x14ac:dyDescent="0.25">
      <c r="A78" s="148" t="s">
        <v>6746</v>
      </c>
      <c r="B78" s="148" t="s">
        <v>6747</v>
      </c>
      <c r="C78" s="148" t="s">
        <v>6644</v>
      </c>
      <c r="D78" s="148" t="s">
        <v>6645</v>
      </c>
      <c r="E78" t="s">
        <v>5862</v>
      </c>
      <c r="F78" s="148" t="s">
        <v>6746</v>
      </c>
    </row>
    <row r="79" spans="1:6" ht="15" customHeight="1" x14ac:dyDescent="0.25">
      <c r="A79" s="148"/>
      <c r="B79" s="148"/>
      <c r="C79" s="148"/>
      <c r="D79" s="148"/>
      <c r="E79" t="s">
        <v>6748</v>
      </c>
      <c r="F79" s="148"/>
    </row>
    <row r="80" spans="1:6" ht="15" customHeight="1" x14ac:dyDescent="0.25">
      <c r="A80" s="148"/>
      <c r="B80" s="148"/>
      <c r="C80" s="148"/>
      <c r="D80" s="148"/>
      <c r="E80" t="s">
        <v>5642</v>
      </c>
      <c r="F80" s="148"/>
    </row>
    <row r="81" spans="1:6" ht="15.75" thickBot="1" x14ac:dyDescent="0.3">
      <c r="A81" s="148"/>
      <c r="B81" s="148"/>
      <c r="C81" s="148"/>
      <c r="D81" s="148"/>
      <c r="E81" t="s">
        <v>6749</v>
      </c>
      <c r="F81" s="148"/>
    </row>
    <row r="82" spans="1:6" ht="15.75" customHeight="1" thickBot="1" x14ac:dyDescent="0.3">
      <c r="A82" s="148" t="s">
        <v>6750</v>
      </c>
      <c r="B82" s="148" t="s">
        <v>6751</v>
      </c>
      <c r="C82" s="148" t="s">
        <v>6644</v>
      </c>
      <c r="D82" s="148" t="s">
        <v>6645</v>
      </c>
      <c r="E82" t="s">
        <v>5911</v>
      </c>
      <c r="F82" s="148" t="s">
        <v>6750</v>
      </c>
    </row>
    <row r="83" spans="1:6" ht="15.75" customHeight="1" thickBot="1" x14ac:dyDescent="0.3">
      <c r="A83" s="148"/>
      <c r="B83" s="148"/>
      <c r="C83" s="148"/>
      <c r="D83" s="148"/>
      <c r="E83" t="s">
        <v>6655</v>
      </c>
      <c r="F83" s="148"/>
    </row>
    <row r="84" spans="1:6" ht="15.75" customHeight="1" thickBot="1" x14ac:dyDescent="0.3">
      <c r="A84" s="148"/>
      <c r="B84" s="148"/>
      <c r="C84" s="148"/>
      <c r="D84" s="148"/>
      <c r="E84" t="s">
        <v>6752</v>
      </c>
      <c r="F84" s="148"/>
    </row>
    <row r="85" spans="1:6" ht="15.75" customHeight="1" thickBot="1" x14ac:dyDescent="0.3">
      <c r="A85" s="148"/>
      <c r="B85" s="148"/>
      <c r="C85" s="148"/>
      <c r="D85" s="148"/>
      <c r="E85" t="s">
        <v>5993</v>
      </c>
      <c r="F85" s="148"/>
    </row>
    <row r="86" spans="1:6" ht="15.75" thickBot="1" x14ac:dyDescent="0.3">
      <c r="A86" s="148"/>
      <c r="B86" s="148"/>
      <c r="C86" s="148"/>
      <c r="D86" s="148"/>
      <c r="E86" t="s">
        <v>6753</v>
      </c>
      <c r="F86" s="148"/>
    </row>
    <row r="87" spans="1:6" ht="15.75" thickBot="1" x14ac:dyDescent="0.3">
      <c r="A87" s="148"/>
      <c r="B87" s="148"/>
      <c r="C87" s="148"/>
      <c r="D87" s="148"/>
      <c r="E87" t="s">
        <v>6754</v>
      </c>
      <c r="F87" s="148"/>
    </row>
    <row r="88" spans="1:6" ht="15.75" customHeight="1" thickBot="1" x14ac:dyDescent="0.3">
      <c r="A88" s="148"/>
      <c r="B88" s="148"/>
      <c r="C88" s="148"/>
      <c r="D88" s="148"/>
      <c r="E88" t="s">
        <v>6657</v>
      </c>
      <c r="F88" s="148"/>
    </row>
    <row r="89" spans="1:6" ht="15.75" thickBot="1" x14ac:dyDescent="0.3">
      <c r="A89" s="148"/>
      <c r="B89" s="148"/>
      <c r="C89" s="148"/>
      <c r="D89" s="148"/>
      <c r="E89" t="s">
        <v>6755</v>
      </c>
      <c r="F89" s="148"/>
    </row>
    <row r="90" spans="1:6" ht="15.75" customHeight="1" thickBot="1" x14ac:dyDescent="0.3">
      <c r="A90" s="148"/>
      <c r="B90" s="148"/>
      <c r="C90" s="148"/>
      <c r="D90" s="148"/>
      <c r="E90" t="s">
        <v>6756</v>
      </c>
      <c r="F90" s="148"/>
    </row>
    <row r="91" spans="1:6" ht="15.75" customHeight="1" thickBot="1" x14ac:dyDescent="0.3">
      <c r="A91" s="148"/>
      <c r="B91" s="148"/>
      <c r="C91" s="148"/>
      <c r="D91" s="148"/>
      <c r="E91" t="s">
        <v>6757</v>
      </c>
      <c r="F91" s="148"/>
    </row>
    <row r="92" spans="1:6" ht="15.75" thickBot="1" x14ac:dyDescent="0.3">
      <c r="A92" s="148" t="s">
        <v>6758</v>
      </c>
      <c r="B92" s="148" t="s">
        <v>6759</v>
      </c>
      <c r="C92" s="148" t="s">
        <v>6644</v>
      </c>
      <c r="D92" s="148" t="s">
        <v>6645</v>
      </c>
      <c r="E92" t="s">
        <v>6760</v>
      </c>
      <c r="F92" s="148" t="s">
        <v>6758</v>
      </c>
    </row>
    <row r="93" spans="1:6" ht="15.75" thickBot="1" x14ac:dyDescent="0.3">
      <c r="A93" s="148"/>
      <c r="B93" s="148"/>
      <c r="C93" s="148"/>
      <c r="D93" s="148"/>
      <c r="E93" t="s">
        <v>6761</v>
      </c>
      <c r="F93" s="148"/>
    </row>
    <row r="94" spans="1:6" ht="15.75" customHeight="1" thickBot="1" x14ac:dyDescent="0.3">
      <c r="A94"/>
      <c r="B94" s="148" t="s">
        <v>4443</v>
      </c>
      <c r="C94" s="148" t="s">
        <v>6644</v>
      </c>
      <c r="D94" s="148" t="s">
        <v>6645</v>
      </c>
      <c r="E94" t="s">
        <v>6762</v>
      </c>
      <c r="F94"/>
    </row>
    <row r="95" spans="1:6" ht="15.75" customHeight="1" thickBot="1" x14ac:dyDescent="0.3">
      <c r="A95" t="s">
        <v>6763</v>
      </c>
      <c r="B95" s="148"/>
      <c r="C95" s="148"/>
      <c r="D95" s="148"/>
      <c r="E95" t="s">
        <v>6764</v>
      </c>
      <c r="F95" t="s">
        <v>6763</v>
      </c>
    </row>
    <row r="96" spans="1:6" ht="15.75" thickBot="1" x14ac:dyDescent="0.3">
      <c r="A96"/>
      <c r="B96" s="148"/>
      <c r="C96" s="148"/>
      <c r="D96" s="148"/>
      <c r="E96" t="s">
        <v>6765</v>
      </c>
      <c r="F96"/>
    </row>
    <row r="97" spans="1:6" ht="15.75" thickBot="1" x14ac:dyDescent="0.3">
      <c r="A97"/>
      <c r="B97" s="148"/>
      <c r="C97" s="148"/>
      <c r="D97" s="148"/>
      <c r="E97" t="s">
        <v>6766</v>
      </c>
      <c r="F97"/>
    </row>
    <row r="98" spans="1:6" ht="15.75" thickBot="1" x14ac:dyDescent="0.3">
      <c r="A98" s="148" t="s">
        <v>6767</v>
      </c>
      <c r="B98" s="148" t="s">
        <v>6768</v>
      </c>
      <c r="C98" s="148" t="s">
        <v>6644</v>
      </c>
      <c r="D98" s="148" t="s">
        <v>6645</v>
      </c>
      <c r="E98" t="s">
        <v>6769</v>
      </c>
      <c r="F98" s="148" t="s">
        <v>6767</v>
      </c>
    </row>
    <row r="99" spans="1:6" ht="15.75" thickBot="1" x14ac:dyDescent="0.3">
      <c r="A99" s="148"/>
      <c r="B99" s="148"/>
      <c r="C99" s="148"/>
      <c r="D99" s="148"/>
      <c r="E99" t="s">
        <v>6770</v>
      </c>
      <c r="F99" s="148"/>
    </row>
    <row r="100" spans="1:6" ht="15.75" thickBot="1" x14ac:dyDescent="0.3">
      <c r="A100"/>
      <c r="B100"/>
      <c r="C100"/>
      <c r="D100"/>
      <c r="E100" t="s">
        <v>6771</v>
      </c>
      <c r="F100"/>
    </row>
    <row r="101" spans="1:6" ht="15.75" thickBot="1" x14ac:dyDescent="0.3">
      <c r="A101" s="148" t="s">
        <v>6772</v>
      </c>
      <c r="B101" s="148" t="s">
        <v>6773</v>
      </c>
      <c r="C101" s="148" t="s">
        <v>6644</v>
      </c>
      <c r="D101" s="148" t="s">
        <v>6645</v>
      </c>
      <c r="E101" t="s">
        <v>6774</v>
      </c>
      <c r="F101" s="148" t="s">
        <v>6772</v>
      </c>
    </row>
    <row r="102" spans="1:6" ht="15.75" thickBot="1" x14ac:dyDescent="0.3">
      <c r="A102" s="148"/>
      <c r="B102" s="148"/>
      <c r="C102" s="148"/>
      <c r="D102" s="148"/>
      <c r="E102" t="s">
        <v>6775</v>
      </c>
      <c r="F102" s="148"/>
    </row>
    <row r="103" spans="1:6" x14ac:dyDescent="0.25">
      <c r="A103" s="148"/>
      <c r="B103" s="148"/>
      <c r="C103" s="148"/>
      <c r="D103" s="148"/>
      <c r="E103" t="s">
        <v>5110</v>
      </c>
      <c r="F103" s="148"/>
    </row>
    <row r="104" spans="1:6" ht="15.75" thickBot="1" x14ac:dyDescent="0.3">
      <c r="A104" s="148"/>
      <c r="B104" s="148"/>
      <c r="C104" s="148"/>
      <c r="D104" s="148"/>
      <c r="E104" t="s">
        <v>6776</v>
      </c>
      <c r="F104" s="148"/>
    </row>
    <row r="105" spans="1:6" ht="15.75" thickBot="1" x14ac:dyDescent="0.3">
      <c r="A105" t="s">
        <v>6777</v>
      </c>
      <c r="B105" t="s">
        <v>6778</v>
      </c>
      <c r="C105" t="s">
        <v>6644</v>
      </c>
      <c r="D105" t="s">
        <v>6645</v>
      </c>
      <c r="E105" t="s">
        <v>6779</v>
      </c>
      <c r="F105" t="s">
        <v>6777</v>
      </c>
    </row>
    <row r="106" spans="1:6" ht="15.75" thickBot="1" x14ac:dyDescent="0.3">
      <c r="A106" t="s">
        <v>6750</v>
      </c>
      <c r="B106" t="s">
        <v>6780</v>
      </c>
      <c r="C106" t="s">
        <v>6644</v>
      </c>
      <c r="D106" t="s">
        <v>6645</v>
      </c>
      <c r="E106" t="s">
        <v>6781</v>
      </c>
      <c r="F106" t="s">
        <v>6750</v>
      </c>
    </row>
    <row r="107" spans="1:6" ht="15.75" customHeight="1" thickBot="1" x14ac:dyDescent="0.3">
      <c r="A107" s="148" t="s">
        <v>6782</v>
      </c>
      <c r="B107" s="148" t="s">
        <v>6783</v>
      </c>
      <c r="C107" s="148" t="s">
        <v>6644</v>
      </c>
      <c r="D107" s="148" t="s">
        <v>6645</v>
      </c>
      <c r="E107" t="s">
        <v>6784</v>
      </c>
      <c r="F107" s="148" t="s">
        <v>6782</v>
      </c>
    </row>
    <row r="108" spans="1:6" ht="15.75" customHeight="1" thickBot="1" x14ac:dyDescent="0.3">
      <c r="A108" s="148"/>
      <c r="B108" s="148"/>
      <c r="C108" s="148"/>
      <c r="D108" s="148"/>
      <c r="E108" t="s">
        <v>6785</v>
      </c>
      <c r="F108" s="148"/>
    </row>
    <row r="109" spans="1:6" ht="15.75" customHeight="1" thickBot="1" x14ac:dyDescent="0.3">
      <c r="A109" s="148"/>
      <c r="B109" s="148"/>
      <c r="C109" s="148"/>
      <c r="D109" s="148"/>
      <c r="E109" t="s">
        <v>6786</v>
      </c>
      <c r="F109" s="148"/>
    </row>
    <row r="110" spans="1:6" ht="15.75" customHeight="1" thickBot="1" x14ac:dyDescent="0.3">
      <c r="A110" s="148"/>
      <c r="B110" s="148"/>
      <c r="C110" s="148"/>
      <c r="D110" s="148"/>
      <c r="E110" t="s">
        <v>6356</v>
      </c>
      <c r="F110" s="148"/>
    </row>
    <row r="111" spans="1:6" ht="15.75" thickBot="1" x14ac:dyDescent="0.3">
      <c r="A111" s="148" t="s">
        <v>6787</v>
      </c>
      <c r="B111" s="148" t="s">
        <v>6788</v>
      </c>
      <c r="C111" s="148" t="s">
        <v>6644</v>
      </c>
      <c r="D111" s="148" t="s">
        <v>6645</v>
      </c>
      <c r="E111" t="s">
        <v>6789</v>
      </c>
      <c r="F111" s="148" t="s">
        <v>6787</v>
      </c>
    </row>
    <row r="112" spans="1:6" ht="15.75" thickBot="1" x14ac:dyDescent="0.3">
      <c r="A112" s="148"/>
      <c r="B112" s="148"/>
      <c r="C112" s="148"/>
      <c r="D112" s="148"/>
      <c r="E112" t="s">
        <v>6560</v>
      </c>
      <c r="F112" s="148"/>
    </row>
    <row r="113" spans="1:6" ht="15.75" thickBot="1" x14ac:dyDescent="0.3">
      <c r="A113" s="148"/>
      <c r="B113" s="148"/>
      <c r="C113" s="148"/>
      <c r="D113" s="148"/>
      <c r="E113" t="s">
        <v>6790</v>
      </c>
      <c r="F113" s="148"/>
    </row>
    <row r="114" spans="1:6" ht="15.75" thickBot="1" x14ac:dyDescent="0.3">
      <c r="A114" s="148"/>
      <c r="B114" s="148"/>
      <c r="C114" s="148"/>
      <c r="D114" s="148"/>
      <c r="E114" t="s">
        <v>6791</v>
      </c>
      <c r="F114" s="148"/>
    </row>
    <row r="115" spans="1:6" ht="15.75" thickBot="1" x14ac:dyDescent="0.3">
      <c r="A115" s="148"/>
      <c r="B115" s="148"/>
      <c r="C115" s="148"/>
      <c r="D115" s="148"/>
      <c r="E115" t="s">
        <v>6792</v>
      </c>
      <c r="F115" s="148"/>
    </row>
    <row r="116" spans="1:6" ht="15.75" customHeight="1" thickBot="1" x14ac:dyDescent="0.3">
      <c r="A116" s="148"/>
      <c r="B116" s="148"/>
      <c r="C116" s="148"/>
      <c r="D116" s="148"/>
      <c r="E116" t="s">
        <v>6793</v>
      </c>
      <c r="F116" s="148"/>
    </row>
    <row r="117" spans="1:6" ht="15.75" customHeight="1" thickBot="1" x14ac:dyDescent="0.3">
      <c r="A117" s="148"/>
      <c r="B117" s="148"/>
      <c r="C117" s="148"/>
      <c r="D117" s="148"/>
      <c r="E117" t="s">
        <v>6472</v>
      </c>
      <c r="F117" s="148"/>
    </row>
    <row r="118" spans="1:6" ht="15.75" thickBot="1" x14ac:dyDescent="0.3">
      <c r="A118" s="148"/>
      <c r="B118" s="148"/>
      <c r="C118" s="148"/>
      <c r="D118" s="148"/>
      <c r="E118" t="s">
        <v>6794</v>
      </c>
      <c r="F118" s="148"/>
    </row>
    <row r="119" spans="1:6" ht="15.75" customHeight="1" thickBot="1" x14ac:dyDescent="0.3">
      <c r="A119" s="148"/>
      <c r="B119" s="148"/>
      <c r="C119" s="148"/>
      <c r="D119" s="148"/>
      <c r="E119" t="s">
        <v>6795</v>
      </c>
      <c r="F119" s="148"/>
    </row>
    <row r="120" spans="1:6" ht="15.75" thickBot="1" x14ac:dyDescent="0.3">
      <c r="A120" s="148" t="s">
        <v>6796</v>
      </c>
      <c r="B120" s="148" t="s">
        <v>6797</v>
      </c>
      <c r="C120" s="148" t="s">
        <v>6644</v>
      </c>
      <c r="D120" s="148" t="s">
        <v>6645</v>
      </c>
      <c r="E120" t="s">
        <v>6798</v>
      </c>
      <c r="F120" s="148" t="s">
        <v>6796</v>
      </c>
    </row>
    <row r="121" spans="1:6" x14ac:dyDescent="0.25">
      <c r="A121" s="148"/>
      <c r="B121" s="148"/>
      <c r="C121" s="148"/>
      <c r="D121" s="148"/>
      <c r="E121" t="s">
        <v>6799</v>
      </c>
      <c r="F121" s="148"/>
    </row>
    <row r="122" spans="1:6" ht="15.75" customHeight="1" thickBot="1" x14ac:dyDescent="0.3">
      <c r="A122" s="148"/>
      <c r="B122" s="148"/>
      <c r="C122" s="148"/>
      <c r="D122" s="148"/>
      <c r="E122" t="s">
        <v>6800</v>
      </c>
      <c r="F122" s="148"/>
    </row>
    <row r="123" spans="1:6" ht="15.75" thickBot="1" x14ac:dyDescent="0.3">
      <c r="A123" s="148" t="s">
        <v>6801</v>
      </c>
      <c r="B123" s="148" t="s">
        <v>6802</v>
      </c>
      <c r="C123" s="148" t="s">
        <v>6644</v>
      </c>
      <c r="D123" s="148" t="s">
        <v>6645</v>
      </c>
      <c r="E123" t="s">
        <v>5144</v>
      </c>
      <c r="F123" s="148" t="s">
        <v>6801</v>
      </c>
    </row>
    <row r="124" spans="1:6" ht="15.75" thickBot="1" x14ac:dyDescent="0.3">
      <c r="A124" s="148"/>
      <c r="B124" s="148"/>
      <c r="C124" s="148"/>
      <c r="D124" s="148"/>
      <c r="E124" t="s">
        <v>6803</v>
      </c>
      <c r="F124" s="148"/>
    </row>
    <row r="125" spans="1:6" ht="15.75" thickBot="1" x14ac:dyDescent="0.3">
      <c r="A125" s="148"/>
      <c r="B125" s="148"/>
      <c r="C125" s="148"/>
      <c r="D125" s="148"/>
      <c r="E125" t="s">
        <v>6804</v>
      </c>
      <c r="F125" s="148"/>
    </row>
    <row r="126" spans="1:6" ht="15.75" customHeight="1" thickBot="1" x14ac:dyDescent="0.3">
      <c r="A126" s="148"/>
      <c r="B126" s="148"/>
      <c r="C126" s="148"/>
      <c r="D126" s="148"/>
      <c r="E126" t="s">
        <v>6805</v>
      </c>
      <c r="F126" s="148"/>
    </row>
    <row r="127" spans="1:6" ht="15.75" customHeight="1" thickBot="1" x14ac:dyDescent="0.3">
      <c r="A127" s="148"/>
      <c r="B127" s="148"/>
      <c r="C127" s="148"/>
      <c r="D127" s="148"/>
      <c r="E127" t="s">
        <v>4812</v>
      </c>
      <c r="F127" s="148"/>
    </row>
    <row r="128" spans="1:6" ht="15.75" customHeight="1" thickBot="1" x14ac:dyDescent="0.3">
      <c r="A128" s="148"/>
      <c r="B128" s="148"/>
      <c r="C128" s="148"/>
      <c r="D128" s="148"/>
      <c r="E128" t="s">
        <v>6806</v>
      </c>
      <c r="F128" s="148"/>
    </row>
    <row r="129" spans="1:6" ht="15.75" thickBot="1" x14ac:dyDescent="0.3">
      <c r="A129" t="s">
        <v>6807</v>
      </c>
      <c r="B129" t="s">
        <v>6808</v>
      </c>
      <c r="C129" t="s">
        <v>6644</v>
      </c>
      <c r="D129" t="s">
        <v>6645</v>
      </c>
      <c r="E129" t="s">
        <v>6809</v>
      </c>
      <c r="F129" t="s">
        <v>6807</v>
      </c>
    </row>
    <row r="130" spans="1:6" x14ac:dyDescent="0.25">
      <c r="A130" t="s">
        <v>6810</v>
      </c>
      <c r="B130" t="s">
        <v>6811</v>
      </c>
      <c r="C130" s="148" t="s">
        <v>6644</v>
      </c>
      <c r="D130" s="148" t="s">
        <v>6645</v>
      </c>
      <c r="E130" s="148" t="s">
        <v>218</v>
      </c>
      <c r="F130" t="s">
        <v>6810</v>
      </c>
    </row>
    <row r="131" spans="1:6" ht="15.75" thickBot="1" x14ac:dyDescent="0.3">
      <c r="A131" t="s">
        <v>6812</v>
      </c>
      <c r="B131" t="s">
        <v>6813</v>
      </c>
      <c r="C131" s="148"/>
      <c r="D131" s="148"/>
      <c r="E131" s="148"/>
      <c r="F131" t="s">
        <v>6812</v>
      </c>
    </row>
    <row r="132" spans="1:6" ht="15.75" thickBot="1" x14ac:dyDescent="0.3">
      <c r="A132" s="148" t="s">
        <v>6814</v>
      </c>
      <c r="B132" s="148" t="s">
        <v>6815</v>
      </c>
      <c r="C132" s="148" t="s">
        <v>6644</v>
      </c>
      <c r="D132" s="148" t="s">
        <v>6645</v>
      </c>
      <c r="E132" t="s">
        <v>6816</v>
      </c>
      <c r="F132" s="148" t="s">
        <v>6814</v>
      </c>
    </row>
    <row r="133" spans="1:6" ht="15.75" thickBot="1" x14ac:dyDescent="0.3">
      <c r="A133" s="148"/>
      <c r="B133" s="148"/>
      <c r="C133" s="148"/>
      <c r="D133" s="148"/>
      <c r="E133" t="s">
        <v>6817</v>
      </c>
      <c r="F133" s="148"/>
    </row>
    <row r="134" spans="1:6" ht="15.75" thickBot="1" x14ac:dyDescent="0.3">
      <c r="A134" s="148"/>
      <c r="B134" s="148"/>
      <c r="C134" s="148"/>
      <c r="D134" s="148"/>
      <c r="E134" t="s">
        <v>6818</v>
      </c>
      <c r="F134" s="148"/>
    </row>
    <row r="135" spans="1:6" ht="15.75" thickBot="1" x14ac:dyDescent="0.3">
      <c r="A135" t="s">
        <v>6819</v>
      </c>
      <c r="B135" t="s">
        <v>6820</v>
      </c>
      <c r="C135" t="s">
        <v>6644</v>
      </c>
      <c r="D135" t="s">
        <v>6645</v>
      </c>
      <c r="E135" t="s">
        <v>6821</v>
      </c>
      <c r="F135" t="s">
        <v>6819</v>
      </c>
    </row>
    <row r="136" spans="1:6" ht="15.75" thickBot="1" x14ac:dyDescent="0.3">
      <c r="A136" t="s">
        <v>6822</v>
      </c>
      <c r="B136" t="s">
        <v>6823</v>
      </c>
      <c r="C136" t="s">
        <v>6644</v>
      </c>
      <c r="D136" t="s">
        <v>6645</v>
      </c>
      <c r="E136" t="s">
        <v>6824</v>
      </c>
      <c r="F136" t="s">
        <v>6822</v>
      </c>
    </row>
    <row r="137" spans="1:6" ht="15.75" thickBot="1" x14ac:dyDescent="0.3">
      <c r="A137" t="s">
        <v>6825</v>
      </c>
      <c r="B137" t="s">
        <v>3579</v>
      </c>
      <c r="C137" t="s">
        <v>6644</v>
      </c>
      <c r="D137" t="s">
        <v>6645</v>
      </c>
      <c r="E137" t="s">
        <v>6408</v>
      </c>
      <c r="F137" t="s">
        <v>6825</v>
      </c>
    </row>
    <row r="138" spans="1:6" ht="15.75" thickBot="1" x14ac:dyDescent="0.3">
      <c r="A138" t="s">
        <v>6826</v>
      </c>
      <c r="B138" t="s">
        <v>6827</v>
      </c>
      <c r="C138" t="s">
        <v>6644</v>
      </c>
      <c r="D138" t="s">
        <v>6645</v>
      </c>
      <c r="E138" t="s">
        <v>6828</v>
      </c>
      <c r="F138" t="s">
        <v>6826</v>
      </c>
    </row>
    <row r="139" spans="1:6" ht="15.75" thickBot="1" x14ac:dyDescent="0.3">
      <c r="A139" t="s">
        <v>6829</v>
      </c>
      <c r="B139" t="s">
        <v>6830</v>
      </c>
      <c r="C139" t="s">
        <v>6644</v>
      </c>
      <c r="D139" t="s">
        <v>6645</v>
      </c>
      <c r="E139" t="s">
        <v>6828</v>
      </c>
      <c r="F139" t="s">
        <v>6829</v>
      </c>
    </row>
    <row r="140" spans="1:6" ht="15.75" thickBot="1" x14ac:dyDescent="0.3">
      <c r="A140" t="s">
        <v>6831</v>
      </c>
      <c r="B140" t="s">
        <v>6832</v>
      </c>
      <c r="C140" t="s">
        <v>6644</v>
      </c>
      <c r="D140" t="s">
        <v>6645</v>
      </c>
      <c r="E140" t="s">
        <v>6828</v>
      </c>
      <c r="F140" t="s">
        <v>6831</v>
      </c>
    </row>
  </sheetData>
  <mergeCells count="119">
    <mergeCell ref="A2:A3"/>
    <mergeCell ref="B2:B3"/>
    <mergeCell ref="C2:C3"/>
    <mergeCell ref="D2:D3"/>
    <mergeCell ref="A5:A10"/>
    <mergeCell ref="B5:B10"/>
    <mergeCell ref="C5:C10"/>
    <mergeCell ref="D5:D10"/>
    <mergeCell ref="A20:A32"/>
    <mergeCell ref="B20:B32"/>
    <mergeCell ref="C20:C32"/>
    <mergeCell ref="D20:D32"/>
    <mergeCell ref="A33:A34"/>
    <mergeCell ref="B33:B34"/>
    <mergeCell ref="C33:C34"/>
    <mergeCell ref="D33:D34"/>
    <mergeCell ref="A12:A13"/>
    <mergeCell ref="B12:B13"/>
    <mergeCell ref="C12:C13"/>
    <mergeCell ref="D12:D13"/>
    <mergeCell ref="A15:A19"/>
    <mergeCell ref="B15:B19"/>
    <mergeCell ref="C15:C19"/>
    <mergeCell ref="D15:D19"/>
    <mergeCell ref="A48:A51"/>
    <mergeCell ref="B48:B51"/>
    <mergeCell ref="C48:C51"/>
    <mergeCell ref="D48:D51"/>
    <mergeCell ref="A55:A59"/>
    <mergeCell ref="B55:B59"/>
    <mergeCell ref="C55:C59"/>
    <mergeCell ref="D55:D59"/>
    <mergeCell ref="A35:A43"/>
    <mergeCell ref="B35:B43"/>
    <mergeCell ref="C35:C43"/>
    <mergeCell ref="D35:D43"/>
    <mergeCell ref="A44:A47"/>
    <mergeCell ref="B44:B47"/>
    <mergeCell ref="C44:C47"/>
    <mergeCell ref="D44:D47"/>
    <mergeCell ref="A60:A68"/>
    <mergeCell ref="B60:B68"/>
    <mergeCell ref="C60:C68"/>
    <mergeCell ref="D60:D68"/>
    <mergeCell ref="A69:A75"/>
    <mergeCell ref="B69:B75"/>
    <mergeCell ref="C69:C75"/>
    <mergeCell ref="D69:D75"/>
    <mergeCell ref="C76:C77"/>
    <mergeCell ref="D76:D77"/>
    <mergeCell ref="A92:A93"/>
    <mergeCell ref="B92:B93"/>
    <mergeCell ref="C92:C93"/>
    <mergeCell ref="D92:D93"/>
    <mergeCell ref="B94:B97"/>
    <mergeCell ref="C94:C97"/>
    <mergeCell ref="D94:D97"/>
    <mergeCell ref="E76:E77"/>
    <mergeCell ref="A78:A81"/>
    <mergeCell ref="B78:B81"/>
    <mergeCell ref="C78:C81"/>
    <mergeCell ref="D78:D81"/>
    <mergeCell ref="A82:A91"/>
    <mergeCell ref="B82:B91"/>
    <mergeCell ref="C82:C91"/>
    <mergeCell ref="D82:D91"/>
    <mergeCell ref="A107:A110"/>
    <mergeCell ref="B107:B110"/>
    <mergeCell ref="C107:C110"/>
    <mergeCell ref="D107:D110"/>
    <mergeCell ref="A111:A119"/>
    <mergeCell ref="B111:B119"/>
    <mergeCell ref="C111:C119"/>
    <mergeCell ref="D111:D119"/>
    <mergeCell ref="A98:A99"/>
    <mergeCell ref="B98:B99"/>
    <mergeCell ref="C98:C99"/>
    <mergeCell ref="D98:D99"/>
    <mergeCell ref="A101:A104"/>
    <mergeCell ref="B101:B104"/>
    <mergeCell ref="C101:C104"/>
    <mergeCell ref="D101:D104"/>
    <mergeCell ref="C130:C131"/>
    <mergeCell ref="D130:D131"/>
    <mergeCell ref="E130:E131"/>
    <mergeCell ref="A132:A134"/>
    <mergeCell ref="B132:B134"/>
    <mergeCell ref="C132:C134"/>
    <mergeCell ref="D132:D134"/>
    <mergeCell ref="A120:A122"/>
    <mergeCell ref="B120:B122"/>
    <mergeCell ref="C120:C122"/>
    <mergeCell ref="D120:D122"/>
    <mergeCell ref="A123:A128"/>
    <mergeCell ref="B123:B128"/>
    <mergeCell ref="C123:C128"/>
    <mergeCell ref="D123:D128"/>
    <mergeCell ref="F33:F34"/>
    <mergeCell ref="F35:F43"/>
    <mergeCell ref="F44:F47"/>
    <mergeCell ref="F48:F51"/>
    <mergeCell ref="F55:F59"/>
    <mergeCell ref="F2:F3"/>
    <mergeCell ref="F5:F10"/>
    <mergeCell ref="F12:F13"/>
    <mergeCell ref="F15:F19"/>
    <mergeCell ref="F20:F32"/>
    <mergeCell ref="F123:F128"/>
    <mergeCell ref="F132:F134"/>
    <mergeCell ref="F98:F99"/>
    <mergeCell ref="F101:F104"/>
    <mergeCell ref="F107:F110"/>
    <mergeCell ref="F111:F119"/>
    <mergeCell ref="F120:F122"/>
    <mergeCell ref="F60:F68"/>
    <mergeCell ref="F69:F75"/>
    <mergeCell ref="F78:F81"/>
    <mergeCell ref="F82:F91"/>
    <mergeCell ref="F92:F93"/>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documentManagement>
    <_Flow_SignoffStatus xmlns="d0ff73f4-182c-4e6e-ab8c-8fadc3cceadc"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8E07109327A27499E74994BEE7A27F8" ma:contentTypeVersion="13" ma:contentTypeDescription="Create a new document." ma:contentTypeScope="" ma:versionID="a279dc678582f411c5467224da06a781">
  <xsd:schema xmlns:xsd="http://www.w3.org/2001/XMLSchema" xmlns:xs="http://www.w3.org/2001/XMLSchema" xmlns:p="http://schemas.microsoft.com/office/2006/metadata/properties" xmlns:ns2="6658009d-4e86-4d89-a849-5ccf58b41345" xmlns:ns3="d0ff73f4-182c-4e6e-ab8c-8fadc3cceadc" targetNamespace="http://schemas.microsoft.com/office/2006/metadata/properties" ma:root="true" ma:fieldsID="e5e14973d10c2de71d870537a47b8c79" ns2:_="" ns3:_="">
    <xsd:import namespace="6658009d-4e86-4d89-a849-5ccf58b41345"/>
    <xsd:import namespace="d0ff73f4-182c-4e6e-ab8c-8fadc3cceadc"/>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AutoKeyPoints" minOccurs="0"/>
                <xsd:element ref="ns3:MediaServiceKeyPoints" minOccurs="0"/>
                <xsd:element ref="ns3:_Flow_SignoffStatu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58009d-4e86-4d89-a849-5ccf58b4134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0ff73f4-182c-4e6e-ab8c-8fadc3cceadc"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_Flow_SignoffStatus" ma:index="19" nillable="true" ma:displayName="Sign-off status" ma:internalName="Sign_x002d_off_x0020_status">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76705D-D434-47CC-B1C4-49590B301767}">
  <ds:schemaRefs>
    <ds:schemaRef ds:uri="http://purl.org/dc/dcmitype/"/>
    <ds:schemaRef ds:uri="6658009d-4e86-4d89-a849-5ccf58b41345"/>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d0ff73f4-182c-4e6e-ab8c-8fadc3cceadc"/>
    <ds:schemaRef ds:uri="http://www.w3.org/XML/1998/namespace"/>
  </ds:schemaRefs>
</ds:datastoreItem>
</file>

<file path=customXml/itemProps2.xml><?xml version="1.0" encoding="utf-8"?>
<ds:datastoreItem xmlns:ds="http://schemas.openxmlformats.org/officeDocument/2006/customXml" ds:itemID="{E3DCDAB9-101A-44E5-A962-8684B7A390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58009d-4e86-4d89-a849-5ccf58b41345"/>
    <ds:schemaRef ds:uri="d0ff73f4-182c-4e6e-ab8c-8fadc3ccead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ADBC725-E1C7-4635-BAF6-2B528CF56D8C}">
  <ds:schemaRefs>
    <ds:schemaRef ds:uri="http://schemas.microsoft.com/DataMashup"/>
  </ds:schemaRefs>
</ds:datastoreItem>
</file>

<file path=customXml/itemProps4.xml><?xml version="1.0" encoding="utf-8"?>
<ds:datastoreItem xmlns:ds="http://schemas.openxmlformats.org/officeDocument/2006/customXml" ds:itemID="{F7CBDCBB-8619-4811-AE54-D9B3C933BFF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BSS</vt:lpstr>
      <vt:lpstr>Totales 2021</vt:lpstr>
      <vt:lpstr>Guia maqs Telefonica parcheos</vt:lpstr>
      <vt:lpstr>Resp. Técnicos Telefonica</vt:lpstr>
      <vt:lpstr>Contactos Empresas Terceros</vt:lpstr>
      <vt:lpstr>Buzones actuales</vt:lpstr>
      <vt:lpstr>Buzones Modelo TO BE</vt:lpstr>
      <vt:lpstr>Grupos Implicados - TI Clientes</vt:lpstr>
      <vt:lpstr>OK Técnico</vt:lpstr>
      <vt:lpstr>Inventario</vt:lpstr>
      <vt:lpstr>CRQs 2021</vt:lpstr>
      <vt:lpstr>Test</vt:lpstr>
      <vt:lpstr>Grupos Técnicos y Matriz Resp</vt:lpstr>
      <vt:lpstr>GTS</vt:lpstr>
      <vt:lpstr>GTS - 1</vt:lpstr>
      <vt:lpstr>GTS - 2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antonio.urena@capgemini.com</dc:creator>
  <cp:keywords/>
  <dc:description/>
  <cp:lastModifiedBy>Álvarez Pardo, Miguel</cp:lastModifiedBy>
  <cp:revision/>
  <dcterms:created xsi:type="dcterms:W3CDTF">2014-08-27T08:39:58Z</dcterms:created>
  <dcterms:modified xsi:type="dcterms:W3CDTF">2021-10-18T10:48:35Z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0x01010088E07109327A27499E74994BEE7A27F8</vt:lpwstr>
  </property>
</Properties>
</file>